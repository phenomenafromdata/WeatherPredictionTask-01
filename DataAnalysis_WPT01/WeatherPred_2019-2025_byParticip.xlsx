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rojaslibano/Library/CloudStorage/GoogleDrive-dirl75@gmail.com/My Drive/Matlab_Daniel/Articles/Article_WeatherPredictionPupil/"/>
    </mc:Choice>
  </mc:AlternateContent>
  <xr:revisionPtr revIDLastSave="0" documentId="13_ncr:1_{CCF5EA6B-9FE0-E945-A0E5-CA31C5C4E029}" xr6:coauthVersionLast="47" xr6:coauthVersionMax="47" xr10:uidLastSave="{00000000-0000-0000-0000-000000000000}"/>
  <bookViews>
    <workbookView xWindow="44260" yWindow="1360" windowWidth="38400" windowHeight="18260" firstSheet="44" activeTab="54" xr2:uid="{00000000-000D-0000-FFFF-FFFF00000000}"/>
  </bookViews>
  <sheets>
    <sheet name="gG_2019_01_14_15-27" sheetId="1" r:id="rId1"/>
    <sheet name="vQ_2019_01_21_15-54" sheetId="2" r:id="rId2"/>
    <sheet name="qT_2019_01_23_14-30" sheetId="3" r:id="rId3"/>
    <sheet name="aa_2019_01_23_15-41" sheetId="4" r:id="rId4"/>
    <sheet name="rr_2019_01_24_14-33" sheetId="5" r:id="rId5"/>
    <sheet name="HT_2019_01_30_13-5" sheetId="6" r:id="rId6"/>
    <sheet name="UO_2019_01_30_15-27" sheetId="7" r:id="rId7"/>
    <sheet name="dk_2019_01_30_16-50" sheetId="8" r:id="rId8"/>
    <sheet name="Mr_2019_01_31_12-13" sheetId="9" r:id="rId9"/>
    <sheet name="Hi_2019_01_31_13-24" sheetId="10" r:id="rId10"/>
    <sheet name="vY_2019_01_31_14-57" sheetId="11" r:id="rId11"/>
    <sheet name="ot_2019_03_04_12-50" sheetId="12" r:id="rId12"/>
    <sheet name="WZ_2019_03_04_14-23" sheetId="13" r:id="rId13"/>
    <sheet name="VM_2019_03_05_15-18" sheetId="14" r:id="rId14"/>
    <sheet name="yd_2019_03_06_12-21" sheetId="15" r:id="rId15"/>
    <sheet name="Mo_2019_03_06_13-30" sheetId="16" r:id="rId16"/>
    <sheet name="Ib_2019_03_11_12-45" sheetId="17" r:id="rId17"/>
    <sheet name="ok_2019_03_11_14-16" sheetId="18" r:id="rId18"/>
    <sheet name="Rd_2019_03_12_13-35" sheetId="19" r:id="rId19"/>
    <sheet name="GS_2019_03_12_14-41" sheetId="20" r:id="rId20"/>
    <sheet name="Sf_2019_03_13_12-2" sheetId="21" r:id="rId21"/>
    <sheet name="sr_2019_03_13_13-36" sheetId="22" r:id="rId22"/>
    <sheet name="DW_2022_01_13_10-30" sheetId="23" r:id="rId23"/>
    <sheet name="hn_2022_04_21_09_58" sheetId="24" r:id="rId24"/>
    <sheet name="rZ_2022_04_28_9-23" sheetId="25" r:id="rId25"/>
    <sheet name="Ke_2022_04_28_10-11" sheetId="26" r:id="rId26"/>
    <sheet name="kc_2022_05_05_11-11" sheetId="27" r:id="rId27"/>
    <sheet name="el_2022_05_05_12-12" sheetId="28" r:id="rId28"/>
    <sheet name="HG_2022_05_12_11-12" sheetId="29" r:id="rId29"/>
    <sheet name="eH_2022_06_02_12-18" sheetId="31" r:id="rId30"/>
    <sheet name="og_2022_07_07_08-53" sheetId="32" r:id="rId31"/>
    <sheet name="sU_2023_11_10_16-13" sheetId="33" r:id="rId32"/>
    <sheet name="Hr_2023_11_22_09-21" sheetId="34" r:id="rId33"/>
    <sheet name="ns_2023_11_22_14-11" sheetId="35" r:id="rId34"/>
    <sheet name="ph_2023_11_22_16-6" sheetId="36" r:id="rId35"/>
    <sheet name="Ad_2023_11_22_16-53" sheetId="37" r:id="rId36"/>
    <sheet name="sb_2023_11_23_09-16" sheetId="38" r:id="rId37"/>
    <sheet name="kB_2023_11_29_14-7" sheetId="39" r:id="rId38"/>
    <sheet name="Ja_2023_11_29_15-6" sheetId="40" r:id="rId39"/>
    <sheet name="yw_2023_12_05_12-56" sheetId="41" r:id="rId40"/>
    <sheet name="BB_2023_12_07_18-19" sheetId="42" r:id="rId41"/>
    <sheet name="Zy_2023_12_09_09-16" sheetId="43" r:id="rId42"/>
    <sheet name="BC_2023_12_09_13-13" sheetId="44" r:id="rId43"/>
    <sheet name="kR_2023_12_13_10-9" sheetId="45" r:id="rId44"/>
    <sheet name="Kr_2023_12_13_12-49" sheetId="46" r:id="rId45"/>
    <sheet name="gA_2023_12_13_16-4" sheetId="47" r:id="rId46"/>
    <sheet name="mN_2023_12_13_17-1" sheetId="48" r:id="rId47"/>
    <sheet name="hf_2023_12_14_09-5" sheetId="49" r:id="rId48"/>
    <sheet name="Ed_2023_12_14_13-54" sheetId="50" r:id="rId49"/>
    <sheet name="zx_2023_12_14_15-4" sheetId="52" r:id="rId50"/>
    <sheet name="Vj_2023_12_14_18-12" sheetId="51" r:id="rId51"/>
    <sheet name="HV_2019_03_05_14-10" sheetId="56" r:id="rId52"/>
    <sheet name="Total" sheetId="53" r:id="rId53"/>
    <sheet name="MS_2022_05_26_11-39" sheetId="30" r:id="rId54"/>
    <sheet name="ALL_DATA" sheetId="54" r:id="rId55"/>
    <sheet name="bloques copletos" sheetId="55" r:id="rId56"/>
  </sheets>
  <definedNames>
    <definedName name="_xlnm._FilterDatabase" localSheetId="54" hidden="1">ALL_DATA!$A$182:$A$193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9" roundtripDataChecksum="sWiZ1a8/N8WGOxFvlrfJO7eVxOJH3mE0+5KhHJHKLDo="/>
    </ext>
  </extLst>
</workbook>
</file>

<file path=xl/calcChain.xml><?xml version="1.0" encoding="utf-8"?>
<calcChain xmlns="http://schemas.openxmlformats.org/spreadsheetml/2006/main">
  <c r="V22" i="56" l="1"/>
  <c r="V21" i="56"/>
  <c r="V20" i="56"/>
  <c r="V19" i="56"/>
  <c r="V18" i="56"/>
  <c r="V17" i="56"/>
  <c r="U17" i="56"/>
  <c r="U18" i="56"/>
  <c r="U19" i="56"/>
  <c r="U20" i="56"/>
  <c r="U21" i="56"/>
  <c r="U22" i="56"/>
  <c r="T22" i="56"/>
  <c r="T21" i="56"/>
  <c r="T20" i="56"/>
  <c r="T19" i="56"/>
  <c r="T18" i="56"/>
  <c r="T17" i="56"/>
  <c r="S22" i="56"/>
  <c r="S21" i="56"/>
  <c r="S20" i="56"/>
  <c r="S19" i="56"/>
  <c r="S18" i="56"/>
  <c r="S17" i="56"/>
  <c r="R22" i="56"/>
  <c r="R21" i="56"/>
  <c r="R20" i="56"/>
  <c r="R19" i="56"/>
  <c r="R18" i="56"/>
  <c r="R17" i="56"/>
  <c r="Q22" i="56"/>
  <c r="Q21" i="56"/>
  <c r="Q20" i="56"/>
  <c r="Q19" i="56"/>
  <c r="Q18" i="56"/>
  <c r="Q17" i="56"/>
  <c r="P22" i="56"/>
  <c r="P21" i="56"/>
  <c r="O35" i="56" s="1"/>
  <c r="P20" i="56"/>
  <c r="P19" i="56"/>
  <c r="P18" i="56"/>
  <c r="P17" i="56"/>
  <c r="O22" i="50"/>
  <c r="O22" i="56"/>
  <c r="O21" i="56"/>
  <c r="O20" i="56"/>
  <c r="O19" i="56"/>
  <c r="O18" i="56"/>
  <c r="O17" i="56"/>
  <c r="O17" i="50"/>
  <c r="O31" i="50" s="1"/>
  <c r="O32" i="51"/>
  <c r="O31" i="51"/>
  <c r="V26" i="56"/>
  <c r="U26" i="56"/>
  <c r="T26" i="56"/>
  <c r="S26" i="56"/>
  <c r="R26" i="56"/>
  <c r="Q26" i="56"/>
  <c r="O26" i="51"/>
  <c r="O26" i="56"/>
  <c r="P26" i="56"/>
  <c r="P26" i="51"/>
  <c r="O17" i="51"/>
  <c r="V26" i="52"/>
  <c r="U26" i="52"/>
  <c r="T26" i="52"/>
  <c r="S26" i="52"/>
  <c r="R26" i="52"/>
  <c r="Q26" i="52"/>
  <c r="P26" i="52"/>
  <c r="O26" i="52"/>
  <c r="V22" i="52"/>
  <c r="U22" i="52"/>
  <c r="T22" i="52"/>
  <c r="S22" i="52"/>
  <c r="R22" i="52"/>
  <c r="Q22" i="52"/>
  <c r="P22" i="52"/>
  <c r="O22" i="52"/>
  <c r="O36" i="52" s="1"/>
  <c r="V21" i="52"/>
  <c r="U21" i="52"/>
  <c r="T21" i="52"/>
  <c r="S21" i="52"/>
  <c r="R21" i="52"/>
  <c r="Q21" i="52"/>
  <c r="P21" i="52"/>
  <c r="O21" i="52"/>
  <c r="O35" i="52" s="1"/>
  <c r="V20" i="52"/>
  <c r="U20" i="52"/>
  <c r="T20" i="52"/>
  <c r="S20" i="52"/>
  <c r="R20" i="52"/>
  <c r="Q20" i="52"/>
  <c r="P20" i="52"/>
  <c r="O20" i="52"/>
  <c r="O34" i="52" s="1"/>
  <c r="V19" i="52"/>
  <c r="U19" i="52"/>
  <c r="T19" i="52"/>
  <c r="S19" i="52"/>
  <c r="R19" i="52"/>
  <c r="Q19" i="52"/>
  <c r="P19" i="52"/>
  <c r="O19" i="52"/>
  <c r="O33" i="52" s="1"/>
  <c r="V18" i="52"/>
  <c r="U18" i="52"/>
  <c r="T18" i="52"/>
  <c r="S18" i="52"/>
  <c r="R18" i="52"/>
  <c r="Q18" i="52"/>
  <c r="P18" i="52"/>
  <c r="O18" i="52"/>
  <c r="O32" i="52" s="1"/>
  <c r="V17" i="52"/>
  <c r="U17" i="52"/>
  <c r="T17" i="52"/>
  <c r="S17" i="52"/>
  <c r="R17" i="52"/>
  <c r="Q17" i="52"/>
  <c r="P17" i="52"/>
  <c r="O17" i="52"/>
  <c r="O31" i="52" s="1"/>
  <c r="V26" i="51"/>
  <c r="U26" i="51"/>
  <c r="T26" i="51"/>
  <c r="S26" i="51"/>
  <c r="R26" i="51"/>
  <c r="Q26" i="51"/>
  <c r="V22" i="51"/>
  <c r="U22" i="51"/>
  <c r="T22" i="51"/>
  <c r="S22" i="51"/>
  <c r="R22" i="51"/>
  <c r="Q22" i="51"/>
  <c r="P22" i="51"/>
  <c r="O22" i="51"/>
  <c r="O36" i="51" s="1"/>
  <c r="V21" i="51"/>
  <c r="U21" i="51"/>
  <c r="T21" i="51"/>
  <c r="S21" i="51"/>
  <c r="R21" i="51"/>
  <c r="Q21" i="51"/>
  <c r="P21" i="51"/>
  <c r="O21" i="51"/>
  <c r="O35" i="51" s="1"/>
  <c r="V20" i="51"/>
  <c r="U20" i="51"/>
  <c r="T20" i="51"/>
  <c r="O34" i="51" s="1"/>
  <c r="S20" i="51"/>
  <c r="R20" i="51"/>
  <c r="Q20" i="51"/>
  <c r="P20" i="51"/>
  <c r="O20" i="51"/>
  <c r="V19" i="51"/>
  <c r="U19" i="51"/>
  <c r="T19" i="51"/>
  <c r="S19" i="51"/>
  <c r="R19" i="51"/>
  <c r="Q19" i="51"/>
  <c r="P19" i="51"/>
  <c r="O33" i="51" s="1"/>
  <c r="O19" i="51"/>
  <c r="V18" i="51"/>
  <c r="U18" i="51"/>
  <c r="T18" i="51"/>
  <c r="S18" i="51"/>
  <c r="R18" i="51"/>
  <c r="Q18" i="51"/>
  <c r="P18" i="51"/>
  <c r="O18" i="51"/>
  <c r="V17" i="51"/>
  <c r="U17" i="51"/>
  <c r="T17" i="51"/>
  <c r="S17" i="51"/>
  <c r="R17" i="51"/>
  <c r="Q17" i="51"/>
  <c r="P17" i="51"/>
  <c r="V26" i="50"/>
  <c r="U26" i="50"/>
  <c r="T26" i="50"/>
  <c r="S26" i="50"/>
  <c r="R26" i="50"/>
  <c r="Q26" i="50"/>
  <c r="P26" i="50"/>
  <c r="O26" i="50"/>
  <c r="V22" i="50"/>
  <c r="U22" i="50"/>
  <c r="T22" i="50"/>
  <c r="S22" i="50"/>
  <c r="R22" i="50"/>
  <c r="O36" i="50" s="1"/>
  <c r="Q22" i="50"/>
  <c r="P22" i="50"/>
  <c r="V21" i="50"/>
  <c r="U21" i="50"/>
  <c r="T21" i="50"/>
  <c r="S21" i="50"/>
  <c r="R21" i="50"/>
  <c r="Q21" i="50"/>
  <c r="P21" i="50"/>
  <c r="O21" i="50"/>
  <c r="O35" i="50" s="1"/>
  <c r="V20" i="50"/>
  <c r="U20" i="50"/>
  <c r="T20" i="50"/>
  <c r="S20" i="50"/>
  <c r="R20" i="50"/>
  <c r="Q20" i="50"/>
  <c r="P20" i="50"/>
  <c r="O20" i="50"/>
  <c r="O34" i="50" s="1"/>
  <c r="V19" i="50"/>
  <c r="U19" i="50"/>
  <c r="T19" i="50"/>
  <c r="S19" i="50"/>
  <c r="R19" i="50"/>
  <c r="O33" i="50" s="1"/>
  <c r="Q19" i="50"/>
  <c r="P19" i="50"/>
  <c r="O19" i="50"/>
  <c r="V18" i="50"/>
  <c r="U18" i="50"/>
  <c r="T18" i="50"/>
  <c r="S18" i="50"/>
  <c r="R18" i="50"/>
  <c r="Q18" i="50"/>
  <c r="P18" i="50"/>
  <c r="O32" i="50" s="1"/>
  <c r="O18" i="50"/>
  <c r="V17" i="50"/>
  <c r="U17" i="50"/>
  <c r="T17" i="50"/>
  <c r="S17" i="50"/>
  <c r="R17" i="50"/>
  <c r="Q17" i="50"/>
  <c r="P17" i="50"/>
  <c r="V26" i="49"/>
  <c r="U26" i="49"/>
  <c r="T26" i="49"/>
  <c r="S26" i="49"/>
  <c r="R26" i="49"/>
  <c r="Q26" i="49"/>
  <c r="P26" i="49"/>
  <c r="O26" i="49"/>
  <c r="V22" i="49"/>
  <c r="U22" i="49"/>
  <c r="T22" i="49"/>
  <c r="S22" i="49"/>
  <c r="R22" i="49"/>
  <c r="Q22" i="49"/>
  <c r="P22" i="49"/>
  <c r="O22" i="49"/>
  <c r="O36" i="49" s="1"/>
  <c r="V21" i="49"/>
  <c r="U21" i="49"/>
  <c r="T21" i="49"/>
  <c r="S21" i="49"/>
  <c r="R21" i="49"/>
  <c r="Q21" i="49"/>
  <c r="P21" i="49"/>
  <c r="O35" i="49" s="1"/>
  <c r="O21" i="49"/>
  <c r="V20" i="49"/>
  <c r="U20" i="49"/>
  <c r="T20" i="49"/>
  <c r="S20" i="49"/>
  <c r="R20" i="49"/>
  <c r="O34" i="49" s="1"/>
  <c r="Q20" i="49"/>
  <c r="P20" i="49"/>
  <c r="O20" i="49"/>
  <c r="V19" i="49"/>
  <c r="U19" i="49"/>
  <c r="T19" i="49"/>
  <c r="S19" i="49"/>
  <c r="R19" i="49"/>
  <c r="Q19" i="49"/>
  <c r="P19" i="49"/>
  <c r="O19" i="49"/>
  <c r="O33" i="49" s="1"/>
  <c r="V18" i="49"/>
  <c r="U18" i="49"/>
  <c r="T18" i="49"/>
  <c r="S18" i="49"/>
  <c r="R18" i="49"/>
  <c r="Q18" i="49"/>
  <c r="P18" i="49"/>
  <c r="O32" i="49" s="1"/>
  <c r="O18" i="49"/>
  <c r="V17" i="49"/>
  <c r="U17" i="49"/>
  <c r="T17" i="49"/>
  <c r="S17" i="49"/>
  <c r="R17" i="49"/>
  <c r="Q17" i="49"/>
  <c r="P17" i="49"/>
  <c r="O17" i="49"/>
  <c r="O31" i="49" s="1"/>
  <c r="V26" i="48"/>
  <c r="U26" i="48"/>
  <c r="T26" i="48"/>
  <c r="S26" i="48"/>
  <c r="R26" i="48"/>
  <c r="Q26" i="48"/>
  <c r="P26" i="48"/>
  <c r="O26" i="48"/>
  <c r="V22" i="48"/>
  <c r="U22" i="48"/>
  <c r="T22" i="48"/>
  <c r="S22" i="48"/>
  <c r="R22" i="48"/>
  <c r="Q22" i="48"/>
  <c r="P22" i="48"/>
  <c r="O36" i="48" s="1"/>
  <c r="O22" i="48"/>
  <c r="V21" i="48"/>
  <c r="U21" i="48"/>
  <c r="T21" i="48"/>
  <c r="S21" i="48"/>
  <c r="R21" i="48"/>
  <c r="O35" i="48" s="1"/>
  <c r="Q21" i="48"/>
  <c r="P21" i="48"/>
  <c r="O21" i="48"/>
  <c r="V20" i="48"/>
  <c r="U20" i="48"/>
  <c r="T20" i="48"/>
  <c r="S20" i="48"/>
  <c r="R20" i="48"/>
  <c r="Q20" i="48"/>
  <c r="P20" i="48"/>
  <c r="O34" i="48" s="1"/>
  <c r="O20" i="48"/>
  <c r="V19" i="48"/>
  <c r="U19" i="48"/>
  <c r="T19" i="48"/>
  <c r="S19" i="48"/>
  <c r="R19" i="48"/>
  <c r="Q19" i="48"/>
  <c r="P19" i="48"/>
  <c r="O19" i="48"/>
  <c r="O33" i="48" s="1"/>
  <c r="V18" i="48"/>
  <c r="U18" i="48"/>
  <c r="T18" i="48"/>
  <c r="S18" i="48"/>
  <c r="R18" i="48"/>
  <c r="Q18" i="48"/>
  <c r="P18" i="48"/>
  <c r="O18" i="48"/>
  <c r="O32" i="48" s="1"/>
  <c r="V17" i="48"/>
  <c r="U17" i="48"/>
  <c r="T17" i="48"/>
  <c r="S17" i="48"/>
  <c r="R17" i="48"/>
  <c r="Q17" i="48"/>
  <c r="P17" i="48"/>
  <c r="O17" i="48"/>
  <c r="O31" i="48" s="1"/>
  <c r="V26" i="47"/>
  <c r="U26" i="47"/>
  <c r="T26" i="47"/>
  <c r="S26" i="47"/>
  <c r="R26" i="47"/>
  <c r="Q26" i="47"/>
  <c r="P26" i="47"/>
  <c r="O36" i="47" s="1"/>
  <c r="O26" i="47"/>
  <c r="V22" i="47"/>
  <c r="U22" i="47"/>
  <c r="T22" i="47"/>
  <c r="S22" i="47"/>
  <c r="R22" i="47"/>
  <c r="Q22" i="47"/>
  <c r="P22" i="47"/>
  <c r="O22" i="47"/>
  <c r="V21" i="47"/>
  <c r="U21" i="47"/>
  <c r="T21" i="47"/>
  <c r="S21" i="47"/>
  <c r="R21" i="47"/>
  <c r="Q21" i="47"/>
  <c r="P21" i="47"/>
  <c r="O21" i="47"/>
  <c r="O35" i="47" s="1"/>
  <c r="V20" i="47"/>
  <c r="U20" i="47"/>
  <c r="T20" i="47"/>
  <c r="S20" i="47"/>
  <c r="R20" i="47"/>
  <c r="Q20" i="47"/>
  <c r="P20" i="47"/>
  <c r="O20" i="47"/>
  <c r="O34" i="47" s="1"/>
  <c r="V19" i="47"/>
  <c r="U19" i="47"/>
  <c r="T19" i="47"/>
  <c r="S19" i="47"/>
  <c r="R19" i="47"/>
  <c r="Q19" i="47"/>
  <c r="P19" i="47"/>
  <c r="O19" i="47"/>
  <c r="O33" i="47" s="1"/>
  <c r="V18" i="47"/>
  <c r="U18" i="47"/>
  <c r="T18" i="47"/>
  <c r="S18" i="47"/>
  <c r="R18" i="47"/>
  <c r="Q18" i="47"/>
  <c r="P18" i="47"/>
  <c r="O18" i="47"/>
  <c r="O32" i="47" s="1"/>
  <c r="V17" i="47"/>
  <c r="U17" i="47"/>
  <c r="T17" i="47"/>
  <c r="S17" i="47"/>
  <c r="R17" i="47"/>
  <c r="Q17" i="47"/>
  <c r="P17" i="47"/>
  <c r="O31" i="47" s="1"/>
  <c r="O17" i="47"/>
  <c r="V26" i="46"/>
  <c r="U26" i="46"/>
  <c r="T26" i="46"/>
  <c r="S26" i="46"/>
  <c r="R26" i="46"/>
  <c r="Q26" i="46"/>
  <c r="P26" i="46"/>
  <c r="O26" i="46"/>
  <c r="V22" i="46"/>
  <c r="U22" i="46"/>
  <c r="T22" i="46"/>
  <c r="S22" i="46"/>
  <c r="R22" i="46"/>
  <c r="Q22" i="46"/>
  <c r="P22" i="46"/>
  <c r="O22" i="46"/>
  <c r="O36" i="46" s="1"/>
  <c r="V21" i="46"/>
  <c r="U21" i="46"/>
  <c r="T21" i="46"/>
  <c r="S21" i="46"/>
  <c r="R21" i="46"/>
  <c r="Q21" i="46"/>
  <c r="P21" i="46"/>
  <c r="O21" i="46"/>
  <c r="O35" i="46" s="1"/>
  <c r="V20" i="46"/>
  <c r="U20" i="46"/>
  <c r="T20" i="46"/>
  <c r="S20" i="46"/>
  <c r="R20" i="46"/>
  <c r="Q20" i="46"/>
  <c r="P20" i="46"/>
  <c r="O34" i="46" s="1"/>
  <c r="O20" i="46"/>
  <c r="V19" i="46"/>
  <c r="U19" i="46"/>
  <c r="T19" i="46"/>
  <c r="S19" i="46"/>
  <c r="R19" i="46"/>
  <c r="Q19" i="46"/>
  <c r="P19" i="46"/>
  <c r="O33" i="46" s="1"/>
  <c r="O19" i="46"/>
  <c r="V18" i="46"/>
  <c r="U18" i="46"/>
  <c r="T18" i="46"/>
  <c r="S18" i="46"/>
  <c r="R18" i="46"/>
  <c r="Q18" i="46"/>
  <c r="P18" i="46"/>
  <c r="O32" i="46" s="1"/>
  <c r="O18" i="46"/>
  <c r="V17" i="46"/>
  <c r="U17" i="46"/>
  <c r="T17" i="46"/>
  <c r="S17" i="46"/>
  <c r="R17" i="46"/>
  <c r="O31" i="46" s="1"/>
  <c r="Q17" i="46"/>
  <c r="P17" i="46"/>
  <c r="O17" i="46"/>
  <c r="V26" i="45"/>
  <c r="U26" i="45"/>
  <c r="T26" i="45"/>
  <c r="S26" i="45"/>
  <c r="R26" i="45"/>
  <c r="Q26" i="45"/>
  <c r="P26" i="45"/>
  <c r="O26" i="45"/>
  <c r="V22" i="45"/>
  <c r="U22" i="45"/>
  <c r="T22" i="45"/>
  <c r="S22" i="45"/>
  <c r="R22" i="45"/>
  <c r="Q22" i="45"/>
  <c r="P22" i="45"/>
  <c r="O36" i="45" s="1"/>
  <c r="O22" i="45"/>
  <c r="V21" i="45"/>
  <c r="U21" i="45"/>
  <c r="T21" i="45"/>
  <c r="S21" i="45"/>
  <c r="R21" i="45"/>
  <c r="O35" i="45" s="1"/>
  <c r="Q21" i="45"/>
  <c r="P21" i="45"/>
  <c r="O21" i="45"/>
  <c r="V20" i="45"/>
  <c r="U20" i="45"/>
  <c r="T20" i="45"/>
  <c r="O34" i="45" s="1"/>
  <c r="S20" i="45"/>
  <c r="R20" i="45"/>
  <c r="Q20" i="45"/>
  <c r="P20" i="45"/>
  <c r="O20" i="45"/>
  <c r="V19" i="45"/>
  <c r="U19" i="45"/>
  <c r="T19" i="45"/>
  <c r="S19" i="45"/>
  <c r="R19" i="45"/>
  <c r="Q19" i="45"/>
  <c r="P19" i="45"/>
  <c r="O33" i="45" s="1"/>
  <c r="O19" i="45"/>
  <c r="V18" i="45"/>
  <c r="U18" i="45"/>
  <c r="T18" i="45"/>
  <c r="S18" i="45"/>
  <c r="R18" i="45"/>
  <c r="Q18" i="45"/>
  <c r="P18" i="45"/>
  <c r="O18" i="45"/>
  <c r="O32" i="45" s="1"/>
  <c r="V17" i="45"/>
  <c r="U17" i="45"/>
  <c r="T17" i="45"/>
  <c r="S17" i="45"/>
  <c r="R17" i="45"/>
  <c r="Q17" i="45"/>
  <c r="P17" i="45"/>
  <c r="O17" i="45"/>
  <c r="O31" i="45" s="1"/>
  <c r="V26" i="44"/>
  <c r="U26" i="44"/>
  <c r="T26" i="44"/>
  <c r="S26" i="44"/>
  <c r="R26" i="44"/>
  <c r="Q26" i="44"/>
  <c r="P26" i="44"/>
  <c r="O26" i="44"/>
  <c r="V22" i="44"/>
  <c r="U22" i="44"/>
  <c r="T22" i="44"/>
  <c r="S22" i="44"/>
  <c r="R22" i="44"/>
  <c r="O36" i="44" s="1"/>
  <c r="Q22" i="44"/>
  <c r="P22" i="44"/>
  <c r="O22" i="44"/>
  <c r="V21" i="44"/>
  <c r="U21" i="44"/>
  <c r="T21" i="44"/>
  <c r="S21" i="44"/>
  <c r="R21" i="44"/>
  <c r="Q21" i="44"/>
  <c r="P21" i="44"/>
  <c r="O21" i="44"/>
  <c r="O35" i="44" s="1"/>
  <c r="V20" i="44"/>
  <c r="U20" i="44"/>
  <c r="T20" i="44"/>
  <c r="S20" i="44"/>
  <c r="R20" i="44"/>
  <c r="Q20" i="44"/>
  <c r="P20" i="44"/>
  <c r="O34" i="44" s="1"/>
  <c r="O20" i="44"/>
  <c r="V19" i="44"/>
  <c r="U19" i="44"/>
  <c r="T19" i="44"/>
  <c r="S19" i="44"/>
  <c r="R19" i="44"/>
  <c r="O33" i="44" s="1"/>
  <c r="Q19" i="44"/>
  <c r="P19" i="44"/>
  <c r="O19" i="44"/>
  <c r="V18" i="44"/>
  <c r="U18" i="44"/>
  <c r="T18" i="44"/>
  <c r="S18" i="44"/>
  <c r="R18" i="44"/>
  <c r="Q18" i="44"/>
  <c r="P18" i="44"/>
  <c r="O32" i="44" s="1"/>
  <c r="O18" i="44"/>
  <c r="V17" i="44"/>
  <c r="U17" i="44"/>
  <c r="T17" i="44"/>
  <c r="S17" i="44"/>
  <c r="R17" i="44"/>
  <c r="Q17" i="44"/>
  <c r="P17" i="44"/>
  <c r="O17" i="44"/>
  <c r="O31" i="44" s="1"/>
  <c r="O34" i="43"/>
  <c r="V26" i="43"/>
  <c r="U26" i="43"/>
  <c r="T26" i="43"/>
  <c r="S26" i="43"/>
  <c r="R26" i="43"/>
  <c r="Q26" i="43"/>
  <c r="P26" i="43"/>
  <c r="O26" i="43"/>
  <c r="V22" i="43"/>
  <c r="U22" i="43"/>
  <c r="T22" i="43"/>
  <c r="S22" i="43"/>
  <c r="R22" i="43"/>
  <c r="Q22" i="43"/>
  <c r="P22" i="43"/>
  <c r="O22" i="43"/>
  <c r="O36" i="43" s="1"/>
  <c r="V21" i="43"/>
  <c r="U21" i="43"/>
  <c r="T21" i="43"/>
  <c r="S21" i="43"/>
  <c r="R21" i="43"/>
  <c r="Q21" i="43"/>
  <c r="P21" i="43"/>
  <c r="O35" i="43" s="1"/>
  <c r="O21" i="43"/>
  <c r="V20" i="43"/>
  <c r="U20" i="43"/>
  <c r="T20" i="43"/>
  <c r="S20" i="43"/>
  <c r="R20" i="43"/>
  <c r="Q20" i="43"/>
  <c r="P20" i="43"/>
  <c r="O20" i="43"/>
  <c r="V19" i="43"/>
  <c r="U19" i="43"/>
  <c r="T19" i="43"/>
  <c r="S19" i="43"/>
  <c r="R19" i="43"/>
  <c r="Q19" i="43"/>
  <c r="P19" i="43"/>
  <c r="O19" i="43"/>
  <c r="O33" i="43" s="1"/>
  <c r="V18" i="43"/>
  <c r="U18" i="43"/>
  <c r="T18" i="43"/>
  <c r="S18" i="43"/>
  <c r="R18" i="43"/>
  <c r="Q18" i="43"/>
  <c r="P18" i="43"/>
  <c r="O32" i="43" s="1"/>
  <c r="O18" i="43"/>
  <c r="V17" i="43"/>
  <c r="U17" i="43"/>
  <c r="T17" i="43"/>
  <c r="S17" i="43"/>
  <c r="R17" i="43"/>
  <c r="Q17" i="43"/>
  <c r="P17" i="43"/>
  <c r="O17" i="43"/>
  <c r="O31" i="43" s="1"/>
  <c r="O34" i="42"/>
  <c r="V26" i="42"/>
  <c r="U26" i="42"/>
  <c r="T26" i="42"/>
  <c r="S26" i="42"/>
  <c r="R26" i="42"/>
  <c r="Q26" i="42"/>
  <c r="P26" i="42"/>
  <c r="O26" i="42"/>
  <c r="V22" i="42"/>
  <c r="O36" i="42" s="1"/>
  <c r="U22" i="42"/>
  <c r="T22" i="42"/>
  <c r="S22" i="42"/>
  <c r="R22" i="42"/>
  <c r="Q22" i="42"/>
  <c r="P22" i="42"/>
  <c r="O22" i="42"/>
  <c r="V21" i="42"/>
  <c r="U21" i="42"/>
  <c r="T21" i="42"/>
  <c r="S21" i="42"/>
  <c r="R21" i="42"/>
  <c r="O35" i="42" s="1"/>
  <c r="Q21" i="42"/>
  <c r="P21" i="42"/>
  <c r="O21" i="42"/>
  <c r="V20" i="42"/>
  <c r="U20" i="42"/>
  <c r="T20" i="42"/>
  <c r="S20" i="42"/>
  <c r="R20" i="42"/>
  <c r="Q20" i="42"/>
  <c r="P20" i="42"/>
  <c r="O20" i="42"/>
  <c r="V19" i="42"/>
  <c r="U19" i="42"/>
  <c r="T19" i="42"/>
  <c r="S19" i="42"/>
  <c r="R19" i="42"/>
  <c r="Q19" i="42"/>
  <c r="P19" i="42"/>
  <c r="O19" i="42"/>
  <c r="O33" i="42" s="1"/>
  <c r="V18" i="42"/>
  <c r="U18" i="42"/>
  <c r="T18" i="42"/>
  <c r="S18" i="42"/>
  <c r="R18" i="42"/>
  <c r="Q18" i="42"/>
  <c r="P18" i="42"/>
  <c r="O18" i="42"/>
  <c r="O32" i="42" s="1"/>
  <c r="V17" i="42"/>
  <c r="U17" i="42"/>
  <c r="T17" i="42"/>
  <c r="S17" i="42"/>
  <c r="R17" i="42"/>
  <c r="Q17" i="42"/>
  <c r="P17" i="42"/>
  <c r="O17" i="42"/>
  <c r="O31" i="42" s="1"/>
  <c r="V26" i="41"/>
  <c r="U26" i="41"/>
  <c r="T26" i="41"/>
  <c r="S26" i="41"/>
  <c r="R26" i="41"/>
  <c r="Q26" i="41"/>
  <c r="P26" i="41"/>
  <c r="O36" i="41" s="1"/>
  <c r="O26" i="41"/>
  <c r="V22" i="41"/>
  <c r="U22" i="41"/>
  <c r="T22" i="41"/>
  <c r="S22" i="41"/>
  <c r="R22" i="41"/>
  <c r="Q22" i="41"/>
  <c r="P22" i="41"/>
  <c r="O22" i="41"/>
  <c r="V21" i="41"/>
  <c r="U21" i="41"/>
  <c r="T21" i="41"/>
  <c r="S21" i="41"/>
  <c r="R21" i="41"/>
  <c r="Q21" i="41"/>
  <c r="P21" i="41"/>
  <c r="O21" i="41"/>
  <c r="O35" i="41" s="1"/>
  <c r="V20" i="41"/>
  <c r="U20" i="41"/>
  <c r="T20" i="41"/>
  <c r="S20" i="41"/>
  <c r="R20" i="41"/>
  <c r="Q20" i="41"/>
  <c r="P20" i="41"/>
  <c r="O34" i="41" s="1"/>
  <c r="O20" i="41"/>
  <c r="V19" i="41"/>
  <c r="U19" i="41"/>
  <c r="T19" i="41"/>
  <c r="S19" i="41"/>
  <c r="R19" i="41"/>
  <c r="Q19" i="41"/>
  <c r="P19" i="41"/>
  <c r="O19" i="41"/>
  <c r="O33" i="41" s="1"/>
  <c r="V18" i="41"/>
  <c r="U18" i="41"/>
  <c r="T18" i="41"/>
  <c r="S18" i="41"/>
  <c r="R18" i="41"/>
  <c r="Q18" i="41"/>
  <c r="P18" i="41"/>
  <c r="O18" i="41"/>
  <c r="O32" i="41" s="1"/>
  <c r="V17" i="41"/>
  <c r="U17" i="41"/>
  <c r="T17" i="41"/>
  <c r="S17" i="41"/>
  <c r="R17" i="41"/>
  <c r="Q17" i="41"/>
  <c r="P17" i="41"/>
  <c r="O31" i="41" s="1"/>
  <c r="O17" i="41"/>
  <c r="V26" i="40"/>
  <c r="U26" i="40"/>
  <c r="T26" i="40"/>
  <c r="S26" i="40"/>
  <c r="R26" i="40"/>
  <c r="Q26" i="40"/>
  <c r="P26" i="40"/>
  <c r="O26" i="40"/>
  <c r="V22" i="40"/>
  <c r="U22" i="40"/>
  <c r="T22" i="40"/>
  <c r="S22" i="40"/>
  <c r="R22" i="40"/>
  <c r="Q22" i="40"/>
  <c r="P22" i="40"/>
  <c r="O22" i="40"/>
  <c r="O36" i="40" s="1"/>
  <c r="V21" i="40"/>
  <c r="U21" i="40"/>
  <c r="T21" i="40"/>
  <c r="S21" i="40"/>
  <c r="R21" i="40"/>
  <c r="Q21" i="40"/>
  <c r="P21" i="40"/>
  <c r="O21" i="40"/>
  <c r="O35" i="40" s="1"/>
  <c r="V20" i="40"/>
  <c r="U20" i="40"/>
  <c r="T20" i="40"/>
  <c r="S20" i="40"/>
  <c r="R20" i="40"/>
  <c r="O34" i="40" s="1"/>
  <c r="Q20" i="40"/>
  <c r="P20" i="40"/>
  <c r="O20" i="40"/>
  <c r="V19" i="40"/>
  <c r="U19" i="40"/>
  <c r="T19" i="40"/>
  <c r="S19" i="40"/>
  <c r="R19" i="40"/>
  <c r="Q19" i="40"/>
  <c r="P19" i="40"/>
  <c r="O33" i="40" s="1"/>
  <c r="O19" i="40"/>
  <c r="V18" i="40"/>
  <c r="U18" i="40"/>
  <c r="T18" i="40"/>
  <c r="S18" i="40"/>
  <c r="R18" i="40"/>
  <c r="Q18" i="40"/>
  <c r="P18" i="40"/>
  <c r="O32" i="40" s="1"/>
  <c r="O18" i="40"/>
  <c r="V17" i="40"/>
  <c r="U17" i="40"/>
  <c r="T17" i="40"/>
  <c r="S17" i="40"/>
  <c r="R17" i="40"/>
  <c r="O31" i="40" s="1"/>
  <c r="Q17" i="40"/>
  <c r="P17" i="40"/>
  <c r="O17" i="40"/>
  <c r="V26" i="39"/>
  <c r="U26" i="39"/>
  <c r="T26" i="39"/>
  <c r="S26" i="39"/>
  <c r="R26" i="39"/>
  <c r="Q26" i="39"/>
  <c r="P26" i="39"/>
  <c r="O26" i="39"/>
  <c r="V22" i="39"/>
  <c r="U22" i="39"/>
  <c r="T22" i="39"/>
  <c r="S22" i="39"/>
  <c r="R22" i="39"/>
  <c r="Q22" i="39"/>
  <c r="P22" i="39"/>
  <c r="O36" i="39" s="1"/>
  <c r="O22" i="39"/>
  <c r="V21" i="39"/>
  <c r="U21" i="39"/>
  <c r="T21" i="39"/>
  <c r="S21" i="39"/>
  <c r="R21" i="39"/>
  <c r="O35" i="39" s="1"/>
  <c r="Q21" i="39"/>
  <c r="P21" i="39"/>
  <c r="O21" i="39"/>
  <c r="V20" i="39"/>
  <c r="U20" i="39"/>
  <c r="T20" i="39"/>
  <c r="O34" i="39" s="1"/>
  <c r="S20" i="39"/>
  <c r="R20" i="39"/>
  <c r="Q20" i="39"/>
  <c r="P20" i="39"/>
  <c r="O20" i="39"/>
  <c r="V19" i="39"/>
  <c r="U19" i="39"/>
  <c r="T19" i="39"/>
  <c r="S19" i="39"/>
  <c r="R19" i="39"/>
  <c r="Q19" i="39"/>
  <c r="P19" i="39"/>
  <c r="O33" i="39" s="1"/>
  <c r="O19" i="39"/>
  <c r="V18" i="39"/>
  <c r="U18" i="39"/>
  <c r="T18" i="39"/>
  <c r="S18" i="39"/>
  <c r="R18" i="39"/>
  <c r="Q18" i="39"/>
  <c r="P18" i="39"/>
  <c r="O18" i="39"/>
  <c r="O32" i="39" s="1"/>
  <c r="V17" i="39"/>
  <c r="U17" i="39"/>
  <c r="T17" i="39"/>
  <c r="S17" i="39"/>
  <c r="R17" i="39"/>
  <c r="Q17" i="39"/>
  <c r="P17" i="39"/>
  <c r="O17" i="39"/>
  <c r="O31" i="39" s="1"/>
  <c r="V26" i="38"/>
  <c r="U26" i="38"/>
  <c r="T26" i="38"/>
  <c r="S26" i="38"/>
  <c r="R26" i="38"/>
  <c r="Q26" i="38"/>
  <c r="P26" i="38"/>
  <c r="O26" i="38"/>
  <c r="V22" i="38"/>
  <c r="U22" i="38"/>
  <c r="T22" i="38"/>
  <c r="S22" i="38"/>
  <c r="R22" i="38"/>
  <c r="O36" i="38" s="1"/>
  <c r="Q22" i="38"/>
  <c r="P22" i="38"/>
  <c r="O22" i="38"/>
  <c r="V21" i="38"/>
  <c r="U21" i="38"/>
  <c r="T21" i="38"/>
  <c r="S21" i="38"/>
  <c r="R21" i="38"/>
  <c r="Q21" i="38"/>
  <c r="P21" i="38"/>
  <c r="O21" i="38"/>
  <c r="O35" i="38" s="1"/>
  <c r="V20" i="38"/>
  <c r="U20" i="38"/>
  <c r="T20" i="38"/>
  <c r="S20" i="38"/>
  <c r="R20" i="38"/>
  <c r="Q20" i="38"/>
  <c r="P20" i="38"/>
  <c r="O34" i="38" s="1"/>
  <c r="O20" i="38"/>
  <c r="V19" i="38"/>
  <c r="U19" i="38"/>
  <c r="T19" i="38"/>
  <c r="S19" i="38"/>
  <c r="R19" i="38"/>
  <c r="O33" i="38" s="1"/>
  <c r="Q19" i="38"/>
  <c r="P19" i="38"/>
  <c r="O19" i="38"/>
  <c r="V18" i="38"/>
  <c r="U18" i="38"/>
  <c r="T18" i="38"/>
  <c r="S18" i="38"/>
  <c r="R18" i="38"/>
  <c r="Q18" i="38"/>
  <c r="P18" i="38"/>
  <c r="O32" i="38" s="1"/>
  <c r="O18" i="38"/>
  <c r="V17" i="38"/>
  <c r="U17" i="38"/>
  <c r="T17" i="38"/>
  <c r="S17" i="38"/>
  <c r="R17" i="38"/>
  <c r="Q17" i="38"/>
  <c r="P17" i="38"/>
  <c r="O17" i="38"/>
  <c r="O31" i="38" s="1"/>
  <c r="V26" i="37"/>
  <c r="U26" i="37"/>
  <c r="T26" i="37"/>
  <c r="S26" i="37"/>
  <c r="R26" i="37"/>
  <c r="Q26" i="37"/>
  <c r="P26" i="37"/>
  <c r="O26" i="37"/>
  <c r="V22" i="37"/>
  <c r="U22" i="37"/>
  <c r="T22" i="37"/>
  <c r="S22" i="37"/>
  <c r="R22" i="37"/>
  <c r="Q22" i="37"/>
  <c r="P22" i="37"/>
  <c r="O22" i="37"/>
  <c r="O36" i="37" s="1"/>
  <c r="V21" i="37"/>
  <c r="U21" i="37"/>
  <c r="T21" i="37"/>
  <c r="S21" i="37"/>
  <c r="R21" i="37"/>
  <c r="Q21" i="37"/>
  <c r="P21" i="37"/>
  <c r="O35" i="37" s="1"/>
  <c r="O21" i="37"/>
  <c r="V20" i="37"/>
  <c r="U20" i="37"/>
  <c r="T20" i="37"/>
  <c r="S20" i="37"/>
  <c r="R20" i="37"/>
  <c r="O34" i="37" s="1"/>
  <c r="Q20" i="37"/>
  <c r="P20" i="37"/>
  <c r="O20" i="37"/>
  <c r="V19" i="37"/>
  <c r="U19" i="37"/>
  <c r="T19" i="37"/>
  <c r="S19" i="37"/>
  <c r="R19" i="37"/>
  <c r="Q19" i="37"/>
  <c r="P19" i="37"/>
  <c r="O19" i="37"/>
  <c r="O33" i="37" s="1"/>
  <c r="V18" i="37"/>
  <c r="U18" i="37"/>
  <c r="T18" i="37"/>
  <c r="S18" i="37"/>
  <c r="R18" i="37"/>
  <c r="Q18" i="37"/>
  <c r="P18" i="37"/>
  <c r="O32" i="37" s="1"/>
  <c r="O18" i="37"/>
  <c r="V17" i="37"/>
  <c r="U17" i="37"/>
  <c r="T17" i="37"/>
  <c r="S17" i="37"/>
  <c r="R17" i="37"/>
  <c r="Q17" i="37"/>
  <c r="P17" i="37"/>
  <c r="O17" i="37"/>
  <c r="O31" i="37" s="1"/>
  <c r="O34" i="36"/>
  <c r="V26" i="36"/>
  <c r="U26" i="36"/>
  <c r="T26" i="36"/>
  <c r="S26" i="36"/>
  <c r="R26" i="36"/>
  <c r="Q26" i="36"/>
  <c r="P26" i="36"/>
  <c r="O26" i="36"/>
  <c r="V22" i="36"/>
  <c r="U22" i="36"/>
  <c r="T22" i="36"/>
  <c r="S22" i="36"/>
  <c r="R22" i="36"/>
  <c r="Q22" i="36"/>
  <c r="P22" i="36"/>
  <c r="O36" i="36" s="1"/>
  <c r="O22" i="36"/>
  <c r="V21" i="36"/>
  <c r="U21" i="36"/>
  <c r="T21" i="36"/>
  <c r="S21" i="36"/>
  <c r="R21" i="36"/>
  <c r="Q21" i="36"/>
  <c r="P21" i="36"/>
  <c r="O35" i="36" s="1"/>
  <c r="O21" i="36"/>
  <c r="V20" i="36"/>
  <c r="U20" i="36"/>
  <c r="T20" i="36"/>
  <c r="S20" i="36"/>
  <c r="R20" i="36"/>
  <c r="Q20" i="36"/>
  <c r="P20" i="36"/>
  <c r="O20" i="36"/>
  <c r="V19" i="36"/>
  <c r="U19" i="36"/>
  <c r="T19" i="36"/>
  <c r="S19" i="36"/>
  <c r="R19" i="36"/>
  <c r="Q19" i="36"/>
  <c r="P19" i="36"/>
  <c r="O19" i="36"/>
  <c r="O33" i="36" s="1"/>
  <c r="V18" i="36"/>
  <c r="U18" i="36"/>
  <c r="T18" i="36"/>
  <c r="S18" i="36"/>
  <c r="R18" i="36"/>
  <c r="Q18" i="36"/>
  <c r="P18" i="36"/>
  <c r="O32" i="36" s="1"/>
  <c r="O18" i="36"/>
  <c r="V17" i="36"/>
  <c r="U17" i="36"/>
  <c r="T17" i="36"/>
  <c r="S17" i="36"/>
  <c r="R17" i="36"/>
  <c r="Q17" i="36"/>
  <c r="P17" i="36"/>
  <c r="O17" i="36"/>
  <c r="O31" i="36" s="1"/>
  <c r="V26" i="35"/>
  <c r="U26" i="35"/>
  <c r="T26" i="35"/>
  <c r="S26" i="35"/>
  <c r="R26" i="35"/>
  <c r="Q26" i="35"/>
  <c r="P26" i="35"/>
  <c r="O36" i="35" s="1"/>
  <c r="O26" i="35"/>
  <c r="V22" i="35"/>
  <c r="U22" i="35"/>
  <c r="T22" i="35"/>
  <c r="S22" i="35"/>
  <c r="R22" i="35"/>
  <c r="Q22" i="35"/>
  <c r="P22" i="35"/>
  <c r="O22" i="35"/>
  <c r="V21" i="35"/>
  <c r="U21" i="35"/>
  <c r="T21" i="35"/>
  <c r="S21" i="35"/>
  <c r="R21" i="35"/>
  <c r="Q21" i="35"/>
  <c r="P21" i="35"/>
  <c r="O21" i="35"/>
  <c r="O35" i="35" s="1"/>
  <c r="V20" i="35"/>
  <c r="U20" i="35"/>
  <c r="T20" i="35"/>
  <c r="S20" i="35"/>
  <c r="R20" i="35"/>
  <c r="Q20" i="35"/>
  <c r="P20" i="35"/>
  <c r="O34" i="35" s="1"/>
  <c r="O20" i="35"/>
  <c r="V19" i="35"/>
  <c r="U19" i="35"/>
  <c r="T19" i="35"/>
  <c r="S19" i="35"/>
  <c r="R19" i="35"/>
  <c r="Q19" i="35"/>
  <c r="P19" i="35"/>
  <c r="O19" i="35"/>
  <c r="O33" i="35" s="1"/>
  <c r="V18" i="35"/>
  <c r="U18" i="35"/>
  <c r="T18" i="35"/>
  <c r="S18" i="35"/>
  <c r="R18" i="35"/>
  <c r="Q18" i="35"/>
  <c r="P18" i="35"/>
  <c r="O18" i="35"/>
  <c r="O32" i="35" s="1"/>
  <c r="V17" i="35"/>
  <c r="U17" i="35"/>
  <c r="T17" i="35"/>
  <c r="S17" i="35"/>
  <c r="R17" i="35"/>
  <c r="Q17" i="35"/>
  <c r="P17" i="35"/>
  <c r="O31" i="35" s="1"/>
  <c r="O17" i="35"/>
  <c r="V26" i="34"/>
  <c r="U26" i="34"/>
  <c r="T26" i="34"/>
  <c r="S26" i="34"/>
  <c r="R26" i="34"/>
  <c r="Q26" i="34"/>
  <c r="P26" i="34"/>
  <c r="O26" i="34"/>
  <c r="V22" i="34"/>
  <c r="U22" i="34"/>
  <c r="T22" i="34"/>
  <c r="S22" i="34"/>
  <c r="R22" i="34"/>
  <c r="Q22" i="34"/>
  <c r="P22" i="34"/>
  <c r="O22" i="34"/>
  <c r="O36" i="34" s="1"/>
  <c r="V21" i="34"/>
  <c r="U21" i="34"/>
  <c r="T21" i="34"/>
  <c r="S21" i="34"/>
  <c r="R21" i="34"/>
  <c r="Q21" i="34"/>
  <c r="P21" i="34"/>
  <c r="O21" i="34"/>
  <c r="O35" i="34" s="1"/>
  <c r="V20" i="34"/>
  <c r="U20" i="34"/>
  <c r="T20" i="34"/>
  <c r="S20" i="34"/>
  <c r="R20" i="34"/>
  <c r="O34" i="34" s="1"/>
  <c r="Q20" i="34"/>
  <c r="P20" i="34"/>
  <c r="O20" i="34"/>
  <c r="V19" i="34"/>
  <c r="U19" i="34"/>
  <c r="T19" i="34"/>
  <c r="S19" i="34"/>
  <c r="R19" i="34"/>
  <c r="Q19" i="34"/>
  <c r="P19" i="34"/>
  <c r="O33" i="34" s="1"/>
  <c r="O19" i="34"/>
  <c r="V18" i="34"/>
  <c r="U18" i="34"/>
  <c r="T18" i="34"/>
  <c r="S18" i="34"/>
  <c r="R18" i="34"/>
  <c r="Q18" i="34"/>
  <c r="P18" i="34"/>
  <c r="O32" i="34" s="1"/>
  <c r="O18" i="34"/>
  <c r="V17" i="34"/>
  <c r="U17" i="34"/>
  <c r="T17" i="34"/>
  <c r="S17" i="34"/>
  <c r="R17" i="34"/>
  <c r="Q17" i="34"/>
  <c r="P17" i="34"/>
  <c r="O31" i="34" s="1"/>
  <c r="O17" i="34"/>
  <c r="O34" i="33"/>
  <c r="V26" i="33"/>
  <c r="U26" i="33"/>
  <c r="T26" i="33"/>
  <c r="S26" i="33"/>
  <c r="R26" i="33"/>
  <c r="Q26" i="33"/>
  <c r="P26" i="33"/>
  <c r="O26" i="33"/>
  <c r="V22" i="33"/>
  <c r="U22" i="33"/>
  <c r="T22" i="33"/>
  <c r="S22" i="33"/>
  <c r="R22" i="33"/>
  <c r="Q22" i="33"/>
  <c r="P22" i="33"/>
  <c r="O36" i="33" s="1"/>
  <c r="O22" i="33"/>
  <c r="V21" i="33"/>
  <c r="U21" i="33"/>
  <c r="T21" i="33"/>
  <c r="S21" i="33"/>
  <c r="R21" i="33"/>
  <c r="O35" i="33" s="1"/>
  <c r="Q21" i="33"/>
  <c r="P21" i="33"/>
  <c r="O21" i="33"/>
  <c r="V20" i="33"/>
  <c r="U20" i="33"/>
  <c r="T20" i="33"/>
  <c r="S20" i="33"/>
  <c r="R20" i="33"/>
  <c r="Q20" i="33"/>
  <c r="P20" i="33"/>
  <c r="O20" i="33"/>
  <c r="V19" i="33"/>
  <c r="U19" i="33"/>
  <c r="T19" i="33"/>
  <c r="S19" i="33"/>
  <c r="R19" i="33"/>
  <c r="Q19" i="33"/>
  <c r="P19" i="33"/>
  <c r="O33" i="33" s="1"/>
  <c r="O19" i="33"/>
  <c r="V18" i="33"/>
  <c r="U18" i="33"/>
  <c r="T18" i="33"/>
  <c r="S18" i="33"/>
  <c r="R18" i="33"/>
  <c r="Q18" i="33"/>
  <c r="P18" i="33"/>
  <c r="O18" i="33"/>
  <c r="O32" i="33" s="1"/>
  <c r="V17" i="33"/>
  <c r="U17" i="33"/>
  <c r="T17" i="33"/>
  <c r="S17" i="33"/>
  <c r="R17" i="33"/>
  <c r="Q17" i="33"/>
  <c r="P17" i="33"/>
  <c r="O17" i="33"/>
  <c r="O31" i="33" s="1"/>
  <c r="V26" i="32"/>
  <c r="U26" i="32"/>
  <c r="T26" i="32"/>
  <c r="S26" i="32"/>
  <c r="R26" i="32"/>
  <c r="Q26" i="32"/>
  <c r="P26" i="32"/>
  <c r="O36" i="32" s="1"/>
  <c r="O26" i="32"/>
  <c r="V22" i="32"/>
  <c r="U22" i="32"/>
  <c r="T22" i="32"/>
  <c r="S22" i="32"/>
  <c r="R22" i="32"/>
  <c r="Q22" i="32"/>
  <c r="P22" i="32"/>
  <c r="O22" i="32"/>
  <c r="V21" i="32"/>
  <c r="U21" i="32"/>
  <c r="T21" i="32"/>
  <c r="S21" i="32"/>
  <c r="R21" i="32"/>
  <c r="Q21" i="32"/>
  <c r="P21" i="32"/>
  <c r="O35" i="32" s="1"/>
  <c r="O21" i="32"/>
  <c r="V20" i="32"/>
  <c r="U20" i="32"/>
  <c r="T20" i="32"/>
  <c r="S20" i="32"/>
  <c r="R20" i="32"/>
  <c r="Q20" i="32"/>
  <c r="P20" i="32"/>
  <c r="O20" i="32"/>
  <c r="O34" i="32" s="1"/>
  <c r="V19" i="32"/>
  <c r="U19" i="32"/>
  <c r="T19" i="32"/>
  <c r="S19" i="32"/>
  <c r="R19" i="32"/>
  <c r="O33" i="32" s="1"/>
  <c r="Q19" i="32"/>
  <c r="P19" i="32"/>
  <c r="O19" i="32"/>
  <c r="V18" i="32"/>
  <c r="U18" i="32"/>
  <c r="T18" i="32"/>
  <c r="S18" i="32"/>
  <c r="R18" i="32"/>
  <c r="Q18" i="32"/>
  <c r="P18" i="32"/>
  <c r="O32" i="32" s="1"/>
  <c r="O18" i="32"/>
  <c r="V17" i="32"/>
  <c r="U17" i="32"/>
  <c r="T17" i="32"/>
  <c r="S17" i="32"/>
  <c r="R17" i="32"/>
  <c r="Q17" i="32"/>
  <c r="P17" i="32"/>
  <c r="O17" i="32"/>
  <c r="O31" i="32" s="1"/>
  <c r="V26" i="31"/>
  <c r="U26" i="31"/>
  <c r="T26" i="31"/>
  <c r="S26" i="31"/>
  <c r="R26" i="31"/>
  <c r="Q26" i="31"/>
  <c r="P26" i="31"/>
  <c r="O26" i="31"/>
  <c r="V22" i="31"/>
  <c r="U22" i="31"/>
  <c r="T22" i="31"/>
  <c r="S22" i="31"/>
  <c r="R22" i="31"/>
  <c r="Q22" i="31"/>
  <c r="P22" i="31"/>
  <c r="O22" i="31"/>
  <c r="O36" i="31" s="1"/>
  <c r="V21" i="31"/>
  <c r="U21" i="31"/>
  <c r="T21" i="31"/>
  <c r="S21" i="31"/>
  <c r="R21" i="31"/>
  <c r="Q21" i="31"/>
  <c r="P21" i="31"/>
  <c r="O35" i="31" s="1"/>
  <c r="O21" i="31"/>
  <c r="V20" i="31"/>
  <c r="U20" i="31"/>
  <c r="T20" i="31"/>
  <c r="S20" i="31"/>
  <c r="R20" i="31"/>
  <c r="O34" i="31" s="1"/>
  <c r="Q20" i="31"/>
  <c r="P20" i="31"/>
  <c r="O20" i="31"/>
  <c r="V19" i="31"/>
  <c r="U19" i="31"/>
  <c r="T19" i="31"/>
  <c r="S19" i="31"/>
  <c r="R19" i="31"/>
  <c r="Q19" i="31"/>
  <c r="P19" i="31"/>
  <c r="O19" i="31"/>
  <c r="O33" i="31" s="1"/>
  <c r="V18" i="31"/>
  <c r="U18" i="31"/>
  <c r="T18" i="31"/>
  <c r="S18" i="31"/>
  <c r="R18" i="31"/>
  <c r="Q18" i="31"/>
  <c r="P18" i="31"/>
  <c r="O32" i="31" s="1"/>
  <c r="O18" i="31"/>
  <c r="V17" i="31"/>
  <c r="U17" i="31"/>
  <c r="T17" i="31"/>
  <c r="S17" i="31"/>
  <c r="R17" i="31"/>
  <c r="Q17" i="31"/>
  <c r="P17" i="31"/>
  <c r="O17" i="31"/>
  <c r="O31" i="31" s="1"/>
  <c r="V26" i="30"/>
  <c r="U26" i="30"/>
  <c r="T26" i="30"/>
  <c r="S26" i="30"/>
  <c r="R26" i="30"/>
  <c r="Q26" i="30"/>
  <c r="P26" i="30"/>
  <c r="O26" i="30"/>
  <c r="V22" i="30"/>
  <c r="U22" i="30"/>
  <c r="T22" i="30"/>
  <c r="S22" i="30"/>
  <c r="R22" i="30"/>
  <c r="Q22" i="30"/>
  <c r="P22" i="30"/>
  <c r="O36" i="30" s="1"/>
  <c r="O22" i="30"/>
  <c r="V21" i="30"/>
  <c r="U21" i="30"/>
  <c r="T21" i="30"/>
  <c r="S21" i="30"/>
  <c r="R21" i="30"/>
  <c r="Q21" i="30"/>
  <c r="P21" i="30"/>
  <c r="O35" i="30" s="1"/>
  <c r="O21" i="30"/>
  <c r="V20" i="30"/>
  <c r="U20" i="30"/>
  <c r="T20" i="30"/>
  <c r="O34" i="30" s="1"/>
  <c r="S20" i="30"/>
  <c r="R20" i="30"/>
  <c r="Q20" i="30"/>
  <c r="P20" i="30"/>
  <c r="O20" i="30"/>
  <c r="V19" i="30"/>
  <c r="U19" i="30"/>
  <c r="T19" i="30"/>
  <c r="S19" i="30"/>
  <c r="R19" i="30"/>
  <c r="Q19" i="30"/>
  <c r="P19" i="30"/>
  <c r="O19" i="30"/>
  <c r="O33" i="30" s="1"/>
  <c r="V18" i="30"/>
  <c r="U18" i="30"/>
  <c r="T18" i="30"/>
  <c r="S18" i="30"/>
  <c r="R18" i="30"/>
  <c r="Q18" i="30"/>
  <c r="P18" i="30"/>
  <c r="O32" i="30" s="1"/>
  <c r="O18" i="30"/>
  <c r="V17" i="30"/>
  <c r="U17" i="30"/>
  <c r="T17" i="30"/>
  <c r="S17" i="30"/>
  <c r="R17" i="30"/>
  <c r="Q17" i="30"/>
  <c r="P17" i="30"/>
  <c r="O17" i="30"/>
  <c r="O31" i="30" s="1"/>
  <c r="V26" i="29"/>
  <c r="U26" i="29"/>
  <c r="T26" i="29"/>
  <c r="S26" i="29"/>
  <c r="R26" i="29"/>
  <c r="Q26" i="29"/>
  <c r="P26" i="29"/>
  <c r="O26" i="29"/>
  <c r="V22" i="29"/>
  <c r="U22" i="29"/>
  <c r="T22" i="29"/>
  <c r="S22" i="29"/>
  <c r="R22" i="29"/>
  <c r="O36" i="29" s="1"/>
  <c r="Q22" i="29"/>
  <c r="P22" i="29"/>
  <c r="O22" i="29"/>
  <c r="V21" i="29"/>
  <c r="U21" i="29"/>
  <c r="T21" i="29"/>
  <c r="S21" i="29"/>
  <c r="R21" i="29"/>
  <c r="Q21" i="29"/>
  <c r="P21" i="29"/>
  <c r="O21" i="29"/>
  <c r="O35" i="29" s="1"/>
  <c r="V20" i="29"/>
  <c r="U20" i="29"/>
  <c r="T20" i="29"/>
  <c r="S20" i="29"/>
  <c r="R20" i="29"/>
  <c r="Q20" i="29"/>
  <c r="P20" i="29"/>
  <c r="O34" i="29" s="1"/>
  <c r="O20" i="29"/>
  <c r="V19" i="29"/>
  <c r="U19" i="29"/>
  <c r="T19" i="29"/>
  <c r="S19" i="29"/>
  <c r="R19" i="29"/>
  <c r="Q19" i="29"/>
  <c r="P19" i="29"/>
  <c r="O19" i="29"/>
  <c r="O33" i="29" s="1"/>
  <c r="V18" i="29"/>
  <c r="U18" i="29"/>
  <c r="T18" i="29"/>
  <c r="S18" i="29"/>
  <c r="R18" i="29"/>
  <c r="Q18" i="29"/>
  <c r="P18" i="29"/>
  <c r="O18" i="29"/>
  <c r="O32" i="29" s="1"/>
  <c r="V17" i="29"/>
  <c r="U17" i="29"/>
  <c r="T17" i="29"/>
  <c r="S17" i="29"/>
  <c r="R17" i="29"/>
  <c r="Q17" i="29"/>
  <c r="P17" i="29"/>
  <c r="O31" i="29" s="1"/>
  <c r="O17" i="29"/>
  <c r="V26" i="28"/>
  <c r="U26" i="28"/>
  <c r="T26" i="28"/>
  <c r="S26" i="28"/>
  <c r="R26" i="28"/>
  <c r="Q26" i="28"/>
  <c r="P26" i="28"/>
  <c r="O26" i="28"/>
  <c r="V22" i="28"/>
  <c r="U22" i="28"/>
  <c r="T22" i="28"/>
  <c r="S22" i="28"/>
  <c r="R22" i="28"/>
  <c r="Q22" i="28"/>
  <c r="P22" i="28"/>
  <c r="O22" i="28"/>
  <c r="O36" i="28" s="1"/>
  <c r="V21" i="28"/>
  <c r="U21" i="28"/>
  <c r="T21" i="28"/>
  <c r="S21" i="28"/>
  <c r="R21" i="28"/>
  <c r="Q21" i="28"/>
  <c r="P21" i="28"/>
  <c r="O21" i="28"/>
  <c r="O35" i="28" s="1"/>
  <c r="V20" i="28"/>
  <c r="U20" i="28"/>
  <c r="T20" i="28"/>
  <c r="S20" i="28"/>
  <c r="R20" i="28"/>
  <c r="O34" i="28" s="1"/>
  <c r="Q20" i="28"/>
  <c r="P20" i="28"/>
  <c r="O20" i="28"/>
  <c r="V19" i="28"/>
  <c r="U19" i="28"/>
  <c r="T19" i="28"/>
  <c r="S19" i="28"/>
  <c r="R19" i="28"/>
  <c r="Q19" i="28"/>
  <c r="P19" i="28"/>
  <c r="O33" i="28" s="1"/>
  <c r="O19" i="28"/>
  <c r="V18" i="28"/>
  <c r="U18" i="28"/>
  <c r="T18" i="28"/>
  <c r="S18" i="28"/>
  <c r="R18" i="28"/>
  <c r="Q18" i="28"/>
  <c r="P18" i="28"/>
  <c r="O32" i="28" s="1"/>
  <c r="O18" i="28"/>
  <c r="V17" i="28"/>
  <c r="U17" i="28"/>
  <c r="T17" i="28"/>
  <c r="S17" i="28"/>
  <c r="R17" i="28"/>
  <c r="O31" i="28" s="1"/>
  <c r="Q17" i="28"/>
  <c r="P17" i="28"/>
  <c r="O17" i="28"/>
  <c r="O34" i="27"/>
  <c r="V26" i="27"/>
  <c r="U26" i="27"/>
  <c r="T26" i="27"/>
  <c r="S26" i="27"/>
  <c r="R26" i="27"/>
  <c r="Q26" i="27"/>
  <c r="P26" i="27"/>
  <c r="O26" i="27"/>
  <c r="V22" i="27"/>
  <c r="U22" i="27"/>
  <c r="T22" i="27"/>
  <c r="S22" i="27"/>
  <c r="R22" i="27"/>
  <c r="Q22" i="27"/>
  <c r="P22" i="27"/>
  <c r="O36" i="27" s="1"/>
  <c r="O22" i="27"/>
  <c r="V21" i="27"/>
  <c r="U21" i="27"/>
  <c r="T21" i="27"/>
  <c r="S21" i="27"/>
  <c r="R21" i="27"/>
  <c r="O35" i="27" s="1"/>
  <c r="Q21" i="27"/>
  <c r="P21" i="27"/>
  <c r="O21" i="27"/>
  <c r="V20" i="27"/>
  <c r="U20" i="27"/>
  <c r="T20" i="27"/>
  <c r="S20" i="27"/>
  <c r="R20" i="27"/>
  <c r="Q20" i="27"/>
  <c r="P20" i="27"/>
  <c r="O20" i="27"/>
  <c r="V19" i="27"/>
  <c r="U19" i="27"/>
  <c r="T19" i="27"/>
  <c r="S19" i="27"/>
  <c r="R19" i="27"/>
  <c r="Q19" i="27"/>
  <c r="P19" i="27"/>
  <c r="O33" i="27" s="1"/>
  <c r="O19" i="27"/>
  <c r="V18" i="27"/>
  <c r="U18" i="27"/>
  <c r="T18" i="27"/>
  <c r="S18" i="27"/>
  <c r="R18" i="27"/>
  <c r="Q18" i="27"/>
  <c r="P18" i="27"/>
  <c r="O32" i="27" s="1"/>
  <c r="O18" i="27"/>
  <c r="V17" i="27"/>
  <c r="U17" i="27"/>
  <c r="T17" i="27"/>
  <c r="S17" i="27"/>
  <c r="R17" i="27"/>
  <c r="Q17" i="27"/>
  <c r="P17" i="27"/>
  <c r="O17" i="27"/>
  <c r="O31" i="27" s="1"/>
  <c r="V26" i="26"/>
  <c r="U26" i="26"/>
  <c r="T26" i="26"/>
  <c r="S26" i="26"/>
  <c r="R26" i="26"/>
  <c r="Q26" i="26"/>
  <c r="P26" i="26"/>
  <c r="O36" i="26" s="1"/>
  <c r="O26" i="26"/>
  <c r="V22" i="26"/>
  <c r="U22" i="26"/>
  <c r="T22" i="26"/>
  <c r="S22" i="26"/>
  <c r="R22" i="26"/>
  <c r="Q22" i="26"/>
  <c r="P22" i="26"/>
  <c r="O22" i="26"/>
  <c r="V21" i="26"/>
  <c r="U21" i="26"/>
  <c r="T21" i="26"/>
  <c r="S21" i="26"/>
  <c r="R21" i="26"/>
  <c r="Q21" i="26"/>
  <c r="P21" i="26"/>
  <c r="O35" i="26" s="1"/>
  <c r="O21" i="26"/>
  <c r="V20" i="26"/>
  <c r="U20" i="26"/>
  <c r="T20" i="26"/>
  <c r="S20" i="26"/>
  <c r="R20" i="26"/>
  <c r="Q20" i="26"/>
  <c r="P20" i="26"/>
  <c r="O20" i="26"/>
  <c r="O34" i="26" s="1"/>
  <c r="V19" i="26"/>
  <c r="U19" i="26"/>
  <c r="T19" i="26"/>
  <c r="S19" i="26"/>
  <c r="R19" i="26"/>
  <c r="Q19" i="26"/>
  <c r="P19" i="26"/>
  <c r="O33" i="26" s="1"/>
  <c r="O19" i="26"/>
  <c r="V18" i="26"/>
  <c r="U18" i="26"/>
  <c r="T18" i="26"/>
  <c r="S18" i="26"/>
  <c r="R18" i="26"/>
  <c r="Q18" i="26"/>
  <c r="P18" i="26"/>
  <c r="O32" i="26" s="1"/>
  <c r="O18" i="26"/>
  <c r="V17" i="26"/>
  <c r="U17" i="26"/>
  <c r="T17" i="26"/>
  <c r="S17" i="26"/>
  <c r="R17" i="26"/>
  <c r="Q17" i="26"/>
  <c r="P17" i="26"/>
  <c r="O17" i="26"/>
  <c r="O31" i="26" s="1"/>
  <c r="V26" i="25"/>
  <c r="U26" i="25"/>
  <c r="T26" i="25"/>
  <c r="S26" i="25"/>
  <c r="R26" i="25"/>
  <c r="Q26" i="25"/>
  <c r="P26" i="25"/>
  <c r="O26" i="25"/>
  <c r="V22" i="25"/>
  <c r="U22" i="25"/>
  <c r="T22" i="25"/>
  <c r="S22" i="25"/>
  <c r="R22" i="25"/>
  <c r="Q22" i="25"/>
  <c r="P22" i="25"/>
  <c r="O22" i="25"/>
  <c r="O36" i="25" s="1"/>
  <c r="V21" i="25"/>
  <c r="U21" i="25"/>
  <c r="T21" i="25"/>
  <c r="S21" i="25"/>
  <c r="R21" i="25"/>
  <c r="Q21" i="25"/>
  <c r="P21" i="25"/>
  <c r="O35" i="25" s="1"/>
  <c r="O21" i="25"/>
  <c r="V20" i="25"/>
  <c r="U20" i="25"/>
  <c r="T20" i="25"/>
  <c r="S20" i="25"/>
  <c r="R20" i="25"/>
  <c r="O34" i="25" s="1"/>
  <c r="Q20" i="25"/>
  <c r="P20" i="25"/>
  <c r="O20" i="25"/>
  <c r="V19" i="25"/>
  <c r="U19" i="25"/>
  <c r="T19" i="25"/>
  <c r="S19" i="25"/>
  <c r="R19" i="25"/>
  <c r="Q19" i="25"/>
  <c r="P19" i="25"/>
  <c r="O19" i="25"/>
  <c r="O33" i="25" s="1"/>
  <c r="V18" i="25"/>
  <c r="U18" i="25"/>
  <c r="T18" i="25"/>
  <c r="S18" i="25"/>
  <c r="R18" i="25"/>
  <c r="Q18" i="25"/>
  <c r="P18" i="25"/>
  <c r="O32" i="25" s="1"/>
  <c r="O18" i="25"/>
  <c r="V17" i="25"/>
  <c r="U17" i="25"/>
  <c r="T17" i="25"/>
  <c r="S17" i="25"/>
  <c r="R17" i="25"/>
  <c r="Q17" i="25"/>
  <c r="P17" i="25"/>
  <c r="O17" i="25"/>
  <c r="O31" i="25" s="1"/>
  <c r="V26" i="24"/>
  <c r="U26" i="24"/>
  <c r="T26" i="24"/>
  <c r="S26" i="24"/>
  <c r="R26" i="24"/>
  <c r="Q26" i="24"/>
  <c r="P26" i="24"/>
  <c r="O26" i="24"/>
  <c r="V22" i="24"/>
  <c r="U22" i="24"/>
  <c r="T22" i="24"/>
  <c r="S22" i="24"/>
  <c r="R22" i="24"/>
  <c r="Q22" i="24"/>
  <c r="P22" i="24"/>
  <c r="O36" i="24" s="1"/>
  <c r="O22" i="24"/>
  <c r="V21" i="24"/>
  <c r="U21" i="24"/>
  <c r="T21" i="24"/>
  <c r="S21" i="24"/>
  <c r="R21" i="24"/>
  <c r="Q21" i="24"/>
  <c r="P21" i="24"/>
  <c r="O35" i="24" s="1"/>
  <c r="O21" i="24"/>
  <c r="V20" i="24"/>
  <c r="U20" i="24"/>
  <c r="T20" i="24"/>
  <c r="O34" i="24" s="1"/>
  <c r="S20" i="24"/>
  <c r="R20" i="24"/>
  <c r="Q20" i="24"/>
  <c r="P20" i="24"/>
  <c r="O20" i="24"/>
  <c r="V19" i="24"/>
  <c r="U19" i="24"/>
  <c r="T19" i="24"/>
  <c r="S19" i="24"/>
  <c r="R19" i="24"/>
  <c r="Q19" i="24"/>
  <c r="P19" i="24"/>
  <c r="O19" i="24"/>
  <c r="O33" i="24" s="1"/>
  <c r="V18" i="24"/>
  <c r="U18" i="24"/>
  <c r="T18" i="24"/>
  <c r="S18" i="24"/>
  <c r="R18" i="24"/>
  <c r="Q18" i="24"/>
  <c r="P18" i="24"/>
  <c r="O32" i="24" s="1"/>
  <c r="O18" i="24"/>
  <c r="V17" i="24"/>
  <c r="U17" i="24"/>
  <c r="T17" i="24"/>
  <c r="S17" i="24"/>
  <c r="R17" i="24"/>
  <c r="Q17" i="24"/>
  <c r="P17" i="24"/>
  <c r="O17" i="24"/>
  <c r="O31" i="24" s="1"/>
  <c r="V26" i="23"/>
  <c r="U26" i="23"/>
  <c r="T26" i="23"/>
  <c r="S26" i="23"/>
  <c r="R26" i="23"/>
  <c r="Q26" i="23"/>
  <c r="P26" i="23"/>
  <c r="O26" i="23"/>
  <c r="V22" i="23"/>
  <c r="U22" i="23"/>
  <c r="T22" i="23"/>
  <c r="S22" i="23"/>
  <c r="R22" i="23"/>
  <c r="O36" i="23" s="1"/>
  <c r="Q22" i="23"/>
  <c r="P22" i="23"/>
  <c r="O22" i="23"/>
  <c r="V21" i="23"/>
  <c r="U21" i="23"/>
  <c r="T21" i="23"/>
  <c r="S21" i="23"/>
  <c r="R21" i="23"/>
  <c r="Q21" i="23"/>
  <c r="P21" i="23"/>
  <c r="O21" i="23"/>
  <c r="O35" i="23" s="1"/>
  <c r="V20" i="23"/>
  <c r="U20" i="23"/>
  <c r="T20" i="23"/>
  <c r="S20" i="23"/>
  <c r="R20" i="23"/>
  <c r="Q20" i="23"/>
  <c r="P20" i="23"/>
  <c r="O34" i="23" s="1"/>
  <c r="O20" i="23"/>
  <c r="V19" i="23"/>
  <c r="U19" i="23"/>
  <c r="T19" i="23"/>
  <c r="S19" i="23"/>
  <c r="R19" i="23"/>
  <c r="Q19" i="23"/>
  <c r="P19" i="23"/>
  <c r="O19" i="23"/>
  <c r="O33" i="23" s="1"/>
  <c r="V18" i="23"/>
  <c r="U18" i="23"/>
  <c r="T18" i="23"/>
  <c r="S18" i="23"/>
  <c r="R18" i="23"/>
  <c r="Q18" i="23"/>
  <c r="P18" i="23"/>
  <c r="O18" i="23"/>
  <c r="O32" i="23" s="1"/>
  <c r="V17" i="23"/>
  <c r="O31" i="23" s="1"/>
  <c r="U17" i="23"/>
  <c r="T17" i="23"/>
  <c r="S17" i="23"/>
  <c r="R17" i="23"/>
  <c r="Q17" i="23"/>
  <c r="P17" i="23"/>
  <c r="O17" i="23"/>
  <c r="V26" i="22"/>
  <c r="U26" i="22"/>
  <c r="T26" i="22"/>
  <c r="S26" i="22"/>
  <c r="R26" i="22"/>
  <c r="Q26" i="22"/>
  <c r="P26" i="22"/>
  <c r="O26" i="22"/>
  <c r="V22" i="22"/>
  <c r="U22" i="22"/>
  <c r="T22" i="22"/>
  <c r="S22" i="22"/>
  <c r="R22" i="22"/>
  <c r="Q22" i="22"/>
  <c r="P22" i="22"/>
  <c r="O22" i="22"/>
  <c r="O36" i="22" s="1"/>
  <c r="V21" i="22"/>
  <c r="U21" i="22"/>
  <c r="T21" i="22"/>
  <c r="S21" i="22"/>
  <c r="R21" i="22"/>
  <c r="Q21" i="22"/>
  <c r="P21" i="22"/>
  <c r="O21" i="22"/>
  <c r="O35" i="22" s="1"/>
  <c r="V20" i="22"/>
  <c r="U20" i="22"/>
  <c r="T20" i="22"/>
  <c r="S20" i="22"/>
  <c r="R20" i="22"/>
  <c r="O34" i="22" s="1"/>
  <c r="Q20" i="22"/>
  <c r="P20" i="22"/>
  <c r="O20" i="22"/>
  <c r="V19" i="22"/>
  <c r="U19" i="22"/>
  <c r="T19" i="22"/>
  <c r="O33" i="22" s="1"/>
  <c r="S19" i="22"/>
  <c r="R19" i="22"/>
  <c r="Q19" i="22"/>
  <c r="P19" i="22"/>
  <c r="O19" i="22"/>
  <c r="V18" i="22"/>
  <c r="U18" i="22"/>
  <c r="T18" i="22"/>
  <c r="S18" i="22"/>
  <c r="R18" i="22"/>
  <c r="Q18" i="22"/>
  <c r="P18" i="22"/>
  <c r="O32" i="22" s="1"/>
  <c r="O18" i="22"/>
  <c r="V17" i="22"/>
  <c r="U17" i="22"/>
  <c r="T17" i="22"/>
  <c r="S17" i="22"/>
  <c r="R17" i="22"/>
  <c r="O31" i="22" s="1"/>
  <c r="Q17" i="22"/>
  <c r="P17" i="22"/>
  <c r="O17" i="22"/>
  <c r="O34" i="21"/>
  <c r="V26" i="21"/>
  <c r="U26" i="21"/>
  <c r="T26" i="21"/>
  <c r="S26" i="21"/>
  <c r="R26" i="21"/>
  <c r="Q26" i="21"/>
  <c r="P26" i="21"/>
  <c r="O26" i="21"/>
  <c r="V22" i="21"/>
  <c r="U22" i="21"/>
  <c r="T22" i="21"/>
  <c r="S22" i="21"/>
  <c r="R22" i="21"/>
  <c r="Q22" i="21"/>
  <c r="P22" i="21"/>
  <c r="O36" i="21" s="1"/>
  <c r="O22" i="21"/>
  <c r="V21" i="21"/>
  <c r="U21" i="21"/>
  <c r="T21" i="21"/>
  <c r="S21" i="21"/>
  <c r="R21" i="21"/>
  <c r="O35" i="21" s="1"/>
  <c r="Q21" i="21"/>
  <c r="P21" i="21"/>
  <c r="O21" i="21"/>
  <c r="V20" i="21"/>
  <c r="U20" i="21"/>
  <c r="T20" i="21"/>
  <c r="S20" i="21"/>
  <c r="R20" i="21"/>
  <c r="Q20" i="21"/>
  <c r="P20" i="21"/>
  <c r="O20" i="21"/>
  <c r="V19" i="21"/>
  <c r="U19" i="21"/>
  <c r="T19" i="21"/>
  <c r="S19" i="21"/>
  <c r="R19" i="21"/>
  <c r="Q19" i="21"/>
  <c r="P19" i="21"/>
  <c r="O33" i="21" s="1"/>
  <c r="O19" i="21"/>
  <c r="V18" i="21"/>
  <c r="U18" i="21"/>
  <c r="T18" i="21"/>
  <c r="S18" i="21"/>
  <c r="R18" i="21"/>
  <c r="Q18" i="21"/>
  <c r="P18" i="21"/>
  <c r="O32" i="21" s="1"/>
  <c r="O18" i="21"/>
  <c r="V17" i="21"/>
  <c r="U17" i="21"/>
  <c r="T17" i="21"/>
  <c r="S17" i="21"/>
  <c r="R17" i="21"/>
  <c r="Q17" i="21"/>
  <c r="P17" i="21"/>
  <c r="O17" i="21"/>
  <c r="O31" i="21" s="1"/>
  <c r="V26" i="20"/>
  <c r="U26" i="20"/>
  <c r="T26" i="20"/>
  <c r="S26" i="20"/>
  <c r="R26" i="20"/>
  <c r="Q26" i="20"/>
  <c r="P26" i="20"/>
  <c r="O36" i="20" s="1"/>
  <c r="O26" i="20"/>
  <c r="V22" i="20"/>
  <c r="U22" i="20"/>
  <c r="T22" i="20"/>
  <c r="S22" i="20"/>
  <c r="R22" i="20"/>
  <c r="Q22" i="20"/>
  <c r="P22" i="20"/>
  <c r="O22" i="20"/>
  <c r="V21" i="20"/>
  <c r="U21" i="20"/>
  <c r="T21" i="20"/>
  <c r="S21" i="20"/>
  <c r="R21" i="20"/>
  <c r="Q21" i="20"/>
  <c r="P21" i="20"/>
  <c r="O35" i="20" s="1"/>
  <c r="O21" i="20"/>
  <c r="V20" i="20"/>
  <c r="U20" i="20"/>
  <c r="T20" i="20"/>
  <c r="S20" i="20"/>
  <c r="R20" i="20"/>
  <c r="Q20" i="20"/>
  <c r="P20" i="20"/>
  <c r="O20" i="20"/>
  <c r="O34" i="20" s="1"/>
  <c r="V19" i="20"/>
  <c r="U19" i="20"/>
  <c r="T19" i="20"/>
  <c r="S19" i="20"/>
  <c r="R19" i="20"/>
  <c r="O33" i="20" s="1"/>
  <c r="Q19" i="20"/>
  <c r="P19" i="20"/>
  <c r="O19" i="20"/>
  <c r="V18" i="20"/>
  <c r="U18" i="20"/>
  <c r="T18" i="20"/>
  <c r="S18" i="20"/>
  <c r="R18" i="20"/>
  <c r="Q18" i="20"/>
  <c r="P18" i="20"/>
  <c r="O32" i="20" s="1"/>
  <c r="O18" i="20"/>
  <c r="V17" i="20"/>
  <c r="U17" i="20"/>
  <c r="T17" i="20"/>
  <c r="S17" i="20"/>
  <c r="R17" i="20"/>
  <c r="Q17" i="20"/>
  <c r="P17" i="20"/>
  <c r="O17" i="20"/>
  <c r="O31" i="20" s="1"/>
  <c r="V26" i="19"/>
  <c r="U26" i="19"/>
  <c r="T26" i="19"/>
  <c r="S26" i="19"/>
  <c r="R26" i="19"/>
  <c r="Q26" i="19"/>
  <c r="P26" i="19"/>
  <c r="O26" i="19"/>
  <c r="V22" i="19"/>
  <c r="U22" i="19"/>
  <c r="T22" i="19"/>
  <c r="S22" i="19"/>
  <c r="R22" i="19"/>
  <c r="Q22" i="19"/>
  <c r="P22" i="19"/>
  <c r="O22" i="19"/>
  <c r="O36" i="19" s="1"/>
  <c r="V21" i="19"/>
  <c r="U21" i="19"/>
  <c r="T21" i="19"/>
  <c r="S21" i="19"/>
  <c r="R21" i="19"/>
  <c r="Q21" i="19"/>
  <c r="P21" i="19"/>
  <c r="O35" i="19" s="1"/>
  <c r="O21" i="19"/>
  <c r="V20" i="19"/>
  <c r="U20" i="19"/>
  <c r="T20" i="19"/>
  <c r="S20" i="19"/>
  <c r="R20" i="19"/>
  <c r="O34" i="19" s="1"/>
  <c r="Q20" i="19"/>
  <c r="P20" i="19"/>
  <c r="O20" i="19"/>
  <c r="V19" i="19"/>
  <c r="U19" i="19"/>
  <c r="T19" i="19"/>
  <c r="S19" i="19"/>
  <c r="R19" i="19"/>
  <c r="Q19" i="19"/>
  <c r="P19" i="19"/>
  <c r="O19" i="19"/>
  <c r="O33" i="19" s="1"/>
  <c r="V18" i="19"/>
  <c r="U18" i="19"/>
  <c r="T18" i="19"/>
  <c r="S18" i="19"/>
  <c r="R18" i="19"/>
  <c r="Q18" i="19"/>
  <c r="P18" i="19"/>
  <c r="O32" i="19" s="1"/>
  <c r="O18" i="19"/>
  <c r="V17" i="19"/>
  <c r="U17" i="19"/>
  <c r="T17" i="19"/>
  <c r="S17" i="19"/>
  <c r="R17" i="19"/>
  <c r="Q17" i="19"/>
  <c r="P17" i="19"/>
  <c r="O17" i="19"/>
  <c r="O31" i="19" s="1"/>
  <c r="V26" i="18"/>
  <c r="U26" i="18"/>
  <c r="T26" i="18"/>
  <c r="S26" i="18"/>
  <c r="R26" i="18"/>
  <c r="Q26" i="18"/>
  <c r="P26" i="18"/>
  <c r="O26" i="18"/>
  <c r="V22" i="18"/>
  <c r="U22" i="18"/>
  <c r="T22" i="18"/>
  <c r="S22" i="18"/>
  <c r="R22" i="18"/>
  <c r="Q22" i="18"/>
  <c r="P22" i="18"/>
  <c r="O36" i="18" s="1"/>
  <c r="O22" i="18"/>
  <c r="V21" i="18"/>
  <c r="U21" i="18"/>
  <c r="T21" i="18"/>
  <c r="S21" i="18"/>
  <c r="R21" i="18"/>
  <c r="Q21" i="18"/>
  <c r="P21" i="18"/>
  <c r="O21" i="18"/>
  <c r="O35" i="18" s="1"/>
  <c r="V20" i="18"/>
  <c r="U20" i="18"/>
  <c r="T20" i="18"/>
  <c r="O34" i="18" s="1"/>
  <c r="S20" i="18"/>
  <c r="R20" i="18"/>
  <c r="Q20" i="18"/>
  <c r="P20" i="18"/>
  <c r="O20" i="18"/>
  <c r="V19" i="18"/>
  <c r="U19" i="18"/>
  <c r="T19" i="18"/>
  <c r="S19" i="18"/>
  <c r="R19" i="18"/>
  <c r="Q19" i="18"/>
  <c r="P19" i="18"/>
  <c r="O19" i="18"/>
  <c r="O33" i="18" s="1"/>
  <c r="V18" i="18"/>
  <c r="U18" i="18"/>
  <c r="T18" i="18"/>
  <c r="S18" i="18"/>
  <c r="R18" i="18"/>
  <c r="Q18" i="18"/>
  <c r="P18" i="18"/>
  <c r="O32" i="18" s="1"/>
  <c r="O18" i="18"/>
  <c r="V17" i="18"/>
  <c r="U17" i="18"/>
  <c r="T17" i="18"/>
  <c r="S17" i="18"/>
  <c r="R17" i="18"/>
  <c r="Q17" i="18"/>
  <c r="P17" i="18"/>
  <c r="O17" i="18"/>
  <c r="O31" i="18" s="1"/>
  <c r="V26" i="17"/>
  <c r="U26" i="17"/>
  <c r="T26" i="17"/>
  <c r="S26" i="17"/>
  <c r="R26" i="17"/>
  <c r="Q26" i="17"/>
  <c r="P26" i="17"/>
  <c r="O26" i="17"/>
  <c r="V22" i="17"/>
  <c r="U22" i="17"/>
  <c r="T22" i="17"/>
  <c r="S22" i="17"/>
  <c r="R22" i="17"/>
  <c r="O36" i="17" s="1"/>
  <c r="Q22" i="17"/>
  <c r="P22" i="17"/>
  <c r="O22" i="17"/>
  <c r="V21" i="17"/>
  <c r="U21" i="17"/>
  <c r="T21" i="17"/>
  <c r="S21" i="17"/>
  <c r="R21" i="17"/>
  <c r="Q21" i="17"/>
  <c r="P21" i="17"/>
  <c r="O21" i="17"/>
  <c r="O35" i="17" s="1"/>
  <c r="V20" i="17"/>
  <c r="U20" i="17"/>
  <c r="T20" i="17"/>
  <c r="S20" i="17"/>
  <c r="R20" i="17"/>
  <c r="Q20" i="17"/>
  <c r="P20" i="17"/>
  <c r="O34" i="17" s="1"/>
  <c r="O20" i="17"/>
  <c r="V19" i="17"/>
  <c r="U19" i="17"/>
  <c r="T19" i="17"/>
  <c r="S19" i="17"/>
  <c r="R19" i="17"/>
  <c r="Q19" i="17"/>
  <c r="P19" i="17"/>
  <c r="O19" i="17"/>
  <c r="O33" i="17" s="1"/>
  <c r="V18" i="17"/>
  <c r="U18" i="17"/>
  <c r="T18" i="17"/>
  <c r="S18" i="17"/>
  <c r="R18" i="17"/>
  <c r="Q18" i="17"/>
  <c r="P18" i="17"/>
  <c r="O18" i="17"/>
  <c r="O32" i="17" s="1"/>
  <c r="V17" i="17"/>
  <c r="O31" i="17" s="1"/>
  <c r="U17" i="17"/>
  <c r="T17" i="17"/>
  <c r="S17" i="17"/>
  <c r="R17" i="17"/>
  <c r="Q17" i="17"/>
  <c r="P17" i="17"/>
  <c r="O17" i="17"/>
  <c r="V26" i="16"/>
  <c r="U26" i="16"/>
  <c r="T26" i="16"/>
  <c r="S26" i="16"/>
  <c r="R26" i="16"/>
  <c r="Q26" i="16"/>
  <c r="P26" i="16"/>
  <c r="O26" i="16"/>
  <c r="V22" i="16"/>
  <c r="U22" i="16"/>
  <c r="T22" i="16"/>
  <c r="S22" i="16"/>
  <c r="R22" i="16"/>
  <c r="Q22" i="16"/>
  <c r="P22" i="16"/>
  <c r="O36" i="16" s="1"/>
  <c r="O22" i="16"/>
  <c r="V21" i="16"/>
  <c r="U21" i="16"/>
  <c r="T21" i="16"/>
  <c r="S21" i="16"/>
  <c r="R21" i="16"/>
  <c r="Q21" i="16"/>
  <c r="P21" i="16"/>
  <c r="O21" i="16"/>
  <c r="O35" i="16" s="1"/>
  <c r="V20" i="16"/>
  <c r="U20" i="16"/>
  <c r="T20" i="16"/>
  <c r="S20" i="16"/>
  <c r="R20" i="16"/>
  <c r="Q20" i="16"/>
  <c r="P20" i="16"/>
  <c r="O34" i="16" s="1"/>
  <c r="O20" i="16"/>
  <c r="V19" i="16"/>
  <c r="U19" i="16"/>
  <c r="T19" i="16"/>
  <c r="O33" i="16" s="1"/>
  <c r="S19" i="16"/>
  <c r="R19" i="16"/>
  <c r="Q19" i="16"/>
  <c r="P19" i="16"/>
  <c r="O19" i="16"/>
  <c r="V18" i="16"/>
  <c r="U18" i="16"/>
  <c r="T18" i="16"/>
  <c r="S18" i="16"/>
  <c r="R18" i="16"/>
  <c r="Q18" i="16"/>
  <c r="P18" i="16"/>
  <c r="O32" i="16" s="1"/>
  <c r="O18" i="16"/>
  <c r="V17" i="16"/>
  <c r="U17" i="16"/>
  <c r="T17" i="16"/>
  <c r="S17" i="16"/>
  <c r="R17" i="16"/>
  <c r="O31" i="16" s="1"/>
  <c r="Q17" i="16"/>
  <c r="P17" i="16"/>
  <c r="O17" i="16"/>
  <c r="O34" i="15"/>
  <c r="V26" i="15"/>
  <c r="U26" i="15"/>
  <c r="T26" i="15"/>
  <c r="S26" i="15"/>
  <c r="R26" i="15"/>
  <c r="Q26" i="15"/>
  <c r="P26" i="15"/>
  <c r="O26" i="15"/>
  <c r="V22" i="15"/>
  <c r="U22" i="15"/>
  <c r="T22" i="15"/>
  <c r="S22" i="15"/>
  <c r="R22" i="15"/>
  <c r="Q22" i="15"/>
  <c r="P22" i="15"/>
  <c r="O36" i="15" s="1"/>
  <c r="O22" i="15"/>
  <c r="V21" i="15"/>
  <c r="U21" i="15"/>
  <c r="T21" i="15"/>
  <c r="S21" i="15"/>
  <c r="R21" i="15"/>
  <c r="O35" i="15" s="1"/>
  <c r="Q21" i="15"/>
  <c r="P21" i="15"/>
  <c r="O21" i="15"/>
  <c r="V20" i="15"/>
  <c r="U20" i="15"/>
  <c r="T20" i="15"/>
  <c r="S20" i="15"/>
  <c r="R20" i="15"/>
  <c r="Q20" i="15"/>
  <c r="P20" i="15"/>
  <c r="O20" i="15"/>
  <c r="V19" i="15"/>
  <c r="U19" i="15"/>
  <c r="T19" i="15"/>
  <c r="S19" i="15"/>
  <c r="R19" i="15"/>
  <c r="Q19" i="15"/>
  <c r="P19" i="15"/>
  <c r="O33" i="15" s="1"/>
  <c r="O19" i="15"/>
  <c r="V18" i="15"/>
  <c r="U18" i="15"/>
  <c r="T18" i="15"/>
  <c r="S18" i="15"/>
  <c r="R18" i="15"/>
  <c r="Q18" i="15"/>
  <c r="P18" i="15"/>
  <c r="O32" i="15" s="1"/>
  <c r="O18" i="15"/>
  <c r="V17" i="15"/>
  <c r="U17" i="15"/>
  <c r="T17" i="15"/>
  <c r="S17" i="15"/>
  <c r="R17" i="15"/>
  <c r="Q17" i="15"/>
  <c r="P17" i="15"/>
  <c r="O17" i="15"/>
  <c r="O31" i="15" s="1"/>
  <c r="V26" i="14"/>
  <c r="U26" i="14"/>
  <c r="T26" i="14"/>
  <c r="S26" i="14"/>
  <c r="R26" i="14"/>
  <c r="Q26" i="14"/>
  <c r="P26" i="14"/>
  <c r="O36" i="14" s="1"/>
  <c r="O26" i="14"/>
  <c r="V22" i="14"/>
  <c r="U22" i="14"/>
  <c r="T22" i="14"/>
  <c r="S22" i="14"/>
  <c r="R22" i="14"/>
  <c r="Q22" i="14"/>
  <c r="P22" i="14"/>
  <c r="O22" i="14"/>
  <c r="V21" i="14"/>
  <c r="U21" i="14"/>
  <c r="T21" i="14"/>
  <c r="S21" i="14"/>
  <c r="O35" i="14" s="1"/>
  <c r="R21" i="14"/>
  <c r="Q21" i="14"/>
  <c r="P21" i="14"/>
  <c r="O21" i="14"/>
  <c r="V20" i="14"/>
  <c r="U20" i="14"/>
  <c r="T20" i="14"/>
  <c r="S20" i="14"/>
  <c r="R20" i="14"/>
  <c r="Q20" i="14"/>
  <c r="P20" i="14"/>
  <c r="O20" i="14"/>
  <c r="O34" i="14" s="1"/>
  <c r="V19" i="14"/>
  <c r="U19" i="14"/>
  <c r="T19" i="14"/>
  <c r="S19" i="14"/>
  <c r="R19" i="14"/>
  <c r="Q19" i="14"/>
  <c r="P19" i="14"/>
  <c r="O33" i="14" s="1"/>
  <c r="O19" i="14"/>
  <c r="V18" i="14"/>
  <c r="U18" i="14"/>
  <c r="T18" i="14"/>
  <c r="S18" i="14"/>
  <c r="R18" i="14"/>
  <c r="Q18" i="14"/>
  <c r="P18" i="14"/>
  <c r="O32" i="14" s="1"/>
  <c r="O18" i="14"/>
  <c r="V17" i="14"/>
  <c r="U17" i="14"/>
  <c r="T17" i="14"/>
  <c r="S17" i="14"/>
  <c r="R17" i="14"/>
  <c r="Q17" i="14"/>
  <c r="P17" i="14"/>
  <c r="O17" i="14"/>
  <c r="O31" i="14" s="1"/>
  <c r="V26" i="13"/>
  <c r="U26" i="13"/>
  <c r="T26" i="13"/>
  <c r="S26" i="13"/>
  <c r="R26" i="13"/>
  <c r="Q26" i="13"/>
  <c r="P26" i="13"/>
  <c r="O26" i="13"/>
  <c r="V22" i="13"/>
  <c r="U22" i="13"/>
  <c r="T22" i="13"/>
  <c r="S22" i="13"/>
  <c r="R22" i="13"/>
  <c r="Q22" i="13"/>
  <c r="P22" i="13"/>
  <c r="O22" i="13"/>
  <c r="O36" i="13" s="1"/>
  <c r="V21" i="13"/>
  <c r="U21" i="13"/>
  <c r="T21" i="13"/>
  <c r="S21" i="13"/>
  <c r="R21" i="13"/>
  <c r="Q21" i="13"/>
  <c r="P21" i="13"/>
  <c r="O35" i="13" s="1"/>
  <c r="O21" i="13"/>
  <c r="V20" i="13"/>
  <c r="U20" i="13"/>
  <c r="T20" i="13"/>
  <c r="S20" i="13"/>
  <c r="R20" i="13"/>
  <c r="Q20" i="13"/>
  <c r="O34" i="13" s="1"/>
  <c r="P20" i="13"/>
  <c r="O20" i="13"/>
  <c r="V19" i="13"/>
  <c r="U19" i="13"/>
  <c r="T19" i="13"/>
  <c r="S19" i="13"/>
  <c r="R19" i="13"/>
  <c r="Q19" i="13"/>
  <c r="P19" i="13"/>
  <c r="O19" i="13"/>
  <c r="O33" i="13" s="1"/>
  <c r="V18" i="13"/>
  <c r="U18" i="13"/>
  <c r="T18" i="13"/>
  <c r="S18" i="13"/>
  <c r="R18" i="13"/>
  <c r="Q18" i="13"/>
  <c r="P18" i="13"/>
  <c r="O32" i="13" s="1"/>
  <c r="O18" i="13"/>
  <c r="V17" i="13"/>
  <c r="U17" i="13"/>
  <c r="T17" i="13"/>
  <c r="S17" i="13"/>
  <c r="R17" i="13"/>
  <c r="Q17" i="13"/>
  <c r="P17" i="13"/>
  <c r="O17" i="13"/>
  <c r="O31" i="13" s="1"/>
  <c r="V26" i="12"/>
  <c r="U26" i="12"/>
  <c r="T26" i="12"/>
  <c r="S26" i="12"/>
  <c r="R26" i="12"/>
  <c r="Q26" i="12"/>
  <c r="P26" i="12"/>
  <c r="O26" i="12"/>
  <c r="V22" i="12"/>
  <c r="U22" i="12"/>
  <c r="T22" i="12"/>
  <c r="S22" i="12"/>
  <c r="R22" i="12"/>
  <c r="Q22" i="12"/>
  <c r="P22" i="12"/>
  <c r="O22" i="12"/>
  <c r="O36" i="12" s="1"/>
  <c r="V21" i="12"/>
  <c r="U21" i="12"/>
  <c r="T21" i="12"/>
  <c r="S21" i="12"/>
  <c r="R21" i="12"/>
  <c r="Q21" i="12"/>
  <c r="P21" i="12"/>
  <c r="O21" i="12"/>
  <c r="O35" i="12" s="1"/>
  <c r="V20" i="12"/>
  <c r="U20" i="12"/>
  <c r="T20" i="12"/>
  <c r="S20" i="12"/>
  <c r="O34" i="12" s="1"/>
  <c r="R20" i="12"/>
  <c r="Q20" i="12"/>
  <c r="P20" i="12"/>
  <c r="O20" i="12"/>
  <c r="V19" i="12"/>
  <c r="U19" i="12"/>
  <c r="T19" i="12"/>
  <c r="S19" i="12"/>
  <c r="R19" i="12"/>
  <c r="Q19" i="12"/>
  <c r="P19" i="12"/>
  <c r="O19" i="12"/>
  <c r="O33" i="12" s="1"/>
  <c r="V18" i="12"/>
  <c r="U18" i="12"/>
  <c r="T18" i="12"/>
  <c r="S18" i="12"/>
  <c r="R18" i="12"/>
  <c r="Q18" i="12"/>
  <c r="P18" i="12"/>
  <c r="O32" i="12" s="1"/>
  <c r="O18" i="12"/>
  <c r="V17" i="12"/>
  <c r="U17" i="12"/>
  <c r="T17" i="12"/>
  <c r="S17" i="12"/>
  <c r="R17" i="12"/>
  <c r="Q17" i="12"/>
  <c r="P17" i="12"/>
  <c r="O17" i="12"/>
  <c r="O31" i="12" s="1"/>
  <c r="V26" i="11"/>
  <c r="U26" i="11"/>
  <c r="T26" i="11"/>
  <c r="S26" i="11"/>
  <c r="R26" i="11"/>
  <c r="Q26" i="11"/>
  <c r="P26" i="11"/>
  <c r="O26" i="11"/>
  <c r="V22" i="11"/>
  <c r="U22" i="11"/>
  <c r="T22" i="11"/>
  <c r="S22" i="11"/>
  <c r="R22" i="11"/>
  <c r="Q22" i="11"/>
  <c r="O36" i="11" s="1"/>
  <c r="P22" i="11"/>
  <c r="O22" i="11"/>
  <c r="V21" i="11"/>
  <c r="U21" i="11"/>
  <c r="T21" i="11"/>
  <c r="S21" i="11"/>
  <c r="R21" i="11"/>
  <c r="Q21" i="11"/>
  <c r="P21" i="11"/>
  <c r="O21" i="11"/>
  <c r="O35" i="11" s="1"/>
  <c r="V20" i="11"/>
  <c r="U20" i="11"/>
  <c r="T20" i="11"/>
  <c r="S20" i="11"/>
  <c r="R20" i="11"/>
  <c r="Q20" i="11"/>
  <c r="P20" i="11"/>
  <c r="O34" i="11" s="1"/>
  <c r="O20" i="11"/>
  <c r="V19" i="11"/>
  <c r="U19" i="11"/>
  <c r="T19" i="11"/>
  <c r="S19" i="11"/>
  <c r="R19" i="11"/>
  <c r="Q19" i="11"/>
  <c r="P19" i="11"/>
  <c r="O19" i="11"/>
  <c r="O33" i="11" s="1"/>
  <c r="V18" i="11"/>
  <c r="U18" i="11"/>
  <c r="T18" i="11"/>
  <c r="S18" i="11"/>
  <c r="R18" i="11"/>
  <c r="Q18" i="11"/>
  <c r="P18" i="11"/>
  <c r="O18" i="11"/>
  <c r="O32" i="11" s="1"/>
  <c r="V17" i="11"/>
  <c r="U17" i="11"/>
  <c r="T17" i="11"/>
  <c r="S17" i="11"/>
  <c r="R17" i="11"/>
  <c r="Q17" i="11"/>
  <c r="P17" i="11"/>
  <c r="O31" i="11" s="1"/>
  <c r="O17" i="11"/>
  <c r="O31" i="10"/>
  <c r="V26" i="10"/>
  <c r="U26" i="10"/>
  <c r="T26" i="10"/>
  <c r="S26" i="10"/>
  <c r="R26" i="10"/>
  <c r="Q26" i="10"/>
  <c r="P26" i="10"/>
  <c r="O26" i="10"/>
  <c r="V22" i="10"/>
  <c r="U22" i="10"/>
  <c r="T22" i="10"/>
  <c r="S22" i="10"/>
  <c r="R22" i="10"/>
  <c r="Q22" i="10"/>
  <c r="P22" i="10"/>
  <c r="O36" i="10" s="1"/>
  <c r="O22" i="10"/>
  <c r="V21" i="10"/>
  <c r="U21" i="10"/>
  <c r="T21" i="10"/>
  <c r="S21" i="10"/>
  <c r="R21" i="10"/>
  <c r="Q21" i="10"/>
  <c r="P21" i="10"/>
  <c r="O21" i="10"/>
  <c r="O35" i="10" s="1"/>
  <c r="V20" i="10"/>
  <c r="U20" i="10"/>
  <c r="T20" i="10"/>
  <c r="S20" i="10"/>
  <c r="R20" i="10"/>
  <c r="O34" i="10" s="1"/>
  <c r="Q20" i="10"/>
  <c r="P20" i="10"/>
  <c r="O20" i="10"/>
  <c r="V19" i="10"/>
  <c r="U19" i="10"/>
  <c r="T19" i="10"/>
  <c r="S19" i="10"/>
  <c r="O33" i="10" s="1"/>
  <c r="R19" i="10"/>
  <c r="Q19" i="10"/>
  <c r="P19" i="10"/>
  <c r="O19" i="10"/>
  <c r="V18" i="10"/>
  <c r="U18" i="10"/>
  <c r="T18" i="10"/>
  <c r="S18" i="10"/>
  <c r="R18" i="10"/>
  <c r="Q18" i="10"/>
  <c r="P18" i="10"/>
  <c r="O32" i="10" s="1"/>
  <c r="O18" i="10"/>
  <c r="V17" i="10"/>
  <c r="U17" i="10"/>
  <c r="T17" i="10"/>
  <c r="S17" i="10"/>
  <c r="R17" i="10"/>
  <c r="Q17" i="10"/>
  <c r="P17" i="10"/>
  <c r="O17" i="10"/>
  <c r="O34" i="9"/>
  <c r="V26" i="9"/>
  <c r="U26" i="9"/>
  <c r="T26" i="9"/>
  <c r="S26" i="9"/>
  <c r="R26" i="9"/>
  <c r="Q26" i="9"/>
  <c r="P26" i="9"/>
  <c r="O26" i="9"/>
  <c r="V22" i="9"/>
  <c r="U22" i="9"/>
  <c r="T22" i="9"/>
  <c r="S22" i="9"/>
  <c r="R22" i="9"/>
  <c r="Q22" i="9"/>
  <c r="P22" i="9"/>
  <c r="O36" i="9" s="1"/>
  <c r="O22" i="9"/>
  <c r="V21" i="9"/>
  <c r="U21" i="9"/>
  <c r="T21" i="9"/>
  <c r="S21" i="9"/>
  <c r="R21" i="9"/>
  <c r="Q21" i="9"/>
  <c r="O35" i="9" s="1"/>
  <c r="P21" i="9"/>
  <c r="O21" i="9"/>
  <c r="V20" i="9"/>
  <c r="U20" i="9"/>
  <c r="T20" i="9"/>
  <c r="S20" i="9"/>
  <c r="R20" i="9"/>
  <c r="Q20" i="9"/>
  <c r="P20" i="9"/>
  <c r="O20" i="9"/>
  <c r="V19" i="9"/>
  <c r="U19" i="9"/>
  <c r="O33" i="9" s="1"/>
  <c r="T19" i="9"/>
  <c r="S19" i="9"/>
  <c r="R19" i="9"/>
  <c r="Q19" i="9"/>
  <c r="P19" i="9"/>
  <c r="O19" i="9"/>
  <c r="V18" i="9"/>
  <c r="U18" i="9"/>
  <c r="T18" i="9"/>
  <c r="S18" i="9"/>
  <c r="R18" i="9"/>
  <c r="Q18" i="9"/>
  <c r="P18" i="9"/>
  <c r="O32" i="9" s="1"/>
  <c r="O18" i="9"/>
  <c r="V17" i="9"/>
  <c r="U17" i="9"/>
  <c r="T17" i="9"/>
  <c r="S17" i="9"/>
  <c r="R17" i="9"/>
  <c r="Q17" i="9"/>
  <c r="P17" i="9"/>
  <c r="O17" i="9"/>
  <c r="O31" i="9" s="1"/>
  <c r="V26" i="8"/>
  <c r="U26" i="8"/>
  <c r="T26" i="8"/>
  <c r="S26" i="8"/>
  <c r="R26" i="8"/>
  <c r="Q26" i="8"/>
  <c r="P26" i="8"/>
  <c r="O36" i="8" s="1"/>
  <c r="O26" i="8"/>
  <c r="V22" i="8"/>
  <c r="U22" i="8"/>
  <c r="T22" i="8"/>
  <c r="S22" i="8"/>
  <c r="R22" i="8"/>
  <c r="Q22" i="8"/>
  <c r="P22" i="8"/>
  <c r="O22" i="8"/>
  <c r="V21" i="8"/>
  <c r="U21" i="8"/>
  <c r="T21" i="8"/>
  <c r="S21" i="8"/>
  <c r="O35" i="8" s="1"/>
  <c r="R21" i="8"/>
  <c r="Q21" i="8"/>
  <c r="P21" i="8"/>
  <c r="O21" i="8"/>
  <c r="V20" i="8"/>
  <c r="U20" i="8"/>
  <c r="T20" i="8"/>
  <c r="S20" i="8"/>
  <c r="R20" i="8"/>
  <c r="Q20" i="8"/>
  <c r="P20" i="8"/>
  <c r="O20" i="8"/>
  <c r="O34" i="8" s="1"/>
  <c r="V19" i="8"/>
  <c r="U19" i="8"/>
  <c r="T19" i="8"/>
  <c r="S19" i="8"/>
  <c r="R19" i="8"/>
  <c r="Q19" i="8"/>
  <c r="P19" i="8"/>
  <c r="O33" i="8" s="1"/>
  <c r="O19" i="8"/>
  <c r="V18" i="8"/>
  <c r="U18" i="8"/>
  <c r="T18" i="8"/>
  <c r="S18" i="8"/>
  <c r="R18" i="8"/>
  <c r="Q18" i="8"/>
  <c r="P18" i="8"/>
  <c r="O32" i="8" s="1"/>
  <c r="O18" i="8"/>
  <c r="V17" i="8"/>
  <c r="U17" i="8"/>
  <c r="T17" i="8"/>
  <c r="S17" i="8"/>
  <c r="R17" i="8"/>
  <c r="Q17" i="8"/>
  <c r="P17" i="8"/>
  <c r="O17" i="8"/>
  <c r="O31" i="8" s="1"/>
  <c r="V26" i="7"/>
  <c r="U26" i="7"/>
  <c r="T26" i="7"/>
  <c r="S26" i="7"/>
  <c r="R26" i="7"/>
  <c r="Q26" i="7"/>
  <c r="P26" i="7"/>
  <c r="O26" i="7"/>
  <c r="V22" i="7"/>
  <c r="U22" i="7"/>
  <c r="T22" i="7"/>
  <c r="S22" i="7"/>
  <c r="R22" i="7"/>
  <c r="Q22" i="7"/>
  <c r="P22" i="7"/>
  <c r="O22" i="7"/>
  <c r="O36" i="7" s="1"/>
  <c r="V21" i="7"/>
  <c r="U21" i="7"/>
  <c r="T21" i="7"/>
  <c r="S21" i="7"/>
  <c r="R21" i="7"/>
  <c r="Q21" i="7"/>
  <c r="P21" i="7"/>
  <c r="O35" i="7" s="1"/>
  <c r="O21" i="7"/>
  <c r="V20" i="7"/>
  <c r="U20" i="7"/>
  <c r="T20" i="7"/>
  <c r="S20" i="7"/>
  <c r="R20" i="7"/>
  <c r="Q20" i="7"/>
  <c r="O34" i="7" s="1"/>
  <c r="P20" i="7"/>
  <c r="O20" i="7"/>
  <c r="V19" i="7"/>
  <c r="U19" i="7"/>
  <c r="T19" i="7"/>
  <c r="S19" i="7"/>
  <c r="R19" i="7"/>
  <c r="Q19" i="7"/>
  <c r="P19" i="7"/>
  <c r="O19" i="7"/>
  <c r="O33" i="7" s="1"/>
  <c r="V18" i="7"/>
  <c r="U18" i="7"/>
  <c r="T18" i="7"/>
  <c r="S18" i="7"/>
  <c r="R18" i="7"/>
  <c r="Q18" i="7"/>
  <c r="P18" i="7"/>
  <c r="O32" i="7" s="1"/>
  <c r="O18" i="7"/>
  <c r="V17" i="7"/>
  <c r="U17" i="7"/>
  <c r="T17" i="7"/>
  <c r="S17" i="7"/>
  <c r="R17" i="7"/>
  <c r="Q17" i="7"/>
  <c r="P17" i="7"/>
  <c r="O17" i="7"/>
  <c r="O31" i="7" s="1"/>
  <c r="V26" i="6"/>
  <c r="U26" i="6"/>
  <c r="T26" i="6"/>
  <c r="S26" i="6"/>
  <c r="R26" i="6"/>
  <c r="Q26" i="6"/>
  <c r="P26" i="6"/>
  <c r="O26" i="6"/>
  <c r="V22" i="6"/>
  <c r="U22" i="6"/>
  <c r="T22" i="6"/>
  <c r="S22" i="6"/>
  <c r="R22" i="6"/>
  <c r="Q22" i="6"/>
  <c r="P22" i="6"/>
  <c r="O22" i="6"/>
  <c r="O36" i="6" s="1"/>
  <c r="V21" i="6"/>
  <c r="U21" i="6"/>
  <c r="T21" i="6"/>
  <c r="S21" i="6"/>
  <c r="R21" i="6"/>
  <c r="Q21" i="6"/>
  <c r="P21" i="6"/>
  <c r="O21" i="6"/>
  <c r="O35" i="6" s="1"/>
  <c r="V20" i="6"/>
  <c r="U20" i="6"/>
  <c r="T20" i="6"/>
  <c r="S20" i="6"/>
  <c r="O34" i="6" s="1"/>
  <c r="R20" i="6"/>
  <c r="Q20" i="6"/>
  <c r="P20" i="6"/>
  <c r="O20" i="6"/>
  <c r="V19" i="6"/>
  <c r="U19" i="6"/>
  <c r="T19" i="6"/>
  <c r="S19" i="6"/>
  <c r="R19" i="6"/>
  <c r="Q19" i="6"/>
  <c r="P19" i="6"/>
  <c r="O19" i="6"/>
  <c r="O33" i="6" s="1"/>
  <c r="V18" i="6"/>
  <c r="U18" i="6"/>
  <c r="T18" i="6"/>
  <c r="S18" i="6"/>
  <c r="R18" i="6"/>
  <c r="Q18" i="6"/>
  <c r="P18" i="6"/>
  <c r="O32" i="6" s="1"/>
  <c r="O18" i="6"/>
  <c r="V17" i="6"/>
  <c r="U17" i="6"/>
  <c r="T17" i="6"/>
  <c r="S17" i="6"/>
  <c r="R17" i="6"/>
  <c r="Q17" i="6"/>
  <c r="P17" i="6"/>
  <c r="O17" i="6"/>
  <c r="O31" i="6" s="1"/>
  <c r="V26" i="5"/>
  <c r="U26" i="5"/>
  <c r="T26" i="5"/>
  <c r="S26" i="5"/>
  <c r="R26" i="5"/>
  <c r="Q26" i="5"/>
  <c r="P26" i="5"/>
  <c r="O26" i="5"/>
  <c r="V22" i="5"/>
  <c r="U22" i="5"/>
  <c r="T22" i="5"/>
  <c r="S22" i="5"/>
  <c r="R22" i="5"/>
  <c r="Q22" i="5"/>
  <c r="O36" i="5" s="1"/>
  <c r="P22" i="5"/>
  <c r="O22" i="5"/>
  <c r="V21" i="5"/>
  <c r="U21" i="5"/>
  <c r="T21" i="5"/>
  <c r="S21" i="5"/>
  <c r="R21" i="5"/>
  <c r="Q21" i="5"/>
  <c r="P21" i="5"/>
  <c r="O21" i="5"/>
  <c r="O35" i="5" s="1"/>
  <c r="V20" i="5"/>
  <c r="U20" i="5"/>
  <c r="T20" i="5"/>
  <c r="S20" i="5"/>
  <c r="R20" i="5"/>
  <c r="Q20" i="5"/>
  <c r="P20" i="5"/>
  <c r="O34" i="5" s="1"/>
  <c r="O20" i="5"/>
  <c r="V19" i="5"/>
  <c r="U19" i="5"/>
  <c r="T19" i="5"/>
  <c r="S19" i="5"/>
  <c r="R19" i="5"/>
  <c r="Q19" i="5"/>
  <c r="P19" i="5"/>
  <c r="O19" i="5"/>
  <c r="O33" i="5" s="1"/>
  <c r="V18" i="5"/>
  <c r="U18" i="5"/>
  <c r="T18" i="5"/>
  <c r="S18" i="5"/>
  <c r="R18" i="5"/>
  <c r="Q18" i="5"/>
  <c r="P18" i="5"/>
  <c r="O18" i="5"/>
  <c r="O32" i="5" s="1"/>
  <c r="V17" i="5"/>
  <c r="U17" i="5"/>
  <c r="T17" i="5"/>
  <c r="S17" i="5"/>
  <c r="R17" i="5"/>
  <c r="Q17" i="5"/>
  <c r="P17" i="5"/>
  <c r="O31" i="5" s="1"/>
  <c r="O17" i="5"/>
  <c r="O31" i="4"/>
  <c r="V26" i="4"/>
  <c r="U26" i="4"/>
  <c r="T26" i="4"/>
  <c r="S26" i="4"/>
  <c r="R26" i="4"/>
  <c r="Q26" i="4"/>
  <c r="P26" i="4"/>
  <c r="O26" i="4"/>
  <c r="V22" i="4"/>
  <c r="U22" i="4"/>
  <c r="T22" i="4"/>
  <c r="S22" i="4"/>
  <c r="R22" i="4"/>
  <c r="Q22" i="4"/>
  <c r="P22" i="4"/>
  <c r="O36" i="4" s="1"/>
  <c r="O22" i="4"/>
  <c r="V21" i="4"/>
  <c r="U21" i="4"/>
  <c r="T21" i="4"/>
  <c r="S21" i="4"/>
  <c r="R21" i="4"/>
  <c r="Q21" i="4"/>
  <c r="P21" i="4"/>
  <c r="O21" i="4"/>
  <c r="O35" i="4" s="1"/>
  <c r="V20" i="4"/>
  <c r="U20" i="4"/>
  <c r="T20" i="4"/>
  <c r="S20" i="4"/>
  <c r="R20" i="4"/>
  <c r="O34" i="4" s="1"/>
  <c r="Q20" i="4"/>
  <c r="P20" i="4"/>
  <c r="O20" i="4"/>
  <c r="V19" i="4"/>
  <c r="U19" i="4"/>
  <c r="T19" i="4"/>
  <c r="S19" i="4"/>
  <c r="O33" i="4" s="1"/>
  <c r="R19" i="4"/>
  <c r="Q19" i="4"/>
  <c r="P19" i="4"/>
  <c r="O19" i="4"/>
  <c r="V18" i="4"/>
  <c r="U18" i="4"/>
  <c r="T18" i="4"/>
  <c r="S18" i="4"/>
  <c r="R18" i="4"/>
  <c r="Q18" i="4"/>
  <c r="P18" i="4"/>
  <c r="O18" i="4"/>
  <c r="O32" i="4" s="1"/>
  <c r="V17" i="4"/>
  <c r="U17" i="4"/>
  <c r="T17" i="4"/>
  <c r="S17" i="4"/>
  <c r="R17" i="4"/>
  <c r="Q17" i="4"/>
  <c r="P17" i="4"/>
  <c r="O17" i="4"/>
  <c r="O34" i="3"/>
  <c r="V26" i="3"/>
  <c r="U26" i="3"/>
  <c r="T26" i="3"/>
  <c r="S26" i="3"/>
  <c r="R26" i="3"/>
  <c r="Q26" i="3"/>
  <c r="P26" i="3"/>
  <c r="O26" i="3"/>
  <c r="V22" i="3"/>
  <c r="U22" i="3"/>
  <c r="T22" i="3"/>
  <c r="S22" i="3"/>
  <c r="R22" i="3"/>
  <c r="Q22" i="3"/>
  <c r="P22" i="3"/>
  <c r="O36" i="3" s="1"/>
  <c r="O22" i="3"/>
  <c r="V21" i="3"/>
  <c r="U21" i="3"/>
  <c r="T21" i="3"/>
  <c r="S21" i="3"/>
  <c r="R21" i="3"/>
  <c r="Q21" i="3"/>
  <c r="O35" i="3" s="1"/>
  <c r="P21" i="3"/>
  <c r="O21" i="3"/>
  <c r="V20" i="3"/>
  <c r="U20" i="3"/>
  <c r="T20" i="3"/>
  <c r="S20" i="3"/>
  <c r="R20" i="3"/>
  <c r="Q20" i="3"/>
  <c r="P20" i="3"/>
  <c r="O20" i="3"/>
  <c r="V19" i="3"/>
  <c r="U19" i="3"/>
  <c r="O33" i="3" s="1"/>
  <c r="T19" i="3"/>
  <c r="S19" i="3"/>
  <c r="R19" i="3"/>
  <c r="Q19" i="3"/>
  <c r="P19" i="3"/>
  <c r="O19" i="3"/>
  <c r="V18" i="3"/>
  <c r="U18" i="3"/>
  <c r="T18" i="3"/>
  <c r="S18" i="3"/>
  <c r="R18" i="3"/>
  <c r="Q18" i="3"/>
  <c r="P18" i="3"/>
  <c r="O32" i="3" s="1"/>
  <c r="O18" i="3"/>
  <c r="V17" i="3"/>
  <c r="U17" i="3"/>
  <c r="T17" i="3"/>
  <c r="S17" i="3"/>
  <c r="R17" i="3"/>
  <c r="Q17" i="3"/>
  <c r="P17" i="3"/>
  <c r="O17" i="3"/>
  <c r="O31" i="3" s="1"/>
  <c r="V26" i="2"/>
  <c r="U26" i="2"/>
  <c r="T26" i="2"/>
  <c r="S26" i="2"/>
  <c r="R26" i="2"/>
  <c r="Q26" i="2"/>
  <c r="P26" i="2"/>
  <c r="O26" i="2"/>
  <c r="O36" i="2" s="1"/>
  <c r="V22" i="2"/>
  <c r="U22" i="2"/>
  <c r="T22" i="2"/>
  <c r="S22" i="2"/>
  <c r="R22" i="2"/>
  <c r="Q22" i="2"/>
  <c r="P22" i="2"/>
  <c r="O22" i="2"/>
  <c r="V21" i="2"/>
  <c r="U21" i="2"/>
  <c r="T21" i="2"/>
  <c r="S21" i="2"/>
  <c r="O35" i="2" s="1"/>
  <c r="R21" i="2"/>
  <c r="Q21" i="2"/>
  <c r="P21" i="2"/>
  <c r="O21" i="2"/>
  <c r="V20" i="2"/>
  <c r="U20" i="2"/>
  <c r="T20" i="2"/>
  <c r="S20" i="2"/>
  <c r="R20" i="2"/>
  <c r="Q20" i="2"/>
  <c r="P20" i="2"/>
  <c r="O20" i="2"/>
  <c r="O34" i="2" s="1"/>
  <c r="V19" i="2"/>
  <c r="U19" i="2"/>
  <c r="T19" i="2"/>
  <c r="S19" i="2"/>
  <c r="R19" i="2"/>
  <c r="Q19" i="2"/>
  <c r="P19" i="2"/>
  <c r="O33" i="2" s="1"/>
  <c r="O19" i="2"/>
  <c r="V18" i="2"/>
  <c r="U18" i="2"/>
  <c r="T18" i="2"/>
  <c r="S18" i="2"/>
  <c r="R18" i="2"/>
  <c r="Q18" i="2"/>
  <c r="P18" i="2"/>
  <c r="O32" i="2" s="1"/>
  <c r="O18" i="2"/>
  <c r="V17" i="2"/>
  <c r="U17" i="2"/>
  <c r="T17" i="2"/>
  <c r="S17" i="2"/>
  <c r="R17" i="2"/>
  <c r="Q17" i="2"/>
  <c r="P17" i="2"/>
  <c r="O17" i="2"/>
  <c r="O31" i="2" s="1"/>
  <c r="V26" i="1"/>
  <c r="U26" i="1"/>
  <c r="T26" i="1"/>
  <c r="S26" i="1"/>
  <c r="R26" i="1"/>
  <c r="Q26" i="1"/>
  <c r="P26" i="1"/>
  <c r="O26" i="1"/>
  <c r="V22" i="1"/>
  <c r="U22" i="1"/>
  <c r="T22" i="1"/>
  <c r="S22" i="1"/>
  <c r="R22" i="1"/>
  <c r="Q22" i="1"/>
  <c r="P22" i="1"/>
  <c r="O22" i="1"/>
  <c r="O36" i="1" s="1"/>
  <c r="V21" i="1"/>
  <c r="U21" i="1"/>
  <c r="T21" i="1"/>
  <c r="S21" i="1"/>
  <c r="R21" i="1"/>
  <c r="Q21" i="1"/>
  <c r="P21" i="1"/>
  <c r="O35" i="1" s="1"/>
  <c r="O21" i="1"/>
  <c r="V20" i="1"/>
  <c r="U20" i="1"/>
  <c r="T20" i="1"/>
  <c r="S20" i="1"/>
  <c r="R20" i="1"/>
  <c r="Q20" i="1"/>
  <c r="O34" i="1" s="1"/>
  <c r="P20" i="1"/>
  <c r="O20" i="1"/>
  <c r="V19" i="1"/>
  <c r="U19" i="1"/>
  <c r="T19" i="1"/>
  <c r="S19" i="1"/>
  <c r="R19" i="1"/>
  <c r="Q19" i="1"/>
  <c r="P19" i="1"/>
  <c r="O19" i="1"/>
  <c r="O33" i="1" s="1"/>
  <c r="V18" i="1"/>
  <c r="U18" i="1"/>
  <c r="O32" i="1" s="1"/>
  <c r="T18" i="1"/>
  <c r="S18" i="1"/>
  <c r="R18" i="1"/>
  <c r="Q18" i="1"/>
  <c r="P18" i="1"/>
  <c r="O18" i="1"/>
  <c r="V17" i="1"/>
  <c r="U17" i="1"/>
  <c r="T17" i="1"/>
  <c r="S17" i="1"/>
  <c r="R17" i="1"/>
  <c r="Q17" i="1"/>
  <c r="P17" i="1"/>
  <c r="O17" i="1"/>
  <c r="O31" i="1" s="1"/>
  <c r="O33" i="56" l="1"/>
  <c r="O36" i="56"/>
  <c r="O34" i="56"/>
  <c r="O32" i="56"/>
  <c r="O31" i="56"/>
</calcChain>
</file>

<file path=xl/sharedStrings.xml><?xml version="1.0" encoding="utf-8"?>
<sst xmlns="http://schemas.openxmlformats.org/spreadsheetml/2006/main" count="4093" uniqueCount="105">
  <si>
    <t>Participant</t>
  </si>
  <si>
    <t>Trial</t>
  </si>
  <si>
    <t>Patern</t>
  </si>
  <si>
    <t>Performance</t>
  </si>
  <si>
    <t>RT_s</t>
  </si>
  <si>
    <t>Response</t>
  </si>
  <si>
    <t xml:space="preserve">Estimulo </t>
  </si>
  <si>
    <t>S</t>
  </si>
  <si>
    <t>R</t>
  </si>
  <si>
    <t>Estímulo</t>
  </si>
  <si>
    <t>Triangle</t>
  </si>
  <si>
    <t>Star</t>
  </si>
  <si>
    <t>Empty</t>
  </si>
  <si>
    <t>Ellipse</t>
  </si>
  <si>
    <t>Square</t>
  </si>
  <si>
    <t>NUMERADOR</t>
  </si>
  <si>
    <t>DENOMINADOR</t>
  </si>
  <si>
    <t>Estrategia</t>
  </si>
  <si>
    <t>gG_2019_01_14_15-27</t>
  </si>
  <si>
    <t>vQ_2019_01_21_15-54</t>
  </si>
  <si>
    <t>qT_2019_01_23_14-30</t>
  </si>
  <si>
    <t>aa_2019_01_23_15-41</t>
  </si>
  <si>
    <t>rr_2019_01_24_14-33</t>
  </si>
  <si>
    <t>HT_2019_01_30_13-5</t>
  </si>
  <si>
    <t>UO_2019_01_30_15-27</t>
  </si>
  <si>
    <t>Mr_2019_01_31_12-13</t>
  </si>
  <si>
    <t>vY_2019_01_31_14-57</t>
  </si>
  <si>
    <t>ot_2019_03_04_12-50</t>
  </si>
  <si>
    <t>WZ_2019_03_04_14-23</t>
  </si>
  <si>
    <t>yd_2019_03_06_12-21</t>
  </si>
  <si>
    <t>ok_2019_03_11_14-16</t>
  </si>
  <si>
    <t>sr_2019_03_13_13-36</t>
  </si>
  <si>
    <t>DW_2022_01_13_10-30</t>
  </si>
  <si>
    <t>Ke_2022_04_28_10-11</t>
  </si>
  <si>
    <t>eH_2022_06_02_12-18</t>
  </si>
  <si>
    <t>og_2022_07_07_08-53</t>
  </si>
  <si>
    <t>sU_2023_11_10_16-13</t>
  </si>
  <si>
    <t>ph_2023_11_22_16-6</t>
  </si>
  <si>
    <t>Ad_2023_11_22_16-53</t>
  </si>
  <si>
    <t>sb_2023_11_23_09-16</t>
  </si>
  <si>
    <t>Ja_2023_11_29_15-6</t>
  </si>
  <si>
    <t>yw_2023_12_05_12-56</t>
  </si>
  <si>
    <t>BC_2023_12_09_13-13</t>
  </si>
  <si>
    <t>kR_2023_12_13_10-9</t>
  </si>
  <si>
    <t>mN_2023_12_13_17-1</t>
  </si>
  <si>
    <t>hf_2023_12_14_09-5</t>
  </si>
  <si>
    <t>zx_2023_12_14_15-4</t>
  </si>
  <si>
    <t>Vj_2023_12_14_18-12</t>
  </si>
  <si>
    <t>dk_2019_01_30_16-50</t>
  </si>
  <si>
    <t>Hi_2019_01_31_13-24</t>
  </si>
  <si>
    <t>VM_2019_03_05_15-18</t>
  </si>
  <si>
    <t>Mo_2019_03_06_13-30</t>
  </si>
  <si>
    <t>Ib_2019_03_11_12-45</t>
  </si>
  <si>
    <t>Rd_2019_03_12_13-35</t>
  </si>
  <si>
    <t>GS_2019_03_12_14-41</t>
  </si>
  <si>
    <t>Sf_2019_03_13_12-2</t>
  </si>
  <si>
    <t>hn_2022_04_21_09_58</t>
  </si>
  <si>
    <t>rZ_2022_04_28_9-23</t>
  </si>
  <si>
    <t>kc_2022_05_05_11-11</t>
  </si>
  <si>
    <t>el_2022_05_05_12-12</t>
  </si>
  <si>
    <t>HG_2022_05_12_11-12</t>
  </si>
  <si>
    <t>MS_2022_05_26_11-39</t>
  </si>
  <si>
    <t>Hr_2023_11_22_09-21</t>
  </si>
  <si>
    <t>ns_2023_11_22_14-11</t>
  </si>
  <si>
    <t>kB_2023_11_29_14-7</t>
  </si>
  <si>
    <t>Zy_2023_12_09_09-16</t>
  </si>
  <si>
    <t>Kr_2023_12_13_12-49</t>
  </si>
  <si>
    <t>gA_2023_12_13_16-4</t>
  </si>
  <si>
    <t>Ed_2023_12_14_13-54</t>
  </si>
  <si>
    <t>PARTICIP</t>
  </si>
  <si>
    <t>STRATEGY</t>
  </si>
  <si>
    <t>Block1</t>
  </si>
  <si>
    <t>Block2</t>
  </si>
  <si>
    <t>Block3</t>
  </si>
  <si>
    <t>Block4</t>
  </si>
  <si>
    <t>Block5</t>
  </si>
  <si>
    <t>Block6</t>
  </si>
  <si>
    <t>first_two</t>
  </si>
  <si>
    <t>last_two</t>
  </si>
  <si>
    <t>BB_2023_12_07_18-19</t>
  </si>
  <si>
    <t>1 bloque</t>
  </si>
  <si>
    <t>2 bloque</t>
  </si>
  <si>
    <t xml:space="preserve">3 bloque </t>
  </si>
  <si>
    <t xml:space="preserve">4 bloque </t>
  </si>
  <si>
    <t xml:space="preserve">1 bloque </t>
  </si>
  <si>
    <t xml:space="preserve">5 bloque </t>
  </si>
  <si>
    <t xml:space="preserve">6 bloque </t>
  </si>
  <si>
    <t>3 bloque</t>
  </si>
  <si>
    <t>4 bloque</t>
  </si>
  <si>
    <t>5 bloque</t>
  </si>
  <si>
    <t>6 bloque</t>
  </si>
  <si>
    <t xml:space="preserve">2 bloque </t>
  </si>
  <si>
    <t>2 blaque</t>
  </si>
  <si>
    <t>3 bloaque</t>
  </si>
  <si>
    <t xml:space="preserve"> 3 bloque</t>
  </si>
  <si>
    <t xml:space="preserve"> 4 bloque</t>
  </si>
  <si>
    <t xml:space="preserve"> 5 bloque</t>
  </si>
  <si>
    <t>Pirmeros 2bloq</t>
  </si>
  <si>
    <t>Ultimos 2bloq</t>
  </si>
  <si>
    <t>Bloques</t>
  </si>
  <si>
    <t xml:space="preserve">5  bloque </t>
  </si>
  <si>
    <t xml:space="preserve">Primeros 2 bloques </t>
  </si>
  <si>
    <t xml:space="preserve">Ultimos 2 bloques </t>
  </si>
  <si>
    <t>NaN</t>
  </si>
  <si>
    <t>HV_2019_03_05_14-10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</si>
</sst>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222222"/>
      <name val="Arial"/>
      <family val="2"/>
    </font>
    <font>
      <sz val="11"/>
      <color rgb="FF222222"/>
      <name val="&quot;Google Sans&quot;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222222"/>
      <name val="&quot;Google Sans&quot;"/>
    </font>
    <font>
      <b/>
      <sz val="11"/>
      <color rgb="FF222222"/>
      <name val="Google Sans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3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0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10" fillId="0" borderId="4" xfId="0" applyFont="1" applyBorder="1"/>
    <xf numFmtId="0" fontId="11" fillId="0" borderId="4" xfId="0" applyFont="1" applyBorder="1"/>
    <xf numFmtId="0" fontId="10" fillId="0" borderId="0" xfId="0" applyFont="1"/>
    <xf numFmtId="0" fontId="1" fillId="4" borderId="4" xfId="0" applyFont="1" applyFill="1" applyBorder="1"/>
    <xf numFmtId="0" fontId="1" fillId="5" borderId="5" xfId="0" applyFont="1" applyFill="1" applyBorder="1"/>
    <xf numFmtId="0" fontId="1" fillId="5" borderId="0" xfId="0" applyFont="1" applyFill="1"/>
    <xf numFmtId="0" fontId="1" fillId="0" borderId="5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5" xfId="0" applyFont="1" applyFill="1" applyBorder="1" applyAlignment="1">
      <alignment horizontal="right"/>
    </xf>
    <xf numFmtId="0" fontId="1" fillId="4" borderId="0" xfId="0" applyFont="1" applyFill="1"/>
    <xf numFmtId="0" fontId="2" fillId="5" borderId="0" xfId="0" applyFont="1" applyFill="1"/>
    <xf numFmtId="0" fontId="1" fillId="0" borderId="4" xfId="0" applyFont="1" applyBorder="1"/>
    <xf numFmtId="0" fontId="1" fillId="0" borderId="6" xfId="0" applyFont="1" applyBorder="1"/>
    <xf numFmtId="0" fontId="1" fillId="5" borderId="7" xfId="0" applyFont="1" applyFill="1" applyBorder="1"/>
    <xf numFmtId="0" fontId="1" fillId="0" borderId="8" xfId="0" applyFont="1" applyBorder="1"/>
    <xf numFmtId="0" fontId="1" fillId="0" borderId="7" xfId="0" applyFont="1" applyBorder="1"/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1" fillId="6" borderId="0" xfId="0" applyFont="1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0" fontId="12" fillId="0" borderId="0" xfId="0" applyFont="1"/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customschemas.google.com/relationships/workbookmetadata" Target="metadata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>
      <selection activeCell="AC50" sqref="AC50"/>
    </sheetView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12.1640625" customWidth="1"/>
    <col min="5" max="5" width="5.5" customWidth="1"/>
    <col min="6" max="14" width="8.6640625" customWidth="1"/>
    <col min="15" max="15" width="15.33203125" customWidth="1"/>
    <col min="16" max="25" width="8.6640625" customWidth="1"/>
    <col min="26" max="26" width="19" customWidth="1"/>
  </cols>
  <sheetData>
    <row r="1" spans="1:2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>
        <v>1</v>
      </c>
      <c r="I1" s="2">
        <v>151</v>
      </c>
      <c r="J1" s="2">
        <v>7</v>
      </c>
      <c r="K1" s="2">
        <v>0</v>
      </c>
      <c r="L1" s="2">
        <v>1.1559999999999999</v>
      </c>
      <c r="M1" s="2">
        <v>2</v>
      </c>
    </row>
    <row r="2" spans="1:22" ht="14.25" customHeight="1">
      <c r="A2" s="2">
        <v>1</v>
      </c>
      <c r="B2" s="2">
        <v>1</v>
      </c>
      <c r="C2" s="2">
        <v>4</v>
      </c>
      <c r="E2" s="2">
        <v>2.0019999999999998</v>
      </c>
      <c r="H2" s="2">
        <v>1</v>
      </c>
      <c r="I2" s="2">
        <v>152</v>
      </c>
      <c r="J2" s="2">
        <v>4</v>
      </c>
      <c r="K2" s="2">
        <v>0</v>
      </c>
      <c r="L2" s="2">
        <v>1.1619999999999999</v>
      </c>
      <c r="M2" s="2">
        <v>1</v>
      </c>
    </row>
    <row r="3" spans="1:22" ht="14.25" customHeight="1">
      <c r="A3" s="2">
        <v>1</v>
      </c>
      <c r="B3" s="2">
        <v>2</v>
      </c>
      <c r="C3" s="2">
        <v>6</v>
      </c>
      <c r="E3" s="2">
        <v>2.0019999999999998</v>
      </c>
      <c r="H3" s="2">
        <v>1</v>
      </c>
      <c r="I3" s="2">
        <v>153</v>
      </c>
      <c r="J3" s="2">
        <v>2</v>
      </c>
      <c r="K3" s="2">
        <v>0</v>
      </c>
      <c r="L3" s="2">
        <v>1.1439999999999999</v>
      </c>
      <c r="M3" s="2">
        <v>2</v>
      </c>
    </row>
    <row r="4" spans="1:22" ht="14.25" customHeight="1">
      <c r="A4" s="2">
        <v>1</v>
      </c>
      <c r="B4" s="2">
        <v>3</v>
      </c>
      <c r="C4" s="2">
        <v>2</v>
      </c>
      <c r="E4" s="2">
        <v>2.0009999999999999</v>
      </c>
      <c r="H4" s="2">
        <v>1</v>
      </c>
      <c r="I4" s="2">
        <v>154</v>
      </c>
      <c r="J4" s="2">
        <v>5</v>
      </c>
      <c r="K4" s="2">
        <v>1</v>
      </c>
      <c r="L4" s="2">
        <v>0.90400000000000003</v>
      </c>
      <c r="M4" s="2">
        <v>2</v>
      </c>
      <c r="O4" s="2" t="s">
        <v>6</v>
      </c>
    </row>
    <row r="5" spans="1:22" ht="14.25" customHeight="1">
      <c r="A5" s="2">
        <v>1</v>
      </c>
      <c r="B5" s="2">
        <v>4</v>
      </c>
      <c r="C5" s="2">
        <v>3</v>
      </c>
      <c r="E5" s="2">
        <v>2.0009999999999999</v>
      </c>
      <c r="H5" s="2">
        <v>1</v>
      </c>
      <c r="I5" s="2">
        <v>155</v>
      </c>
      <c r="J5" s="2">
        <v>1</v>
      </c>
      <c r="K5" s="2">
        <v>1</v>
      </c>
      <c r="L5" s="2">
        <v>0.999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</v>
      </c>
      <c r="B6" s="2">
        <v>5</v>
      </c>
      <c r="C6" s="2">
        <v>1</v>
      </c>
      <c r="E6" s="2">
        <v>2</v>
      </c>
      <c r="H6" s="2">
        <v>1</v>
      </c>
      <c r="I6" s="2">
        <v>156</v>
      </c>
      <c r="J6" s="2">
        <v>7</v>
      </c>
      <c r="K6" s="2">
        <v>1</v>
      </c>
      <c r="L6" s="2">
        <v>0.77100000000000002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</v>
      </c>
      <c r="B7" s="2">
        <v>6</v>
      </c>
      <c r="C7" s="2">
        <v>3</v>
      </c>
      <c r="E7" s="2">
        <v>2.0009999999999999</v>
      </c>
      <c r="H7" s="2">
        <v>1</v>
      </c>
      <c r="I7" s="2">
        <v>157</v>
      </c>
      <c r="J7" s="2">
        <v>8</v>
      </c>
      <c r="K7" s="2">
        <v>0</v>
      </c>
      <c r="L7" s="2">
        <v>0.97699999999999998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</v>
      </c>
      <c r="B8" s="2">
        <v>7</v>
      </c>
      <c r="C8" s="2">
        <v>6</v>
      </c>
      <c r="E8" s="2">
        <v>2.0009999999999999</v>
      </c>
      <c r="H8" s="2">
        <v>1</v>
      </c>
      <c r="I8" s="2">
        <v>158</v>
      </c>
      <c r="J8" s="2">
        <v>7</v>
      </c>
      <c r="K8" s="2">
        <v>1</v>
      </c>
      <c r="L8" s="2">
        <v>1.238</v>
      </c>
      <c r="M8" s="2">
        <v>1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</v>
      </c>
      <c r="B9" s="2">
        <v>8</v>
      </c>
      <c r="C9" s="2">
        <v>2</v>
      </c>
      <c r="E9" s="2">
        <v>2</v>
      </c>
      <c r="H9" s="2">
        <v>1</v>
      </c>
      <c r="I9" s="2">
        <v>159</v>
      </c>
      <c r="J9" s="2">
        <v>3</v>
      </c>
      <c r="K9" s="2">
        <v>1</v>
      </c>
      <c r="L9" s="2">
        <v>1.361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</v>
      </c>
      <c r="B10" s="2">
        <v>9</v>
      </c>
      <c r="C10" s="2">
        <v>4</v>
      </c>
      <c r="E10" s="2">
        <v>2.0009999999999999</v>
      </c>
      <c r="H10" s="2">
        <v>1</v>
      </c>
      <c r="I10" s="2">
        <v>160</v>
      </c>
      <c r="J10" s="2">
        <v>7</v>
      </c>
      <c r="K10" s="2">
        <v>1</v>
      </c>
      <c r="L10" s="2">
        <v>0.70199999999999996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</v>
      </c>
      <c r="B11" s="2">
        <v>10</v>
      </c>
      <c r="C11" s="2">
        <v>8</v>
      </c>
      <c r="E11" s="2">
        <v>2.0009999999999999</v>
      </c>
      <c r="H11" s="2">
        <v>1</v>
      </c>
      <c r="I11" s="2">
        <v>161</v>
      </c>
      <c r="J11" s="2">
        <v>5</v>
      </c>
      <c r="K11" s="2">
        <v>1</v>
      </c>
      <c r="L11" s="2">
        <v>1.2450000000000001</v>
      </c>
      <c r="M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</v>
      </c>
      <c r="B12" s="2">
        <v>11</v>
      </c>
      <c r="C12" s="2">
        <v>5</v>
      </c>
      <c r="E12" s="2">
        <v>2.0019999999999998</v>
      </c>
      <c r="H12" s="2">
        <v>1</v>
      </c>
      <c r="I12" s="2">
        <v>162</v>
      </c>
      <c r="J12" s="2">
        <v>8</v>
      </c>
      <c r="K12" s="2">
        <v>1</v>
      </c>
      <c r="L12" s="2">
        <v>0.84799999999999998</v>
      </c>
      <c r="M12" s="2">
        <v>2</v>
      </c>
    </row>
    <row r="13" spans="1:22" ht="14.25" customHeight="1">
      <c r="A13" s="2">
        <v>1</v>
      </c>
      <c r="B13" s="2">
        <v>12</v>
      </c>
      <c r="C13" s="2">
        <v>3</v>
      </c>
      <c r="E13" s="2">
        <v>2</v>
      </c>
      <c r="H13" s="2">
        <v>1</v>
      </c>
      <c r="I13" s="2">
        <v>163</v>
      </c>
      <c r="J13" s="2">
        <v>4</v>
      </c>
      <c r="K13" s="2">
        <v>1</v>
      </c>
      <c r="L13" s="2">
        <v>1.1299999999999999</v>
      </c>
      <c r="M13" s="2">
        <v>1</v>
      </c>
    </row>
    <row r="14" spans="1:22" ht="14.25" customHeight="1">
      <c r="A14" s="2">
        <v>1</v>
      </c>
      <c r="B14" s="2">
        <v>13</v>
      </c>
      <c r="C14" s="2">
        <v>4</v>
      </c>
      <c r="E14" s="2">
        <v>2.0009999999999999</v>
      </c>
      <c r="H14" s="2">
        <v>1</v>
      </c>
      <c r="I14" s="2">
        <v>164</v>
      </c>
      <c r="J14" s="2">
        <v>3</v>
      </c>
      <c r="K14" s="2">
        <v>1</v>
      </c>
      <c r="L14" s="2">
        <v>0.79500000000000004</v>
      </c>
      <c r="M14" s="2">
        <v>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</v>
      </c>
      <c r="B15" s="2">
        <v>14</v>
      </c>
      <c r="C15" s="2">
        <v>8</v>
      </c>
      <c r="E15" s="2">
        <v>2</v>
      </c>
      <c r="H15" s="2">
        <v>1</v>
      </c>
      <c r="I15" s="2">
        <v>165</v>
      </c>
      <c r="J15" s="2">
        <v>2</v>
      </c>
      <c r="K15" s="2">
        <v>1</v>
      </c>
      <c r="L15" s="2">
        <v>0.80700000000000005</v>
      </c>
      <c r="M15" s="2">
        <v>2</v>
      </c>
      <c r="O15" s="2" t="s">
        <v>9</v>
      </c>
    </row>
    <row r="16" spans="1:22" ht="14.25" customHeight="1">
      <c r="A16" s="2">
        <v>1</v>
      </c>
      <c r="B16" s="2">
        <v>15</v>
      </c>
      <c r="C16" s="2">
        <v>1</v>
      </c>
      <c r="E16" s="2">
        <v>2.0009999999999999</v>
      </c>
      <c r="H16" s="2">
        <v>1</v>
      </c>
      <c r="I16" s="2">
        <v>166</v>
      </c>
      <c r="J16" s="2">
        <v>3</v>
      </c>
      <c r="K16" s="2">
        <v>1</v>
      </c>
      <c r="L16" s="2">
        <v>1.004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</v>
      </c>
      <c r="B17" s="2">
        <v>16</v>
      </c>
      <c r="C17" s="2">
        <v>3</v>
      </c>
      <c r="D17" s="2">
        <v>0</v>
      </c>
      <c r="E17" s="2">
        <v>0.88500000000000001</v>
      </c>
      <c r="F17" s="2">
        <v>1</v>
      </c>
      <c r="H17" s="2">
        <v>1</v>
      </c>
      <c r="I17" s="2">
        <v>167</v>
      </c>
      <c r="J17" s="2">
        <v>5</v>
      </c>
      <c r="K17" s="2">
        <v>1</v>
      </c>
      <c r="L17" s="2">
        <v>0.82199999999999995</v>
      </c>
      <c r="M17" s="2">
        <v>1</v>
      </c>
      <c r="N17" s="2">
        <v>1</v>
      </c>
      <c r="O17" s="2">
        <f t="shared" ref="O17:O22" si="0">(O6*COUNTIF($J$1:$J$50,O$16) - COUNTIFS($J$1:$J$50,O$16,$K$1:$K$50,"=1"))^2</f>
        <v>0.12250000000000037</v>
      </c>
      <c r="P17" s="2">
        <f t="shared" ref="P17:P22" si="1">(P6*COUNTIF($J$1:$J$100,P$16) - COUNTIFS($J$1:$J$100,P$16,$K$1:$K$100,"=0"))^2</f>
        <v>2.8899999999999997</v>
      </c>
      <c r="Q17" s="2">
        <f t="shared" ref="Q17:Q22" si="2">(Q6*COUNTIF($J$1:$J$100,Q$16) - COUNTIFS($J$1:$J$100,Q$16,$K$1:$K$100,"=1"))^2</f>
        <v>2.7224999999999984</v>
      </c>
      <c r="R17" s="2">
        <f t="shared" ref="R17:R22" si="3">(R6*COUNTIF($J$1:$J$100,R$16) - COUNTIFS($J$1:$J$100,R$16,$K$1:$K$100,"=0"))^2</f>
        <v>0.48999999999999994</v>
      </c>
      <c r="S17" s="2">
        <f t="shared" ref="S17:T17" si="4">(S6*COUNTIF($J$1:$J$100,S$16) - COUNTIFS($J$1:$J$100,S$16,$K$1:$K$100,"=1"))^2</f>
        <v>9.0000000000000427E-2</v>
      </c>
      <c r="T17" s="2">
        <f t="shared" si="4"/>
        <v>0.48999999999999899</v>
      </c>
      <c r="U17" s="2">
        <f t="shared" ref="U17:V17" si="5">(U6*COUNTIF($J$1:$J$100,U$16) - COUNTIFS($J$1:$J$100,U$16,$K$1:$K$100,"=0"))^2</f>
        <v>0.48999999999999994</v>
      </c>
      <c r="V17" s="2">
        <f t="shared" si="5"/>
        <v>0.48999999999999994</v>
      </c>
    </row>
    <row r="18" spans="1:22" ht="14.25" customHeight="1">
      <c r="A18" s="2">
        <v>1</v>
      </c>
      <c r="B18" s="2">
        <v>17</v>
      </c>
      <c r="C18" s="2">
        <v>7</v>
      </c>
      <c r="D18" s="2">
        <v>1</v>
      </c>
      <c r="E18" s="2">
        <v>1.58</v>
      </c>
      <c r="F18" s="2">
        <v>1</v>
      </c>
      <c r="H18" s="2">
        <v>1</v>
      </c>
      <c r="I18" s="2">
        <v>168</v>
      </c>
      <c r="J18" s="2">
        <v>8</v>
      </c>
      <c r="K18" s="2">
        <v>1</v>
      </c>
      <c r="L18" s="2">
        <v>1.0029999999999999</v>
      </c>
      <c r="M18" s="2">
        <v>1</v>
      </c>
      <c r="N18" s="2">
        <v>2</v>
      </c>
      <c r="O18" s="2">
        <f t="shared" si="0"/>
        <v>0.12250000000000037</v>
      </c>
      <c r="P18" s="2">
        <f t="shared" si="1"/>
        <v>13.689999999999994</v>
      </c>
      <c r="Q18" s="2">
        <f t="shared" si="2"/>
        <v>21.622500000000002</v>
      </c>
      <c r="R18" s="2">
        <f t="shared" si="3"/>
        <v>0.48999999999999994</v>
      </c>
      <c r="S18" s="2">
        <f t="shared" ref="S18:T18" si="6">(S7*COUNTIF($J$1:$J$100,S$16) - COUNTIFS($J$1:$J$100,S$16,$K$1:$K$100,"=1"))^2</f>
        <v>9.0000000000000427E-2</v>
      </c>
      <c r="T18" s="2">
        <f t="shared" si="6"/>
        <v>0.48999999999999899</v>
      </c>
      <c r="U18" s="2">
        <f t="shared" ref="U18:V18" si="7">(U7*COUNTIF($J$1:$J$100,U$16) - COUNTIFS($J$1:$J$100,U$16,$K$1:$K$100,"=0"))^2</f>
        <v>0.48999999999999994</v>
      </c>
      <c r="V18" s="2">
        <f t="shared" si="7"/>
        <v>0.48999999999999994</v>
      </c>
    </row>
    <row r="19" spans="1:22" ht="14.25" customHeight="1">
      <c r="A19" s="2">
        <v>1</v>
      </c>
      <c r="B19" s="2">
        <v>18</v>
      </c>
      <c r="C19" s="2">
        <v>4</v>
      </c>
      <c r="D19" s="2">
        <v>0</v>
      </c>
      <c r="E19" s="2">
        <v>0.81</v>
      </c>
      <c r="F19" s="2">
        <v>2</v>
      </c>
      <c r="H19" s="2">
        <v>1</v>
      </c>
      <c r="I19" s="2">
        <v>169</v>
      </c>
      <c r="J19" s="2">
        <v>6</v>
      </c>
      <c r="K19" s="2">
        <v>1</v>
      </c>
      <c r="L19" s="2">
        <v>0.79</v>
      </c>
      <c r="M19" s="2">
        <v>2</v>
      </c>
      <c r="N19" s="2">
        <v>3</v>
      </c>
      <c r="O19" s="2">
        <f t="shared" si="0"/>
        <v>0.12250000000000037</v>
      </c>
      <c r="P19" s="2">
        <f t="shared" si="1"/>
        <v>2.8899999999999997</v>
      </c>
      <c r="Q19" s="2">
        <f t="shared" si="2"/>
        <v>2.7224999999999984</v>
      </c>
      <c r="R19" s="2">
        <f t="shared" si="3"/>
        <v>0.48999999999999994</v>
      </c>
      <c r="S19" s="2">
        <f t="shared" ref="S19:T19" si="8">(S8*COUNTIF($J$1:$J$100,S$16) - COUNTIFS($J$1:$J$100,S$16,$K$1:$K$100,"=1"))^2</f>
        <v>9.0000000000000427E-2</v>
      </c>
      <c r="T19" s="2">
        <f t="shared" si="8"/>
        <v>22.090000000000003</v>
      </c>
      <c r="U19" s="2">
        <f t="shared" ref="U19:V19" si="9">(U8*COUNTIF($J$1:$J$100,U$16) - COUNTIFS($J$1:$J$100,U$16,$K$1:$K$100,"=0"))^2</f>
        <v>22.089999999999993</v>
      </c>
      <c r="V19" s="2">
        <f t="shared" si="9"/>
        <v>0.48999999999999994</v>
      </c>
    </row>
    <row r="20" spans="1:22" ht="14.25" customHeight="1">
      <c r="A20" s="2">
        <v>1</v>
      </c>
      <c r="B20" s="2">
        <v>19</v>
      </c>
      <c r="C20" s="2">
        <v>3</v>
      </c>
      <c r="D20" s="2">
        <v>0</v>
      </c>
      <c r="E20" s="2">
        <v>1.39</v>
      </c>
      <c r="F20" s="2">
        <v>1</v>
      </c>
      <c r="H20" s="2">
        <v>1</v>
      </c>
      <c r="I20" s="2">
        <v>170</v>
      </c>
      <c r="J20" s="2">
        <v>5</v>
      </c>
      <c r="K20" s="2">
        <v>1</v>
      </c>
      <c r="L20" s="2">
        <v>0.86599999999999999</v>
      </c>
      <c r="M20" s="2">
        <v>1</v>
      </c>
      <c r="N20" s="2">
        <v>4</v>
      </c>
      <c r="O20" s="2">
        <f t="shared" si="0"/>
        <v>12.25</v>
      </c>
      <c r="P20" s="2">
        <f t="shared" si="1"/>
        <v>1</v>
      </c>
      <c r="Q20" s="2">
        <f t="shared" si="2"/>
        <v>2.25</v>
      </c>
      <c r="R20" s="2">
        <f t="shared" si="3"/>
        <v>4</v>
      </c>
      <c r="S20" s="2">
        <f t="shared" ref="S20:T20" si="10">(S9*COUNTIF($J$1:$J$100,S$16) - COUNTIFS($J$1:$J$100,S$16,$K$1:$K$100,"=1"))^2</f>
        <v>9.0000000000000427E-2</v>
      </c>
      <c r="T20" s="2">
        <f t="shared" si="10"/>
        <v>0.48999999999999899</v>
      </c>
      <c r="U20" s="2">
        <f t="shared" ref="U20:V20" si="11">(U9*COUNTIF($J$1:$J$100,U$16) - COUNTIFS($J$1:$J$100,U$16,$K$1:$K$100,"=0"))^2</f>
        <v>0.48999999999999994</v>
      </c>
      <c r="V20" s="2">
        <f t="shared" si="11"/>
        <v>0.48999999999999994</v>
      </c>
    </row>
    <row r="21" spans="1:22" ht="14.25" customHeight="1">
      <c r="A21" s="2">
        <v>1</v>
      </c>
      <c r="B21" s="2">
        <v>20</v>
      </c>
      <c r="C21" s="2">
        <v>8</v>
      </c>
      <c r="D21" s="2">
        <v>0</v>
      </c>
      <c r="E21" s="2">
        <v>1.321</v>
      </c>
      <c r="F21" s="2">
        <v>2</v>
      </c>
      <c r="H21" s="2">
        <v>1</v>
      </c>
      <c r="I21" s="2">
        <v>171</v>
      </c>
      <c r="J21" s="2">
        <v>8</v>
      </c>
      <c r="K21" s="2">
        <v>1</v>
      </c>
      <c r="L21" s="2">
        <v>1.18</v>
      </c>
      <c r="M21" s="2">
        <v>1</v>
      </c>
      <c r="N21" s="2">
        <v>5</v>
      </c>
      <c r="O21" s="2">
        <f t="shared" si="0"/>
        <v>0.12250000000000037</v>
      </c>
      <c r="P21" s="2">
        <f t="shared" si="1"/>
        <v>2.8899999999999997</v>
      </c>
      <c r="Q21" s="2">
        <f t="shared" si="2"/>
        <v>2.7224999999999984</v>
      </c>
      <c r="R21" s="2">
        <f t="shared" si="3"/>
        <v>0.48999999999999994</v>
      </c>
      <c r="S21" s="2">
        <f t="shared" ref="S21:T21" si="12">(S10*COUNTIF($J$1:$J$100,S$16) - COUNTIFS($J$1:$J$100,S$16,$K$1:$K$100,"=1"))^2</f>
        <v>9</v>
      </c>
      <c r="T21" s="2">
        <f t="shared" si="12"/>
        <v>4</v>
      </c>
      <c r="U21" s="2">
        <f t="shared" ref="U21:V21" si="13">(U10*COUNTIF($J$1:$J$100,U$16) - COUNTIFS($J$1:$J$100,U$16,$K$1:$K$100,"=0"))^2</f>
        <v>4</v>
      </c>
      <c r="V21" s="2">
        <f t="shared" si="13"/>
        <v>4</v>
      </c>
    </row>
    <row r="22" spans="1:22" ht="14.25" customHeight="1">
      <c r="A22" s="2">
        <v>1</v>
      </c>
      <c r="B22" s="2">
        <v>21</v>
      </c>
      <c r="C22" s="2">
        <v>4</v>
      </c>
      <c r="D22" s="2">
        <v>0</v>
      </c>
      <c r="E22" s="2">
        <v>1.1759999999999999</v>
      </c>
      <c r="F22" s="2">
        <v>2</v>
      </c>
      <c r="H22" s="2">
        <v>1</v>
      </c>
      <c r="I22" s="2">
        <v>172</v>
      </c>
      <c r="J22" s="2">
        <v>6</v>
      </c>
      <c r="K22" s="2">
        <v>1</v>
      </c>
      <c r="L22" s="2">
        <v>1.0660000000000001</v>
      </c>
      <c r="M22" s="2">
        <v>2</v>
      </c>
      <c r="N22" s="2">
        <v>6</v>
      </c>
      <c r="O22" s="2">
        <f t="shared" si="0"/>
        <v>12.25</v>
      </c>
      <c r="P22" s="2">
        <f t="shared" si="1"/>
        <v>1</v>
      </c>
      <c r="Q22" s="2">
        <f t="shared" si="2"/>
        <v>2.25</v>
      </c>
      <c r="R22" s="2">
        <f t="shared" si="3"/>
        <v>4</v>
      </c>
      <c r="S22" s="2">
        <f t="shared" ref="S22:T22" si="14">(S11*COUNTIF($J$1:$J$100,S$16) - COUNTIFS($J$1:$J$100,S$16,$K$1:$K$100,"=1"))^2</f>
        <v>9</v>
      </c>
      <c r="T22" s="2">
        <f t="shared" si="14"/>
        <v>4</v>
      </c>
      <c r="U22" s="2">
        <f t="shared" ref="U22:V22" si="15">(U11*COUNTIF($J$1:$J$100,U$16) - COUNTIFS($J$1:$J$100,U$16,$K$1:$K$100,"=0"))^2</f>
        <v>4</v>
      </c>
      <c r="V22" s="2">
        <f t="shared" si="15"/>
        <v>4</v>
      </c>
    </row>
    <row r="23" spans="1:22" ht="14.25" customHeight="1">
      <c r="A23" s="2">
        <v>1</v>
      </c>
      <c r="B23" s="2">
        <v>22</v>
      </c>
      <c r="C23" s="2">
        <v>1</v>
      </c>
      <c r="D23" s="2">
        <v>0</v>
      </c>
      <c r="E23" s="2">
        <v>1.502</v>
      </c>
      <c r="F23" s="2">
        <v>1</v>
      </c>
      <c r="H23" s="2">
        <v>1</v>
      </c>
      <c r="I23" s="2">
        <v>173</v>
      </c>
      <c r="J23" s="2">
        <v>5</v>
      </c>
      <c r="K23" s="2">
        <v>1</v>
      </c>
      <c r="L23" s="2">
        <v>0.83499999999999996</v>
      </c>
      <c r="M23" s="2">
        <v>2</v>
      </c>
    </row>
    <row r="24" spans="1:22" ht="14.25" customHeight="1">
      <c r="A24" s="2">
        <v>1</v>
      </c>
      <c r="B24" s="2">
        <v>23</v>
      </c>
      <c r="C24" s="2">
        <v>3</v>
      </c>
      <c r="D24" s="2">
        <v>1</v>
      </c>
      <c r="E24" s="2">
        <v>1.2390000000000001</v>
      </c>
      <c r="F24" s="2">
        <v>2</v>
      </c>
      <c r="H24" s="2">
        <v>1</v>
      </c>
      <c r="I24" s="2">
        <v>174</v>
      </c>
      <c r="J24" s="2">
        <v>1</v>
      </c>
      <c r="K24" s="2">
        <v>1</v>
      </c>
      <c r="L24" s="2">
        <v>0.78300000000000003</v>
      </c>
      <c r="M24" s="2">
        <v>2</v>
      </c>
    </row>
    <row r="25" spans="1:22" ht="14.25" customHeight="1">
      <c r="A25" s="2">
        <v>1</v>
      </c>
      <c r="B25" s="2">
        <v>24</v>
      </c>
      <c r="C25" s="2">
        <v>1</v>
      </c>
      <c r="D25" s="2">
        <v>0</v>
      </c>
      <c r="E25" s="2">
        <v>1.4990000000000001</v>
      </c>
      <c r="F25" s="2">
        <v>1</v>
      </c>
      <c r="H25" s="2">
        <v>1</v>
      </c>
      <c r="I25" s="2">
        <v>175</v>
      </c>
      <c r="J25" s="2">
        <v>3</v>
      </c>
      <c r="K25" s="2">
        <v>0</v>
      </c>
      <c r="L25" s="2">
        <v>1.3160000000000001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</v>
      </c>
      <c r="B26" s="2">
        <v>25</v>
      </c>
      <c r="C26" s="2">
        <v>6</v>
      </c>
      <c r="D26" s="2">
        <v>0</v>
      </c>
      <c r="E26" s="2">
        <v>1.825</v>
      </c>
      <c r="F26" s="2">
        <v>1</v>
      </c>
      <c r="H26" s="2">
        <v>1</v>
      </c>
      <c r="I26" s="2">
        <v>176</v>
      </c>
      <c r="J26" s="2">
        <v>2</v>
      </c>
      <c r="K26" s="2">
        <v>1</v>
      </c>
      <c r="L26" s="2">
        <v>1.532</v>
      </c>
      <c r="M26" s="2">
        <v>2</v>
      </c>
      <c r="O26" s="2">
        <f t="shared" ref="O26:V26" si="16">COUNTIF($J$1:$J$100,O$16)^2</f>
        <v>49</v>
      </c>
      <c r="P26" s="2">
        <f t="shared" si="16"/>
        <v>36</v>
      </c>
      <c r="Q26" s="2">
        <f t="shared" si="16"/>
        <v>49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1</v>
      </c>
      <c r="B27" s="2">
        <v>26</v>
      </c>
      <c r="C27" s="2">
        <v>5</v>
      </c>
      <c r="D27" s="2">
        <v>1</v>
      </c>
      <c r="E27" s="2">
        <v>1.581</v>
      </c>
      <c r="F27" s="2">
        <v>2</v>
      </c>
      <c r="H27" s="2">
        <v>1</v>
      </c>
      <c r="I27" s="2">
        <v>177</v>
      </c>
      <c r="J27" s="2">
        <v>3</v>
      </c>
      <c r="K27" s="2">
        <v>0</v>
      </c>
      <c r="L27" s="2">
        <v>1.1870000000000001</v>
      </c>
      <c r="M27" s="2">
        <v>1</v>
      </c>
    </row>
    <row r="28" spans="1:22" ht="14.25" customHeight="1">
      <c r="A28" s="2">
        <v>1</v>
      </c>
      <c r="B28" s="2">
        <v>27</v>
      </c>
      <c r="C28" s="2">
        <v>6</v>
      </c>
      <c r="D28" s="2">
        <v>0</v>
      </c>
      <c r="E28" s="2">
        <v>1.2250000000000001</v>
      </c>
      <c r="F28" s="2">
        <v>1</v>
      </c>
      <c r="H28" s="2">
        <v>1</v>
      </c>
      <c r="I28" s="2">
        <v>178</v>
      </c>
      <c r="J28" s="2">
        <v>1</v>
      </c>
      <c r="K28" s="2">
        <v>1</v>
      </c>
      <c r="L28" s="2">
        <v>1.1439999999999999</v>
      </c>
      <c r="M28" s="2">
        <v>2</v>
      </c>
    </row>
    <row r="29" spans="1:22" ht="14.25" customHeight="1">
      <c r="A29" s="2">
        <v>1</v>
      </c>
      <c r="B29" s="2">
        <v>28</v>
      </c>
      <c r="C29" s="2">
        <v>5</v>
      </c>
      <c r="E29" s="2">
        <v>2.0009999999999999</v>
      </c>
      <c r="H29" s="2">
        <v>1</v>
      </c>
      <c r="I29" s="2">
        <v>179</v>
      </c>
      <c r="J29" s="2">
        <v>3</v>
      </c>
      <c r="K29" s="2">
        <v>1</v>
      </c>
      <c r="L29" s="2">
        <v>0.88700000000000001</v>
      </c>
      <c r="M29" s="2">
        <v>1</v>
      </c>
    </row>
    <row r="30" spans="1:22" ht="14.25" customHeight="1">
      <c r="A30" s="2">
        <v>1</v>
      </c>
      <c r="B30" s="2">
        <v>29</v>
      </c>
      <c r="C30" s="2">
        <v>7</v>
      </c>
      <c r="D30" s="2">
        <v>0</v>
      </c>
      <c r="E30" s="2">
        <v>1.2170000000000001</v>
      </c>
      <c r="F30" s="2">
        <v>2</v>
      </c>
      <c r="H30" s="2">
        <v>1</v>
      </c>
      <c r="I30" s="2">
        <v>180</v>
      </c>
      <c r="J30" s="2">
        <v>2</v>
      </c>
      <c r="K30" s="2">
        <v>1</v>
      </c>
      <c r="L30" s="2">
        <v>1.119</v>
      </c>
      <c r="M30" s="2">
        <v>2</v>
      </c>
    </row>
    <row r="31" spans="1:22" ht="14.25" customHeight="1">
      <c r="A31" s="2">
        <v>1</v>
      </c>
      <c r="B31" s="2">
        <v>30</v>
      </c>
      <c r="C31" s="2">
        <v>1</v>
      </c>
      <c r="D31" s="2">
        <v>1</v>
      </c>
      <c r="E31" s="2">
        <v>1.8680000000000001</v>
      </c>
      <c r="F31" s="2">
        <v>2</v>
      </c>
      <c r="H31" s="2">
        <v>1</v>
      </c>
      <c r="I31" s="2">
        <v>181</v>
      </c>
      <c r="J31" s="2">
        <v>5</v>
      </c>
      <c r="K31" s="2">
        <v>1</v>
      </c>
      <c r="L31" s="2">
        <v>1.0620000000000001</v>
      </c>
      <c r="M31" s="2">
        <v>2</v>
      </c>
      <c r="N31" s="2">
        <v>1</v>
      </c>
      <c r="O31" s="2">
        <f t="shared" ref="O31:O36" si="17">SUM(O17:V17)/(SUM($O$26:$V$26))</f>
        <v>2.4792993630573246E-2</v>
      </c>
    </row>
    <row r="32" spans="1:22" ht="14.25" customHeight="1">
      <c r="A32" s="2">
        <v>1</v>
      </c>
      <c r="B32" s="2">
        <v>31</v>
      </c>
      <c r="C32" s="2">
        <v>5</v>
      </c>
      <c r="D32" s="2">
        <v>1</v>
      </c>
      <c r="E32" s="2">
        <v>1.3180000000000001</v>
      </c>
      <c r="F32" s="2">
        <v>2</v>
      </c>
      <c r="H32" s="2">
        <v>1</v>
      </c>
      <c r="I32" s="2">
        <v>182</v>
      </c>
      <c r="J32" s="2">
        <v>6</v>
      </c>
      <c r="K32" s="2">
        <v>0</v>
      </c>
      <c r="L32" s="2">
        <v>1.032</v>
      </c>
      <c r="M32" s="2">
        <v>1</v>
      </c>
      <c r="N32" s="2">
        <v>2</v>
      </c>
      <c r="O32" s="2">
        <f t="shared" si="17"/>
        <v>0.11937898089171976</v>
      </c>
    </row>
    <row r="33" spans="1:15" ht="14.25" customHeight="1">
      <c r="A33" s="2">
        <v>1</v>
      </c>
      <c r="B33" s="2">
        <v>32</v>
      </c>
      <c r="C33" s="2">
        <v>6</v>
      </c>
      <c r="D33" s="2">
        <v>1</v>
      </c>
      <c r="E33" s="2">
        <v>1.806</v>
      </c>
      <c r="F33" s="2">
        <v>2</v>
      </c>
      <c r="H33" s="2">
        <v>1</v>
      </c>
      <c r="I33" s="2">
        <v>183</v>
      </c>
      <c r="J33" s="2">
        <v>4</v>
      </c>
      <c r="K33" s="2">
        <v>1</v>
      </c>
      <c r="L33" s="2">
        <v>0.82</v>
      </c>
      <c r="M33" s="2">
        <v>1</v>
      </c>
      <c r="N33" s="2">
        <v>3</v>
      </c>
      <c r="O33" s="2">
        <f t="shared" si="17"/>
        <v>0.16237261146496812</v>
      </c>
    </row>
    <row r="34" spans="1:15" ht="14.25" customHeight="1">
      <c r="A34" s="2">
        <v>1</v>
      </c>
      <c r="B34" s="2">
        <v>33</v>
      </c>
      <c r="C34" s="2">
        <v>7</v>
      </c>
      <c r="D34" s="2">
        <v>0</v>
      </c>
      <c r="E34" s="2">
        <v>1.097</v>
      </c>
      <c r="F34" s="2">
        <v>2</v>
      </c>
      <c r="H34" s="2">
        <v>1</v>
      </c>
      <c r="I34" s="2">
        <v>184</v>
      </c>
      <c r="J34" s="2">
        <v>1</v>
      </c>
      <c r="K34" s="2">
        <v>1</v>
      </c>
      <c r="L34" s="2">
        <v>0.90400000000000003</v>
      </c>
      <c r="M34" s="2">
        <v>2</v>
      </c>
      <c r="N34" s="2">
        <v>4</v>
      </c>
      <c r="O34" s="2">
        <f t="shared" si="17"/>
        <v>6.7070063694267504E-2</v>
      </c>
    </row>
    <row r="35" spans="1:15" ht="14.25" customHeight="1">
      <c r="A35" s="2">
        <v>1</v>
      </c>
      <c r="B35" s="2">
        <v>34</v>
      </c>
      <c r="C35" s="2">
        <v>1</v>
      </c>
      <c r="D35" s="2">
        <v>1</v>
      </c>
      <c r="E35" s="2">
        <v>1.516</v>
      </c>
      <c r="F35" s="2">
        <v>2</v>
      </c>
      <c r="H35" s="2">
        <v>1</v>
      </c>
      <c r="I35" s="2">
        <v>185</v>
      </c>
      <c r="J35" s="2">
        <v>7</v>
      </c>
      <c r="K35" s="2">
        <v>1</v>
      </c>
      <c r="L35" s="2">
        <v>0.93500000000000005</v>
      </c>
      <c r="M35" s="2">
        <v>1</v>
      </c>
      <c r="N35" s="2">
        <v>5</v>
      </c>
      <c r="O35" s="2">
        <f t="shared" si="17"/>
        <v>8.670382165605095E-2</v>
      </c>
    </row>
    <row r="36" spans="1:15" ht="14.25" customHeight="1">
      <c r="A36" s="2">
        <v>1</v>
      </c>
      <c r="B36" s="2">
        <v>35</v>
      </c>
      <c r="C36" s="2">
        <v>2</v>
      </c>
      <c r="D36" s="2">
        <v>1</v>
      </c>
      <c r="E36" s="2">
        <v>0.99399999999999999</v>
      </c>
      <c r="F36" s="2">
        <v>1</v>
      </c>
      <c r="H36" s="2">
        <v>1</v>
      </c>
      <c r="I36" s="2">
        <v>186</v>
      </c>
      <c r="J36" s="2">
        <v>2</v>
      </c>
      <c r="K36" s="2">
        <v>1</v>
      </c>
      <c r="L36" s="2">
        <v>0.63800000000000001</v>
      </c>
      <c r="M36" s="2">
        <v>1</v>
      </c>
      <c r="N36" s="2">
        <v>6</v>
      </c>
      <c r="O36" s="2">
        <f t="shared" si="17"/>
        <v>0.12898089171974522</v>
      </c>
    </row>
    <row r="37" spans="1:15" ht="14.25" customHeight="1">
      <c r="A37" s="2">
        <v>1</v>
      </c>
      <c r="B37" s="2">
        <v>36</v>
      </c>
      <c r="C37" s="2">
        <v>7</v>
      </c>
      <c r="D37" s="2">
        <v>0</v>
      </c>
      <c r="E37" s="2">
        <v>1.2709999999999999</v>
      </c>
      <c r="F37" s="2">
        <v>2</v>
      </c>
      <c r="H37" s="2">
        <v>1</v>
      </c>
      <c r="I37" s="2">
        <v>187</v>
      </c>
      <c r="J37" s="2">
        <v>6</v>
      </c>
      <c r="K37" s="2">
        <v>1</v>
      </c>
      <c r="L37" s="2">
        <v>0.55300000000000005</v>
      </c>
      <c r="M37" s="2">
        <v>1</v>
      </c>
    </row>
    <row r="38" spans="1:15" ht="14.25" customHeight="1">
      <c r="A38" s="2">
        <v>1</v>
      </c>
      <c r="B38" s="2">
        <v>37</v>
      </c>
      <c r="C38" s="2">
        <v>8</v>
      </c>
      <c r="D38" s="2">
        <v>0</v>
      </c>
      <c r="E38" s="2">
        <v>1.625</v>
      </c>
      <c r="F38" s="2">
        <v>2</v>
      </c>
      <c r="H38" s="2">
        <v>1</v>
      </c>
      <c r="I38" s="2">
        <v>188</v>
      </c>
      <c r="J38" s="2">
        <v>4</v>
      </c>
      <c r="K38" s="2">
        <v>1</v>
      </c>
      <c r="L38" s="2">
        <v>0.88800000000000001</v>
      </c>
      <c r="M38" s="2">
        <v>1</v>
      </c>
    </row>
    <row r="39" spans="1:15" ht="14.25" customHeight="1">
      <c r="A39" s="2">
        <v>1</v>
      </c>
      <c r="B39" s="2">
        <v>38</v>
      </c>
      <c r="C39" s="2">
        <v>2</v>
      </c>
      <c r="D39" s="2">
        <v>0</v>
      </c>
      <c r="E39" s="2">
        <v>1.891</v>
      </c>
      <c r="F39" s="2">
        <v>2</v>
      </c>
      <c r="H39" s="2">
        <v>1</v>
      </c>
      <c r="I39" s="2">
        <v>189</v>
      </c>
      <c r="J39" s="2">
        <v>6</v>
      </c>
      <c r="K39" s="2">
        <v>1</v>
      </c>
      <c r="L39" s="2">
        <v>0.76800000000000002</v>
      </c>
      <c r="M39" s="2">
        <v>1</v>
      </c>
    </row>
    <row r="40" spans="1:15" ht="14.25" customHeight="1">
      <c r="A40" s="2">
        <v>1</v>
      </c>
      <c r="B40" s="2">
        <v>39</v>
      </c>
      <c r="C40" s="2">
        <v>7</v>
      </c>
      <c r="D40" s="2">
        <v>1</v>
      </c>
      <c r="E40" s="2">
        <v>1.8129999999999999</v>
      </c>
      <c r="F40" s="2">
        <v>1</v>
      </c>
      <c r="H40" s="2">
        <v>1</v>
      </c>
      <c r="I40" s="2">
        <v>190</v>
      </c>
      <c r="J40" s="2">
        <v>4</v>
      </c>
      <c r="K40" s="2">
        <v>1</v>
      </c>
      <c r="L40" s="2">
        <v>0.878</v>
      </c>
      <c r="M40" s="2">
        <v>2</v>
      </c>
    </row>
    <row r="41" spans="1:15" ht="14.25" customHeight="1">
      <c r="A41" s="2">
        <v>1</v>
      </c>
      <c r="B41" s="2">
        <v>40</v>
      </c>
      <c r="C41" s="2">
        <v>1</v>
      </c>
      <c r="D41" s="2">
        <v>1</v>
      </c>
      <c r="E41" s="2">
        <v>1.5840000000000001</v>
      </c>
      <c r="F41" s="2">
        <v>2</v>
      </c>
      <c r="H41" s="2">
        <v>1</v>
      </c>
      <c r="I41" s="2">
        <v>191</v>
      </c>
      <c r="J41" s="2">
        <v>3</v>
      </c>
      <c r="K41" s="2">
        <v>1</v>
      </c>
      <c r="L41" s="2">
        <v>0.95099999999999996</v>
      </c>
      <c r="M41" s="2">
        <v>1</v>
      </c>
    </row>
    <row r="42" spans="1:15" ht="14.25" customHeight="1">
      <c r="A42" s="2">
        <v>1</v>
      </c>
      <c r="B42" s="2">
        <v>41</v>
      </c>
      <c r="C42" s="2">
        <v>8</v>
      </c>
      <c r="D42" s="2">
        <v>1</v>
      </c>
      <c r="E42" s="2">
        <v>0.70099999999999996</v>
      </c>
      <c r="F42" s="2">
        <v>1</v>
      </c>
      <c r="H42" s="2">
        <v>1</v>
      </c>
      <c r="I42" s="2">
        <v>192</v>
      </c>
      <c r="J42" s="2">
        <v>4</v>
      </c>
      <c r="K42" s="2">
        <v>1</v>
      </c>
      <c r="L42" s="2">
        <v>1.2869999999999999</v>
      </c>
      <c r="M42" s="2">
        <v>2</v>
      </c>
    </row>
    <row r="43" spans="1:15" ht="14.25" customHeight="1">
      <c r="A43" s="2">
        <v>1</v>
      </c>
      <c r="B43" s="2">
        <v>42</v>
      </c>
      <c r="C43" s="2">
        <v>5</v>
      </c>
      <c r="E43" s="2">
        <v>2.0009999999999999</v>
      </c>
      <c r="H43" s="2">
        <v>1</v>
      </c>
      <c r="I43" s="2">
        <v>193</v>
      </c>
      <c r="J43" s="2">
        <v>7</v>
      </c>
      <c r="K43" s="2">
        <v>1</v>
      </c>
      <c r="L43" s="2">
        <v>0.99</v>
      </c>
      <c r="M43" s="2">
        <v>1</v>
      </c>
    </row>
    <row r="44" spans="1:15" ht="14.25" customHeight="1">
      <c r="A44" s="2">
        <v>1</v>
      </c>
      <c r="B44" s="2">
        <v>43</v>
      </c>
      <c r="C44" s="2">
        <v>2</v>
      </c>
      <c r="D44" s="2">
        <v>0</v>
      </c>
      <c r="E44" s="2">
        <v>0.93</v>
      </c>
      <c r="F44" s="2">
        <v>2</v>
      </c>
      <c r="H44" s="2">
        <v>1</v>
      </c>
      <c r="I44" s="2">
        <v>194</v>
      </c>
      <c r="J44" s="2">
        <v>1</v>
      </c>
      <c r="K44" s="2">
        <v>1</v>
      </c>
      <c r="L44" s="2">
        <v>0.69899999999999995</v>
      </c>
      <c r="M44" s="2">
        <v>1</v>
      </c>
    </row>
    <row r="45" spans="1:15" ht="14.25" customHeight="1">
      <c r="A45" s="2">
        <v>1</v>
      </c>
      <c r="B45" s="2">
        <v>44</v>
      </c>
      <c r="C45" s="2">
        <v>7</v>
      </c>
      <c r="E45" s="2">
        <v>2</v>
      </c>
      <c r="H45" s="2">
        <v>1</v>
      </c>
      <c r="I45" s="2">
        <v>195</v>
      </c>
      <c r="J45" s="2">
        <v>6</v>
      </c>
      <c r="K45" s="2">
        <v>1</v>
      </c>
      <c r="L45" s="2">
        <v>1.083</v>
      </c>
      <c r="M45" s="2">
        <v>1</v>
      </c>
    </row>
    <row r="46" spans="1:15" ht="14.25" customHeight="1">
      <c r="A46" s="2">
        <v>1</v>
      </c>
      <c r="B46" s="2">
        <v>45</v>
      </c>
      <c r="C46" s="2">
        <v>4</v>
      </c>
      <c r="D46" s="2">
        <v>1</v>
      </c>
      <c r="E46" s="2">
        <v>1.7090000000000001</v>
      </c>
      <c r="F46" s="2">
        <v>1</v>
      </c>
      <c r="H46" s="2">
        <v>1</v>
      </c>
      <c r="I46" s="2">
        <v>196</v>
      </c>
      <c r="J46" s="2">
        <v>8</v>
      </c>
      <c r="K46" s="2">
        <v>1</v>
      </c>
      <c r="L46" s="2">
        <v>1.3160000000000001</v>
      </c>
      <c r="M46" s="2">
        <v>2</v>
      </c>
    </row>
    <row r="47" spans="1:15" ht="14.25" customHeight="1">
      <c r="A47" s="2">
        <v>1</v>
      </c>
      <c r="B47" s="2">
        <v>46</v>
      </c>
      <c r="C47" s="2">
        <v>5</v>
      </c>
      <c r="D47" s="2">
        <v>1</v>
      </c>
      <c r="E47" s="2">
        <v>1.518</v>
      </c>
      <c r="F47" s="2">
        <v>2</v>
      </c>
      <c r="H47" s="2">
        <v>1</v>
      </c>
      <c r="I47" s="2">
        <v>197</v>
      </c>
      <c r="J47" s="2">
        <v>2</v>
      </c>
      <c r="K47" s="2">
        <v>0</v>
      </c>
      <c r="L47" s="2">
        <v>1.133</v>
      </c>
      <c r="M47" s="2">
        <v>1</v>
      </c>
    </row>
    <row r="48" spans="1:15" ht="14.25" customHeight="1">
      <c r="A48" s="2">
        <v>1</v>
      </c>
      <c r="B48" s="2">
        <v>47</v>
      </c>
      <c r="C48" s="2">
        <v>6</v>
      </c>
      <c r="D48" s="2">
        <v>0</v>
      </c>
      <c r="E48" s="2">
        <v>0.76500000000000001</v>
      </c>
      <c r="F48" s="2">
        <v>1</v>
      </c>
      <c r="H48" s="2">
        <v>1</v>
      </c>
      <c r="I48" s="2">
        <v>198</v>
      </c>
      <c r="J48" s="2">
        <v>1</v>
      </c>
      <c r="K48" s="2">
        <v>1</v>
      </c>
      <c r="L48" s="2">
        <v>0.71599999999999997</v>
      </c>
      <c r="M48" s="2">
        <v>1</v>
      </c>
    </row>
    <row r="49" spans="1:13" ht="14.25" customHeight="1">
      <c r="A49" s="2">
        <v>1</v>
      </c>
      <c r="B49" s="2">
        <v>48</v>
      </c>
      <c r="C49" s="2">
        <v>8</v>
      </c>
      <c r="D49" s="2">
        <v>0</v>
      </c>
      <c r="E49" s="2">
        <v>1.139</v>
      </c>
      <c r="F49" s="2">
        <v>2</v>
      </c>
      <c r="H49" s="2">
        <v>1</v>
      </c>
      <c r="I49" s="2">
        <v>199</v>
      </c>
      <c r="J49" s="2">
        <v>8</v>
      </c>
      <c r="K49" s="2">
        <v>1</v>
      </c>
      <c r="L49" s="2">
        <v>1.0189999999999999</v>
      </c>
      <c r="M49" s="2">
        <v>2</v>
      </c>
    </row>
    <row r="50" spans="1:13" ht="14.25" customHeight="1">
      <c r="A50" s="2">
        <v>1</v>
      </c>
      <c r="B50" s="2">
        <v>49</v>
      </c>
      <c r="C50" s="2">
        <v>3</v>
      </c>
      <c r="D50" s="2">
        <v>0</v>
      </c>
      <c r="E50" s="2">
        <v>1.4650000000000001</v>
      </c>
      <c r="F50" s="2">
        <v>1</v>
      </c>
      <c r="H50" s="2">
        <v>1</v>
      </c>
      <c r="I50" s="2">
        <v>200</v>
      </c>
      <c r="J50" s="2">
        <v>1</v>
      </c>
      <c r="K50" s="2">
        <v>1</v>
      </c>
      <c r="L50" s="2">
        <v>1.19</v>
      </c>
      <c r="M50" s="2">
        <v>1</v>
      </c>
    </row>
    <row r="51" spans="1:13" ht="14.25" customHeight="1">
      <c r="A51" s="2">
        <v>1</v>
      </c>
      <c r="B51" s="2">
        <v>50</v>
      </c>
      <c r="C51" s="2">
        <v>2</v>
      </c>
      <c r="D51" s="2">
        <v>0</v>
      </c>
      <c r="E51" s="2">
        <v>0.90800000000000003</v>
      </c>
      <c r="F51" s="2">
        <v>2</v>
      </c>
      <c r="H51" s="3"/>
      <c r="I51" s="3"/>
      <c r="J51" s="3"/>
      <c r="K51" s="3"/>
      <c r="L51" s="3"/>
      <c r="M51" s="4"/>
    </row>
    <row r="52" spans="1:13" ht="14.25" customHeight="1">
      <c r="A52" s="2">
        <v>1</v>
      </c>
      <c r="B52" s="2">
        <v>51</v>
      </c>
      <c r="C52" s="2">
        <v>1</v>
      </c>
      <c r="E52" s="2">
        <v>2.0009999999999999</v>
      </c>
      <c r="H52" s="3"/>
      <c r="I52" s="3"/>
      <c r="J52" s="3"/>
      <c r="K52" s="3"/>
      <c r="L52" s="3"/>
      <c r="M52" s="4"/>
    </row>
    <row r="53" spans="1:13" ht="14.25" customHeight="1">
      <c r="A53" s="2">
        <v>1</v>
      </c>
      <c r="B53" s="2">
        <v>52</v>
      </c>
      <c r="C53" s="2">
        <v>8</v>
      </c>
      <c r="D53" s="2">
        <v>0</v>
      </c>
      <c r="E53" s="2">
        <v>1.048</v>
      </c>
      <c r="F53" s="2">
        <v>1</v>
      </c>
      <c r="H53" s="3"/>
      <c r="I53" s="3"/>
      <c r="J53" s="3"/>
      <c r="K53" s="3"/>
      <c r="L53" s="3"/>
      <c r="M53" s="4"/>
    </row>
    <row r="54" spans="1:13" ht="14.25" customHeight="1">
      <c r="A54" s="2">
        <v>1</v>
      </c>
      <c r="B54" s="2">
        <v>53</v>
      </c>
      <c r="C54" s="2">
        <v>5</v>
      </c>
      <c r="D54" s="2">
        <v>0</v>
      </c>
      <c r="E54" s="2">
        <v>0.94399999999999995</v>
      </c>
      <c r="F54" s="2">
        <v>2</v>
      </c>
      <c r="H54" s="3"/>
      <c r="I54" s="3"/>
      <c r="J54" s="3"/>
      <c r="K54" s="3"/>
      <c r="L54" s="3"/>
      <c r="M54" s="4"/>
    </row>
    <row r="55" spans="1:13" ht="14.25" customHeight="1">
      <c r="A55" s="2">
        <v>1</v>
      </c>
      <c r="B55" s="2">
        <v>54</v>
      </c>
      <c r="C55" s="2">
        <v>6</v>
      </c>
      <c r="D55" s="2">
        <v>0</v>
      </c>
      <c r="E55" s="2">
        <v>1.2769999999999999</v>
      </c>
      <c r="F55" s="2">
        <v>1</v>
      </c>
      <c r="H55" s="3"/>
      <c r="I55" s="3"/>
      <c r="J55" s="3"/>
      <c r="K55" s="3"/>
      <c r="L55" s="3"/>
      <c r="M55" s="4"/>
    </row>
    <row r="56" spans="1:13" ht="14.25" customHeight="1">
      <c r="A56" s="2">
        <v>1</v>
      </c>
      <c r="B56" s="2">
        <v>55</v>
      </c>
      <c r="C56" s="2">
        <v>4</v>
      </c>
      <c r="D56" s="2">
        <v>0</v>
      </c>
      <c r="E56" s="2">
        <v>0.94199999999999995</v>
      </c>
      <c r="F56" s="2">
        <v>1</v>
      </c>
      <c r="H56" s="3"/>
      <c r="I56" s="3"/>
      <c r="J56" s="3"/>
      <c r="K56" s="3"/>
      <c r="L56" s="3"/>
      <c r="M56" s="4"/>
    </row>
    <row r="57" spans="1:13" ht="14.25" customHeight="1">
      <c r="A57" s="2">
        <v>1</v>
      </c>
      <c r="B57" s="2">
        <v>56</v>
      </c>
      <c r="C57" s="2">
        <v>5</v>
      </c>
      <c r="D57" s="2">
        <v>0</v>
      </c>
      <c r="E57" s="2">
        <v>1.133</v>
      </c>
      <c r="F57" s="2">
        <v>1</v>
      </c>
      <c r="H57" s="3"/>
      <c r="I57" s="3"/>
      <c r="J57" s="3"/>
      <c r="K57" s="3"/>
      <c r="L57" s="3"/>
      <c r="M57" s="4"/>
    </row>
    <row r="58" spans="1:13" ht="14.25" customHeight="1">
      <c r="A58" s="2">
        <v>1</v>
      </c>
      <c r="B58" s="2">
        <v>57</v>
      </c>
      <c r="C58" s="2">
        <v>4</v>
      </c>
      <c r="D58" s="2">
        <v>1</v>
      </c>
      <c r="E58" s="2">
        <v>0.94799999999999995</v>
      </c>
      <c r="F58" s="2">
        <v>2</v>
      </c>
      <c r="H58" s="3"/>
      <c r="I58" s="3"/>
      <c r="J58" s="3"/>
      <c r="K58" s="3"/>
      <c r="L58" s="3"/>
      <c r="M58" s="4"/>
    </row>
    <row r="59" spans="1:13" ht="14.25" customHeight="1">
      <c r="A59" s="2">
        <v>1</v>
      </c>
      <c r="B59" s="2">
        <v>58</v>
      </c>
      <c r="C59" s="2">
        <v>3</v>
      </c>
      <c r="D59" s="2">
        <v>0</v>
      </c>
      <c r="E59" s="2">
        <v>1.337</v>
      </c>
      <c r="F59" s="2">
        <v>2</v>
      </c>
      <c r="H59" s="3"/>
      <c r="I59" s="3"/>
      <c r="J59" s="3"/>
      <c r="K59" s="3"/>
      <c r="L59" s="3"/>
      <c r="M59" s="4"/>
    </row>
    <row r="60" spans="1:13" ht="14.25" customHeight="1">
      <c r="A60" s="2">
        <v>1</v>
      </c>
      <c r="B60" s="2">
        <v>59</v>
      </c>
      <c r="C60" s="2">
        <v>6</v>
      </c>
      <c r="D60" s="2">
        <v>1</v>
      </c>
      <c r="E60" s="2">
        <v>0.97599999999999998</v>
      </c>
      <c r="F60" s="2">
        <v>1</v>
      </c>
      <c r="H60" s="3"/>
      <c r="I60" s="3"/>
      <c r="J60" s="3"/>
      <c r="K60" s="3"/>
      <c r="L60" s="3"/>
      <c r="M60" s="4"/>
    </row>
    <row r="61" spans="1:13" ht="14.25" customHeight="1">
      <c r="A61" s="2">
        <v>1</v>
      </c>
      <c r="B61" s="2">
        <v>60</v>
      </c>
      <c r="C61" s="2">
        <v>2</v>
      </c>
      <c r="D61" s="2">
        <v>0</v>
      </c>
      <c r="E61" s="2">
        <v>1.2709999999999999</v>
      </c>
      <c r="F61" s="2">
        <v>2</v>
      </c>
      <c r="H61" s="3"/>
      <c r="I61" s="3"/>
      <c r="J61" s="3"/>
      <c r="K61" s="3"/>
      <c r="L61" s="3"/>
      <c r="M61" s="4"/>
    </row>
    <row r="62" spans="1:13" ht="14.25" customHeight="1">
      <c r="A62" s="2">
        <v>1</v>
      </c>
      <c r="B62" s="2">
        <v>61</v>
      </c>
      <c r="C62" s="2">
        <v>8</v>
      </c>
      <c r="D62" s="2">
        <v>0</v>
      </c>
      <c r="E62" s="2">
        <v>1.07</v>
      </c>
      <c r="F62" s="2">
        <v>1</v>
      </c>
      <c r="H62" s="3"/>
      <c r="I62" s="3"/>
      <c r="J62" s="3"/>
      <c r="K62" s="3"/>
      <c r="L62" s="3"/>
      <c r="M62" s="4"/>
    </row>
    <row r="63" spans="1:13" ht="14.25" customHeight="1">
      <c r="A63" s="2">
        <v>1</v>
      </c>
      <c r="B63" s="2">
        <v>62</v>
      </c>
      <c r="C63" s="2">
        <v>7</v>
      </c>
      <c r="D63" s="2">
        <v>1</v>
      </c>
      <c r="E63" s="2">
        <v>1.0309999999999999</v>
      </c>
      <c r="F63" s="2">
        <v>2</v>
      </c>
      <c r="H63" s="3"/>
      <c r="I63" s="3"/>
      <c r="J63" s="3"/>
      <c r="K63" s="3"/>
      <c r="L63" s="3"/>
      <c r="M63" s="4"/>
    </row>
    <row r="64" spans="1:13" ht="14.25" customHeight="1">
      <c r="A64" s="2">
        <v>1</v>
      </c>
      <c r="B64" s="2">
        <v>63</v>
      </c>
      <c r="C64" s="2">
        <v>6</v>
      </c>
      <c r="D64" s="2">
        <v>1</v>
      </c>
      <c r="E64" s="2">
        <v>1.363</v>
      </c>
      <c r="F64" s="2">
        <v>1</v>
      </c>
      <c r="H64" s="3"/>
      <c r="I64" s="3"/>
      <c r="J64" s="3"/>
      <c r="K64" s="3"/>
      <c r="L64" s="3"/>
      <c r="M64" s="4"/>
    </row>
    <row r="65" spans="1:13" ht="14.25" customHeight="1">
      <c r="A65" s="2">
        <v>1</v>
      </c>
      <c r="B65" s="2">
        <v>64</v>
      </c>
      <c r="C65" s="2">
        <v>2</v>
      </c>
      <c r="D65" s="2">
        <v>1</v>
      </c>
      <c r="E65" s="2">
        <v>1.248</v>
      </c>
      <c r="F65" s="2">
        <v>1</v>
      </c>
      <c r="H65" s="3"/>
      <c r="I65" s="3"/>
      <c r="J65" s="3"/>
      <c r="K65" s="3"/>
      <c r="L65" s="3"/>
      <c r="M65" s="4"/>
    </row>
    <row r="66" spans="1:13" ht="14.25" customHeight="1">
      <c r="A66" s="2">
        <v>1</v>
      </c>
      <c r="B66" s="2">
        <v>65</v>
      </c>
      <c r="C66" s="2">
        <v>7</v>
      </c>
      <c r="D66" s="2">
        <v>0</v>
      </c>
      <c r="E66" s="2">
        <v>1.1950000000000001</v>
      </c>
      <c r="F66" s="2">
        <v>1</v>
      </c>
      <c r="H66" s="3"/>
      <c r="I66" s="3"/>
      <c r="J66" s="3"/>
      <c r="K66" s="3"/>
      <c r="L66" s="3"/>
      <c r="M66" s="4"/>
    </row>
    <row r="67" spans="1:13" ht="14.25" customHeight="1">
      <c r="A67" s="2">
        <v>1</v>
      </c>
      <c r="B67" s="2">
        <v>66</v>
      </c>
      <c r="C67" s="2">
        <v>8</v>
      </c>
      <c r="D67" s="2">
        <v>0</v>
      </c>
      <c r="E67" s="2">
        <v>1.151</v>
      </c>
      <c r="F67" s="2">
        <v>1</v>
      </c>
      <c r="H67" s="3"/>
      <c r="I67" s="3"/>
      <c r="J67" s="3"/>
      <c r="K67" s="3"/>
      <c r="L67" s="3"/>
      <c r="M67" s="4"/>
    </row>
    <row r="68" spans="1:13" ht="14.25" customHeight="1">
      <c r="A68" s="2">
        <v>1</v>
      </c>
      <c r="B68" s="2">
        <v>67</v>
      </c>
      <c r="C68" s="2">
        <v>3</v>
      </c>
      <c r="D68" s="2">
        <v>0</v>
      </c>
      <c r="E68" s="2">
        <v>0.85399999999999998</v>
      </c>
      <c r="F68" s="2">
        <v>2</v>
      </c>
      <c r="H68" s="3"/>
      <c r="I68" s="3"/>
      <c r="J68" s="3"/>
      <c r="K68" s="3"/>
      <c r="L68" s="3"/>
      <c r="M68" s="4"/>
    </row>
    <row r="69" spans="1:13" ht="14.25" customHeight="1">
      <c r="A69" s="2">
        <v>1</v>
      </c>
      <c r="B69" s="2">
        <v>68</v>
      </c>
      <c r="C69" s="2">
        <v>6</v>
      </c>
      <c r="D69" s="2">
        <v>1</v>
      </c>
      <c r="E69" s="2">
        <v>0.69499999999999995</v>
      </c>
      <c r="F69" s="2">
        <v>1</v>
      </c>
      <c r="H69" s="3"/>
      <c r="I69" s="3"/>
      <c r="J69" s="3"/>
      <c r="K69" s="3"/>
      <c r="L69" s="3"/>
      <c r="M69" s="4"/>
    </row>
    <row r="70" spans="1:13" ht="14.25" customHeight="1">
      <c r="A70" s="2">
        <v>1</v>
      </c>
      <c r="B70" s="2">
        <v>69</v>
      </c>
      <c r="C70" s="2">
        <v>3</v>
      </c>
      <c r="D70" s="2">
        <v>0</v>
      </c>
      <c r="E70" s="2">
        <v>1.016</v>
      </c>
      <c r="F70" s="2">
        <v>1</v>
      </c>
      <c r="H70" s="3"/>
      <c r="I70" s="3"/>
      <c r="J70" s="3"/>
      <c r="K70" s="3"/>
      <c r="L70" s="3"/>
      <c r="M70" s="4"/>
    </row>
    <row r="71" spans="1:13" ht="14.25" customHeight="1">
      <c r="A71" s="2">
        <v>1</v>
      </c>
      <c r="B71" s="2">
        <v>70</v>
      </c>
      <c r="C71" s="2">
        <v>7</v>
      </c>
      <c r="D71" s="2">
        <v>0</v>
      </c>
      <c r="E71" s="2">
        <v>1.163</v>
      </c>
      <c r="F71" s="2">
        <v>2</v>
      </c>
      <c r="H71" s="3"/>
      <c r="I71" s="3"/>
      <c r="J71" s="3"/>
      <c r="K71" s="3"/>
      <c r="L71" s="3"/>
      <c r="M71" s="4"/>
    </row>
    <row r="72" spans="1:13" ht="14.25" customHeight="1">
      <c r="A72" s="2">
        <v>1</v>
      </c>
      <c r="B72" s="2">
        <v>71</v>
      </c>
      <c r="C72" s="2">
        <v>1</v>
      </c>
      <c r="D72" s="2">
        <v>1</v>
      </c>
      <c r="E72" s="2">
        <v>0.56100000000000005</v>
      </c>
      <c r="F72" s="2">
        <v>1</v>
      </c>
      <c r="H72" s="3"/>
      <c r="I72" s="3"/>
      <c r="J72" s="3"/>
      <c r="K72" s="3"/>
      <c r="L72" s="3"/>
      <c r="M72" s="4"/>
    </row>
    <row r="73" spans="1:13" ht="14.25" customHeight="1">
      <c r="A73" s="2">
        <v>1</v>
      </c>
      <c r="B73" s="2">
        <v>72</v>
      </c>
      <c r="C73" s="2">
        <v>8</v>
      </c>
      <c r="D73" s="2">
        <v>0</v>
      </c>
      <c r="E73" s="2">
        <v>1.53</v>
      </c>
      <c r="F73" s="2">
        <v>1</v>
      </c>
      <c r="H73" s="3"/>
      <c r="I73" s="3"/>
      <c r="J73" s="3"/>
      <c r="K73" s="3"/>
      <c r="L73" s="3"/>
      <c r="M73" s="4"/>
    </row>
    <row r="74" spans="1:13" ht="14.25" customHeight="1">
      <c r="A74" s="2">
        <v>1</v>
      </c>
      <c r="B74" s="2">
        <v>73</v>
      </c>
      <c r="C74" s="2">
        <v>1</v>
      </c>
      <c r="D74" s="2">
        <v>0</v>
      </c>
      <c r="E74" s="2">
        <v>1.8859999999999999</v>
      </c>
      <c r="F74" s="2">
        <v>1</v>
      </c>
      <c r="H74" s="3"/>
      <c r="I74" s="3"/>
      <c r="J74" s="3"/>
      <c r="K74" s="3"/>
      <c r="L74" s="3"/>
      <c r="M74" s="4"/>
    </row>
    <row r="75" spans="1:13" ht="14.25" customHeight="1">
      <c r="A75" s="2">
        <v>1</v>
      </c>
      <c r="B75" s="2">
        <v>74</v>
      </c>
      <c r="C75" s="2">
        <v>7</v>
      </c>
      <c r="D75" s="2">
        <v>1</v>
      </c>
      <c r="E75" s="2">
        <v>1.4950000000000001</v>
      </c>
      <c r="F75" s="2">
        <v>2</v>
      </c>
      <c r="H75" s="3"/>
      <c r="I75" s="3"/>
      <c r="J75" s="3"/>
      <c r="K75" s="3"/>
      <c r="L75" s="3"/>
      <c r="M75" s="4"/>
    </row>
    <row r="76" spans="1:13" ht="14.25" customHeight="1">
      <c r="A76" s="2">
        <v>1</v>
      </c>
      <c r="B76" s="2">
        <v>75</v>
      </c>
      <c r="C76" s="2">
        <v>2</v>
      </c>
      <c r="D76" s="2">
        <v>0</v>
      </c>
      <c r="E76" s="2">
        <v>1.752</v>
      </c>
      <c r="F76" s="2">
        <v>1</v>
      </c>
      <c r="H76" s="3"/>
      <c r="I76" s="3"/>
      <c r="J76" s="3"/>
      <c r="K76" s="3"/>
      <c r="L76" s="3"/>
      <c r="M76" s="4"/>
    </row>
    <row r="77" spans="1:13" ht="14.25" customHeight="1">
      <c r="A77" s="2">
        <v>1</v>
      </c>
      <c r="B77" s="2">
        <v>76</v>
      </c>
      <c r="C77" s="2">
        <v>3</v>
      </c>
      <c r="D77" s="2">
        <v>1</v>
      </c>
      <c r="E77" s="2">
        <v>1.1990000000000001</v>
      </c>
      <c r="F77" s="2">
        <v>2</v>
      </c>
      <c r="H77" s="3"/>
      <c r="I77" s="3"/>
      <c r="J77" s="3"/>
      <c r="K77" s="3"/>
      <c r="L77" s="3"/>
      <c r="M77" s="4"/>
    </row>
    <row r="78" spans="1:13" ht="14.25" customHeight="1">
      <c r="A78" s="2">
        <v>1</v>
      </c>
      <c r="B78" s="2">
        <v>77</v>
      </c>
      <c r="C78" s="2">
        <v>5</v>
      </c>
      <c r="D78" s="2">
        <v>0</v>
      </c>
      <c r="E78" s="2">
        <v>1.131</v>
      </c>
      <c r="F78" s="2">
        <v>1</v>
      </c>
      <c r="H78" s="3"/>
      <c r="I78" s="3"/>
      <c r="J78" s="3"/>
      <c r="K78" s="3"/>
      <c r="L78" s="3"/>
      <c r="M78" s="4"/>
    </row>
    <row r="79" spans="1:13" ht="14.25" customHeight="1">
      <c r="A79" s="2">
        <v>1</v>
      </c>
      <c r="B79" s="2">
        <v>78</v>
      </c>
      <c r="C79" s="2">
        <v>1</v>
      </c>
      <c r="D79" s="2">
        <v>1</v>
      </c>
      <c r="E79" s="2">
        <v>1.522</v>
      </c>
      <c r="F79" s="2">
        <v>2</v>
      </c>
      <c r="H79" s="3"/>
      <c r="I79" s="3"/>
      <c r="J79" s="3"/>
      <c r="K79" s="3"/>
      <c r="L79" s="3"/>
      <c r="M79" s="4"/>
    </row>
    <row r="80" spans="1:13" ht="14.25" customHeight="1">
      <c r="A80" s="2">
        <v>1</v>
      </c>
      <c r="B80" s="2">
        <v>79</v>
      </c>
      <c r="C80" s="2">
        <v>3</v>
      </c>
      <c r="D80" s="2">
        <v>1</v>
      </c>
      <c r="E80" s="2">
        <v>1.538</v>
      </c>
      <c r="F80" s="2">
        <v>1</v>
      </c>
      <c r="H80" s="3"/>
      <c r="I80" s="3"/>
      <c r="J80" s="3"/>
      <c r="K80" s="3"/>
      <c r="L80" s="3"/>
      <c r="M80" s="4"/>
    </row>
    <row r="81" spans="1:13" ht="14.25" customHeight="1">
      <c r="A81" s="2">
        <v>1</v>
      </c>
      <c r="B81" s="2">
        <v>80</v>
      </c>
      <c r="C81" s="2">
        <v>6</v>
      </c>
      <c r="D81" s="2">
        <v>0</v>
      </c>
      <c r="E81" s="2">
        <v>1.6160000000000001</v>
      </c>
      <c r="F81" s="2">
        <v>1</v>
      </c>
      <c r="H81" s="3"/>
      <c r="I81" s="3"/>
      <c r="J81" s="3"/>
      <c r="K81" s="3"/>
      <c r="L81" s="3"/>
      <c r="M81" s="4"/>
    </row>
    <row r="82" spans="1:13" ht="14.25" customHeight="1">
      <c r="A82" s="2">
        <v>1</v>
      </c>
      <c r="B82" s="2">
        <v>81</v>
      </c>
      <c r="C82" s="2">
        <v>3</v>
      </c>
      <c r="D82" s="2">
        <v>1</v>
      </c>
      <c r="E82" s="2">
        <v>1.03</v>
      </c>
      <c r="F82" s="2">
        <v>2</v>
      </c>
      <c r="H82" s="3"/>
      <c r="I82" s="3"/>
      <c r="J82" s="3"/>
      <c r="K82" s="3"/>
      <c r="L82" s="3"/>
      <c r="M82" s="4"/>
    </row>
    <row r="83" spans="1:13" ht="14.25" customHeight="1">
      <c r="A83" s="2">
        <v>1</v>
      </c>
      <c r="B83" s="2">
        <v>82</v>
      </c>
      <c r="C83" s="2">
        <v>6</v>
      </c>
      <c r="D83" s="2">
        <v>0</v>
      </c>
      <c r="E83" s="2">
        <v>1.758</v>
      </c>
      <c r="F83" s="2">
        <v>1</v>
      </c>
      <c r="H83" s="3"/>
      <c r="I83" s="3"/>
      <c r="J83" s="3"/>
      <c r="K83" s="3"/>
      <c r="L83" s="3"/>
      <c r="M83" s="4"/>
    </row>
    <row r="84" spans="1:13" ht="14.25" customHeight="1">
      <c r="A84" s="2">
        <v>1</v>
      </c>
      <c r="B84" s="2">
        <v>83</v>
      </c>
      <c r="C84" s="2">
        <v>4</v>
      </c>
      <c r="D84" s="2">
        <v>1</v>
      </c>
      <c r="E84" s="2">
        <v>1.6679999999999999</v>
      </c>
      <c r="F84" s="2">
        <v>1</v>
      </c>
      <c r="H84" s="3"/>
      <c r="I84" s="3"/>
      <c r="J84" s="3"/>
      <c r="K84" s="3"/>
      <c r="L84" s="3"/>
      <c r="M84" s="4"/>
    </row>
    <row r="85" spans="1:13" ht="14.25" customHeight="1">
      <c r="A85" s="2">
        <v>1</v>
      </c>
      <c r="B85" s="2">
        <v>84</v>
      </c>
      <c r="C85" s="2">
        <v>7</v>
      </c>
      <c r="D85" s="2">
        <v>1</v>
      </c>
      <c r="E85" s="2">
        <v>1.1739999999999999</v>
      </c>
      <c r="F85" s="2">
        <v>2</v>
      </c>
      <c r="H85" s="3"/>
      <c r="I85" s="3"/>
      <c r="J85" s="3"/>
      <c r="K85" s="3"/>
      <c r="L85" s="3"/>
      <c r="M85" s="4"/>
    </row>
    <row r="86" spans="1:13" ht="14.25" customHeight="1">
      <c r="A86" s="2">
        <v>1</v>
      </c>
      <c r="B86" s="2">
        <v>85</v>
      </c>
      <c r="C86" s="2">
        <v>5</v>
      </c>
      <c r="D86" s="2">
        <v>0</v>
      </c>
      <c r="E86" s="2">
        <v>1.0029999999999999</v>
      </c>
      <c r="F86" s="2">
        <v>2</v>
      </c>
      <c r="H86" s="3"/>
      <c r="I86" s="3"/>
      <c r="J86" s="3"/>
      <c r="K86" s="3"/>
      <c r="L86" s="3"/>
      <c r="M86" s="4"/>
    </row>
    <row r="87" spans="1:13" ht="14.25" customHeight="1">
      <c r="A87" s="2">
        <v>1</v>
      </c>
      <c r="B87" s="2">
        <v>86</v>
      </c>
      <c r="C87" s="2">
        <v>2</v>
      </c>
      <c r="D87" s="2">
        <v>1</v>
      </c>
      <c r="E87" s="2">
        <v>0.95099999999999996</v>
      </c>
      <c r="F87" s="2">
        <v>1</v>
      </c>
      <c r="H87" s="3"/>
      <c r="I87" s="3"/>
      <c r="J87" s="3"/>
      <c r="K87" s="3"/>
      <c r="L87" s="3"/>
      <c r="M87" s="4"/>
    </row>
    <row r="88" spans="1:13" ht="14.25" customHeight="1">
      <c r="A88" s="2">
        <v>1</v>
      </c>
      <c r="B88" s="2">
        <v>87</v>
      </c>
      <c r="C88" s="2">
        <v>5</v>
      </c>
      <c r="D88" s="2">
        <v>0</v>
      </c>
      <c r="E88" s="2">
        <v>1.4530000000000001</v>
      </c>
      <c r="F88" s="2">
        <v>2</v>
      </c>
      <c r="H88" s="3"/>
      <c r="I88" s="3"/>
      <c r="J88" s="3"/>
      <c r="K88" s="3"/>
      <c r="L88" s="3"/>
      <c r="M88" s="4"/>
    </row>
    <row r="89" spans="1:13" ht="14.25" customHeight="1">
      <c r="A89" s="2">
        <v>1</v>
      </c>
      <c r="B89" s="2">
        <v>88</v>
      </c>
      <c r="C89" s="2">
        <v>2</v>
      </c>
      <c r="D89" s="2">
        <v>1</v>
      </c>
      <c r="E89" s="2">
        <v>0.74199999999999999</v>
      </c>
      <c r="F89" s="2">
        <v>1</v>
      </c>
      <c r="H89" s="3"/>
      <c r="I89" s="3"/>
      <c r="J89" s="3"/>
      <c r="K89" s="3"/>
      <c r="L89" s="3"/>
      <c r="M89" s="4"/>
    </row>
    <row r="90" spans="1:13" ht="14.25" customHeight="1">
      <c r="A90" s="2">
        <v>1</v>
      </c>
      <c r="B90" s="2">
        <v>89</v>
      </c>
      <c r="C90" s="2">
        <v>4</v>
      </c>
      <c r="D90" s="2">
        <v>1</v>
      </c>
      <c r="E90" s="2">
        <v>1.774</v>
      </c>
      <c r="F90" s="2">
        <v>1</v>
      </c>
      <c r="H90" s="3"/>
      <c r="I90" s="3"/>
      <c r="J90" s="3"/>
      <c r="K90" s="3"/>
      <c r="L90" s="3"/>
      <c r="M90" s="4"/>
    </row>
    <row r="91" spans="1:13" ht="14.25" customHeight="1">
      <c r="A91" s="2">
        <v>1</v>
      </c>
      <c r="B91" s="2">
        <v>90</v>
      </c>
      <c r="C91" s="2">
        <v>5</v>
      </c>
      <c r="D91" s="2">
        <v>1</v>
      </c>
      <c r="E91" s="2">
        <v>1.667</v>
      </c>
      <c r="F91" s="2">
        <v>2</v>
      </c>
      <c r="H91" s="3"/>
      <c r="I91" s="3"/>
      <c r="J91" s="3"/>
      <c r="K91" s="3"/>
      <c r="L91" s="3"/>
      <c r="M91" s="4"/>
    </row>
    <row r="92" spans="1:13" ht="14.25" customHeight="1">
      <c r="A92" s="2">
        <v>1</v>
      </c>
      <c r="B92" s="2">
        <v>91</v>
      </c>
      <c r="C92" s="2">
        <v>1</v>
      </c>
      <c r="D92" s="2">
        <v>1</v>
      </c>
      <c r="E92" s="2">
        <v>0.89200000000000002</v>
      </c>
      <c r="F92" s="2">
        <v>1</v>
      </c>
      <c r="H92" s="3"/>
      <c r="I92" s="3"/>
      <c r="J92" s="3"/>
      <c r="K92" s="3"/>
      <c r="L92" s="3"/>
      <c r="M92" s="4"/>
    </row>
    <row r="93" spans="1:13" ht="14.25" customHeight="1">
      <c r="A93" s="2">
        <v>1</v>
      </c>
      <c r="B93" s="2">
        <v>92</v>
      </c>
      <c r="C93" s="2">
        <v>4</v>
      </c>
      <c r="D93" s="2">
        <v>1</v>
      </c>
      <c r="E93" s="2">
        <v>1.4850000000000001</v>
      </c>
      <c r="F93" s="2">
        <v>2</v>
      </c>
      <c r="H93" s="3"/>
      <c r="I93" s="3"/>
      <c r="J93" s="3"/>
      <c r="K93" s="3"/>
      <c r="L93" s="3"/>
      <c r="M93" s="4"/>
    </row>
    <row r="94" spans="1:13" ht="14.25" customHeight="1">
      <c r="A94" s="2">
        <v>1</v>
      </c>
      <c r="B94" s="2">
        <v>93</v>
      </c>
      <c r="C94" s="2">
        <v>1</v>
      </c>
      <c r="D94" s="2">
        <v>0</v>
      </c>
      <c r="E94" s="2">
        <v>1.51</v>
      </c>
      <c r="F94" s="2">
        <v>2</v>
      </c>
      <c r="H94" s="3"/>
      <c r="I94" s="3"/>
      <c r="J94" s="3"/>
      <c r="K94" s="3"/>
      <c r="L94" s="3"/>
      <c r="M94" s="4"/>
    </row>
    <row r="95" spans="1:13" ht="14.25" customHeight="1">
      <c r="A95" s="2">
        <v>1</v>
      </c>
      <c r="B95" s="2">
        <v>94</v>
      </c>
      <c r="C95" s="2">
        <v>7</v>
      </c>
      <c r="D95" s="2">
        <v>1</v>
      </c>
      <c r="E95" s="2">
        <v>1.111</v>
      </c>
      <c r="F95" s="2">
        <v>1</v>
      </c>
      <c r="H95" s="3"/>
      <c r="I95" s="3"/>
      <c r="J95" s="3"/>
      <c r="K95" s="3"/>
      <c r="L95" s="3"/>
      <c r="M95" s="4"/>
    </row>
    <row r="96" spans="1:13" ht="14.25" customHeight="1">
      <c r="A96" s="2">
        <v>1</v>
      </c>
      <c r="B96" s="2">
        <v>95</v>
      </c>
      <c r="C96" s="2">
        <v>2</v>
      </c>
      <c r="D96" s="2">
        <v>1</v>
      </c>
      <c r="E96" s="2">
        <v>1.7889999999999999</v>
      </c>
      <c r="F96" s="2">
        <v>1</v>
      </c>
      <c r="H96" s="3"/>
      <c r="I96" s="3"/>
      <c r="J96" s="3"/>
      <c r="K96" s="3"/>
      <c r="L96" s="3"/>
      <c r="M96" s="4"/>
    </row>
    <row r="97" spans="1:13" ht="14.25" customHeight="1">
      <c r="A97" s="2">
        <v>1</v>
      </c>
      <c r="B97" s="2">
        <v>96</v>
      </c>
      <c r="C97" s="2">
        <v>4</v>
      </c>
      <c r="D97" s="2">
        <v>1</v>
      </c>
      <c r="E97" s="2">
        <v>1.3220000000000001</v>
      </c>
      <c r="F97" s="2">
        <v>2</v>
      </c>
      <c r="H97" s="3"/>
      <c r="I97" s="3"/>
      <c r="J97" s="3"/>
      <c r="K97" s="3"/>
      <c r="L97" s="3"/>
      <c r="M97" s="4"/>
    </row>
    <row r="98" spans="1:13" ht="14.25" customHeight="1">
      <c r="A98" s="2">
        <v>1</v>
      </c>
      <c r="B98" s="2">
        <v>97</v>
      </c>
      <c r="C98" s="2">
        <v>8</v>
      </c>
      <c r="D98" s="2">
        <v>0</v>
      </c>
      <c r="E98" s="2">
        <v>1.298</v>
      </c>
      <c r="F98" s="2">
        <v>1</v>
      </c>
      <c r="H98" s="3"/>
      <c r="I98" s="3"/>
      <c r="J98" s="3"/>
      <c r="K98" s="3"/>
      <c r="L98" s="3"/>
      <c r="M98" s="4"/>
    </row>
    <row r="99" spans="1:13" ht="14.25" customHeight="1">
      <c r="A99" s="2">
        <v>1</v>
      </c>
      <c r="B99" s="2">
        <v>98</v>
      </c>
      <c r="C99" s="2">
        <v>1</v>
      </c>
      <c r="E99" s="2">
        <v>2.0009999999999999</v>
      </c>
      <c r="H99" s="3"/>
      <c r="I99" s="3"/>
      <c r="J99" s="3"/>
      <c r="K99" s="3"/>
      <c r="L99" s="3"/>
      <c r="M99" s="4"/>
    </row>
    <row r="100" spans="1:13" ht="14.25" customHeight="1">
      <c r="A100" s="2">
        <v>1</v>
      </c>
      <c r="B100" s="2">
        <v>99</v>
      </c>
      <c r="C100" s="2">
        <v>3</v>
      </c>
      <c r="D100" s="2">
        <v>0</v>
      </c>
      <c r="E100" s="2">
        <v>1.159</v>
      </c>
      <c r="F100" s="2">
        <v>1</v>
      </c>
      <c r="H100" s="3"/>
      <c r="I100" s="3"/>
      <c r="J100" s="3"/>
      <c r="K100" s="3"/>
      <c r="L100" s="3"/>
      <c r="M100" s="4"/>
    </row>
    <row r="101" spans="1:13" ht="14.25" customHeight="1">
      <c r="A101" s="2">
        <v>1</v>
      </c>
      <c r="B101" s="2">
        <v>100</v>
      </c>
      <c r="C101" s="2">
        <v>8</v>
      </c>
      <c r="D101" s="2">
        <v>0</v>
      </c>
      <c r="E101" s="2">
        <v>1.204</v>
      </c>
      <c r="F101" s="2">
        <v>2</v>
      </c>
    </row>
    <row r="102" spans="1:13" ht="14.25" customHeight="1">
      <c r="A102" s="2">
        <v>1</v>
      </c>
      <c r="B102" s="2">
        <v>101</v>
      </c>
      <c r="C102" s="2">
        <v>2</v>
      </c>
      <c r="D102" s="2">
        <v>0</v>
      </c>
      <c r="E102" s="2">
        <v>1.2789999999999999</v>
      </c>
      <c r="F102" s="2">
        <v>2</v>
      </c>
    </row>
    <row r="103" spans="1:13" ht="14.25" customHeight="1">
      <c r="A103" s="2">
        <v>1</v>
      </c>
      <c r="B103" s="2">
        <v>102</v>
      </c>
      <c r="C103" s="2">
        <v>7</v>
      </c>
      <c r="D103" s="2">
        <v>0</v>
      </c>
      <c r="E103" s="2">
        <v>1.159</v>
      </c>
      <c r="F103" s="2">
        <v>1</v>
      </c>
    </row>
    <row r="104" spans="1:13" ht="14.25" customHeight="1">
      <c r="A104" s="2">
        <v>1</v>
      </c>
      <c r="B104" s="2">
        <v>103</v>
      </c>
      <c r="C104" s="2">
        <v>8</v>
      </c>
      <c r="D104" s="2">
        <v>0</v>
      </c>
      <c r="E104" s="2">
        <v>1.845</v>
      </c>
      <c r="F104" s="2">
        <v>2</v>
      </c>
    </row>
    <row r="105" spans="1:13" ht="14.25" customHeight="1">
      <c r="A105" s="2">
        <v>1</v>
      </c>
      <c r="B105" s="2">
        <v>104</v>
      </c>
      <c r="C105" s="2">
        <v>4</v>
      </c>
      <c r="D105" s="2">
        <v>0</v>
      </c>
      <c r="E105" s="2">
        <v>1.536</v>
      </c>
      <c r="F105" s="2">
        <v>1</v>
      </c>
    </row>
    <row r="106" spans="1:13" ht="14.25" customHeight="1">
      <c r="A106" s="2">
        <v>1</v>
      </c>
      <c r="B106" s="2">
        <v>105</v>
      </c>
      <c r="C106" s="2">
        <v>3</v>
      </c>
      <c r="D106" s="2">
        <v>1</v>
      </c>
      <c r="E106" s="2">
        <v>1.1020000000000001</v>
      </c>
      <c r="F106" s="2">
        <v>2</v>
      </c>
    </row>
    <row r="107" spans="1:13" ht="14.25" customHeight="1">
      <c r="A107" s="2">
        <v>1</v>
      </c>
      <c r="B107" s="2">
        <v>106</v>
      </c>
      <c r="C107" s="2">
        <v>8</v>
      </c>
      <c r="D107" s="2">
        <v>0</v>
      </c>
      <c r="E107" s="2">
        <v>1.0069999999999999</v>
      </c>
      <c r="F107" s="2">
        <v>1</v>
      </c>
    </row>
    <row r="108" spans="1:13" ht="14.25" customHeight="1">
      <c r="A108" s="2">
        <v>1</v>
      </c>
      <c r="B108" s="2">
        <v>107</v>
      </c>
      <c r="C108" s="2">
        <v>7</v>
      </c>
      <c r="D108" s="2">
        <v>1</v>
      </c>
      <c r="E108" s="2">
        <v>0.93899999999999995</v>
      </c>
      <c r="F108" s="2">
        <v>2</v>
      </c>
    </row>
    <row r="109" spans="1:13" ht="14.25" customHeight="1">
      <c r="A109" s="2">
        <v>1</v>
      </c>
      <c r="B109" s="2">
        <v>108</v>
      </c>
      <c r="C109" s="2">
        <v>8</v>
      </c>
      <c r="D109" s="2">
        <v>0</v>
      </c>
      <c r="E109" s="2">
        <v>1.0649999999999999</v>
      </c>
      <c r="F109" s="2">
        <v>2</v>
      </c>
    </row>
    <row r="110" spans="1:13" ht="14.25" customHeight="1">
      <c r="A110" s="2">
        <v>1</v>
      </c>
      <c r="B110" s="2">
        <v>109</v>
      </c>
      <c r="C110" s="2">
        <v>3</v>
      </c>
      <c r="D110" s="2">
        <v>1</v>
      </c>
      <c r="E110" s="2">
        <v>0.85</v>
      </c>
      <c r="F110" s="2">
        <v>1</v>
      </c>
    </row>
    <row r="111" spans="1:13" ht="14.25" customHeight="1">
      <c r="A111" s="2">
        <v>1</v>
      </c>
      <c r="B111" s="2">
        <v>110</v>
      </c>
      <c r="C111" s="2">
        <v>1</v>
      </c>
      <c r="D111" s="2">
        <v>1</v>
      </c>
      <c r="E111" s="2">
        <v>1.2529999999999999</v>
      </c>
      <c r="F111" s="2">
        <v>1</v>
      </c>
    </row>
    <row r="112" spans="1:13" ht="14.25" customHeight="1">
      <c r="A112" s="2">
        <v>1</v>
      </c>
      <c r="B112" s="2">
        <v>111</v>
      </c>
      <c r="C112" s="2">
        <v>5</v>
      </c>
      <c r="D112" s="2">
        <v>0</v>
      </c>
      <c r="E112" s="2">
        <v>1.3979999999999999</v>
      </c>
      <c r="F112" s="2">
        <v>1</v>
      </c>
    </row>
    <row r="113" spans="1:6" ht="14.25" customHeight="1">
      <c r="A113" s="2">
        <v>1</v>
      </c>
      <c r="B113" s="2">
        <v>112</v>
      </c>
      <c r="C113" s="2">
        <v>3</v>
      </c>
      <c r="D113" s="2">
        <v>0</v>
      </c>
      <c r="E113" s="2">
        <v>1.1140000000000001</v>
      </c>
      <c r="F113" s="2">
        <v>1</v>
      </c>
    </row>
    <row r="114" spans="1:6" ht="14.25" customHeight="1">
      <c r="A114" s="2">
        <v>1</v>
      </c>
      <c r="B114" s="2">
        <v>113</v>
      </c>
      <c r="C114" s="2">
        <v>7</v>
      </c>
      <c r="E114" s="2">
        <v>2.0009999999999999</v>
      </c>
    </row>
    <row r="115" spans="1:6" ht="14.25" customHeight="1">
      <c r="A115" s="2">
        <v>1</v>
      </c>
      <c r="B115" s="2">
        <v>114</v>
      </c>
      <c r="C115" s="2">
        <v>6</v>
      </c>
      <c r="D115" s="2">
        <v>0</v>
      </c>
      <c r="E115" s="2">
        <v>0.61399999999999999</v>
      </c>
      <c r="F115" s="2">
        <v>2</v>
      </c>
    </row>
    <row r="116" spans="1:6" ht="14.25" customHeight="1">
      <c r="A116" s="2">
        <v>1</v>
      </c>
      <c r="B116" s="2">
        <v>115</v>
      </c>
      <c r="C116" s="2">
        <v>1</v>
      </c>
      <c r="D116" s="2">
        <v>0</v>
      </c>
      <c r="E116" s="2">
        <v>1.532</v>
      </c>
      <c r="F116" s="2">
        <v>1</v>
      </c>
    </row>
    <row r="117" spans="1:6" ht="14.25" customHeight="1">
      <c r="A117" s="2">
        <v>1</v>
      </c>
      <c r="B117" s="2">
        <v>116</v>
      </c>
      <c r="C117" s="2">
        <v>4</v>
      </c>
      <c r="D117" s="2">
        <v>0</v>
      </c>
      <c r="E117" s="2">
        <v>1.1299999999999999</v>
      </c>
      <c r="F117" s="2">
        <v>1</v>
      </c>
    </row>
    <row r="118" spans="1:6" ht="14.25" customHeight="1">
      <c r="A118" s="2">
        <v>1</v>
      </c>
      <c r="B118" s="2">
        <v>117</v>
      </c>
      <c r="C118" s="2">
        <v>7</v>
      </c>
      <c r="D118" s="2">
        <v>1</v>
      </c>
      <c r="E118" s="2">
        <v>1.105</v>
      </c>
      <c r="F118" s="2">
        <v>1</v>
      </c>
    </row>
    <row r="119" spans="1:6" ht="14.25" customHeight="1">
      <c r="A119" s="2">
        <v>1</v>
      </c>
      <c r="B119" s="2">
        <v>118</v>
      </c>
      <c r="C119" s="2">
        <v>1</v>
      </c>
      <c r="D119" s="2">
        <v>0</v>
      </c>
      <c r="E119" s="2">
        <v>1.121</v>
      </c>
      <c r="F119" s="2">
        <v>2</v>
      </c>
    </row>
    <row r="120" spans="1:6" ht="14.25" customHeight="1">
      <c r="A120" s="2">
        <v>1</v>
      </c>
      <c r="B120" s="2">
        <v>119</v>
      </c>
      <c r="C120" s="2">
        <v>2</v>
      </c>
      <c r="D120" s="2">
        <v>1</v>
      </c>
      <c r="E120" s="2">
        <v>1.329</v>
      </c>
      <c r="F120" s="2">
        <v>2</v>
      </c>
    </row>
    <row r="121" spans="1:6" ht="14.25" customHeight="1">
      <c r="A121" s="2">
        <v>1</v>
      </c>
      <c r="B121" s="2">
        <v>120</v>
      </c>
      <c r="C121" s="2">
        <v>1</v>
      </c>
      <c r="D121" s="2">
        <v>1</v>
      </c>
      <c r="E121" s="2">
        <v>1.0640000000000001</v>
      </c>
      <c r="F121" s="2">
        <v>1</v>
      </c>
    </row>
    <row r="122" spans="1:6" ht="14.25" customHeight="1">
      <c r="A122" s="2">
        <v>1</v>
      </c>
      <c r="B122" s="2">
        <v>121</v>
      </c>
      <c r="C122" s="2">
        <v>7</v>
      </c>
      <c r="D122" s="2">
        <v>1</v>
      </c>
      <c r="E122" s="2">
        <v>1.3380000000000001</v>
      </c>
      <c r="F122" s="2">
        <v>1</v>
      </c>
    </row>
    <row r="123" spans="1:6" ht="14.25" customHeight="1">
      <c r="A123" s="2">
        <v>1</v>
      </c>
      <c r="B123" s="2">
        <v>122</v>
      </c>
      <c r="C123" s="2">
        <v>3</v>
      </c>
      <c r="D123" s="2">
        <v>1</v>
      </c>
      <c r="E123" s="2">
        <v>1.304</v>
      </c>
      <c r="F123" s="2">
        <v>2</v>
      </c>
    </row>
    <row r="124" spans="1:6" ht="14.25" customHeight="1">
      <c r="A124" s="2">
        <v>1</v>
      </c>
      <c r="B124" s="2">
        <v>123</v>
      </c>
      <c r="C124" s="2">
        <v>6</v>
      </c>
      <c r="D124" s="2">
        <v>1</v>
      </c>
      <c r="E124" s="2">
        <v>1.1839999999999999</v>
      </c>
      <c r="F124" s="2">
        <v>2</v>
      </c>
    </row>
    <row r="125" spans="1:6" ht="14.25" customHeight="1">
      <c r="A125" s="2">
        <v>1</v>
      </c>
      <c r="B125" s="2">
        <v>124</v>
      </c>
      <c r="C125" s="2">
        <v>8</v>
      </c>
      <c r="D125" s="2">
        <v>1</v>
      </c>
      <c r="E125" s="2">
        <v>1.133</v>
      </c>
      <c r="F125" s="2">
        <v>2</v>
      </c>
    </row>
    <row r="126" spans="1:6" ht="14.25" customHeight="1">
      <c r="A126" s="2">
        <v>1</v>
      </c>
      <c r="B126" s="2">
        <v>125</v>
      </c>
      <c r="C126" s="2">
        <v>5</v>
      </c>
      <c r="D126" s="2">
        <v>1</v>
      </c>
      <c r="E126" s="2">
        <v>1.3480000000000001</v>
      </c>
      <c r="F126" s="2">
        <v>2</v>
      </c>
    </row>
    <row r="127" spans="1:6" ht="14.25" customHeight="1">
      <c r="A127" s="2">
        <v>1</v>
      </c>
      <c r="B127" s="2">
        <v>126</v>
      </c>
      <c r="C127" s="2">
        <v>6</v>
      </c>
      <c r="D127" s="2">
        <v>1</v>
      </c>
      <c r="E127" s="2">
        <v>1.819</v>
      </c>
      <c r="F127" s="2">
        <v>2</v>
      </c>
    </row>
    <row r="128" spans="1:6" ht="14.25" customHeight="1">
      <c r="A128" s="2">
        <v>1</v>
      </c>
      <c r="B128" s="2">
        <v>127</v>
      </c>
      <c r="C128" s="2">
        <v>3</v>
      </c>
      <c r="D128" s="2">
        <v>0</v>
      </c>
      <c r="E128" s="2">
        <v>0.94199999999999995</v>
      </c>
      <c r="F128" s="2">
        <v>1</v>
      </c>
    </row>
    <row r="129" spans="1:6" ht="14.25" customHeight="1">
      <c r="A129" s="2">
        <v>1</v>
      </c>
      <c r="B129" s="2">
        <v>128</v>
      </c>
      <c r="C129" s="2">
        <v>8</v>
      </c>
      <c r="D129" s="2">
        <v>0</v>
      </c>
      <c r="E129" s="2">
        <v>1.7649999999999999</v>
      </c>
      <c r="F129" s="2">
        <v>1</v>
      </c>
    </row>
    <row r="130" spans="1:6" ht="14.25" customHeight="1">
      <c r="A130" s="2">
        <v>1</v>
      </c>
      <c r="B130" s="2">
        <v>129</v>
      </c>
      <c r="C130" s="2">
        <v>4</v>
      </c>
      <c r="D130" s="2">
        <v>1</v>
      </c>
      <c r="E130" s="2">
        <v>1.474</v>
      </c>
      <c r="F130" s="2">
        <v>1</v>
      </c>
    </row>
    <row r="131" spans="1:6" ht="14.25" customHeight="1">
      <c r="A131" s="2">
        <v>1</v>
      </c>
      <c r="B131" s="2">
        <v>130</v>
      </c>
      <c r="C131" s="2">
        <v>3</v>
      </c>
      <c r="D131" s="2">
        <v>1</v>
      </c>
      <c r="E131" s="2">
        <v>1.5720000000000001</v>
      </c>
      <c r="F131" s="2">
        <v>2</v>
      </c>
    </row>
    <row r="132" spans="1:6" ht="14.25" customHeight="1">
      <c r="A132" s="2">
        <v>1</v>
      </c>
      <c r="B132" s="2">
        <v>131</v>
      </c>
      <c r="C132" s="2">
        <v>5</v>
      </c>
      <c r="D132" s="2">
        <v>1</v>
      </c>
      <c r="E132" s="2">
        <v>1.53</v>
      </c>
      <c r="F132" s="2">
        <v>2</v>
      </c>
    </row>
    <row r="133" spans="1:6" ht="14.25" customHeight="1">
      <c r="A133" s="2">
        <v>1</v>
      </c>
      <c r="B133" s="2">
        <v>132</v>
      </c>
      <c r="C133" s="2">
        <v>2</v>
      </c>
      <c r="E133" s="2">
        <v>2.0009999999999999</v>
      </c>
    </row>
    <row r="134" spans="1:6" ht="14.25" customHeight="1">
      <c r="A134" s="2">
        <v>1</v>
      </c>
      <c r="B134" s="2">
        <v>133</v>
      </c>
      <c r="C134" s="2">
        <v>4</v>
      </c>
      <c r="D134" s="2">
        <v>1</v>
      </c>
      <c r="E134" s="2">
        <v>0.876</v>
      </c>
      <c r="F134" s="2">
        <v>1</v>
      </c>
    </row>
    <row r="135" spans="1:6" ht="14.25" customHeight="1">
      <c r="A135" s="2">
        <v>1</v>
      </c>
      <c r="B135" s="2">
        <v>134</v>
      </c>
      <c r="C135" s="2">
        <v>2</v>
      </c>
      <c r="D135" s="2">
        <v>1</v>
      </c>
      <c r="E135" s="2">
        <v>0.76700000000000002</v>
      </c>
      <c r="F135" s="2">
        <v>2</v>
      </c>
    </row>
    <row r="136" spans="1:6" ht="14.25" customHeight="1">
      <c r="A136" s="2">
        <v>1</v>
      </c>
      <c r="B136" s="2">
        <v>135</v>
      </c>
      <c r="C136" s="2">
        <v>8</v>
      </c>
      <c r="D136" s="2">
        <v>0</v>
      </c>
      <c r="E136" s="2">
        <v>1.476</v>
      </c>
      <c r="F136" s="2">
        <v>2</v>
      </c>
    </row>
    <row r="137" spans="1:6" ht="14.25" customHeight="1">
      <c r="A137" s="2">
        <v>1</v>
      </c>
      <c r="B137" s="2">
        <v>136</v>
      </c>
      <c r="C137" s="2">
        <v>5</v>
      </c>
      <c r="D137" s="2">
        <v>1</v>
      </c>
      <c r="E137" s="2">
        <v>1.125</v>
      </c>
      <c r="F137" s="2">
        <v>1</v>
      </c>
    </row>
    <row r="138" spans="1:6" ht="14.25" customHeight="1">
      <c r="A138" s="2">
        <v>1</v>
      </c>
      <c r="B138" s="2">
        <v>137</v>
      </c>
      <c r="C138" s="2">
        <v>1</v>
      </c>
      <c r="D138" s="2">
        <v>1</v>
      </c>
      <c r="E138" s="2">
        <v>0.80400000000000005</v>
      </c>
      <c r="F138" s="2">
        <v>1</v>
      </c>
    </row>
    <row r="139" spans="1:6" ht="14.25" customHeight="1">
      <c r="A139" s="2">
        <v>1</v>
      </c>
      <c r="B139" s="2">
        <v>138</v>
      </c>
      <c r="C139" s="2">
        <v>6</v>
      </c>
      <c r="D139" s="2">
        <v>0</v>
      </c>
      <c r="E139" s="2">
        <v>1.361</v>
      </c>
      <c r="F139" s="2">
        <v>2</v>
      </c>
    </row>
    <row r="140" spans="1:6" ht="14.25" customHeight="1">
      <c r="A140" s="2">
        <v>1</v>
      </c>
      <c r="B140" s="2">
        <v>139</v>
      </c>
      <c r="C140" s="2">
        <v>7</v>
      </c>
      <c r="D140" s="2">
        <v>1</v>
      </c>
      <c r="E140" s="2">
        <v>0.81399999999999995</v>
      </c>
      <c r="F140" s="2">
        <v>1</v>
      </c>
    </row>
    <row r="141" spans="1:6" ht="14.25" customHeight="1">
      <c r="A141" s="2">
        <v>1</v>
      </c>
      <c r="B141" s="2">
        <v>140</v>
      </c>
      <c r="C141" s="2">
        <v>5</v>
      </c>
      <c r="D141" s="2">
        <v>1</v>
      </c>
      <c r="E141" s="2">
        <v>1.2889999999999999</v>
      </c>
      <c r="F141" s="2">
        <v>2</v>
      </c>
    </row>
    <row r="142" spans="1:6" ht="14.25" customHeight="1">
      <c r="A142" s="2">
        <v>1</v>
      </c>
      <c r="B142" s="2">
        <v>141</v>
      </c>
      <c r="C142" s="2">
        <v>1</v>
      </c>
      <c r="D142" s="2">
        <v>1</v>
      </c>
      <c r="E142" s="2">
        <v>1.034</v>
      </c>
      <c r="F142" s="2">
        <v>1</v>
      </c>
    </row>
    <row r="143" spans="1:6" ht="14.25" customHeight="1">
      <c r="A143" s="2">
        <v>1</v>
      </c>
      <c r="B143" s="2">
        <v>142</v>
      </c>
      <c r="C143" s="2">
        <v>2</v>
      </c>
      <c r="D143" s="2">
        <v>1</v>
      </c>
      <c r="E143" s="2">
        <v>1.508</v>
      </c>
      <c r="F143" s="2">
        <v>2</v>
      </c>
    </row>
    <row r="144" spans="1:6" ht="14.25" customHeight="1">
      <c r="A144" s="2">
        <v>1</v>
      </c>
      <c r="B144" s="2">
        <v>143</v>
      </c>
      <c r="C144" s="2">
        <v>1</v>
      </c>
      <c r="D144" s="2">
        <v>1</v>
      </c>
      <c r="E144" s="2">
        <v>1.58</v>
      </c>
      <c r="F144" s="2">
        <v>1</v>
      </c>
    </row>
    <row r="145" spans="1:6" ht="14.25" customHeight="1">
      <c r="A145" s="2">
        <v>1</v>
      </c>
      <c r="B145" s="2">
        <v>144</v>
      </c>
      <c r="C145" s="2">
        <v>2</v>
      </c>
      <c r="D145" s="2">
        <v>1</v>
      </c>
      <c r="E145" s="2">
        <v>1.306</v>
      </c>
      <c r="F145" s="2">
        <v>1</v>
      </c>
    </row>
    <row r="146" spans="1:6" ht="14.25" customHeight="1">
      <c r="A146" s="2">
        <v>1</v>
      </c>
      <c r="B146" s="2">
        <v>145</v>
      </c>
      <c r="C146" s="2">
        <v>6</v>
      </c>
      <c r="D146" s="2">
        <v>1</v>
      </c>
      <c r="E146" s="2">
        <v>1.3660000000000001</v>
      </c>
      <c r="F146" s="2">
        <v>1</v>
      </c>
    </row>
    <row r="147" spans="1:6" ht="14.25" customHeight="1">
      <c r="A147" s="2">
        <v>1</v>
      </c>
      <c r="B147" s="2">
        <v>146</v>
      </c>
      <c r="C147" s="2">
        <v>5</v>
      </c>
      <c r="D147" s="2">
        <v>1</v>
      </c>
      <c r="E147" s="2">
        <v>1.48</v>
      </c>
      <c r="F147" s="2">
        <v>2</v>
      </c>
    </row>
    <row r="148" spans="1:6" ht="14.25" customHeight="1">
      <c r="A148" s="2">
        <v>1</v>
      </c>
      <c r="B148" s="2">
        <v>147</v>
      </c>
      <c r="C148" s="2">
        <v>4</v>
      </c>
      <c r="D148" s="2">
        <v>0</v>
      </c>
      <c r="E148" s="2">
        <v>1.2729999999999999</v>
      </c>
      <c r="F148" s="2">
        <v>1</v>
      </c>
    </row>
    <row r="149" spans="1:6" ht="14.25" customHeight="1">
      <c r="A149" s="2">
        <v>1</v>
      </c>
      <c r="B149" s="2">
        <v>148</v>
      </c>
      <c r="C149" s="2">
        <v>3</v>
      </c>
      <c r="D149" s="2">
        <v>1</v>
      </c>
      <c r="E149" s="2">
        <v>0.79600000000000004</v>
      </c>
      <c r="F149" s="2">
        <v>1</v>
      </c>
    </row>
    <row r="150" spans="1:6" ht="14.25" customHeight="1">
      <c r="A150" s="2">
        <v>1</v>
      </c>
      <c r="B150" s="2">
        <v>149</v>
      </c>
      <c r="C150" s="2">
        <v>4</v>
      </c>
      <c r="D150" s="2">
        <v>0</v>
      </c>
      <c r="E150" s="2">
        <v>1.4319999999999999</v>
      </c>
      <c r="F150" s="2">
        <v>1</v>
      </c>
    </row>
    <row r="151" spans="1:6" ht="14.25" customHeight="1">
      <c r="A151" s="2">
        <v>1</v>
      </c>
      <c r="B151" s="2">
        <v>150</v>
      </c>
      <c r="C151" s="2">
        <v>6</v>
      </c>
      <c r="D151" s="2">
        <v>0</v>
      </c>
      <c r="E151" s="2">
        <v>1.4179999999999999</v>
      </c>
      <c r="F151" s="2">
        <v>2</v>
      </c>
    </row>
    <row r="152" spans="1:6" ht="14.25" customHeight="1">
      <c r="A152" s="2">
        <v>1</v>
      </c>
      <c r="B152" s="2">
        <v>151</v>
      </c>
      <c r="C152" s="2">
        <v>7</v>
      </c>
      <c r="D152" s="2">
        <v>0</v>
      </c>
      <c r="E152" s="2">
        <v>1.1559999999999999</v>
      </c>
      <c r="F152" s="2">
        <v>2</v>
      </c>
    </row>
    <row r="153" spans="1:6" ht="14.25" customHeight="1">
      <c r="A153" s="2">
        <v>1</v>
      </c>
      <c r="B153" s="2">
        <v>152</v>
      </c>
      <c r="C153" s="2">
        <v>4</v>
      </c>
      <c r="D153" s="2">
        <v>0</v>
      </c>
      <c r="E153" s="2">
        <v>1.1619999999999999</v>
      </c>
      <c r="F153" s="2">
        <v>1</v>
      </c>
    </row>
    <row r="154" spans="1:6" ht="14.25" customHeight="1">
      <c r="A154" s="2">
        <v>1</v>
      </c>
      <c r="B154" s="2">
        <v>153</v>
      </c>
      <c r="C154" s="2">
        <v>2</v>
      </c>
      <c r="D154" s="2">
        <v>0</v>
      </c>
      <c r="E154" s="2">
        <v>1.1439999999999999</v>
      </c>
      <c r="F154" s="2">
        <v>2</v>
      </c>
    </row>
    <row r="155" spans="1:6" ht="14.25" customHeight="1">
      <c r="A155" s="2">
        <v>1</v>
      </c>
      <c r="B155" s="2">
        <v>154</v>
      </c>
      <c r="C155" s="2">
        <v>5</v>
      </c>
      <c r="D155" s="2">
        <v>1</v>
      </c>
      <c r="E155" s="2">
        <v>0.90400000000000003</v>
      </c>
      <c r="F155" s="2">
        <v>2</v>
      </c>
    </row>
    <row r="156" spans="1:6" ht="14.25" customHeight="1">
      <c r="A156" s="2">
        <v>1</v>
      </c>
      <c r="B156" s="2">
        <v>155</v>
      </c>
      <c r="C156" s="2">
        <v>1</v>
      </c>
      <c r="D156" s="2">
        <v>1</v>
      </c>
      <c r="E156" s="2">
        <v>0.999</v>
      </c>
      <c r="F156" s="2">
        <v>2</v>
      </c>
    </row>
    <row r="157" spans="1:6" ht="14.25" customHeight="1">
      <c r="A157" s="2">
        <v>1</v>
      </c>
      <c r="B157" s="2">
        <v>156</v>
      </c>
      <c r="C157" s="2">
        <v>7</v>
      </c>
      <c r="D157" s="2">
        <v>1</v>
      </c>
      <c r="E157" s="2">
        <v>0.77100000000000002</v>
      </c>
      <c r="F157" s="2">
        <v>2</v>
      </c>
    </row>
    <row r="158" spans="1:6" ht="14.25" customHeight="1">
      <c r="A158" s="2">
        <v>1</v>
      </c>
      <c r="B158" s="2">
        <v>157</v>
      </c>
      <c r="C158" s="2">
        <v>8</v>
      </c>
      <c r="D158" s="2">
        <v>0</v>
      </c>
      <c r="E158" s="2">
        <v>0.97699999999999998</v>
      </c>
      <c r="F158" s="2">
        <v>1</v>
      </c>
    </row>
    <row r="159" spans="1:6" ht="14.25" customHeight="1">
      <c r="A159" s="2">
        <v>1</v>
      </c>
      <c r="B159" s="2">
        <v>158</v>
      </c>
      <c r="C159" s="2">
        <v>7</v>
      </c>
      <c r="D159" s="2">
        <v>1</v>
      </c>
      <c r="E159" s="2">
        <v>1.238</v>
      </c>
      <c r="F159" s="2">
        <v>1</v>
      </c>
    </row>
    <row r="160" spans="1:6" ht="14.25" customHeight="1">
      <c r="A160" s="2">
        <v>1</v>
      </c>
      <c r="B160" s="2">
        <v>159</v>
      </c>
      <c r="C160" s="2">
        <v>3</v>
      </c>
      <c r="D160" s="2">
        <v>1</v>
      </c>
      <c r="E160" s="2">
        <v>1.361</v>
      </c>
      <c r="F160" s="2">
        <v>1</v>
      </c>
    </row>
    <row r="161" spans="1:6" ht="14.25" customHeight="1">
      <c r="A161" s="2">
        <v>1</v>
      </c>
      <c r="B161" s="2">
        <v>160</v>
      </c>
      <c r="C161" s="2">
        <v>7</v>
      </c>
      <c r="D161" s="2">
        <v>1</v>
      </c>
      <c r="E161" s="2">
        <v>0.70199999999999996</v>
      </c>
      <c r="F161" s="2">
        <v>1</v>
      </c>
    </row>
    <row r="162" spans="1:6" ht="14.25" customHeight="1">
      <c r="A162" s="2">
        <v>1</v>
      </c>
      <c r="B162" s="2">
        <v>161</v>
      </c>
      <c r="C162" s="2">
        <v>5</v>
      </c>
      <c r="D162" s="2">
        <v>1</v>
      </c>
      <c r="E162" s="2">
        <v>1.2450000000000001</v>
      </c>
      <c r="F162" s="2">
        <v>2</v>
      </c>
    </row>
    <row r="163" spans="1:6" ht="14.25" customHeight="1">
      <c r="A163" s="2">
        <v>1</v>
      </c>
      <c r="B163" s="2">
        <v>162</v>
      </c>
      <c r="C163" s="2">
        <v>8</v>
      </c>
      <c r="D163" s="2">
        <v>1</v>
      </c>
      <c r="E163" s="2">
        <v>0.84799999999999998</v>
      </c>
      <c r="F163" s="2">
        <v>2</v>
      </c>
    </row>
    <row r="164" spans="1:6" ht="14.25" customHeight="1">
      <c r="A164" s="2">
        <v>1</v>
      </c>
      <c r="B164" s="2">
        <v>163</v>
      </c>
      <c r="C164" s="2">
        <v>4</v>
      </c>
      <c r="D164" s="2">
        <v>1</v>
      </c>
      <c r="E164" s="2">
        <v>1.1299999999999999</v>
      </c>
      <c r="F164" s="2">
        <v>1</v>
      </c>
    </row>
    <row r="165" spans="1:6" ht="14.25" customHeight="1">
      <c r="A165" s="2">
        <v>1</v>
      </c>
      <c r="B165" s="2">
        <v>164</v>
      </c>
      <c r="C165" s="2">
        <v>3</v>
      </c>
      <c r="D165" s="2">
        <v>1</v>
      </c>
      <c r="E165" s="2">
        <v>0.79500000000000004</v>
      </c>
      <c r="F165" s="2">
        <v>1</v>
      </c>
    </row>
    <row r="166" spans="1:6" ht="14.25" customHeight="1">
      <c r="A166" s="2">
        <v>1</v>
      </c>
      <c r="B166" s="2">
        <v>165</v>
      </c>
      <c r="C166" s="2">
        <v>2</v>
      </c>
      <c r="D166" s="2">
        <v>1</v>
      </c>
      <c r="E166" s="2">
        <v>0.80700000000000005</v>
      </c>
      <c r="F166" s="2">
        <v>2</v>
      </c>
    </row>
    <row r="167" spans="1:6" ht="14.25" customHeight="1">
      <c r="A167" s="2">
        <v>1</v>
      </c>
      <c r="B167" s="2">
        <v>166</v>
      </c>
      <c r="C167" s="2">
        <v>3</v>
      </c>
      <c r="D167" s="2">
        <v>1</v>
      </c>
      <c r="E167" s="2">
        <v>1.004</v>
      </c>
      <c r="F167" s="2">
        <v>2</v>
      </c>
    </row>
    <row r="168" spans="1:6" ht="14.25" customHeight="1">
      <c r="A168" s="2">
        <v>1</v>
      </c>
      <c r="B168" s="2">
        <v>167</v>
      </c>
      <c r="C168" s="2">
        <v>5</v>
      </c>
      <c r="D168" s="2">
        <v>1</v>
      </c>
      <c r="E168" s="2">
        <v>0.82199999999999995</v>
      </c>
      <c r="F168" s="2">
        <v>1</v>
      </c>
    </row>
    <row r="169" spans="1:6" ht="14.25" customHeight="1">
      <c r="A169" s="2">
        <v>1</v>
      </c>
      <c r="B169" s="2">
        <v>168</v>
      </c>
      <c r="C169" s="2">
        <v>8</v>
      </c>
      <c r="D169" s="2">
        <v>1</v>
      </c>
      <c r="E169" s="2">
        <v>1.0029999999999999</v>
      </c>
      <c r="F169" s="2">
        <v>1</v>
      </c>
    </row>
    <row r="170" spans="1:6" ht="14.25" customHeight="1">
      <c r="A170" s="2">
        <v>1</v>
      </c>
      <c r="B170" s="2">
        <v>169</v>
      </c>
      <c r="C170" s="2">
        <v>6</v>
      </c>
      <c r="D170" s="2">
        <v>1</v>
      </c>
      <c r="E170" s="2">
        <v>0.79</v>
      </c>
      <c r="F170" s="2">
        <v>2</v>
      </c>
    </row>
    <row r="171" spans="1:6" ht="14.25" customHeight="1">
      <c r="A171" s="2">
        <v>1</v>
      </c>
      <c r="B171" s="2">
        <v>170</v>
      </c>
      <c r="C171" s="2">
        <v>5</v>
      </c>
      <c r="D171" s="2">
        <v>1</v>
      </c>
      <c r="E171" s="2">
        <v>0.86599999999999999</v>
      </c>
      <c r="F171" s="2">
        <v>1</v>
      </c>
    </row>
    <row r="172" spans="1:6" ht="14.25" customHeight="1">
      <c r="A172" s="2">
        <v>1</v>
      </c>
      <c r="B172" s="2">
        <v>171</v>
      </c>
      <c r="C172" s="2">
        <v>8</v>
      </c>
      <c r="D172" s="2">
        <v>1</v>
      </c>
      <c r="E172" s="2">
        <v>1.18</v>
      </c>
      <c r="F172" s="2">
        <v>1</v>
      </c>
    </row>
    <row r="173" spans="1:6" ht="14.25" customHeight="1">
      <c r="A173" s="2">
        <v>1</v>
      </c>
      <c r="B173" s="2">
        <v>172</v>
      </c>
      <c r="C173" s="2">
        <v>6</v>
      </c>
      <c r="D173" s="2">
        <v>1</v>
      </c>
      <c r="E173" s="2">
        <v>1.0660000000000001</v>
      </c>
      <c r="F173" s="2">
        <v>2</v>
      </c>
    </row>
    <row r="174" spans="1:6" ht="14.25" customHeight="1">
      <c r="A174" s="2">
        <v>1</v>
      </c>
      <c r="B174" s="2">
        <v>173</v>
      </c>
      <c r="C174" s="2">
        <v>5</v>
      </c>
      <c r="D174" s="2">
        <v>1</v>
      </c>
      <c r="E174" s="2">
        <v>0.83499999999999996</v>
      </c>
      <c r="F174" s="2">
        <v>2</v>
      </c>
    </row>
    <row r="175" spans="1:6" ht="14.25" customHeight="1">
      <c r="A175" s="2">
        <v>1</v>
      </c>
      <c r="B175" s="2">
        <v>174</v>
      </c>
      <c r="C175" s="2">
        <v>1</v>
      </c>
      <c r="D175" s="2">
        <v>1</v>
      </c>
      <c r="E175" s="2">
        <v>0.78300000000000003</v>
      </c>
      <c r="F175" s="2">
        <v>2</v>
      </c>
    </row>
    <row r="176" spans="1:6" ht="14.25" customHeight="1">
      <c r="A176" s="2">
        <v>1</v>
      </c>
      <c r="B176" s="2">
        <v>175</v>
      </c>
      <c r="C176" s="2">
        <v>3</v>
      </c>
      <c r="D176" s="2">
        <v>0</v>
      </c>
      <c r="E176" s="2">
        <v>1.3160000000000001</v>
      </c>
      <c r="F176" s="2">
        <v>1</v>
      </c>
    </row>
    <row r="177" spans="1:6" ht="14.25" customHeight="1">
      <c r="A177" s="2">
        <v>1</v>
      </c>
      <c r="B177" s="2">
        <v>176</v>
      </c>
      <c r="C177" s="2">
        <v>2</v>
      </c>
      <c r="D177" s="2">
        <v>1</v>
      </c>
      <c r="E177" s="2">
        <v>1.532</v>
      </c>
      <c r="F177" s="2">
        <v>2</v>
      </c>
    </row>
    <row r="178" spans="1:6" ht="14.25" customHeight="1">
      <c r="A178" s="2">
        <v>1</v>
      </c>
      <c r="B178" s="2">
        <v>177</v>
      </c>
      <c r="C178" s="2">
        <v>3</v>
      </c>
      <c r="D178" s="2">
        <v>0</v>
      </c>
      <c r="E178" s="2">
        <v>1.1870000000000001</v>
      </c>
      <c r="F178" s="2">
        <v>1</v>
      </c>
    </row>
    <row r="179" spans="1:6" ht="14.25" customHeight="1">
      <c r="A179" s="2">
        <v>1</v>
      </c>
      <c r="B179" s="2">
        <v>178</v>
      </c>
      <c r="C179" s="2">
        <v>1</v>
      </c>
      <c r="D179" s="2">
        <v>1</v>
      </c>
      <c r="E179" s="2">
        <v>1.1439999999999999</v>
      </c>
      <c r="F179" s="2">
        <v>2</v>
      </c>
    </row>
    <row r="180" spans="1:6" ht="14.25" customHeight="1">
      <c r="A180" s="2">
        <v>1</v>
      </c>
      <c r="B180" s="2">
        <v>179</v>
      </c>
      <c r="C180" s="2">
        <v>3</v>
      </c>
      <c r="D180" s="2">
        <v>1</v>
      </c>
      <c r="E180" s="2">
        <v>0.88700000000000001</v>
      </c>
      <c r="F180" s="2">
        <v>1</v>
      </c>
    </row>
    <row r="181" spans="1:6" ht="14.25" customHeight="1">
      <c r="A181" s="2">
        <v>1</v>
      </c>
      <c r="B181" s="2">
        <v>180</v>
      </c>
      <c r="C181" s="2">
        <v>2</v>
      </c>
      <c r="D181" s="2">
        <v>1</v>
      </c>
      <c r="E181" s="2">
        <v>1.119</v>
      </c>
      <c r="F181" s="2">
        <v>2</v>
      </c>
    </row>
    <row r="182" spans="1:6" ht="14.25" customHeight="1">
      <c r="A182" s="2">
        <v>1</v>
      </c>
      <c r="B182" s="2">
        <v>181</v>
      </c>
      <c r="C182" s="2">
        <v>5</v>
      </c>
      <c r="D182" s="2">
        <v>1</v>
      </c>
      <c r="E182" s="2">
        <v>1.0620000000000001</v>
      </c>
      <c r="F182" s="2">
        <v>2</v>
      </c>
    </row>
    <row r="183" spans="1:6" ht="14.25" customHeight="1">
      <c r="A183" s="2">
        <v>1</v>
      </c>
      <c r="B183" s="2">
        <v>182</v>
      </c>
      <c r="C183" s="2">
        <v>6</v>
      </c>
      <c r="D183" s="2">
        <v>0</v>
      </c>
      <c r="E183" s="2">
        <v>1.032</v>
      </c>
      <c r="F183" s="2">
        <v>1</v>
      </c>
    </row>
    <row r="184" spans="1:6" ht="14.25" customHeight="1">
      <c r="A184" s="2">
        <v>1</v>
      </c>
      <c r="B184" s="2">
        <v>183</v>
      </c>
      <c r="C184" s="2">
        <v>4</v>
      </c>
      <c r="D184" s="2">
        <v>1</v>
      </c>
      <c r="E184" s="2">
        <v>0.82</v>
      </c>
      <c r="F184" s="2">
        <v>1</v>
      </c>
    </row>
    <row r="185" spans="1:6" ht="14.25" customHeight="1">
      <c r="A185" s="2">
        <v>1</v>
      </c>
      <c r="B185" s="2">
        <v>184</v>
      </c>
      <c r="C185" s="2">
        <v>1</v>
      </c>
      <c r="D185" s="2">
        <v>1</v>
      </c>
      <c r="E185" s="2">
        <v>0.90400000000000003</v>
      </c>
      <c r="F185" s="2">
        <v>2</v>
      </c>
    </row>
    <row r="186" spans="1:6" ht="14.25" customHeight="1">
      <c r="A186" s="2">
        <v>1</v>
      </c>
      <c r="B186" s="2">
        <v>185</v>
      </c>
      <c r="C186" s="2">
        <v>7</v>
      </c>
      <c r="D186" s="2">
        <v>1</v>
      </c>
      <c r="E186" s="2">
        <v>0.93500000000000005</v>
      </c>
      <c r="F186" s="2">
        <v>1</v>
      </c>
    </row>
    <row r="187" spans="1:6" ht="14.25" customHeight="1">
      <c r="A187" s="2">
        <v>1</v>
      </c>
      <c r="B187" s="2">
        <v>186</v>
      </c>
      <c r="C187" s="2">
        <v>2</v>
      </c>
      <c r="D187" s="2">
        <v>1</v>
      </c>
      <c r="E187" s="2">
        <v>0.63800000000000001</v>
      </c>
      <c r="F187" s="2">
        <v>1</v>
      </c>
    </row>
    <row r="188" spans="1:6" ht="14.25" customHeight="1">
      <c r="A188" s="2">
        <v>1</v>
      </c>
      <c r="B188" s="2">
        <v>187</v>
      </c>
      <c r="C188" s="2">
        <v>6</v>
      </c>
      <c r="D188" s="2">
        <v>1</v>
      </c>
      <c r="E188" s="2">
        <v>0.55300000000000005</v>
      </c>
      <c r="F188" s="2">
        <v>1</v>
      </c>
    </row>
    <row r="189" spans="1:6" ht="14.25" customHeight="1">
      <c r="A189" s="2">
        <v>1</v>
      </c>
      <c r="B189" s="2">
        <v>188</v>
      </c>
      <c r="C189" s="2">
        <v>4</v>
      </c>
      <c r="D189" s="2">
        <v>1</v>
      </c>
      <c r="E189" s="2">
        <v>0.88800000000000001</v>
      </c>
      <c r="F189" s="2">
        <v>1</v>
      </c>
    </row>
    <row r="190" spans="1:6" ht="14.25" customHeight="1">
      <c r="A190" s="2">
        <v>1</v>
      </c>
      <c r="B190" s="2">
        <v>189</v>
      </c>
      <c r="C190" s="2">
        <v>6</v>
      </c>
      <c r="D190" s="2">
        <v>1</v>
      </c>
      <c r="E190" s="2">
        <v>0.76800000000000002</v>
      </c>
      <c r="F190" s="2">
        <v>1</v>
      </c>
    </row>
    <row r="191" spans="1:6" ht="14.25" customHeight="1">
      <c r="A191" s="2">
        <v>1</v>
      </c>
      <c r="B191" s="2">
        <v>190</v>
      </c>
      <c r="C191" s="2">
        <v>4</v>
      </c>
      <c r="D191" s="2">
        <v>1</v>
      </c>
      <c r="E191" s="2">
        <v>0.878</v>
      </c>
      <c r="F191" s="2">
        <v>2</v>
      </c>
    </row>
    <row r="192" spans="1:6" ht="14.25" customHeight="1">
      <c r="A192" s="2">
        <v>1</v>
      </c>
      <c r="B192" s="2">
        <v>191</v>
      </c>
      <c r="C192" s="2">
        <v>3</v>
      </c>
      <c r="D192" s="2">
        <v>1</v>
      </c>
      <c r="E192" s="2">
        <v>0.95099999999999996</v>
      </c>
      <c r="F192" s="2">
        <v>1</v>
      </c>
    </row>
    <row r="193" spans="1:6" ht="14.25" customHeight="1">
      <c r="A193" s="2">
        <v>1</v>
      </c>
      <c r="B193" s="2">
        <v>192</v>
      </c>
      <c r="C193" s="2">
        <v>4</v>
      </c>
      <c r="D193" s="2">
        <v>1</v>
      </c>
      <c r="E193" s="2">
        <v>1.2869999999999999</v>
      </c>
      <c r="F193" s="2">
        <v>2</v>
      </c>
    </row>
    <row r="194" spans="1:6" ht="14.25" customHeight="1">
      <c r="A194" s="2">
        <v>1</v>
      </c>
      <c r="B194" s="2">
        <v>193</v>
      </c>
      <c r="C194" s="2">
        <v>7</v>
      </c>
      <c r="D194" s="2">
        <v>1</v>
      </c>
      <c r="E194" s="2">
        <v>0.99</v>
      </c>
      <c r="F194" s="2">
        <v>1</v>
      </c>
    </row>
    <row r="195" spans="1:6" ht="14.25" customHeight="1">
      <c r="A195" s="2">
        <v>1</v>
      </c>
      <c r="B195" s="2">
        <v>194</v>
      </c>
      <c r="C195" s="2">
        <v>1</v>
      </c>
      <c r="D195" s="2">
        <v>1</v>
      </c>
      <c r="E195" s="2">
        <v>0.69899999999999995</v>
      </c>
      <c r="F195" s="2">
        <v>1</v>
      </c>
    </row>
    <row r="196" spans="1:6" ht="14.25" customHeight="1">
      <c r="A196" s="2">
        <v>1</v>
      </c>
      <c r="B196" s="2">
        <v>195</v>
      </c>
      <c r="C196" s="2">
        <v>6</v>
      </c>
      <c r="D196" s="2">
        <v>1</v>
      </c>
      <c r="E196" s="2">
        <v>1.083</v>
      </c>
      <c r="F196" s="2">
        <v>1</v>
      </c>
    </row>
    <row r="197" spans="1:6" ht="14.25" customHeight="1">
      <c r="A197" s="2">
        <v>1</v>
      </c>
      <c r="B197" s="2">
        <v>196</v>
      </c>
      <c r="C197" s="2">
        <v>8</v>
      </c>
      <c r="D197" s="2">
        <v>1</v>
      </c>
      <c r="E197" s="2">
        <v>1.3160000000000001</v>
      </c>
      <c r="F197" s="2">
        <v>2</v>
      </c>
    </row>
    <row r="198" spans="1:6" ht="14.25" customHeight="1">
      <c r="A198" s="2">
        <v>1</v>
      </c>
      <c r="B198" s="2">
        <v>197</v>
      </c>
      <c r="C198" s="2">
        <v>2</v>
      </c>
      <c r="D198" s="2">
        <v>0</v>
      </c>
      <c r="E198" s="2">
        <v>1.133</v>
      </c>
      <c r="F198" s="2">
        <v>1</v>
      </c>
    </row>
    <row r="199" spans="1:6" ht="14.25" customHeight="1">
      <c r="A199" s="2">
        <v>1</v>
      </c>
      <c r="B199" s="2">
        <v>198</v>
      </c>
      <c r="C199" s="2">
        <v>1</v>
      </c>
      <c r="D199" s="2">
        <v>1</v>
      </c>
      <c r="E199" s="2">
        <v>0.71599999999999997</v>
      </c>
      <c r="F199" s="2">
        <v>1</v>
      </c>
    </row>
    <row r="200" spans="1:6" ht="14.25" customHeight="1">
      <c r="A200" s="2">
        <v>1</v>
      </c>
      <c r="B200" s="2">
        <v>199</v>
      </c>
      <c r="C200" s="2">
        <v>8</v>
      </c>
      <c r="D200" s="2">
        <v>1</v>
      </c>
      <c r="E200" s="2">
        <v>1.0189999999999999</v>
      </c>
      <c r="F200" s="2">
        <v>2</v>
      </c>
    </row>
    <row r="201" spans="1:6" ht="14.25" customHeight="1">
      <c r="A201" s="2">
        <v>1</v>
      </c>
      <c r="B201" s="2">
        <v>200</v>
      </c>
      <c r="C201" s="2">
        <v>1</v>
      </c>
      <c r="D201" s="2">
        <v>1</v>
      </c>
      <c r="E201" s="2">
        <v>1.19</v>
      </c>
      <c r="F201" s="2">
        <v>1</v>
      </c>
    </row>
    <row r="202" spans="1:6" ht="14.25" customHeight="1">
      <c r="A202" s="2">
        <v>1</v>
      </c>
      <c r="B202" s="2">
        <v>201</v>
      </c>
      <c r="C202" s="2">
        <v>4</v>
      </c>
      <c r="D202" s="2">
        <v>1</v>
      </c>
      <c r="E202" s="2">
        <v>1.073</v>
      </c>
    </row>
    <row r="203" spans="1:6" ht="14.25" customHeight="1">
      <c r="A203" s="2">
        <v>1</v>
      </c>
      <c r="B203" s="2">
        <v>202</v>
      </c>
      <c r="C203" s="2">
        <v>5</v>
      </c>
      <c r="D203" s="2">
        <v>1</v>
      </c>
      <c r="E203" s="2">
        <v>1.0740000000000001</v>
      </c>
    </row>
    <row r="204" spans="1:6" ht="14.25" customHeight="1">
      <c r="A204" s="2">
        <v>1</v>
      </c>
      <c r="B204" s="2">
        <v>203</v>
      </c>
      <c r="C204" s="2">
        <v>2</v>
      </c>
      <c r="D204" s="2">
        <v>1</v>
      </c>
      <c r="E204" s="2">
        <v>0.68400000000000005</v>
      </c>
    </row>
    <row r="205" spans="1:6" ht="14.25" customHeight="1">
      <c r="A205" s="2">
        <v>1</v>
      </c>
      <c r="B205" s="2">
        <v>204</v>
      </c>
      <c r="C205" s="2">
        <v>4</v>
      </c>
      <c r="D205" s="2">
        <v>1</v>
      </c>
      <c r="E205" s="2">
        <v>0.86</v>
      </c>
    </row>
    <row r="206" spans="1:6" ht="14.25" customHeight="1">
      <c r="A206" s="2">
        <v>1</v>
      </c>
      <c r="B206" s="2">
        <v>205</v>
      </c>
      <c r="C206" s="2">
        <v>6</v>
      </c>
      <c r="D206" s="2">
        <v>1</v>
      </c>
      <c r="E206" s="2">
        <v>0.93500000000000005</v>
      </c>
    </row>
    <row r="207" spans="1:6" ht="14.25" customHeight="1">
      <c r="A207" s="2">
        <v>1</v>
      </c>
      <c r="B207" s="2">
        <v>206</v>
      </c>
      <c r="C207" s="2">
        <v>4</v>
      </c>
      <c r="D207" s="2">
        <v>1</v>
      </c>
      <c r="E207" s="2">
        <v>0.89300000000000002</v>
      </c>
    </row>
    <row r="208" spans="1:6" ht="14.25" customHeight="1">
      <c r="A208" s="2">
        <v>1</v>
      </c>
      <c r="B208" s="2">
        <v>207</v>
      </c>
      <c r="C208" s="2">
        <v>8</v>
      </c>
      <c r="D208" s="2">
        <v>0</v>
      </c>
      <c r="E208" s="2">
        <v>0.80600000000000005</v>
      </c>
    </row>
    <row r="209" spans="1:5" ht="14.25" customHeight="1">
      <c r="A209" s="2">
        <v>1</v>
      </c>
      <c r="B209" s="2">
        <v>208</v>
      </c>
      <c r="C209" s="2">
        <v>7</v>
      </c>
      <c r="D209" s="2">
        <v>1</v>
      </c>
      <c r="E209" s="2">
        <v>0.79400000000000004</v>
      </c>
    </row>
    <row r="210" spans="1:5" ht="14.25" customHeight="1">
      <c r="A210" s="2">
        <v>1</v>
      </c>
      <c r="B210" s="2">
        <v>209</v>
      </c>
      <c r="C210" s="2">
        <v>5</v>
      </c>
      <c r="D210" s="2">
        <v>1</v>
      </c>
      <c r="E210" s="2">
        <v>0.95</v>
      </c>
    </row>
    <row r="211" spans="1:5" ht="14.25" customHeight="1">
      <c r="A211" s="2">
        <v>1</v>
      </c>
      <c r="B211" s="2">
        <v>210</v>
      </c>
      <c r="C211" s="2">
        <v>4</v>
      </c>
      <c r="D211" s="2">
        <v>1</v>
      </c>
      <c r="E211" s="2">
        <v>0.82</v>
      </c>
    </row>
    <row r="212" spans="1:5" ht="14.25" customHeight="1">
      <c r="A212" s="2">
        <v>1</v>
      </c>
      <c r="B212" s="2">
        <v>211</v>
      </c>
      <c r="C212" s="2">
        <v>1</v>
      </c>
      <c r="D212" s="2">
        <v>1</v>
      </c>
      <c r="E212" s="2">
        <v>1.375</v>
      </c>
    </row>
    <row r="213" spans="1:5" ht="14.25" customHeight="1">
      <c r="A213" s="2">
        <v>1</v>
      </c>
      <c r="B213" s="2">
        <v>212</v>
      </c>
      <c r="C213" s="2">
        <v>5</v>
      </c>
      <c r="D213" s="2">
        <v>1</v>
      </c>
      <c r="E213" s="2">
        <v>1.0680000000000001</v>
      </c>
    </row>
    <row r="214" spans="1:5" ht="14.25" customHeight="1">
      <c r="A214" s="2">
        <v>1</v>
      </c>
      <c r="B214" s="2">
        <v>213</v>
      </c>
      <c r="C214" s="2">
        <v>3</v>
      </c>
      <c r="D214" s="2">
        <v>1</v>
      </c>
      <c r="E214" s="2">
        <v>1.1659999999999999</v>
      </c>
    </row>
    <row r="215" spans="1:5" ht="14.25" customHeight="1">
      <c r="A215" s="2">
        <v>1</v>
      </c>
      <c r="B215" s="2">
        <v>214</v>
      </c>
      <c r="C215" s="2">
        <v>2</v>
      </c>
      <c r="D215" s="2">
        <v>1</v>
      </c>
      <c r="E215" s="2">
        <v>0.69</v>
      </c>
    </row>
    <row r="216" spans="1:5" ht="14.25" customHeight="1">
      <c r="A216" s="2">
        <v>1</v>
      </c>
      <c r="B216" s="2">
        <v>215</v>
      </c>
      <c r="C216" s="2">
        <v>6</v>
      </c>
      <c r="D216" s="2">
        <v>1</v>
      </c>
      <c r="E216" s="2">
        <v>0.748</v>
      </c>
    </row>
    <row r="217" spans="1:5" ht="14.25" customHeight="1">
      <c r="A217" s="2">
        <v>1</v>
      </c>
      <c r="B217" s="2">
        <v>216</v>
      </c>
      <c r="C217" s="2">
        <v>1</v>
      </c>
      <c r="D217" s="2">
        <v>1</v>
      </c>
      <c r="E217" s="2">
        <v>0.89900000000000002</v>
      </c>
    </row>
    <row r="218" spans="1:5" ht="14.25" customHeight="1">
      <c r="A218" s="2">
        <v>1</v>
      </c>
      <c r="B218" s="2">
        <v>217</v>
      </c>
      <c r="C218" s="2">
        <v>6</v>
      </c>
      <c r="D218" s="2">
        <v>1</v>
      </c>
      <c r="E218" s="2">
        <v>0.67500000000000004</v>
      </c>
    </row>
    <row r="219" spans="1:5" ht="14.25" customHeight="1">
      <c r="A219" s="2">
        <v>1</v>
      </c>
      <c r="B219" s="2">
        <v>218</v>
      </c>
      <c r="C219" s="2">
        <v>5</v>
      </c>
      <c r="D219" s="2">
        <v>1</v>
      </c>
      <c r="E219" s="2">
        <v>0.78</v>
      </c>
    </row>
    <row r="220" spans="1:5" ht="14.25" customHeight="1">
      <c r="A220" s="2">
        <v>1</v>
      </c>
      <c r="B220" s="2">
        <v>219</v>
      </c>
      <c r="C220" s="2">
        <v>6</v>
      </c>
      <c r="D220" s="2">
        <v>1</v>
      </c>
      <c r="E220" s="2">
        <v>0.85</v>
      </c>
    </row>
    <row r="221" spans="1:5" ht="14.25" customHeight="1">
      <c r="A221" s="2">
        <v>1</v>
      </c>
      <c r="B221" s="2">
        <v>220</v>
      </c>
      <c r="C221" s="2">
        <v>1</v>
      </c>
      <c r="D221" s="2">
        <v>1</v>
      </c>
      <c r="E221" s="2">
        <v>0.81299999999999994</v>
      </c>
    </row>
    <row r="222" spans="1:5" ht="14.25" customHeight="1">
      <c r="A222" s="2">
        <v>1</v>
      </c>
      <c r="B222" s="2">
        <v>221</v>
      </c>
      <c r="C222" s="2">
        <v>8</v>
      </c>
      <c r="D222" s="2">
        <v>1</v>
      </c>
      <c r="E222" s="2">
        <v>0.98399999999999999</v>
      </c>
    </row>
    <row r="223" spans="1:5" ht="14.25" customHeight="1">
      <c r="A223" s="2">
        <v>1</v>
      </c>
      <c r="B223" s="2">
        <v>222</v>
      </c>
      <c r="C223" s="2">
        <v>3</v>
      </c>
      <c r="D223" s="2">
        <v>1</v>
      </c>
      <c r="E223" s="2">
        <v>1.109</v>
      </c>
    </row>
    <row r="224" spans="1:5" ht="14.25" customHeight="1">
      <c r="A224" s="2">
        <v>1</v>
      </c>
      <c r="B224" s="2">
        <v>223</v>
      </c>
      <c r="C224" s="2">
        <v>7</v>
      </c>
      <c r="D224" s="2">
        <v>1</v>
      </c>
      <c r="E224" s="2">
        <v>0.75</v>
      </c>
    </row>
    <row r="225" spans="1:5" ht="14.25" customHeight="1">
      <c r="A225" s="2">
        <v>1</v>
      </c>
      <c r="B225" s="2">
        <v>224</v>
      </c>
      <c r="C225" s="2">
        <v>5</v>
      </c>
      <c r="D225" s="2">
        <v>1</v>
      </c>
      <c r="E225" s="2">
        <v>0.71399999999999997</v>
      </c>
    </row>
    <row r="226" spans="1:5" ht="14.25" customHeight="1">
      <c r="A226" s="2">
        <v>1</v>
      </c>
      <c r="B226" s="2">
        <v>225</v>
      </c>
      <c r="C226" s="2">
        <v>8</v>
      </c>
      <c r="D226" s="2">
        <v>1</v>
      </c>
      <c r="E226" s="2">
        <v>1.1859999999999999</v>
      </c>
    </row>
    <row r="227" spans="1:5" ht="14.25" customHeight="1">
      <c r="A227" s="2">
        <v>1</v>
      </c>
      <c r="B227" s="2">
        <v>226</v>
      </c>
      <c r="C227" s="2">
        <v>6</v>
      </c>
      <c r="D227" s="2">
        <v>1</v>
      </c>
      <c r="E227" s="2">
        <v>1.216</v>
      </c>
    </row>
    <row r="228" spans="1:5" ht="14.25" customHeight="1">
      <c r="A228" s="2">
        <v>1</v>
      </c>
      <c r="B228" s="2">
        <v>227</v>
      </c>
      <c r="C228" s="2">
        <v>7</v>
      </c>
      <c r="D228" s="2">
        <v>1</v>
      </c>
      <c r="E228" s="2">
        <v>1.2130000000000001</v>
      </c>
    </row>
    <row r="229" spans="1:5" ht="14.25" customHeight="1">
      <c r="A229" s="2">
        <v>1</v>
      </c>
      <c r="B229" s="2">
        <v>228</v>
      </c>
      <c r="C229" s="2">
        <v>2</v>
      </c>
      <c r="D229" s="2">
        <v>1</v>
      </c>
      <c r="E229" s="2">
        <v>0.95099999999999996</v>
      </c>
    </row>
    <row r="230" spans="1:5" ht="14.25" customHeight="1">
      <c r="A230" s="2">
        <v>1</v>
      </c>
      <c r="B230" s="2">
        <v>229</v>
      </c>
      <c r="C230" s="2">
        <v>1</v>
      </c>
      <c r="D230" s="2">
        <v>1</v>
      </c>
      <c r="E230" s="2">
        <v>0.77400000000000002</v>
      </c>
    </row>
    <row r="231" spans="1:5" ht="14.25" customHeight="1">
      <c r="A231" s="2">
        <v>1</v>
      </c>
      <c r="B231" s="2">
        <v>230</v>
      </c>
      <c r="C231" s="2">
        <v>3</v>
      </c>
      <c r="D231" s="2">
        <v>1</v>
      </c>
      <c r="E231" s="2">
        <v>0.90800000000000003</v>
      </c>
    </row>
    <row r="232" spans="1:5" ht="14.25" customHeight="1">
      <c r="A232" s="2">
        <v>1</v>
      </c>
      <c r="B232" s="2">
        <v>231</v>
      </c>
      <c r="C232" s="2">
        <v>6</v>
      </c>
      <c r="D232" s="2">
        <v>1</v>
      </c>
      <c r="E232" s="2">
        <v>0.94699999999999995</v>
      </c>
    </row>
    <row r="233" spans="1:5" ht="14.25" customHeight="1">
      <c r="A233" s="2">
        <v>1</v>
      </c>
      <c r="B233" s="2">
        <v>232</v>
      </c>
      <c r="C233" s="2">
        <v>3</v>
      </c>
      <c r="D233" s="2">
        <v>1</v>
      </c>
      <c r="E233" s="2">
        <v>1.21</v>
      </c>
    </row>
    <row r="234" spans="1:5" ht="14.25" customHeight="1">
      <c r="A234" s="2">
        <v>1</v>
      </c>
      <c r="B234" s="2">
        <v>233</v>
      </c>
      <c r="C234" s="2">
        <v>7</v>
      </c>
      <c r="D234" s="2">
        <v>1</v>
      </c>
      <c r="E234" s="2">
        <v>0.70299999999999996</v>
      </c>
    </row>
    <row r="235" spans="1:5" ht="14.25" customHeight="1">
      <c r="A235" s="2">
        <v>1</v>
      </c>
      <c r="B235" s="2">
        <v>234</v>
      </c>
      <c r="C235" s="2">
        <v>3</v>
      </c>
      <c r="D235" s="2">
        <v>1</v>
      </c>
      <c r="E235" s="2">
        <v>0.82199999999999995</v>
      </c>
    </row>
    <row r="236" spans="1:5" ht="14.25" customHeight="1">
      <c r="A236" s="2">
        <v>1</v>
      </c>
      <c r="B236" s="2">
        <v>235</v>
      </c>
      <c r="C236" s="2">
        <v>4</v>
      </c>
      <c r="D236" s="2">
        <v>1</v>
      </c>
      <c r="E236" s="2">
        <v>1.0660000000000001</v>
      </c>
    </row>
    <row r="237" spans="1:5" ht="14.25" customHeight="1">
      <c r="A237" s="2">
        <v>1</v>
      </c>
      <c r="B237" s="2">
        <v>236</v>
      </c>
      <c r="C237" s="2">
        <v>7</v>
      </c>
      <c r="D237" s="2">
        <v>1</v>
      </c>
      <c r="E237" s="2">
        <v>0.77100000000000002</v>
      </c>
    </row>
    <row r="238" spans="1:5" ht="14.25" customHeight="1">
      <c r="A238" s="2">
        <v>1</v>
      </c>
      <c r="B238" s="2">
        <v>237</v>
      </c>
      <c r="C238" s="2">
        <v>4</v>
      </c>
      <c r="D238" s="2">
        <v>1</v>
      </c>
      <c r="E238" s="2">
        <v>0.624</v>
      </c>
    </row>
    <row r="239" spans="1:5" ht="14.25" customHeight="1">
      <c r="A239" s="2">
        <v>1</v>
      </c>
      <c r="B239" s="2">
        <v>238</v>
      </c>
      <c r="C239" s="2">
        <v>2</v>
      </c>
      <c r="D239" s="2">
        <v>1</v>
      </c>
      <c r="E239" s="2">
        <v>1.0589999999999999</v>
      </c>
    </row>
    <row r="240" spans="1:5" ht="14.25" customHeight="1">
      <c r="A240" s="2">
        <v>1</v>
      </c>
      <c r="B240" s="2">
        <v>239</v>
      </c>
      <c r="C240" s="2">
        <v>1</v>
      </c>
      <c r="D240" s="2">
        <v>1</v>
      </c>
      <c r="E240" s="2">
        <v>0.67</v>
      </c>
    </row>
    <row r="241" spans="1:5" ht="14.25" customHeight="1">
      <c r="A241" s="2">
        <v>1</v>
      </c>
      <c r="B241" s="2">
        <v>240</v>
      </c>
      <c r="C241" s="2">
        <v>2</v>
      </c>
      <c r="D241" s="2">
        <v>1</v>
      </c>
      <c r="E241" s="2">
        <v>0.92</v>
      </c>
    </row>
    <row r="242" spans="1:5" ht="14.25" customHeight="1">
      <c r="A242" s="2">
        <v>1</v>
      </c>
      <c r="B242" s="2">
        <v>241</v>
      </c>
      <c r="C242" s="2">
        <v>8</v>
      </c>
      <c r="D242" s="2">
        <v>1</v>
      </c>
      <c r="E242" s="2">
        <v>0.58199999999999996</v>
      </c>
    </row>
    <row r="243" spans="1:5" ht="14.25" customHeight="1">
      <c r="A243" s="2">
        <v>1</v>
      </c>
      <c r="B243" s="2">
        <v>242</v>
      </c>
      <c r="C243" s="2">
        <v>3</v>
      </c>
      <c r="D243" s="2">
        <v>1</v>
      </c>
      <c r="E243" s="2">
        <v>1.2430000000000001</v>
      </c>
    </row>
    <row r="244" spans="1:5" ht="14.25" customHeight="1">
      <c r="A244" s="2">
        <v>1</v>
      </c>
      <c r="B244" s="2">
        <v>243</v>
      </c>
      <c r="C244" s="2">
        <v>2</v>
      </c>
      <c r="D244" s="2">
        <v>1</v>
      </c>
      <c r="E244" s="2">
        <v>1.325</v>
      </c>
    </row>
    <row r="245" spans="1:5" ht="14.25" customHeight="1">
      <c r="A245" s="2">
        <v>1</v>
      </c>
      <c r="B245" s="2">
        <v>244</v>
      </c>
      <c r="C245" s="2">
        <v>3</v>
      </c>
      <c r="D245" s="2">
        <v>1</v>
      </c>
      <c r="E245" s="2">
        <v>0.64500000000000002</v>
      </c>
    </row>
    <row r="246" spans="1:5" ht="14.25" customHeight="1">
      <c r="A246" s="2">
        <v>1</v>
      </c>
      <c r="B246" s="2">
        <v>245</v>
      </c>
      <c r="C246" s="2">
        <v>1</v>
      </c>
      <c r="D246" s="2">
        <v>1</v>
      </c>
      <c r="E246" s="2">
        <v>0.96599999999999997</v>
      </c>
    </row>
    <row r="247" spans="1:5" ht="14.25" customHeight="1">
      <c r="A247" s="2">
        <v>1</v>
      </c>
      <c r="B247" s="2">
        <v>246</v>
      </c>
      <c r="C247" s="2">
        <v>8</v>
      </c>
      <c r="D247" s="2">
        <v>1</v>
      </c>
      <c r="E247" s="2">
        <v>1.5089999999999999</v>
      </c>
    </row>
    <row r="248" spans="1:5" ht="14.25" customHeight="1">
      <c r="A248" s="2">
        <v>1</v>
      </c>
      <c r="B248" s="2">
        <v>247</v>
      </c>
      <c r="C248" s="2">
        <v>1</v>
      </c>
      <c r="D248" s="2">
        <v>1</v>
      </c>
      <c r="E248" s="2">
        <v>1.42</v>
      </c>
    </row>
    <row r="249" spans="1:5" ht="14.25" customHeight="1">
      <c r="A249" s="2">
        <v>1</v>
      </c>
      <c r="B249" s="2">
        <v>248</v>
      </c>
      <c r="C249" s="2">
        <v>8</v>
      </c>
      <c r="D249" s="2">
        <v>1</v>
      </c>
      <c r="E249" s="2">
        <v>1.2310000000000001</v>
      </c>
    </row>
    <row r="250" spans="1:5" ht="14.25" customHeight="1">
      <c r="A250" s="2">
        <v>1</v>
      </c>
      <c r="B250" s="2">
        <v>249</v>
      </c>
      <c r="C250" s="2">
        <v>5</v>
      </c>
      <c r="D250" s="2">
        <v>1</v>
      </c>
      <c r="E250" s="2">
        <v>1.1379999999999999</v>
      </c>
    </row>
    <row r="251" spans="1:5" ht="14.25" customHeight="1">
      <c r="A251" s="2">
        <v>1</v>
      </c>
      <c r="B251" s="2">
        <v>250</v>
      </c>
      <c r="C251" s="2">
        <v>7</v>
      </c>
      <c r="D251" s="2">
        <v>1</v>
      </c>
      <c r="E251" s="2">
        <v>0.80900000000000005</v>
      </c>
    </row>
    <row r="252" spans="1:5" ht="14.25" customHeight="1">
      <c r="A252" s="2">
        <v>1</v>
      </c>
      <c r="B252" s="2">
        <v>251</v>
      </c>
      <c r="C252" s="2">
        <v>2</v>
      </c>
    </row>
    <row r="253" spans="1:5" ht="14.25" customHeight="1">
      <c r="A253" s="2">
        <v>1</v>
      </c>
      <c r="B253" s="2">
        <v>252</v>
      </c>
      <c r="C253" s="2">
        <v>1</v>
      </c>
    </row>
    <row r="254" spans="1:5" ht="14.25" customHeight="1">
      <c r="A254" s="2">
        <v>1</v>
      </c>
      <c r="B254" s="2">
        <v>253</v>
      </c>
      <c r="C254" s="2">
        <v>8</v>
      </c>
    </row>
    <row r="255" spans="1:5" ht="14.25" customHeight="1">
      <c r="A255" s="2">
        <v>1</v>
      </c>
      <c r="B255" s="2">
        <v>254</v>
      </c>
      <c r="C255" s="2">
        <v>5</v>
      </c>
    </row>
    <row r="256" spans="1:5" ht="14.25" customHeight="1">
      <c r="A256" s="2">
        <v>1</v>
      </c>
      <c r="B256" s="2">
        <v>255</v>
      </c>
      <c r="C256" s="2">
        <v>4</v>
      </c>
    </row>
    <row r="257" spans="1:3" ht="14.25" customHeight="1">
      <c r="A257" s="2">
        <v>1</v>
      </c>
      <c r="B257" s="2">
        <v>256</v>
      </c>
      <c r="C257" s="2">
        <v>8</v>
      </c>
    </row>
    <row r="258" spans="1:3" ht="14.25" customHeight="1">
      <c r="A258" s="2">
        <v>1</v>
      </c>
      <c r="B258" s="2">
        <v>257</v>
      </c>
      <c r="C258" s="2">
        <v>2</v>
      </c>
    </row>
    <row r="259" spans="1:3" ht="14.25" customHeight="1">
      <c r="A259" s="2">
        <v>1</v>
      </c>
      <c r="B259" s="2">
        <v>258</v>
      </c>
      <c r="C259" s="2">
        <v>6</v>
      </c>
    </row>
    <row r="260" spans="1:3" ht="14.25" customHeight="1">
      <c r="A260" s="2">
        <v>1</v>
      </c>
      <c r="B260" s="2">
        <v>259</v>
      </c>
      <c r="C260" s="2">
        <v>7</v>
      </c>
    </row>
    <row r="261" spans="1:3" ht="14.25" customHeight="1">
      <c r="A261" s="2">
        <v>1</v>
      </c>
      <c r="B261" s="2">
        <v>260</v>
      </c>
      <c r="C261" s="2">
        <v>5</v>
      </c>
    </row>
    <row r="262" spans="1:3" ht="14.25" customHeight="1">
      <c r="A262" s="2">
        <v>1</v>
      </c>
      <c r="B262" s="2">
        <v>261</v>
      </c>
      <c r="C262" s="2">
        <v>8</v>
      </c>
    </row>
    <row r="263" spans="1:3" ht="14.25" customHeight="1">
      <c r="A263" s="2">
        <v>1</v>
      </c>
      <c r="B263" s="2">
        <v>262</v>
      </c>
      <c r="C263" s="2">
        <v>3</v>
      </c>
    </row>
    <row r="264" spans="1:3" ht="14.25" customHeight="1">
      <c r="A264" s="2">
        <v>1</v>
      </c>
      <c r="B264" s="2">
        <v>263</v>
      </c>
      <c r="C264" s="2">
        <v>6</v>
      </c>
    </row>
    <row r="265" spans="1:3" ht="14.25" customHeight="1">
      <c r="A265" s="2">
        <v>1</v>
      </c>
      <c r="B265" s="2">
        <v>264</v>
      </c>
      <c r="C265" s="2">
        <v>7</v>
      </c>
    </row>
    <row r="266" spans="1:3" ht="14.25" customHeight="1">
      <c r="A266" s="2">
        <v>1</v>
      </c>
      <c r="B266" s="2">
        <v>265</v>
      </c>
      <c r="C266" s="2">
        <v>4</v>
      </c>
    </row>
    <row r="267" spans="1:3" ht="14.25" customHeight="1">
      <c r="A267" s="2">
        <v>1</v>
      </c>
      <c r="B267" s="2">
        <v>266</v>
      </c>
      <c r="C267" s="2">
        <v>6</v>
      </c>
    </row>
    <row r="268" spans="1:3" ht="14.25" customHeight="1">
      <c r="A268" s="2">
        <v>1</v>
      </c>
      <c r="B268" s="2">
        <v>267</v>
      </c>
      <c r="C268" s="2">
        <v>7</v>
      </c>
    </row>
    <row r="269" spans="1:3" ht="14.25" customHeight="1">
      <c r="A269" s="2">
        <v>1</v>
      </c>
      <c r="B269" s="2">
        <v>268</v>
      </c>
      <c r="C269" s="2">
        <v>6</v>
      </c>
    </row>
    <row r="270" spans="1:3" ht="14.25" customHeight="1">
      <c r="A270" s="2">
        <v>1</v>
      </c>
      <c r="B270" s="2">
        <v>269</v>
      </c>
      <c r="C270" s="2">
        <v>2</v>
      </c>
    </row>
    <row r="271" spans="1:3" ht="14.25" customHeight="1">
      <c r="A271" s="2">
        <v>1</v>
      </c>
      <c r="B271" s="2">
        <v>270</v>
      </c>
      <c r="C271" s="2">
        <v>3</v>
      </c>
    </row>
    <row r="272" spans="1:3" ht="14.25" customHeight="1">
      <c r="A272" s="2">
        <v>1</v>
      </c>
      <c r="B272" s="2">
        <v>271</v>
      </c>
      <c r="C272" s="2">
        <v>1</v>
      </c>
    </row>
    <row r="273" spans="1:3" ht="14.25" customHeight="1">
      <c r="A273" s="2">
        <v>1</v>
      </c>
      <c r="B273" s="2">
        <v>272</v>
      </c>
      <c r="C273" s="2">
        <v>5</v>
      </c>
    </row>
    <row r="274" spans="1:3" ht="14.25" customHeight="1">
      <c r="A274" s="2">
        <v>1</v>
      </c>
      <c r="B274" s="2">
        <v>273</v>
      </c>
      <c r="C274" s="2">
        <v>6</v>
      </c>
    </row>
    <row r="275" spans="1:3" ht="14.25" customHeight="1">
      <c r="A275" s="2">
        <v>1</v>
      </c>
      <c r="B275" s="2">
        <v>274</v>
      </c>
      <c r="C275" s="2">
        <v>3</v>
      </c>
    </row>
    <row r="276" spans="1:3" ht="14.25" customHeight="1">
      <c r="A276" s="2">
        <v>1</v>
      </c>
      <c r="B276" s="2">
        <v>275</v>
      </c>
      <c r="C276" s="2">
        <v>7</v>
      </c>
    </row>
    <row r="277" spans="1:3" ht="14.25" customHeight="1">
      <c r="A277" s="2">
        <v>1</v>
      </c>
      <c r="B277" s="2">
        <v>276</v>
      </c>
      <c r="C277" s="2">
        <v>2</v>
      </c>
    </row>
    <row r="278" spans="1:3" ht="14.25" customHeight="1">
      <c r="A278" s="2">
        <v>1</v>
      </c>
      <c r="B278" s="2">
        <v>277</v>
      </c>
      <c r="C278" s="2">
        <v>4</v>
      </c>
    </row>
    <row r="279" spans="1:3" ht="14.25" customHeight="1">
      <c r="A279" s="2">
        <v>1</v>
      </c>
      <c r="B279" s="2">
        <v>278</v>
      </c>
      <c r="C279" s="2">
        <v>1</v>
      </c>
    </row>
    <row r="280" spans="1:3" ht="14.25" customHeight="1">
      <c r="A280" s="2">
        <v>1</v>
      </c>
      <c r="B280" s="2">
        <v>279</v>
      </c>
      <c r="C280" s="2">
        <v>3</v>
      </c>
    </row>
    <row r="281" spans="1:3" ht="14.25" customHeight="1">
      <c r="A281" s="2">
        <v>1</v>
      </c>
      <c r="B281" s="2">
        <v>280</v>
      </c>
      <c r="C281" s="2">
        <v>1</v>
      </c>
    </row>
    <row r="282" spans="1:3" ht="14.25" customHeight="1">
      <c r="A282" s="2">
        <v>1</v>
      </c>
      <c r="B282" s="2">
        <v>281</v>
      </c>
      <c r="C282" s="2">
        <v>2</v>
      </c>
    </row>
    <row r="283" spans="1:3" ht="14.25" customHeight="1">
      <c r="A283" s="2">
        <v>1</v>
      </c>
      <c r="B283" s="2">
        <v>282</v>
      </c>
      <c r="C283" s="2">
        <v>8</v>
      </c>
    </row>
    <row r="284" spans="1:3" ht="14.25" customHeight="1">
      <c r="A284" s="2">
        <v>1</v>
      </c>
      <c r="B284" s="2">
        <v>283</v>
      </c>
      <c r="C284" s="2">
        <v>3</v>
      </c>
    </row>
    <row r="285" spans="1:3" ht="14.25" customHeight="1">
      <c r="A285" s="2">
        <v>1</v>
      </c>
      <c r="B285" s="2">
        <v>284</v>
      </c>
      <c r="C285" s="2">
        <v>1</v>
      </c>
    </row>
    <row r="286" spans="1:3" ht="14.25" customHeight="1">
      <c r="A286" s="2">
        <v>1</v>
      </c>
      <c r="B286" s="2">
        <v>285</v>
      </c>
      <c r="C286" s="2">
        <v>6</v>
      </c>
    </row>
    <row r="287" spans="1:3" ht="14.25" customHeight="1">
      <c r="A287" s="2">
        <v>1</v>
      </c>
      <c r="B287" s="2">
        <v>286</v>
      </c>
      <c r="C287" s="2">
        <v>3</v>
      </c>
    </row>
    <row r="288" spans="1:3" ht="14.25" customHeight="1">
      <c r="A288" s="2">
        <v>1</v>
      </c>
      <c r="B288" s="2">
        <v>287</v>
      </c>
      <c r="C288" s="2">
        <v>7</v>
      </c>
    </row>
    <row r="289" spans="1:4" ht="14.25" customHeight="1">
      <c r="A289" s="2">
        <v>1</v>
      </c>
      <c r="B289" s="2">
        <v>288</v>
      </c>
      <c r="C289" s="2">
        <v>1</v>
      </c>
    </row>
    <row r="290" spans="1:4" ht="14.25" customHeight="1">
      <c r="A290" s="2">
        <v>1</v>
      </c>
      <c r="B290" s="2">
        <v>289</v>
      </c>
      <c r="C290" s="2">
        <v>3</v>
      </c>
    </row>
    <row r="291" spans="1:4" ht="14.25" customHeight="1">
      <c r="A291" s="2">
        <v>1</v>
      </c>
      <c r="B291" s="2">
        <v>290</v>
      </c>
      <c r="C291" s="2">
        <v>8</v>
      </c>
    </row>
    <row r="292" spans="1:4" ht="14.25" customHeight="1">
      <c r="A292" s="2">
        <v>1</v>
      </c>
      <c r="B292" s="2">
        <v>291</v>
      </c>
      <c r="C292" s="2">
        <v>1</v>
      </c>
    </row>
    <row r="293" spans="1:4" ht="14.25" customHeight="1">
      <c r="A293" s="2">
        <v>1</v>
      </c>
      <c r="B293" s="2">
        <v>292</v>
      </c>
      <c r="C293" s="2">
        <v>4</v>
      </c>
    </row>
    <row r="294" spans="1:4" ht="14.25" customHeight="1">
      <c r="A294" s="2">
        <v>1</v>
      </c>
      <c r="B294" s="2">
        <v>293</v>
      </c>
      <c r="C294" s="2">
        <v>5</v>
      </c>
    </row>
    <row r="295" spans="1:4" ht="14.25" customHeight="1">
      <c r="A295" s="2">
        <v>1</v>
      </c>
      <c r="B295" s="2">
        <v>294</v>
      </c>
      <c r="C295" s="2">
        <v>8</v>
      </c>
    </row>
    <row r="296" spans="1:4" ht="14.25" customHeight="1">
      <c r="A296" s="2">
        <v>1</v>
      </c>
      <c r="B296" s="2">
        <v>295</v>
      </c>
      <c r="C296" s="2">
        <v>7</v>
      </c>
    </row>
    <row r="297" spans="1:4" ht="14.25" customHeight="1">
      <c r="A297" s="2">
        <v>1</v>
      </c>
      <c r="B297" s="2">
        <v>296</v>
      </c>
      <c r="C297" s="2">
        <v>5</v>
      </c>
    </row>
    <row r="298" spans="1:4" ht="14.25" customHeight="1">
      <c r="A298" s="2">
        <v>1</v>
      </c>
      <c r="B298" s="2">
        <v>297</v>
      </c>
      <c r="C298" s="2">
        <v>4</v>
      </c>
    </row>
    <row r="299" spans="1:4" ht="14.25" customHeight="1">
      <c r="A299" s="2">
        <v>1</v>
      </c>
      <c r="B299" s="2">
        <v>298</v>
      </c>
      <c r="C299" s="2">
        <v>2</v>
      </c>
    </row>
    <row r="300" spans="1:4" ht="14.25" customHeight="1">
      <c r="A300" s="2">
        <v>1</v>
      </c>
      <c r="B300" s="2">
        <v>299</v>
      </c>
      <c r="C300" s="2">
        <v>5</v>
      </c>
    </row>
    <row r="301" spans="1:4" ht="14.25" customHeight="1">
      <c r="A301" s="2">
        <v>1</v>
      </c>
      <c r="B301" s="2">
        <v>300</v>
      </c>
      <c r="C301" s="2">
        <v>4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12.1640625" customWidth="1"/>
    <col min="5" max="5" width="6" customWidth="1"/>
    <col min="6" max="14" width="8.6640625" customWidth="1"/>
    <col min="15" max="15" width="15.83203125" customWidth="1"/>
    <col min="16" max="26" width="8.6640625" customWidth="1"/>
  </cols>
  <sheetData>
    <row r="1" spans="1:24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</v>
      </c>
      <c r="I1" s="2">
        <v>251</v>
      </c>
      <c r="J1" s="2">
        <v>4</v>
      </c>
      <c r="K1" s="2">
        <v>1</v>
      </c>
      <c r="L1" s="2">
        <v>0.93200000000000005</v>
      </c>
      <c r="M1" s="2">
        <v>1</v>
      </c>
    </row>
    <row r="2" spans="1:24" ht="14.25" customHeight="1">
      <c r="A2" s="2">
        <v>2</v>
      </c>
      <c r="B2" s="2">
        <v>1</v>
      </c>
      <c r="C2" s="2">
        <v>5</v>
      </c>
      <c r="E2" s="2">
        <v>2.0009999999999999</v>
      </c>
      <c r="H2" s="2">
        <v>2</v>
      </c>
      <c r="I2" s="2">
        <v>252</v>
      </c>
      <c r="J2" s="2">
        <v>7</v>
      </c>
      <c r="K2" s="2">
        <v>0</v>
      </c>
      <c r="L2" s="2">
        <v>1.8120000000000001</v>
      </c>
      <c r="M2" s="2">
        <v>2</v>
      </c>
    </row>
    <row r="3" spans="1:24" ht="14.25" customHeight="1">
      <c r="A3" s="2">
        <v>2</v>
      </c>
      <c r="B3" s="2">
        <v>2</v>
      </c>
      <c r="C3" s="2">
        <v>3</v>
      </c>
      <c r="E3" s="2">
        <v>2</v>
      </c>
      <c r="H3" s="2">
        <v>2</v>
      </c>
      <c r="I3" s="2">
        <v>253</v>
      </c>
      <c r="J3" s="2">
        <v>5</v>
      </c>
      <c r="K3" s="2">
        <v>1</v>
      </c>
      <c r="L3" s="2">
        <v>1.36</v>
      </c>
      <c r="M3" s="2">
        <v>1</v>
      </c>
    </row>
    <row r="4" spans="1:24" ht="14.25" customHeight="1">
      <c r="A4" s="2">
        <v>2</v>
      </c>
      <c r="B4" s="2">
        <v>3</v>
      </c>
      <c r="C4" s="2">
        <v>6</v>
      </c>
      <c r="D4" s="2">
        <v>0</v>
      </c>
      <c r="E4" s="2">
        <v>0.90200000000000002</v>
      </c>
      <c r="F4" s="2">
        <v>2</v>
      </c>
      <c r="H4" s="2">
        <v>2</v>
      </c>
      <c r="I4" s="2">
        <v>254</v>
      </c>
      <c r="J4" s="2">
        <v>4</v>
      </c>
      <c r="K4" s="2">
        <v>1</v>
      </c>
      <c r="L4" s="2">
        <v>1.478</v>
      </c>
      <c r="M4" s="2">
        <v>2</v>
      </c>
      <c r="O4" s="2" t="s">
        <v>9</v>
      </c>
    </row>
    <row r="5" spans="1:24" ht="14.25" customHeight="1">
      <c r="A5" s="2">
        <v>2</v>
      </c>
      <c r="B5" s="2">
        <v>4</v>
      </c>
      <c r="C5" s="2">
        <v>2</v>
      </c>
      <c r="D5" s="2">
        <v>1</v>
      </c>
      <c r="E5" s="2">
        <v>1.286</v>
      </c>
      <c r="F5" s="2">
        <v>2</v>
      </c>
      <c r="H5" s="2">
        <v>2</v>
      </c>
      <c r="I5" s="2">
        <v>255</v>
      </c>
      <c r="J5" s="2">
        <v>2</v>
      </c>
      <c r="K5" s="2">
        <v>1</v>
      </c>
      <c r="L5" s="2">
        <v>1.4710000000000001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4" ht="14.25" customHeight="1">
      <c r="A6" s="2">
        <v>2</v>
      </c>
      <c r="B6" s="2">
        <v>5</v>
      </c>
      <c r="C6" s="2">
        <v>1</v>
      </c>
      <c r="D6" s="2">
        <v>0</v>
      </c>
      <c r="E6" s="2">
        <v>1.2869999999999999</v>
      </c>
      <c r="F6" s="2">
        <v>2</v>
      </c>
      <c r="H6" s="2">
        <v>2</v>
      </c>
      <c r="I6" s="2">
        <v>256</v>
      </c>
      <c r="J6" s="2">
        <v>7</v>
      </c>
      <c r="K6" s="2">
        <v>1</v>
      </c>
      <c r="L6" s="2">
        <v>1.4319999999999999</v>
      </c>
      <c r="M6" s="2">
        <v>1</v>
      </c>
      <c r="N6" s="2">
        <v>1</v>
      </c>
      <c r="O6" s="2">
        <v>0.05</v>
      </c>
      <c r="P6" s="2">
        <v>0.95</v>
      </c>
      <c r="Q6" s="2">
        <v>0.1</v>
      </c>
      <c r="R6" s="2">
        <v>0.95</v>
      </c>
      <c r="S6" s="2">
        <v>0.05</v>
      </c>
      <c r="T6" s="2">
        <v>0.05</v>
      </c>
      <c r="U6" s="2">
        <v>0.95</v>
      </c>
      <c r="V6" s="2">
        <v>0.95</v>
      </c>
    </row>
    <row r="7" spans="1:24" ht="14.25" customHeight="1">
      <c r="A7" s="2">
        <v>2</v>
      </c>
      <c r="B7" s="2">
        <v>6</v>
      </c>
      <c r="C7" s="2">
        <v>6</v>
      </c>
      <c r="E7" s="2">
        <v>2.0009999999999999</v>
      </c>
      <c r="H7" s="2">
        <v>2</v>
      </c>
      <c r="I7" s="2">
        <v>257</v>
      </c>
      <c r="J7" s="2">
        <v>8</v>
      </c>
      <c r="K7" s="2">
        <v>1</v>
      </c>
      <c r="L7" s="2">
        <v>0.84399999999999997</v>
      </c>
      <c r="M7" s="2">
        <v>2</v>
      </c>
      <c r="N7" s="2">
        <v>2</v>
      </c>
      <c r="O7" s="2">
        <v>0.05</v>
      </c>
      <c r="P7" s="2">
        <v>0.05</v>
      </c>
      <c r="Q7" s="2">
        <v>1</v>
      </c>
      <c r="R7" s="2">
        <v>0.95</v>
      </c>
      <c r="S7" s="2">
        <v>0.05</v>
      </c>
      <c r="T7" s="2">
        <v>0.05</v>
      </c>
      <c r="U7" s="2">
        <v>0.95</v>
      </c>
      <c r="V7" s="2">
        <v>0.95</v>
      </c>
    </row>
    <row r="8" spans="1:24" ht="14.25" customHeight="1">
      <c r="A8" s="2">
        <v>2</v>
      </c>
      <c r="B8" s="2">
        <v>7</v>
      </c>
      <c r="C8" s="2">
        <v>7</v>
      </c>
      <c r="E8" s="2">
        <v>2</v>
      </c>
      <c r="H8" s="2">
        <v>2</v>
      </c>
      <c r="I8" s="2">
        <v>258</v>
      </c>
      <c r="J8" s="2">
        <v>2</v>
      </c>
      <c r="L8" s="2">
        <v>2</v>
      </c>
      <c r="N8" s="2">
        <v>3</v>
      </c>
      <c r="O8" s="2">
        <v>0.05</v>
      </c>
      <c r="P8" s="2">
        <v>0.95</v>
      </c>
      <c r="Q8" s="2">
        <v>0.1</v>
      </c>
      <c r="R8" s="2">
        <v>0.95</v>
      </c>
      <c r="S8" s="2">
        <v>0.05</v>
      </c>
      <c r="T8" s="2">
        <v>0.95</v>
      </c>
      <c r="U8" s="2">
        <v>0.05</v>
      </c>
      <c r="V8" s="2">
        <v>0.95</v>
      </c>
    </row>
    <row r="9" spans="1:24" ht="14.25" customHeight="1">
      <c r="A9" s="2">
        <v>2</v>
      </c>
      <c r="B9" s="2">
        <v>8</v>
      </c>
      <c r="C9" s="2">
        <v>3</v>
      </c>
      <c r="E9" s="2">
        <v>2</v>
      </c>
      <c r="H9" s="2">
        <v>2</v>
      </c>
      <c r="I9" s="2">
        <v>259</v>
      </c>
      <c r="J9" s="2">
        <v>1</v>
      </c>
      <c r="K9" s="2">
        <v>1</v>
      </c>
      <c r="L9" s="2">
        <v>1.0109999999999999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0.05</v>
      </c>
      <c r="T9" s="2">
        <v>0.05</v>
      </c>
      <c r="U9" s="2">
        <v>0.95</v>
      </c>
      <c r="V9" s="2">
        <v>0.95</v>
      </c>
    </row>
    <row r="10" spans="1:24" ht="14.25" customHeight="1">
      <c r="A10" s="2">
        <v>2</v>
      </c>
      <c r="B10" s="2">
        <v>9</v>
      </c>
      <c r="C10" s="2">
        <v>8</v>
      </c>
      <c r="D10" s="2">
        <v>0</v>
      </c>
      <c r="E10" s="2">
        <v>1.974</v>
      </c>
      <c r="F10" s="2">
        <v>1</v>
      </c>
      <c r="H10" s="2">
        <v>2</v>
      </c>
      <c r="I10" s="2">
        <v>260</v>
      </c>
      <c r="J10" s="2">
        <v>8</v>
      </c>
      <c r="K10" s="2">
        <v>1</v>
      </c>
      <c r="L10" s="2">
        <v>1.28</v>
      </c>
      <c r="M10" s="2">
        <v>1</v>
      </c>
      <c r="N10" s="2">
        <v>5</v>
      </c>
      <c r="O10" s="2">
        <v>0.05</v>
      </c>
      <c r="P10" s="2">
        <v>0.95</v>
      </c>
      <c r="Q10" s="2">
        <v>0.1</v>
      </c>
      <c r="R10" s="2">
        <v>0.95</v>
      </c>
      <c r="S10" s="2">
        <v>0.5</v>
      </c>
      <c r="T10" s="2">
        <v>0.5</v>
      </c>
      <c r="U10" s="2">
        <v>0.5</v>
      </c>
      <c r="V10" s="2">
        <v>0.5</v>
      </c>
    </row>
    <row r="11" spans="1:24" ht="14.25" customHeight="1">
      <c r="A11" s="2">
        <v>2</v>
      </c>
      <c r="B11" s="2">
        <v>10</v>
      </c>
      <c r="C11" s="2">
        <v>1</v>
      </c>
      <c r="D11" s="2">
        <v>0</v>
      </c>
      <c r="E11" s="2">
        <v>1.2589999999999999</v>
      </c>
      <c r="F11" s="2">
        <v>2</v>
      </c>
      <c r="H11" s="2">
        <v>2</v>
      </c>
      <c r="I11" s="2">
        <v>261</v>
      </c>
      <c r="J11" s="2">
        <v>6</v>
      </c>
      <c r="K11" s="2">
        <v>1</v>
      </c>
      <c r="L11" s="2">
        <v>1.0880000000000001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4" ht="14.25" customHeight="1">
      <c r="A12" s="2">
        <v>2</v>
      </c>
      <c r="B12" s="2">
        <v>11</v>
      </c>
      <c r="C12" s="2">
        <v>6</v>
      </c>
      <c r="D12" s="2">
        <v>1</v>
      </c>
      <c r="E12" s="2">
        <v>1.411</v>
      </c>
      <c r="F12" s="2">
        <v>1</v>
      </c>
      <c r="H12" s="2">
        <v>2</v>
      </c>
      <c r="I12" s="2">
        <v>262</v>
      </c>
      <c r="J12" s="2">
        <v>7</v>
      </c>
      <c r="L12" s="2">
        <v>2</v>
      </c>
    </row>
    <row r="13" spans="1:24" ht="14.25" customHeight="1">
      <c r="A13" s="2">
        <v>2</v>
      </c>
      <c r="B13" s="2">
        <v>12</v>
      </c>
      <c r="C13" s="2">
        <v>4</v>
      </c>
      <c r="D13" s="2">
        <v>1</v>
      </c>
      <c r="E13" s="2">
        <v>1.256</v>
      </c>
      <c r="F13" s="2">
        <v>2</v>
      </c>
      <c r="H13" s="2">
        <v>2</v>
      </c>
      <c r="I13" s="2">
        <v>263</v>
      </c>
      <c r="J13" s="2">
        <v>2</v>
      </c>
      <c r="K13" s="2">
        <v>1</v>
      </c>
      <c r="L13" s="2">
        <v>1.365</v>
      </c>
      <c r="M13" s="2">
        <v>1</v>
      </c>
    </row>
    <row r="14" spans="1:24" ht="14.25" customHeight="1">
      <c r="A14" s="2">
        <v>2</v>
      </c>
      <c r="B14" s="2">
        <v>13</v>
      </c>
      <c r="C14" s="2">
        <v>5</v>
      </c>
      <c r="D14" s="2">
        <v>1</v>
      </c>
      <c r="E14" s="2">
        <v>0.82599999999999996</v>
      </c>
      <c r="F14" s="2">
        <v>1</v>
      </c>
      <c r="H14" s="2">
        <v>2</v>
      </c>
      <c r="I14" s="2">
        <v>264</v>
      </c>
      <c r="J14" s="2">
        <v>4</v>
      </c>
      <c r="K14" s="2">
        <v>1</v>
      </c>
      <c r="L14" s="2">
        <v>0.876</v>
      </c>
      <c r="M14" s="2">
        <v>2</v>
      </c>
      <c r="O14" s="2" t="s">
        <v>8</v>
      </c>
      <c r="P14" s="2" t="s">
        <v>7</v>
      </c>
      <c r="Q14" s="2" t="s">
        <v>8</v>
      </c>
      <c r="R14" s="2" t="s">
        <v>7</v>
      </c>
      <c r="S14" s="2" t="s">
        <v>8</v>
      </c>
      <c r="T14" s="2" t="s">
        <v>8</v>
      </c>
      <c r="U14" s="2" t="s">
        <v>7</v>
      </c>
      <c r="V14" s="2" t="s">
        <v>7</v>
      </c>
    </row>
    <row r="15" spans="1:24" ht="14.25" customHeight="1">
      <c r="A15" s="2">
        <v>2</v>
      </c>
      <c r="B15" s="2">
        <v>14</v>
      </c>
      <c r="C15" s="2">
        <v>8</v>
      </c>
      <c r="D15" s="2">
        <v>1</v>
      </c>
      <c r="E15" s="2">
        <v>0.80500000000000005</v>
      </c>
      <c r="F15" s="2">
        <v>2</v>
      </c>
      <c r="H15" s="2">
        <v>2</v>
      </c>
      <c r="I15" s="2">
        <v>265</v>
      </c>
      <c r="J15" s="2">
        <v>8</v>
      </c>
      <c r="L15" s="2">
        <v>2</v>
      </c>
      <c r="O15" s="2" t="s">
        <v>9</v>
      </c>
    </row>
    <row r="16" spans="1:24" ht="14.25" customHeight="1">
      <c r="A16" s="2">
        <v>2</v>
      </c>
      <c r="B16" s="2">
        <v>15</v>
      </c>
      <c r="C16" s="2">
        <v>3</v>
      </c>
      <c r="D16" s="2">
        <v>0</v>
      </c>
      <c r="E16" s="2">
        <v>0.93700000000000006</v>
      </c>
      <c r="F16" s="2">
        <v>2</v>
      </c>
      <c r="H16" s="2">
        <v>2</v>
      </c>
      <c r="I16" s="2">
        <v>266</v>
      </c>
      <c r="J16" s="2">
        <v>5</v>
      </c>
      <c r="K16" s="2">
        <v>0</v>
      </c>
      <c r="L16" s="2">
        <v>0.626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  <c r="X16" s="2" t="s">
        <v>15</v>
      </c>
    </row>
    <row r="17" spans="1:24" ht="14.25" customHeight="1">
      <c r="A17" s="2">
        <v>2</v>
      </c>
      <c r="B17" s="2">
        <v>16</v>
      </c>
      <c r="C17" s="2">
        <v>2</v>
      </c>
      <c r="D17" s="2">
        <v>1</v>
      </c>
      <c r="E17" s="2">
        <v>1.119</v>
      </c>
      <c r="F17" s="2">
        <v>2</v>
      </c>
      <c r="H17" s="2">
        <v>2</v>
      </c>
      <c r="I17" s="2">
        <v>267</v>
      </c>
      <c r="J17" s="2">
        <v>8</v>
      </c>
      <c r="K17" s="2">
        <v>1</v>
      </c>
      <c r="L17" s="2">
        <v>0.80500000000000005</v>
      </c>
      <c r="M17" s="2">
        <v>2</v>
      </c>
      <c r="N17" s="2">
        <v>1</v>
      </c>
      <c r="O17" s="2">
        <f t="shared" ref="O17:O22" si="0">(O6*COUNTIF($J$1:$J$101,O$16) - COUNTIFS($J$1:$J$101,O$16,$K$1:$K$101,"=0"))^2</f>
        <v>0.12250000000000003</v>
      </c>
      <c r="P17" s="2">
        <f t="shared" ref="P17:P22" si="1">(P6*COUNTIF($J$1:$J$101,P$16) - COUNTIFS($J$1:$J$101,P$16,$K$1:$K$101,"=1"))^2</f>
        <v>2.8899999999999975</v>
      </c>
      <c r="Q17" s="2">
        <f t="shared" ref="Q17:Q22" si="2">(Q6*COUNTIF($J$1:$J$101,Q$16) - COUNTIFS($J$1:$J$101,Q$16,$K$1:$K$101,"=0"))^2</f>
        <v>0.3600000000000001</v>
      </c>
      <c r="R17" s="2">
        <f t="shared" ref="R17:R22" si="3">(R6*COUNTIF($J$1:$J$101,R$16) - COUNTIFS($J$1:$J$101,R$16,$K$1:$K$101,"=1"))^2</f>
        <v>0.48999999999999899</v>
      </c>
      <c r="S17" s="2">
        <f t="shared" ref="S17:T17" si="4">(S6*COUNTIF($J$1:$J$101,S$16) - COUNTIFS($J$1:$J$101,S$16,$K$1:$K$101,"=0"))^2</f>
        <v>0.48999999999999994</v>
      </c>
      <c r="T17" s="2">
        <f t="shared" si="4"/>
        <v>9.0000000000000024E-2</v>
      </c>
      <c r="U17" s="2">
        <f t="shared" ref="U17:V17" si="5">(U6*COUNTIF($J$1:$J$101,U$16) - COUNTIFS($J$1:$J$101,U$16,$K$1:$K$101,"=1"))^2</f>
        <v>2.8899999999999975</v>
      </c>
      <c r="V17" s="2">
        <f t="shared" si="5"/>
        <v>7.0224999999999973</v>
      </c>
    </row>
    <row r="18" spans="1:24" ht="14.25" customHeight="1">
      <c r="A18" s="2">
        <v>2</v>
      </c>
      <c r="B18" s="2">
        <v>17</v>
      </c>
      <c r="C18" s="2">
        <v>7</v>
      </c>
      <c r="D18" s="2">
        <v>1</v>
      </c>
      <c r="E18" s="2">
        <v>1.2789999999999999</v>
      </c>
      <c r="F18" s="2">
        <v>2</v>
      </c>
      <c r="H18" s="2">
        <v>2</v>
      </c>
      <c r="I18" s="2">
        <v>268</v>
      </c>
      <c r="J18" s="2">
        <v>7</v>
      </c>
      <c r="K18" s="2">
        <v>1</v>
      </c>
      <c r="L18" s="2">
        <v>1.153</v>
      </c>
      <c r="M18" s="2">
        <v>1</v>
      </c>
      <c r="N18" s="2">
        <v>2</v>
      </c>
      <c r="O18" s="2">
        <f t="shared" si="0"/>
        <v>0.12250000000000003</v>
      </c>
      <c r="P18" s="2">
        <f t="shared" si="1"/>
        <v>13.690000000000001</v>
      </c>
      <c r="Q18" s="2">
        <f t="shared" si="2"/>
        <v>36</v>
      </c>
      <c r="R18" s="2">
        <f t="shared" si="3"/>
        <v>0.48999999999999899</v>
      </c>
      <c r="S18" s="2">
        <f t="shared" ref="S18:T18" si="6">(S7*COUNTIF($J$1:$J$101,S$16) - COUNTIFS($J$1:$J$101,S$16,$K$1:$K$101,"=0"))^2</f>
        <v>0.48999999999999994</v>
      </c>
      <c r="T18" s="2">
        <f t="shared" si="6"/>
        <v>9.0000000000000024E-2</v>
      </c>
      <c r="U18" s="2">
        <f t="shared" ref="U18:V18" si="7">(U7*COUNTIF($J$1:$J$101,U$16) - COUNTIFS($J$1:$J$101,U$16,$K$1:$K$101,"=1"))^2</f>
        <v>2.8899999999999975</v>
      </c>
      <c r="V18" s="2">
        <f t="shared" si="7"/>
        <v>7.0224999999999973</v>
      </c>
    </row>
    <row r="19" spans="1:24" ht="14.25" customHeight="1">
      <c r="A19" s="2">
        <v>2</v>
      </c>
      <c r="B19" s="2">
        <v>18</v>
      </c>
      <c r="C19" s="2">
        <v>3</v>
      </c>
      <c r="D19" s="2">
        <v>0</v>
      </c>
      <c r="E19" s="2">
        <v>1.073</v>
      </c>
      <c r="F19" s="2">
        <v>2</v>
      </c>
      <c r="H19" s="2">
        <v>2</v>
      </c>
      <c r="I19" s="2">
        <v>269</v>
      </c>
      <c r="J19" s="2">
        <v>2</v>
      </c>
      <c r="K19" s="2">
        <v>1</v>
      </c>
      <c r="L19" s="2">
        <v>1.119</v>
      </c>
      <c r="M19" s="2">
        <v>2</v>
      </c>
      <c r="N19" s="2">
        <v>3</v>
      </c>
      <c r="O19" s="2">
        <f t="shared" si="0"/>
        <v>0.12250000000000003</v>
      </c>
      <c r="P19" s="2">
        <f t="shared" si="1"/>
        <v>2.8899999999999975</v>
      </c>
      <c r="Q19" s="2">
        <f t="shared" si="2"/>
        <v>0.3600000000000001</v>
      </c>
      <c r="R19" s="2">
        <f t="shared" si="3"/>
        <v>0.48999999999999899</v>
      </c>
      <c r="S19" s="2">
        <f t="shared" ref="S19:T19" si="8">(S8*COUNTIF($J$1:$J$101,S$16) - COUNTIFS($J$1:$J$101,S$16,$K$1:$K$101,"=0"))^2</f>
        <v>0.48999999999999994</v>
      </c>
      <c r="T19" s="2">
        <f t="shared" si="8"/>
        <v>32.489999999999995</v>
      </c>
      <c r="U19" s="2">
        <f t="shared" ref="U19:V19" si="9">(U8*COUNTIF($J$1:$J$101,U$16) - COUNTIFS($J$1:$J$101,U$16,$K$1:$K$101,"=1"))^2</f>
        <v>13.690000000000001</v>
      </c>
      <c r="V19" s="2">
        <f t="shared" si="9"/>
        <v>7.0224999999999973</v>
      </c>
    </row>
    <row r="20" spans="1:24" ht="14.25" customHeight="1">
      <c r="A20" s="2">
        <v>2</v>
      </c>
      <c r="B20" s="2">
        <v>19</v>
      </c>
      <c r="C20" s="2">
        <v>2</v>
      </c>
      <c r="D20" s="2">
        <v>0</v>
      </c>
      <c r="E20" s="2">
        <v>1.6259999999999999</v>
      </c>
      <c r="F20" s="2">
        <v>1</v>
      </c>
      <c r="H20" s="2">
        <v>2</v>
      </c>
      <c r="I20" s="2">
        <v>270</v>
      </c>
      <c r="J20" s="2">
        <v>8</v>
      </c>
      <c r="K20" s="2">
        <v>0</v>
      </c>
      <c r="L20" s="2">
        <v>1.839</v>
      </c>
      <c r="M20" s="2">
        <v>2</v>
      </c>
      <c r="N20" s="2">
        <v>4</v>
      </c>
      <c r="O20" s="2">
        <f t="shared" si="0"/>
        <v>12.25</v>
      </c>
      <c r="P20" s="2">
        <f t="shared" si="1"/>
        <v>1</v>
      </c>
      <c r="Q20" s="2">
        <f t="shared" si="2"/>
        <v>9</v>
      </c>
      <c r="R20" s="2">
        <f t="shared" si="3"/>
        <v>4</v>
      </c>
      <c r="S20" s="2">
        <f t="shared" ref="S20:T20" si="10">(S9*COUNTIF($J$1:$J$101,S$16) - COUNTIFS($J$1:$J$101,S$16,$K$1:$K$101,"=0"))^2</f>
        <v>0.48999999999999994</v>
      </c>
      <c r="T20" s="2">
        <f t="shared" si="10"/>
        <v>9.0000000000000024E-2</v>
      </c>
      <c r="U20" s="2">
        <f t="shared" ref="U20:V20" si="11">(U9*COUNTIF($J$1:$J$101,U$16) - COUNTIFS($J$1:$J$101,U$16,$K$1:$K$101,"=1"))^2</f>
        <v>2.8899999999999975</v>
      </c>
      <c r="V20" s="2">
        <f t="shared" si="11"/>
        <v>7.0224999999999973</v>
      </c>
    </row>
    <row r="21" spans="1:24" ht="14.25" customHeight="1">
      <c r="A21" s="2">
        <v>2</v>
      </c>
      <c r="B21" s="2">
        <v>20</v>
      </c>
      <c r="C21" s="2">
        <v>3</v>
      </c>
      <c r="D21" s="2">
        <v>1</v>
      </c>
      <c r="E21" s="2">
        <v>1.5169999999999999</v>
      </c>
      <c r="F21" s="2">
        <v>1</v>
      </c>
      <c r="H21" s="2">
        <v>2</v>
      </c>
      <c r="I21" s="2">
        <v>271</v>
      </c>
      <c r="J21" s="2">
        <v>5</v>
      </c>
      <c r="K21" s="2">
        <v>1</v>
      </c>
      <c r="L21" s="2">
        <v>0.88100000000000001</v>
      </c>
      <c r="M21" s="2">
        <v>2</v>
      </c>
      <c r="N21" s="2">
        <v>5</v>
      </c>
      <c r="O21" s="2">
        <f t="shared" si="0"/>
        <v>0.12250000000000003</v>
      </c>
      <c r="P21" s="2">
        <f t="shared" si="1"/>
        <v>2.8899999999999975</v>
      </c>
      <c r="Q21" s="2">
        <f t="shared" si="2"/>
        <v>0.3600000000000001</v>
      </c>
      <c r="R21" s="2">
        <f t="shared" si="3"/>
        <v>0.48999999999999899</v>
      </c>
      <c r="S21" s="2">
        <f t="shared" ref="S21:T21" si="12">(S10*COUNTIF($J$1:$J$101,S$16) - COUNTIFS($J$1:$J$101,S$16,$K$1:$K$101,"=0"))^2</f>
        <v>4</v>
      </c>
      <c r="T21" s="2">
        <f t="shared" si="12"/>
        <v>9</v>
      </c>
      <c r="U21" s="2">
        <f t="shared" ref="U21:V21" si="13">(U10*COUNTIF($J$1:$J$101,U$16) - COUNTIFS($J$1:$J$101,U$16,$K$1:$K$101,"=1"))^2</f>
        <v>1</v>
      </c>
      <c r="V21" s="2">
        <f t="shared" si="13"/>
        <v>0.25</v>
      </c>
    </row>
    <row r="22" spans="1:24" ht="14.25" customHeight="1">
      <c r="A22" s="2">
        <v>2</v>
      </c>
      <c r="B22" s="2">
        <v>21</v>
      </c>
      <c r="C22" s="2">
        <v>8</v>
      </c>
      <c r="D22" s="2">
        <v>1</v>
      </c>
      <c r="E22" s="2">
        <v>1.4530000000000001</v>
      </c>
      <c r="F22" s="2">
        <v>2</v>
      </c>
      <c r="H22" s="2">
        <v>2</v>
      </c>
      <c r="I22" s="2">
        <v>272</v>
      </c>
      <c r="J22" s="2">
        <v>3</v>
      </c>
      <c r="K22" s="2">
        <v>1</v>
      </c>
      <c r="L22" s="2">
        <v>1.01</v>
      </c>
      <c r="M22" s="2">
        <v>1</v>
      </c>
      <c r="N22" s="2">
        <v>6</v>
      </c>
      <c r="O22" s="2">
        <f t="shared" si="0"/>
        <v>12.25</v>
      </c>
      <c r="P22" s="2">
        <f t="shared" si="1"/>
        <v>1</v>
      </c>
      <c r="Q22" s="2">
        <f t="shared" si="2"/>
        <v>9</v>
      </c>
      <c r="R22" s="2">
        <f t="shared" si="3"/>
        <v>4</v>
      </c>
      <c r="S22" s="2">
        <f t="shared" ref="S22:T22" si="14">(S11*COUNTIF($J$1:$J$101,S$16) - COUNTIFS($J$1:$J$101,S$16,$K$1:$K$101,"=0"))^2</f>
        <v>4</v>
      </c>
      <c r="T22" s="2">
        <f t="shared" si="14"/>
        <v>9</v>
      </c>
      <c r="U22" s="2">
        <f t="shared" ref="U22:V22" si="15">(U11*COUNTIF($J$1:$J$101,U$16) - COUNTIFS($J$1:$J$101,U$16,$K$1:$K$101,"=1"))^2</f>
        <v>1</v>
      </c>
      <c r="V22" s="2">
        <f t="shared" si="15"/>
        <v>0.25</v>
      </c>
    </row>
    <row r="23" spans="1:24" ht="14.25" customHeight="1">
      <c r="A23" s="2">
        <v>2</v>
      </c>
      <c r="B23" s="2">
        <v>22</v>
      </c>
      <c r="C23" s="2">
        <v>5</v>
      </c>
      <c r="D23" s="2">
        <v>1</v>
      </c>
      <c r="E23" s="2">
        <v>1.7669999999999999</v>
      </c>
      <c r="F23" s="2">
        <v>1</v>
      </c>
      <c r="H23" s="2">
        <v>2</v>
      </c>
      <c r="I23" s="2">
        <v>273</v>
      </c>
      <c r="J23" s="2">
        <v>4</v>
      </c>
      <c r="K23" s="2">
        <v>1</v>
      </c>
      <c r="L23" s="2">
        <v>1.0069999999999999</v>
      </c>
      <c r="M23" s="2">
        <v>2</v>
      </c>
    </row>
    <row r="24" spans="1:24" ht="14.25" customHeight="1">
      <c r="A24" s="2">
        <v>2</v>
      </c>
      <c r="B24" s="2">
        <v>23</v>
      </c>
      <c r="C24" s="2">
        <v>7</v>
      </c>
      <c r="D24" s="2">
        <v>0</v>
      </c>
      <c r="E24" s="2">
        <v>1.2609999999999999</v>
      </c>
      <c r="F24" s="2">
        <v>1</v>
      </c>
      <c r="H24" s="2">
        <v>2</v>
      </c>
      <c r="I24" s="2">
        <v>274</v>
      </c>
      <c r="J24" s="2">
        <v>6</v>
      </c>
      <c r="K24" s="2">
        <v>1</v>
      </c>
      <c r="L24" s="2">
        <v>1.6659999999999999</v>
      </c>
      <c r="M24" s="2">
        <v>1</v>
      </c>
    </row>
    <row r="25" spans="1:24" ht="14.25" customHeight="1">
      <c r="A25" s="2">
        <v>2</v>
      </c>
      <c r="B25" s="2">
        <v>24</v>
      </c>
      <c r="C25" s="2">
        <v>3</v>
      </c>
      <c r="D25" s="2">
        <v>0</v>
      </c>
      <c r="E25" s="2">
        <v>1.4550000000000001</v>
      </c>
      <c r="F25" s="2">
        <v>2</v>
      </c>
      <c r="H25" s="2">
        <v>2</v>
      </c>
      <c r="I25" s="2">
        <v>275</v>
      </c>
      <c r="J25" s="2">
        <v>1</v>
      </c>
      <c r="K25" s="2">
        <v>1</v>
      </c>
      <c r="L25" s="2">
        <v>0.78</v>
      </c>
      <c r="M25" s="2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  <c r="X25" s="2" t="s">
        <v>16</v>
      </c>
    </row>
    <row r="26" spans="1:24" ht="14.25" customHeight="1">
      <c r="A26" s="2">
        <v>2</v>
      </c>
      <c r="B26" s="2">
        <v>25</v>
      </c>
      <c r="C26" s="2">
        <v>7</v>
      </c>
      <c r="D26" s="2">
        <v>1</v>
      </c>
      <c r="E26" s="2">
        <v>1.2569999999999999</v>
      </c>
      <c r="F26" s="2">
        <v>2</v>
      </c>
      <c r="H26" s="2">
        <v>2</v>
      </c>
      <c r="I26" s="2">
        <v>276</v>
      </c>
      <c r="J26" s="2">
        <v>6</v>
      </c>
      <c r="K26" s="2">
        <v>1</v>
      </c>
      <c r="L26" s="2">
        <v>1.4259999999999999</v>
      </c>
      <c r="M26" s="2">
        <v>1</v>
      </c>
      <c r="O26" s="2">
        <f t="shared" ref="O26:V26" si="16">COUNTIF($J$1:$J$102,O16)*COUNTIF($J$1:$J$102,O16)</f>
        <v>49</v>
      </c>
      <c r="P26" s="2">
        <f t="shared" si="16"/>
        <v>36</v>
      </c>
      <c r="Q26" s="2">
        <f t="shared" si="16"/>
        <v>36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49</v>
      </c>
    </row>
    <row r="27" spans="1:24" ht="14.25" customHeight="1">
      <c r="A27" s="2">
        <v>2</v>
      </c>
      <c r="B27" s="2">
        <v>26</v>
      </c>
      <c r="C27" s="2">
        <v>1</v>
      </c>
      <c r="D27" s="2">
        <v>1</v>
      </c>
      <c r="E27" s="2">
        <v>1.131</v>
      </c>
      <c r="F27" s="2">
        <v>1</v>
      </c>
      <c r="H27" s="2">
        <v>2</v>
      </c>
      <c r="I27" s="2">
        <v>277</v>
      </c>
      <c r="J27" s="2">
        <v>5</v>
      </c>
      <c r="K27" s="2">
        <v>1</v>
      </c>
      <c r="L27" s="2">
        <v>1.149</v>
      </c>
      <c r="M27" s="2">
        <v>1</v>
      </c>
    </row>
    <row r="28" spans="1:24" ht="14.25" customHeight="1">
      <c r="A28" s="2">
        <v>2</v>
      </c>
      <c r="B28" s="2">
        <v>27</v>
      </c>
      <c r="C28" s="2">
        <v>6</v>
      </c>
      <c r="D28" s="2">
        <v>1</v>
      </c>
      <c r="E28" s="2">
        <v>1.4339999999999999</v>
      </c>
      <c r="F28" s="2">
        <v>1</v>
      </c>
      <c r="H28" s="2">
        <v>2</v>
      </c>
      <c r="I28" s="2">
        <v>278</v>
      </c>
      <c r="J28" s="2">
        <v>1</v>
      </c>
      <c r="K28" s="2">
        <v>1</v>
      </c>
      <c r="L28" s="2">
        <v>0.89900000000000002</v>
      </c>
      <c r="M28" s="2">
        <v>2</v>
      </c>
    </row>
    <row r="29" spans="1:24" ht="14.25" customHeight="1">
      <c r="A29" s="2">
        <v>2</v>
      </c>
      <c r="B29" s="2">
        <v>28</v>
      </c>
      <c r="C29" s="2">
        <v>8</v>
      </c>
      <c r="D29" s="2">
        <v>1</v>
      </c>
      <c r="E29" s="2">
        <v>0.90100000000000002</v>
      </c>
      <c r="F29" s="2">
        <v>2</v>
      </c>
      <c r="H29" s="2">
        <v>2</v>
      </c>
      <c r="I29" s="2">
        <v>279</v>
      </c>
      <c r="J29" s="2">
        <v>2</v>
      </c>
      <c r="K29" s="2">
        <v>1</v>
      </c>
      <c r="L29" s="2">
        <v>1.044</v>
      </c>
      <c r="M29" s="2">
        <v>1</v>
      </c>
    </row>
    <row r="30" spans="1:24" ht="14.25" customHeight="1">
      <c r="A30" s="2">
        <v>2</v>
      </c>
      <c r="B30" s="2">
        <v>29</v>
      </c>
      <c r="C30" s="2">
        <v>1</v>
      </c>
      <c r="D30" s="2">
        <v>1</v>
      </c>
      <c r="E30" s="2">
        <v>1.038</v>
      </c>
      <c r="F30" s="2">
        <v>1</v>
      </c>
      <c r="H30" s="2">
        <v>2</v>
      </c>
      <c r="I30" s="2">
        <v>280</v>
      </c>
      <c r="J30" s="2">
        <v>8</v>
      </c>
      <c r="K30" s="2">
        <v>0</v>
      </c>
      <c r="L30" s="2">
        <v>1.4870000000000001</v>
      </c>
      <c r="M30" s="2">
        <v>2</v>
      </c>
    </row>
    <row r="31" spans="1:24" ht="14.25" customHeight="1">
      <c r="A31" s="2">
        <v>2</v>
      </c>
      <c r="B31" s="2">
        <v>30</v>
      </c>
      <c r="C31" s="2">
        <v>5</v>
      </c>
      <c r="D31" s="2">
        <v>1</v>
      </c>
      <c r="E31" s="2">
        <v>0.88100000000000001</v>
      </c>
      <c r="F31" s="2">
        <v>1</v>
      </c>
      <c r="H31" s="2">
        <v>2</v>
      </c>
      <c r="I31" s="2">
        <v>281</v>
      </c>
      <c r="J31" s="2">
        <v>4</v>
      </c>
      <c r="K31" s="2">
        <v>0</v>
      </c>
      <c r="L31" s="2">
        <v>1.6</v>
      </c>
      <c r="M31" s="2">
        <v>1</v>
      </c>
      <c r="N31" s="2">
        <v>1</v>
      </c>
      <c r="O31" s="2">
        <f t="shared" ref="O31:O36" si="17">SUM(O17:V17)/SUM(O$26:V$26)</f>
        <v>4.5716560509554111E-2</v>
      </c>
    </row>
    <row r="32" spans="1:24" ht="14.25" customHeight="1">
      <c r="A32" s="2">
        <v>2</v>
      </c>
      <c r="B32" s="2">
        <v>31</v>
      </c>
      <c r="C32" s="2">
        <v>4</v>
      </c>
      <c r="D32" s="2">
        <v>1</v>
      </c>
      <c r="E32" s="2">
        <v>1.0820000000000001</v>
      </c>
      <c r="F32" s="2">
        <v>2</v>
      </c>
      <c r="H32" s="2">
        <v>2</v>
      </c>
      <c r="I32" s="2">
        <v>282</v>
      </c>
      <c r="J32" s="2">
        <v>8</v>
      </c>
      <c r="K32" s="2">
        <v>1</v>
      </c>
      <c r="L32" s="2">
        <v>1.6359999999999999</v>
      </c>
      <c r="M32" s="2">
        <v>1</v>
      </c>
      <c r="N32" s="2">
        <v>2</v>
      </c>
      <c r="O32" s="2">
        <f t="shared" si="17"/>
        <v>0.19361464968152867</v>
      </c>
    </row>
    <row r="33" spans="1:15" ht="14.25" customHeight="1">
      <c r="A33" s="2">
        <v>2</v>
      </c>
      <c r="B33" s="2">
        <v>32</v>
      </c>
      <c r="C33" s="2">
        <v>1</v>
      </c>
      <c r="D33" s="2">
        <v>0</v>
      </c>
      <c r="E33" s="2">
        <v>1.532</v>
      </c>
      <c r="F33" s="2">
        <v>2</v>
      </c>
      <c r="H33" s="2">
        <v>2</v>
      </c>
      <c r="I33" s="2">
        <v>283</v>
      </c>
      <c r="J33" s="2">
        <v>2</v>
      </c>
      <c r="K33" s="2">
        <v>0</v>
      </c>
      <c r="L33" s="2">
        <v>0.82299999999999995</v>
      </c>
      <c r="M33" s="2">
        <v>1</v>
      </c>
      <c r="N33" s="2">
        <v>3</v>
      </c>
      <c r="O33" s="2">
        <f t="shared" si="17"/>
        <v>0.18329617834394901</v>
      </c>
    </row>
    <row r="34" spans="1:15" ht="14.25" customHeight="1">
      <c r="A34" s="2">
        <v>2</v>
      </c>
      <c r="B34" s="2">
        <v>33</v>
      </c>
      <c r="C34" s="2">
        <v>2</v>
      </c>
      <c r="D34" s="2">
        <v>0</v>
      </c>
      <c r="E34" s="2">
        <v>1.099</v>
      </c>
      <c r="F34" s="2">
        <v>1</v>
      </c>
      <c r="H34" s="2">
        <v>2</v>
      </c>
      <c r="I34" s="2">
        <v>284</v>
      </c>
      <c r="J34" s="2">
        <v>3</v>
      </c>
      <c r="K34" s="2">
        <v>1</v>
      </c>
      <c r="L34" s="2">
        <v>1.2669999999999999</v>
      </c>
      <c r="M34" s="2">
        <v>1</v>
      </c>
      <c r="N34" s="2">
        <v>4</v>
      </c>
      <c r="O34" s="2">
        <f t="shared" si="17"/>
        <v>0.11701433121019106</v>
      </c>
    </row>
    <row r="35" spans="1:15" ht="14.25" customHeight="1">
      <c r="A35" s="2">
        <v>2</v>
      </c>
      <c r="B35" s="2">
        <v>34</v>
      </c>
      <c r="C35" s="2">
        <v>5</v>
      </c>
      <c r="D35" s="2">
        <v>0</v>
      </c>
      <c r="E35" s="2">
        <v>1.403</v>
      </c>
      <c r="F35" s="2">
        <v>2</v>
      </c>
      <c r="H35" s="2">
        <v>2</v>
      </c>
      <c r="I35" s="2">
        <v>285</v>
      </c>
      <c r="J35" s="2">
        <v>1</v>
      </c>
      <c r="K35" s="2">
        <v>1</v>
      </c>
      <c r="L35" s="2">
        <v>0.78100000000000003</v>
      </c>
      <c r="M35" s="2">
        <v>2</v>
      </c>
      <c r="N35" s="2">
        <v>5</v>
      </c>
      <c r="O35" s="2">
        <f t="shared" si="17"/>
        <v>5.7683121019108274E-2</v>
      </c>
    </row>
    <row r="36" spans="1:15" ht="14.25" customHeight="1">
      <c r="A36" s="2">
        <v>2</v>
      </c>
      <c r="B36" s="2">
        <v>35</v>
      </c>
      <c r="C36" s="2">
        <v>8</v>
      </c>
      <c r="D36" s="2">
        <v>1</v>
      </c>
      <c r="E36" s="2">
        <v>1.032</v>
      </c>
      <c r="F36" s="2">
        <v>2</v>
      </c>
      <c r="H36" s="2">
        <v>2</v>
      </c>
      <c r="I36" s="2">
        <v>286</v>
      </c>
      <c r="J36" s="2">
        <v>5</v>
      </c>
      <c r="K36" s="2">
        <v>1</v>
      </c>
      <c r="L36" s="2">
        <v>1.1459999999999999</v>
      </c>
      <c r="M36" s="2">
        <v>2</v>
      </c>
      <c r="N36" s="2">
        <v>6</v>
      </c>
      <c r="O36" s="2">
        <f t="shared" si="17"/>
        <v>0.12898089171974522</v>
      </c>
    </row>
    <row r="37" spans="1:15" ht="14.25" customHeight="1">
      <c r="A37" s="2">
        <v>2</v>
      </c>
      <c r="B37" s="2">
        <v>36</v>
      </c>
      <c r="C37" s="2">
        <v>2</v>
      </c>
      <c r="D37" s="2">
        <v>0</v>
      </c>
      <c r="E37" s="2">
        <v>0.89900000000000002</v>
      </c>
      <c r="F37" s="2">
        <v>1</v>
      </c>
      <c r="H37" s="2">
        <v>2</v>
      </c>
      <c r="I37" s="2">
        <v>287</v>
      </c>
      <c r="J37" s="2">
        <v>1</v>
      </c>
      <c r="K37" s="2">
        <v>1</v>
      </c>
      <c r="L37" s="2">
        <v>0.90500000000000003</v>
      </c>
      <c r="M37" s="2">
        <v>2</v>
      </c>
    </row>
    <row r="38" spans="1:15" ht="14.25" customHeight="1">
      <c r="A38" s="2">
        <v>2</v>
      </c>
      <c r="B38" s="2">
        <v>37</v>
      </c>
      <c r="C38" s="2">
        <v>7</v>
      </c>
      <c r="D38" s="2">
        <v>1</v>
      </c>
      <c r="E38" s="2">
        <v>1.5229999999999999</v>
      </c>
      <c r="F38" s="2">
        <v>2</v>
      </c>
      <c r="H38" s="2">
        <v>2</v>
      </c>
      <c r="I38" s="2">
        <v>288</v>
      </c>
      <c r="J38" s="2">
        <v>3</v>
      </c>
      <c r="K38" s="2">
        <v>1</v>
      </c>
      <c r="L38" s="2">
        <v>1.7450000000000001</v>
      </c>
      <c r="M38" s="2">
        <v>2</v>
      </c>
    </row>
    <row r="39" spans="1:15" ht="14.25" customHeight="1">
      <c r="A39" s="2">
        <v>2</v>
      </c>
      <c r="B39" s="2">
        <v>38</v>
      </c>
      <c r="C39" s="2">
        <v>4</v>
      </c>
      <c r="D39" s="2">
        <v>0</v>
      </c>
      <c r="E39" s="2">
        <v>0.91500000000000004</v>
      </c>
      <c r="F39" s="2">
        <v>1</v>
      </c>
      <c r="H39" s="2">
        <v>2</v>
      </c>
      <c r="I39" s="2">
        <v>289</v>
      </c>
      <c r="J39" s="2">
        <v>4</v>
      </c>
      <c r="K39" s="2">
        <v>1</v>
      </c>
      <c r="L39" s="2">
        <v>0.84799999999999998</v>
      </c>
      <c r="M39" s="2">
        <v>2</v>
      </c>
    </row>
    <row r="40" spans="1:15" ht="14.25" customHeight="1">
      <c r="A40" s="2">
        <v>2</v>
      </c>
      <c r="B40" s="2">
        <v>39</v>
      </c>
      <c r="C40" s="2">
        <v>8</v>
      </c>
      <c r="D40" s="2">
        <v>1</v>
      </c>
      <c r="E40" s="2">
        <v>1.0189999999999999</v>
      </c>
      <c r="F40" s="2">
        <v>2</v>
      </c>
      <c r="H40" s="2">
        <v>2</v>
      </c>
      <c r="I40" s="2">
        <v>290</v>
      </c>
      <c r="J40" s="2">
        <v>1</v>
      </c>
      <c r="K40" s="2">
        <v>1</v>
      </c>
      <c r="L40" s="2">
        <v>1.2589999999999999</v>
      </c>
      <c r="M40" s="2">
        <v>1</v>
      </c>
    </row>
    <row r="41" spans="1:15" ht="14.25" customHeight="1">
      <c r="A41" s="2">
        <v>2</v>
      </c>
      <c r="B41" s="2">
        <v>40</v>
      </c>
      <c r="C41" s="2">
        <v>1</v>
      </c>
      <c r="D41" s="2">
        <v>0</v>
      </c>
      <c r="E41" s="2">
        <v>0.84599999999999997</v>
      </c>
      <c r="F41" s="2">
        <v>2</v>
      </c>
      <c r="H41" s="2">
        <v>2</v>
      </c>
      <c r="I41" s="2">
        <v>291</v>
      </c>
      <c r="J41" s="2">
        <v>7</v>
      </c>
      <c r="K41" s="2">
        <v>1</v>
      </c>
      <c r="L41" s="2">
        <v>1.7490000000000001</v>
      </c>
      <c r="M41" s="2">
        <v>2</v>
      </c>
    </row>
    <row r="42" spans="1:15" ht="14.25" customHeight="1">
      <c r="A42" s="2">
        <v>2</v>
      </c>
      <c r="B42" s="2">
        <v>41</v>
      </c>
      <c r="C42" s="2">
        <v>2</v>
      </c>
      <c r="D42" s="2">
        <v>1</v>
      </c>
      <c r="E42" s="2">
        <v>1.849</v>
      </c>
      <c r="F42" s="2">
        <v>2</v>
      </c>
      <c r="H42" s="2">
        <v>2</v>
      </c>
      <c r="I42" s="2">
        <v>292</v>
      </c>
      <c r="J42" s="2">
        <v>3</v>
      </c>
      <c r="K42" s="2">
        <v>1</v>
      </c>
      <c r="L42" s="2">
        <v>1.3069999999999999</v>
      </c>
      <c r="M42" s="2">
        <v>1</v>
      </c>
    </row>
    <row r="43" spans="1:15" ht="14.25" customHeight="1">
      <c r="A43" s="2">
        <v>2</v>
      </c>
      <c r="B43" s="2">
        <v>42</v>
      </c>
      <c r="C43" s="2">
        <v>6</v>
      </c>
      <c r="D43" s="2">
        <v>0</v>
      </c>
      <c r="E43" s="2">
        <v>0.86799999999999999</v>
      </c>
      <c r="F43" s="2">
        <v>2</v>
      </c>
      <c r="H43" s="2">
        <v>2</v>
      </c>
      <c r="I43" s="2">
        <v>293</v>
      </c>
      <c r="J43" s="2">
        <v>1</v>
      </c>
      <c r="K43" s="2">
        <v>1</v>
      </c>
      <c r="L43" s="2">
        <v>1.7230000000000001</v>
      </c>
      <c r="M43" s="2">
        <v>2</v>
      </c>
    </row>
    <row r="44" spans="1:15" ht="14.25" customHeight="1">
      <c r="A44" s="2">
        <v>2</v>
      </c>
      <c r="B44" s="2">
        <v>43</v>
      </c>
      <c r="C44" s="2">
        <v>4</v>
      </c>
      <c r="D44" s="2">
        <v>0</v>
      </c>
      <c r="E44" s="2">
        <v>1.8140000000000001</v>
      </c>
      <c r="F44" s="2">
        <v>1</v>
      </c>
      <c r="H44" s="2">
        <v>2</v>
      </c>
      <c r="I44" s="2">
        <v>294</v>
      </c>
      <c r="J44" s="2">
        <v>3</v>
      </c>
      <c r="K44" s="2">
        <v>1</v>
      </c>
      <c r="L44" s="2">
        <v>0.755</v>
      </c>
      <c r="M44" s="2">
        <v>2</v>
      </c>
    </row>
    <row r="45" spans="1:15" ht="14.25" customHeight="1">
      <c r="A45" s="2">
        <v>2</v>
      </c>
      <c r="B45" s="2">
        <v>44</v>
      </c>
      <c r="C45" s="2">
        <v>7</v>
      </c>
      <c r="D45" s="2">
        <v>1</v>
      </c>
      <c r="E45" s="2">
        <v>0.81</v>
      </c>
      <c r="F45" s="2">
        <v>2</v>
      </c>
      <c r="H45" s="2">
        <v>2</v>
      </c>
      <c r="I45" s="2">
        <v>295</v>
      </c>
      <c r="J45" s="2">
        <v>6</v>
      </c>
      <c r="K45" s="2">
        <v>1</v>
      </c>
      <c r="L45" s="2">
        <v>1.2490000000000001</v>
      </c>
      <c r="M45" s="2">
        <v>1</v>
      </c>
    </row>
    <row r="46" spans="1:15" ht="14.25" customHeight="1">
      <c r="A46" s="2">
        <v>2</v>
      </c>
      <c r="B46" s="2">
        <v>45</v>
      </c>
      <c r="C46" s="2">
        <v>1</v>
      </c>
      <c r="D46" s="2">
        <v>1</v>
      </c>
      <c r="E46" s="2">
        <v>1.022</v>
      </c>
      <c r="F46" s="2">
        <v>1</v>
      </c>
      <c r="H46" s="2">
        <v>2</v>
      </c>
      <c r="I46" s="2">
        <v>296</v>
      </c>
      <c r="J46" s="2">
        <v>3</v>
      </c>
      <c r="K46" s="2">
        <v>1</v>
      </c>
      <c r="L46" s="2">
        <v>1.5309999999999999</v>
      </c>
      <c r="M46" s="2">
        <v>1</v>
      </c>
    </row>
    <row r="47" spans="1:15" ht="14.25" customHeight="1">
      <c r="A47" s="2">
        <v>2</v>
      </c>
      <c r="B47" s="2">
        <v>46</v>
      </c>
      <c r="C47" s="2">
        <v>5</v>
      </c>
      <c r="D47" s="2">
        <v>1</v>
      </c>
      <c r="E47" s="2">
        <v>1.0089999999999999</v>
      </c>
      <c r="F47" s="2">
        <v>1</v>
      </c>
      <c r="H47" s="2">
        <v>2</v>
      </c>
      <c r="I47" s="2">
        <v>297</v>
      </c>
      <c r="J47" s="2">
        <v>5</v>
      </c>
      <c r="K47" s="2">
        <v>1</v>
      </c>
      <c r="L47" s="2">
        <v>1.5620000000000001</v>
      </c>
      <c r="M47" s="2">
        <v>2</v>
      </c>
    </row>
    <row r="48" spans="1:15" ht="14.25" customHeight="1">
      <c r="A48" s="2">
        <v>2</v>
      </c>
      <c r="B48" s="2">
        <v>47</v>
      </c>
      <c r="C48" s="2">
        <v>4</v>
      </c>
      <c r="D48" s="2">
        <v>1</v>
      </c>
      <c r="E48" s="2">
        <v>1.2450000000000001</v>
      </c>
      <c r="F48" s="2">
        <v>2</v>
      </c>
      <c r="H48" s="2">
        <v>2</v>
      </c>
      <c r="I48" s="2">
        <v>298</v>
      </c>
      <c r="J48" s="2">
        <v>6</v>
      </c>
      <c r="K48" s="2">
        <v>1</v>
      </c>
      <c r="L48" s="2">
        <v>1.8320000000000001</v>
      </c>
      <c r="M48" s="2">
        <v>1</v>
      </c>
    </row>
    <row r="49" spans="1:13" ht="14.25" customHeight="1">
      <c r="A49" s="2">
        <v>2</v>
      </c>
      <c r="B49" s="2">
        <v>48</v>
      </c>
      <c r="C49" s="2">
        <v>6</v>
      </c>
      <c r="D49" s="2">
        <v>1</v>
      </c>
      <c r="E49" s="2">
        <v>1.016</v>
      </c>
      <c r="F49" s="2">
        <v>1</v>
      </c>
      <c r="H49" s="2">
        <v>2</v>
      </c>
      <c r="I49" s="2">
        <v>299</v>
      </c>
      <c r="J49" s="2">
        <v>7</v>
      </c>
      <c r="K49" s="2">
        <v>1</v>
      </c>
      <c r="L49" s="2">
        <v>1.0349999999999999</v>
      </c>
      <c r="M49" s="2">
        <v>2</v>
      </c>
    </row>
    <row r="50" spans="1:13" ht="14.25" customHeight="1">
      <c r="A50" s="2">
        <v>2</v>
      </c>
      <c r="B50" s="2">
        <v>49</v>
      </c>
      <c r="C50" s="2">
        <v>8</v>
      </c>
      <c r="D50" s="2">
        <v>1</v>
      </c>
      <c r="E50" s="2">
        <v>0.95499999999999996</v>
      </c>
      <c r="F50" s="2">
        <v>2</v>
      </c>
      <c r="H50" s="2">
        <v>2</v>
      </c>
      <c r="I50" s="2">
        <v>300</v>
      </c>
      <c r="J50" s="2">
        <v>6</v>
      </c>
      <c r="L50" s="2">
        <v>2</v>
      </c>
    </row>
    <row r="51" spans="1:13" ht="14.25" customHeight="1">
      <c r="A51" s="2">
        <v>2</v>
      </c>
      <c r="B51" s="2">
        <v>50</v>
      </c>
      <c r="C51" s="2">
        <v>4</v>
      </c>
      <c r="D51" s="2">
        <v>1</v>
      </c>
      <c r="E51" s="2">
        <v>0.86599999999999999</v>
      </c>
      <c r="F51" s="2">
        <v>2</v>
      </c>
    </row>
    <row r="52" spans="1:13" ht="14.25" customHeight="1">
      <c r="A52" s="2">
        <v>2</v>
      </c>
      <c r="B52" s="2">
        <v>51</v>
      </c>
      <c r="C52" s="2">
        <v>3</v>
      </c>
      <c r="D52" s="2">
        <v>1</v>
      </c>
      <c r="E52" s="2">
        <v>1.026</v>
      </c>
      <c r="F52" s="2">
        <v>1</v>
      </c>
    </row>
    <row r="53" spans="1:13" ht="14.25" customHeight="1">
      <c r="A53" s="2">
        <v>2</v>
      </c>
      <c r="B53" s="2">
        <v>52</v>
      </c>
      <c r="C53" s="2">
        <v>2</v>
      </c>
      <c r="D53" s="2">
        <v>0</v>
      </c>
      <c r="E53" s="2">
        <v>1.0049999999999999</v>
      </c>
      <c r="F53" s="2">
        <v>2</v>
      </c>
    </row>
    <row r="54" spans="1:13" ht="14.25" customHeight="1">
      <c r="A54" s="2">
        <v>2</v>
      </c>
      <c r="B54" s="2">
        <v>53</v>
      </c>
      <c r="C54" s="2">
        <v>3</v>
      </c>
      <c r="D54" s="2">
        <v>1</v>
      </c>
      <c r="E54" s="2">
        <v>0.76900000000000002</v>
      </c>
      <c r="F54" s="2">
        <v>1</v>
      </c>
    </row>
    <row r="55" spans="1:13" ht="14.25" customHeight="1">
      <c r="A55" s="2">
        <v>2</v>
      </c>
      <c r="B55" s="2">
        <v>54</v>
      </c>
      <c r="C55" s="2">
        <v>5</v>
      </c>
      <c r="D55" s="2">
        <v>0</v>
      </c>
      <c r="E55" s="2">
        <v>0.74299999999999999</v>
      </c>
      <c r="F55" s="2">
        <v>1</v>
      </c>
    </row>
    <row r="56" spans="1:13" ht="14.25" customHeight="1">
      <c r="A56" s="2">
        <v>2</v>
      </c>
      <c r="B56" s="2">
        <v>55</v>
      </c>
      <c r="C56" s="2">
        <v>8</v>
      </c>
      <c r="D56" s="2">
        <v>0</v>
      </c>
      <c r="E56" s="2">
        <v>0.64600000000000002</v>
      </c>
      <c r="F56" s="2">
        <v>2</v>
      </c>
    </row>
    <row r="57" spans="1:13" ht="14.25" customHeight="1">
      <c r="A57" s="2">
        <v>2</v>
      </c>
      <c r="B57" s="2">
        <v>56</v>
      </c>
      <c r="C57" s="2">
        <v>5</v>
      </c>
      <c r="D57" s="2">
        <v>0</v>
      </c>
      <c r="E57" s="2">
        <v>1.36</v>
      </c>
      <c r="F57" s="2">
        <v>2</v>
      </c>
    </row>
    <row r="58" spans="1:13" ht="14.25" customHeight="1">
      <c r="A58" s="2">
        <v>2</v>
      </c>
      <c r="B58" s="2">
        <v>57</v>
      </c>
      <c r="C58" s="2">
        <v>2</v>
      </c>
      <c r="D58" s="2">
        <v>1</v>
      </c>
      <c r="E58" s="2">
        <v>0.91100000000000003</v>
      </c>
      <c r="F58" s="2">
        <v>2</v>
      </c>
    </row>
    <row r="59" spans="1:13" ht="14.25" customHeight="1">
      <c r="A59" s="2">
        <v>2</v>
      </c>
      <c r="B59" s="2">
        <v>58</v>
      </c>
      <c r="C59" s="2">
        <v>4</v>
      </c>
      <c r="D59" s="2">
        <v>0</v>
      </c>
      <c r="E59" s="2">
        <v>0.86199999999999999</v>
      </c>
      <c r="F59" s="2">
        <v>2</v>
      </c>
    </row>
    <row r="60" spans="1:13" ht="14.25" customHeight="1">
      <c r="A60" s="2">
        <v>2</v>
      </c>
      <c r="B60" s="2">
        <v>59</v>
      </c>
      <c r="C60" s="2">
        <v>6</v>
      </c>
      <c r="D60" s="2">
        <v>1</v>
      </c>
      <c r="E60" s="2">
        <v>1.585</v>
      </c>
      <c r="F60" s="2">
        <v>2</v>
      </c>
    </row>
    <row r="61" spans="1:13" ht="14.25" customHeight="1">
      <c r="A61" s="2">
        <v>2</v>
      </c>
      <c r="B61" s="2">
        <v>60</v>
      </c>
      <c r="C61" s="2">
        <v>5</v>
      </c>
      <c r="D61" s="2">
        <v>1</v>
      </c>
      <c r="E61" s="2">
        <v>1.03</v>
      </c>
      <c r="F61" s="2">
        <v>1</v>
      </c>
    </row>
    <row r="62" spans="1:13" ht="14.25" customHeight="1">
      <c r="A62" s="2">
        <v>2</v>
      </c>
      <c r="B62" s="2">
        <v>61</v>
      </c>
      <c r="C62" s="2">
        <v>4</v>
      </c>
      <c r="D62" s="2">
        <v>1</v>
      </c>
      <c r="E62" s="2">
        <v>1.0329999999999999</v>
      </c>
      <c r="F62" s="2">
        <v>1</v>
      </c>
    </row>
    <row r="63" spans="1:13" ht="14.25" customHeight="1">
      <c r="A63" s="2">
        <v>2</v>
      </c>
      <c r="B63" s="2">
        <v>62</v>
      </c>
      <c r="C63" s="2">
        <v>6</v>
      </c>
      <c r="D63" s="2">
        <v>0</v>
      </c>
      <c r="E63" s="2">
        <v>1.4910000000000001</v>
      </c>
      <c r="F63" s="2">
        <v>1</v>
      </c>
    </row>
    <row r="64" spans="1:13" ht="14.25" customHeight="1">
      <c r="A64" s="2">
        <v>2</v>
      </c>
      <c r="B64" s="2">
        <v>63</v>
      </c>
      <c r="C64" s="2">
        <v>2</v>
      </c>
      <c r="D64" s="2">
        <v>1</v>
      </c>
      <c r="E64" s="2">
        <v>1.9319999999999999</v>
      </c>
      <c r="F64" s="2">
        <v>1</v>
      </c>
    </row>
    <row r="65" spans="1:6" ht="14.25" customHeight="1">
      <c r="A65" s="2">
        <v>2</v>
      </c>
      <c r="B65" s="2">
        <v>64</v>
      </c>
      <c r="C65" s="2">
        <v>4</v>
      </c>
      <c r="D65" s="2">
        <v>1</v>
      </c>
      <c r="E65" s="2">
        <v>1.3080000000000001</v>
      </c>
      <c r="F65" s="2">
        <v>2</v>
      </c>
    </row>
    <row r="66" spans="1:6" ht="14.25" customHeight="1">
      <c r="A66" s="2">
        <v>2</v>
      </c>
      <c r="B66" s="2">
        <v>65</v>
      </c>
      <c r="C66" s="2">
        <v>1</v>
      </c>
      <c r="D66" s="2">
        <v>0</v>
      </c>
      <c r="E66" s="2">
        <v>1.139</v>
      </c>
      <c r="F66" s="2">
        <v>2</v>
      </c>
    </row>
    <row r="67" spans="1:6" ht="14.25" customHeight="1">
      <c r="A67" s="2">
        <v>2</v>
      </c>
      <c r="B67" s="2">
        <v>66</v>
      </c>
      <c r="C67" s="2">
        <v>6</v>
      </c>
      <c r="D67" s="2">
        <v>1</v>
      </c>
      <c r="E67" s="2">
        <v>1.7709999999999999</v>
      </c>
      <c r="F67" s="2">
        <v>2</v>
      </c>
    </row>
    <row r="68" spans="1:6" ht="14.25" customHeight="1">
      <c r="A68" s="2">
        <v>2</v>
      </c>
      <c r="B68" s="2">
        <v>67</v>
      </c>
      <c r="C68" s="2">
        <v>1</v>
      </c>
      <c r="D68" s="2">
        <v>1</v>
      </c>
      <c r="E68" s="2">
        <v>1.3280000000000001</v>
      </c>
      <c r="F68" s="2">
        <v>2</v>
      </c>
    </row>
    <row r="69" spans="1:6" ht="14.25" customHeight="1">
      <c r="A69" s="2">
        <v>2</v>
      </c>
      <c r="B69" s="2">
        <v>68</v>
      </c>
      <c r="C69" s="2">
        <v>8</v>
      </c>
      <c r="D69" s="2">
        <v>0</v>
      </c>
      <c r="E69" s="2">
        <v>0.88700000000000001</v>
      </c>
      <c r="F69" s="2">
        <v>2</v>
      </c>
    </row>
    <row r="70" spans="1:6" ht="14.25" customHeight="1">
      <c r="A70" s="2">
        <v>2</v>
      </c>
      <c r="B70" s="2">
        <v>69</v>
      </c>
      <c r="C70" s="2">
        <v>1</v>
      </c>
      <c r="D70" s="2">
        <v>0</v>
      </c>
      <c r="E70" s="2">
        <v>1.08</v>
      </c>
      <c r="F70" s="2">
        <v>1</v>
      </c>
    </row>
    <row r="71" spans="1:6" ht="14.25" customHeight="1">
      <c r="A71" s="2">
        <v>2</v>
      </c>
      <c r="B71" s="2">
        <v>70</v>
      </c>
      <c r="C71" s="2">
        <v>7</v>
      </c>
      <c r="D71" s="2">
        <v>0</v>
      </c>
      <c r="E71" s="2">
        <v>1.4490000000000001</v>
      </c>
      <c r="F71" s="2">
        <v>2</v>
      </c>
    </row>
    <row r="72" spans="1:6" ht="14.25" customHeight="1">
      <c r="A72" s="2">
        <v>2</v>
      </c>
      <c r="B72" s="2">
        <v>71</v>
      </c>
      <c r="C72" s="2">
        <v>5</v>
      </c>
      <c r="D72" s="2">
        <v>0</v>
      </c>
      <c r="E72" s="2">
        <v>1.548</v>
      </c>
      <c r="F72" s="2">
        <v>1</v>
      </c>
    </row>
    <row r="73" spans="1:6" ht="14.25" customHeight="1">
      <c r="A73" s="2">
        <v>2</v>
      </c>
      <c r="B73" s="2">
        <v>72</v>
      </c>
      <c r="C73" s="2">
        <v>7</v>
      </c>
      <c r="D73" s="2">
        <v>0</v>
      </c>
      <c r="E73" s="2">
        <v>1.4430000000000001</v>
      </c>
      <c r="F73" s="2">
        <v>2</v>
      </c>
    </row>
    <row r="74" spans="1:6" ht="14.25" customHeight="1">
      <c r="A74" s="2">
        <v>2</v>
      </c>
      <c r="B74" s="2">
        <v>73</v>
      </c>
      <c r="C74" s="2">
        <v>6</v>
      </c>
      <c r="D74" s="2">
        <v>1</v>
      </c>
      <c r="E74" s="2">
        <v>1.413</v>
      </c>
      <c r="F74" s="2">
        <v>2</v>
      </c>
    </row>
    <row r="75" spans="1:6" ht="14.25" customHeight="1">
      <c r="A75" s="2">
        <v>2</v>
      </c>
      <c r="B75" s="2">
        <v>74</v>
      </c>
      <c r="C75" s="2">
        <v>7</v>
      </c>
      <c r="D75" s="2">
        <v>1</v>
      </c>
      <c r="E75" s="2">
        <v>1.3129999999999999</v>
      </c>
      <c r="F75" s="2">
        <v>1</v>
      </c>
    </row>
    <row r="76" spans="1:6" ht="14.25" customHeight="1">
      <c r="A76" s="2">
        <v>2</v>
      </c>
      <c r="B76" s="2">
        <v>75</v>
      </c>
      <c r="C76" s="2">
        <v>3</v>
      </c>
      <c r="D76" s="2">
        <v>1</v>
      </c>
      <c r="E76" s="2">
        <v>1.0489999999999999</v>
      </c>
      <c r="F76" s="2">
        <v>2</v>
      </c>
    </row>
    <row r="77" spans="1:6" ht="14.25" customHeight="1">
      <c r="A77" s="2">
        <v>2</v>
      </c>
      <c r="B77" s="2">
        <v>76</v>
      </c>
      <c r="C77" s="2">
        <v>1</v>
      </c>
      <c r="D77" s="2">
        <v>1</v>
      </c>
      <c r="E77" s="2">
        <v>1.252</v>
      </c>
      <c r="F77" s="2">
        <v>1</v>
      </c>
    </row>
    <row r="78" spans="1:6" ht="14.25" customHeight="1">
      <c r="A78" s="2">
        <v>2</v>
      </c>
      <c r="B78" s="2">
        <v>77</v>
      </c>
      <c r="C78" s="2">
        <v>2</v>
      </c>
      <c r="D78" s="2">
        <v>0</v>
      </c>
      <c r="E78" s="2">
        <v>1.1180000000000001</v>
      </c>
      <c r="F78" s="2">
        <v>2</v>
      </c>
    </row>
    <row r="79" spans="1:6" ht="14.25" customHeight="1">
      <c r="A79" s="2">
        <v>2</v>
      </c>
      <c r="B79" s="2">
        <v>78</v>
      </c>
      <c r="C79" s="2">
        <v>1</v>
      </c>
      <c r="D79" s="2">
        <v>1</v>
      </c>
      <c r="E79" s="2">
        <v>1.2070000000000001</v>
      </c>
      <c r="F79" s="2">
        <v>2</v>
      </c>
    </row>
    <row r="80" spans="1:6" ht="14.25" customHeight="1">
      <c r="A80" s="2">
        <v>2</v>
      </c>
      <c r="B80" s="2">
        <v>79</v>
      </c>
      <c r="C80" s="2">
        <v>3</v>
      </c>
      <c r="D80" s="2">
        <v>1</v>
      </c>
      <c r="E80" s="2">
        <v>0.874</v>
      </c>
      <c r="F80" s="2">
        <v>1</v>
      </c>
    </row>
    <row r="81" spans="1:6" ht="14.25" customHeight="1">
      <c r="A81" s="2">
        <v>2</v>
      </c>
      <c r="B81" s="2">
        <v>80</v>
      </c>
      <c r="C81" s="2">
        <v>2</v>
      </c>
      <c r="D81" s="2">
        <v>1</v>
      </c>
      <c r="E81" s="2">
        <v>0.76300000000000001</v>
      </c>
      <c r="F81" s="2">
        <v>1</v>
      </c>
    </row>
    <row r="82" spans="1:6" ht="14.25" customHeight="1">
      <c r="A82" s="2">
        <v>2</v>
      </c>
      <c r="B82" s="2">
        <v>81</v>
      </c>
      <c r="C82" s="2">
        <v>4</v>
      </c>
      <c r="D82" s="2">
        <v>1</v>
      </c>
      <c r="E82" s="2">
        <v>1.4650000000000001</v>
      </c>
      <c r="F82" s="2">
        <v>2</v>
      </c>
    </row>
    <row r="83" spans="1:6" ht="14.25" customHeight="1">
      <c r="A83" s="2">
        <v>2</v>
      </c>
      <c r="B83" s="2">
        <v>82</v>
      </c>
      <c r="C83" s="2">
        <v>8</v>
      </c>
      <c r="D83" s="2">
        <v>1</v>
      </c>
      <c r="E83" s="2">
        <v>0.85899999999999999</v>
      </c>
      <c r="F83" s="2">
        <v>1</v>
      </c>
    </row>
    <row r="84" spans="1:6" ht="14.25" customHeight="1">
      <c r="A84" s="2">
        <v>2</v>
      </c>
      <c r="B84" s="2">
        <v>83</v>
      </c>
      <c r="C84" s="2">
        <v>3</v>
      </c>
      <c r="D84" s="2">
        <v>0</v>
      </c>
      <c r="E84" s="2">
        <v>0.878</v>
      </c>
      <c r="F84" s="2">
        <v>1</v>
      </c>
    </row>
    <row r="85" spans="1:6" ht="14.25" customHeight="1">
      <c r="A85" s="2">
        <v>2</v>
      </c>
      <c r="B85" s="2">
        <v>84</v>
      </c>
      <c r="C85" s="2">
        <v>7</v>
      </c>
      <c r="D85" s="2">
        <v>1</v>
      </c>
      <c r="E85" s="2">
        <v>0.90300000000000002</v>
      </c>
      <c r="F85" s="2">
        <v>1</v>
      </c>
    </row>
    <row r="86" spans="1:6" ht="14.25" customHeight="1">
      <c r="A86" s="2">
        <v>2</v>
      </c>
      <c r="B86" s="2">
        <v>85</v>
      </c>
      <c r="C86" s="2">
        <v>8</v>
      </c>
      <c r="D86" s="2">
        <v>1</v>
      </c>
      <c r="E86" s="2">
        <v>0.75900000000000001</v>
      </c>
      <c r="F86" s="2">
        <v>2</v>
      </c>
    </row>
    <row r="87" spans="1:6" ht="14.25" customHeight="1">
      <c r="A87" s="2">
        <v>2</v>
      </c>
      <c r="B87" s="2">
        <v>86</v>
      </c>
      <c r="C87" s="2">
        <v>6</v>
      </c>
      <c r="D87" s="2">
        <v>0</v>
      </c>
      <c r="E87" s="2">
        <v>0.86099999999999999</v>
      </c>
      <c r="F87" s="2">
        <v>1</v>
      </c>
    </row>
    <row r="88" spans="1:6" ht="14.25" customHeight="1">
      <c r="A88" s="2">
        <v>2</v>
      </c>
      <c r="B88" s="2">
        <v>87</v>
      </c>
      <c r="C88" s="2">
        <v>1</v>
      </c>
      <c r="D88" s="2">
        <v>1</v>
      </c>
      <c r="E88" s="2">
        <v>1.0229999999999999</v>
      </c>
      <c r="F88" s="2">
        <v>2</v>
      </c>
    </row>
    <row r="89" spans="1:6" ht="14.25" customHeight="1">
      <c r="A89" s="2">
        <v>2</v>
      </c>
      <c r="B89" s="2">
        <v>88</v>
      </c>
      <c r="C89" s="2">
        <v>5</v>
      </c>
      <c r="D89" s="2">
        <v>0</v>
      </c>
      <c r="E89" s="2">
        <v>1.6020000000000001</v>
      </c>
      <c r="F89" s="2">
        <v>1</v>
      </c>
    </row>
    <row r="90" spans="1:6" ht="14.25" customHeight="1">
      <c r="A90" s="2">
        <v>2</v>
      </c>
      <c r="B90" s="2">
        <v>89</v>
      </c>
      <c r="C90" s="2">
        <v>4</v>
      </c>
      <c r="D90" s="2">
        <v>1</v>
      </c>
      <c r="E90" s="2">
        <v>1.222</v>
      </c>
      <c r="F90" s="2">
        <v>2</v>
      </c>
    </row>
    <row r="91" spans="1:6" ht="14.25" customHeight="1">
      <c r="A91" s="2">
        <v>2</v>
      </c>
      <c r="B91" s="2">
        <v>90</v>
      </c>
      <c r="C91" s="2">
        <v>3</v>
      </c>
      <c r="D91" s="2">
        <v>1</v>
      </c>
      <c r="E91" s="2">
        <v>1.115</v>
      </c>
      <c r="F91" s="2">
        <v>1</v>
      </c>
    </row>
    <row r="92" spans="1:6" ht="14.25" customHeight="1">
      <c r="A92" s="2">
        <v>2</v>
      </c>
      <c r="B92" s="2">
        <v>91</v>
      </c>
      <c r="C92" s="2">
        <v>8</v>
      </c>
      <c r="D92" s="2">
        <v>1</v>
      </c>
      <c r="E92" s="2">
        <v>1.05</v>
      </c>
      <c r="F92" s="2">
        <v>2</v>
      </c>
    </row>
    <row r="93" spans="1:6" ht="14.25" customHeight="1">
      <c r="A93" s="2">
        <v>2</v>
      </c>
      <c r="B93" s="2">
        <v>92</v>
      </c>
      <c r="C93" s="2">
        <v>4</v>
      </c>
      <c r="D93" s="2">
        <v>1</v>
      </c>
      <c r="E93" s="2">
        <v>1.5640000000000001</v>
      </c>
      <c r="F93" s="2">
        <v>1</v>
      </c>
    </row>
    <row r="94" spans="1:6" ht="14.25" customHeight="1">
      <c r="A94" s="2">
        <v>2</v>
      </c>
      <c r="B94" s="2">
        <v>93</v>
      </c>
      <c r="C94" s="2">
        <v>5</v>
      </c>
      <c r="D94" s="2">
        <v>1</v>
      </c>
      <c r="E94" s="2">
        <v>1.1859999999999999</v>
      </c>
      <c r="F94" s="2">
        <v>2</v>
      </c>
    </row>
    <row r="95" spans="1:6" ht="14.25" customHeight="1">
      <c r="A95" s="2">
        <v>2</v>
      </c>
      <c r="B95" s="2">
        <v>94</v>
      </c>
      <c r="C95" s="2">
        <v>7</v>
      </c>
      <c r="D95" s="2">
        <v>1</v>
      </c>
      <c r="E95" s="2">
        <v>1.1359999999999999</v>
      </c>
      <c r="F95" s="2">
        <v>2</v>
      </c>
    </row>
    <row r="96" spans="1:6" ht="14.25" customHeight="1">
      <c r="A96" s="2">
        <v>2</v>
      </c>
      <c r="B96" s="2">
        <v>95</v>
      </c>
      <c r="C96" s="2">
        <v>2</v>
      </c>
      <c r="D96" s="2">
        <v>1</v>
      </c>
      <c r="E96" s="2">
        <v>1.518</v>
      </c>
      <c r="F96" s="2">
        <v>1</v>
      </c>
    </row>
    <row r="97" spans="1:6" ht="14.25" customHeight="1">
      <c r="A97" s="2">
        <v>2</v>
      </c>
      <c r="B97" s="2">
        <v>96</v>
      </c>
      <c r="C97" s="2">
        <v>8</v>
      </c>
      <c r="D97" s="2">
        <v>1</v>
      </c>
      <c r="E97" s="2">
        <v>1.575</v>
      </c>
      <c r="F97" s="2">
        <v>1</v>
      </c>
    </row>
    <row r="98" spans="1:6" ht="14.25" customHeight="1">
      <c r="A98" s="2">
        <v>2</v>
      </c>
      <c r="B98" s="2">
        <v>97</v>
      </c>
      <c r="C98" s="2">
        <v>6</v>
      </c>
      <c r="D98" s="2">
        <v>1</v>
      </c>
      <c r="E98" s="2">
        <v>1.075</v>
      </c>
      <c r="F98" s="2">
        <v>2</v>
      </c>
    </row>
    <row r="99" spans="1:6" ht="14.25" customHeight="1">
      <c r="A99" s="2">
        <v>2</v>
      </c>
      <c r="B99" s="2">
        <v>98</v>
      </c>
      <c r="C99" s="2">
        <v>7</v>
      </c>
      <c r="D99" s="2">
        <v>1</v>
      </c>
      <c r="E99" s="2">
        <v>0.97299999999999998</v>
      </c>
      <c r="F99" s="2">
        <v>1</v>
      </c>
    </row>
    <row r="100" spans="1:6" ht="14.25" customHeight="1">
      <c r="A100" s="2">
        <v>2</v>
      </c>
      <c r="B100" s="2">
        <v>99</v>
      </c>
      <c r="C100" s="2">
        <v>8</v>
      </c>
      <c r="D100" s="2">
        <v>1</v>
      </c>
      <c r="E100" s="2">
        <v>0.84199999999999997</v>
      </c>
      <c r="F100" s="2">
        <v>2</v>
      </c>
    </row>
    <row r="101" spans="1:6" ht="14.25" customHeight="1">
      <c r="A101" s="2">
        <v>2</v>
      </c>
      <c r="B101" s="2">
        <v>100</v>
      </c>
      <c r="C101" s="2">
        <v>1</v>
      </c>
      <c r="D101" s="2">
        <v>0</v>
      </c>
      <c r="E101" s="2">
        <v>1.2050000000000001</v>
      </c>
      <c r="F101" s="2">
        <v>1</v>
      </c>
    </row>
    <row r="102" spans="1:6" ht="14.25" customHeight="1">
      <c r="A102" s="2">
        <v>2</v>
      </c>
      <c r="B102" s="2">
        <v>101</v>
      </c>
      <c r="C102" s="2">
        <v>7</v>
      </c>
      <c r="D102" s="2">
        <v>1</v>
      </c>
      <c r="E102" s="2">
        <v>1</v>
      </c>
      <c r="F102" s="2">
        <v>1</v>
      </c>
    </row>
    <row r="103" spans="1:6" ht="14.25" customHeight="1">
      <c r="A103" s="2">
        <v>2</v>
      </c>
      <c r="B103" s="2">
        <v>102</v>
      </c>
      <c r="C103" s="2">
        <v>2</v>
      </c>
      <c r="D103" s="2">
        <v>0</v>
      </c>
      <c r="E103" s="2">
        <v>1.052</v>
      </c>
      <c r="F103" s="2">
        <v>2</v>
      </c>
    </row>
    <row r="104" spans="1:6" ht="14.25" customHeight="1">
      <c r="A104" s="2">
        <v>2</v>
      </c>
      <c r="B104" s="2">
        <v>103</v>
      </c>
      <c r="C104" s="2">
        <v>1</v>
      </c>
      <c r="D104" s="2">
        <v>1</v>
      </c>
      <c r="E104" s="2">
        <v>0.871</v>
      </c>
      <c r="F104" s="2">
        <v>1</v>
      </c>
    </row>
    <row r="105" spans="1:6" ht="14.25" customHeight="1">
      <c r="A105" s="2">
        <v>2</v>
      </c>
      <c r="B105" s="2">
        <v>104</v>
      </c>
      <c r="C105" s="2">
        <v>8</v>
      </c>
      <c r="D105" s="2">
        <v>0</v>
      </c>
      <c r="E105" s="2">
        <v>1.1519999999999999</v>
      </c>
      <c r="F105" s="2">
        <v>1</v>
      </c>
    </row>
    <row r="106" spans="1:6" ht="14.25" customHeight="1">
      <c r="A106" s="2">
        <v>2</v>
      </c>
      <c r="B106" s="2">
        <v>105</v>
      </c>
      <c r="C106" s="2">
        <v>6</v>
      </c>
      <c r="D106" s="2">
        <v>1</v>
      </c>
      <c r="E106" s="2">
        <v>0.92600000000000005</v>
      </c>
      <c r="F106" s="2">
        <v>1</v>
      </c>
    </row>
    <row r="107" spans="1:6" ht="14.25" customHeight="1">
      <c r="A107" s="2">
        <v>2</v>
      </c>
      <c r="B107" s="2">
        <v>106</v>
      </c>
      <c r="C107" s="2">
        <v>8</v>
      </c>
      <c r="D107" s="2">
        <v>1</v>
      </c>
      <c r="E107" s="2">
        <v>1.1819999999999999</v>
      </c>
      <c r="F107" s="2">
        <v>1</v>
      </c>
    </row>
    <row r="108" spans="1:6" ht="14.25" customHeight="1">
      <c r="A108" s="2">
        <v>2</v>
      </c>
      <c r="B108" s="2">
        <v>107</v>
      </c>
      <c r="C108" s="2">
        <v>1</v>
      </c>
      <c r="D108" s="2">
        <v>1</v>
      </c>
      <c r="E108" s="2">
        <v>0.77900000000000003</v>
      </c>
      <c r="F108" s="2">
        <v>2</v>
      </c>
    </row>
    <row r="109" spans="1:6" ht="14.25" customHeight="1">
      <c r="A109" s="2">
        <v>2</v>
      </c>
      <c r="B109" s="2">
        <v>108</v>
      </c>
      <c r="C109" s="2">
        <v>3</v>
      </c>
      <c r="D109" s="2">
        <v>1</v>
      </c>
      <c r="E109" s="2">
        <v>1.321</v>
      </c>
      <c r="F109" s="2">
        <v>1</v>
      </c>
    </row>
    <row r="110" spans="1:6" ht="14.25" customHeight="1">
      <c r="A110" s="2">
        <v>2</v>
      </c>
      <c r="B110" s="2">
        <v>109</v>
      </c>
      <c r="C110" s="2">
        <v>5</v>
      </c>
      <c r="D110" s="2">
        <v>1</v>
      </c>
      <c r="E110" s="2">
        <v>0.81599999999999995</v>
      </c>
      <c r="F110" s="2">
        <v>2</v>
      </c>
    </row>
    <row r="111" spans="1:6" ht="14.25" customHeight="1">
      <c r="A111" s="2">
        <v>2</v>
      </c>
      <c r="B111" s="2">
        <v>110</v>
      </c>
      <c r="C111" s="2">
        <v>3</v>
      </c>
      <c r="D111" s="2">
        <v>1</v>
      </c>
      <c r="E111" s="2">
        <v>1.155</v>
      </c>
      <c r="F111" s="2">
        <v>1</v>
      </c>
    </row>
    <row r="112" spans="1:6" ht="14.25" customHeight="1">
      <c r="A112" s="2">
        <v>2</v>
      </c>
      <c r="B112" s="2">
        <v>111</v>
      </c>
      <c r="C112" s="2">
        <v>6</v>
      </c>
      <c r="D112" s="2">
        <v>0</v>
      </c>
      <c r="E112" s="2">
        <v>0.77</v>
      </c>
      <c r="F112" s="2">
        <v>2</v>
      </c>
    </row>
    <row r="113" spans="1:6" ht="14.25" customHeight="1">
      <c r="A113" s="2">
        <v>2</v>
      </c>
      <c r="B113" s="2">
        <v>112</v>
      </c>
      <c r="C113" s="2">
        <v>4</v>
      </c>
      <c r="D113" s="2">
        <v>1</v>
      </c>
      <c r="E113" s="2">
        <v>1.59</v>
      </c>
      <c r="F113" s="2">
        <v>2</v>
      </c>
    </row>
    <row r="114" spans="1:6" ht="14.25" customHeight="1">
      <c r="A114" s="2">
        <v>2</v>
      </c>
      <c r="B114" s="2">
        <v>113</v>
      </c>
      <c r="C114" s="2">
        <v>5</v>
      </c>
      <c r="D114" s="2">
        <v>1</v>
      </c>
      <c r="E114" s="2">
        <v>1.075</v>
      </c>
      <c r="F114" s="2">
        <v>1</v>
      </c>
    </row>
    <row r="115" spans="1:6" ht="14.25" customHeight="1">
      <c r="A115" s="2">
        <v>2</v>
      </c>
      <c r="B115" s="2">
        <v>114</v>
      </c>
      <c r="C115" s="2">
        <v>4</v>
      </c>
      <c r="D115" s="2">
        <v>1</v>
      </c>
      <c r="E115" s="2">
        <v>1.4770000000000001</v>
      </c>
      <c r="F115" s="2">
        <v>2</v>
      </c>
    </row>
    <row r="116" spans="1:6" ht="14.25" customHeight="1">
      <c r="A116" s="2">
        <v>2</v>
      </c>
      <c r="B116" s="2">
        <v>115</v>
      </c>
      <c r="C116" s="2">
        <v>8</v>
      </c>
      <c r="D116" s="2">
        <v>1</v>
      </c>
      <c r="E116" s="2">
        <v>1.51</v>
      </c>
      <c r="F116" s="2">
        <v>1</v>
      </c>
    </row>
    <row r="117" spans="1:6" ht="14.25" customHeight="1">
      <c r="A117" s="2">
        <v>2</v>
      </c>
      <c r="B117" s="2">
        <v>116</v>
      </c>
      <c r="C117" s="2">
        <v>6</v>
      </c>
      <c r="D117" s="2">
        <v>1</v>
      </c>
      <c r="E117" s="2">
        <v>1.278</v>
      </c>
      <c r="F117" s="2">
        <v>2</v>
      </c>
    </row>
    <row r="118" spans="1:6" ht="14.25" customHeight="1">
      <c r="A118" s="2">
        <v>2</v>
      </c>
      <c r="B118" s="2">
        <v>117</v>
      </c>
      <c r="C118" s="2">
        <v>7</v>
      </c>
      <c r="D118" s="2">
        <v>1</v>
      </c>
      <c r="E118" s="2">
        <v>1.111</v>
      </c>
      <c r="F118" s="2">
        <v>2</v>
      </c>
    </row>
    <row r="119" spans="1:6" ht="14.25" customHeight="1">
      <c r="A119" s="2">
        <v>2</v>
      </c>
      <c r="B119" s="2">
        <v>118</v>
      </c>
      <c r="C119" s="2">
        <v>3</v>
      </c>
      <c r="D119" s="2">
        <v>0</v>
      </c>
      <c r="E119" s="2">
        <v>1.431</v>
      </c>
      <c r="F119" s="2">
        <v>2</v>
      </c>
    </row>
    <row r="120" spans="1:6" ht="14.25" customHeight="1">
      <c r="A120" s="2">
        <v>2</v>
      </c>
      <c r="B120" s="2">
        <v>119</v>
      </c>
      <c r="C120" s="2">
        <v>8</v>
      </c>
      <c r="D120" s="2">
        <v>0</v>
      </c>
      <c r="E120" s="2">
        <v>1.306</v>
      </c>
      <c r="F120" s="2">
        <v>1</v>
      </c>
    </row>
    <row r="121" spans="1:6" ht="14.25" customHeight="1">
      <c r="A121" s="2">
        <v>2</v>
      </c>
      <c r="B121" s="2">
        <v>120</v>
      </c>
      <c r="C121" s="2">
        <v>3</v>
      </c>
      <c r="D121" s="2">
        <v>0</v>
      </c>
      <c r="E121" s="2">
        <v>1.347</v>
      </c>
      <c r="F121" s="2">
        <v>2</v>
      </c>
    </row>
    <row r="122" spans="1:6" ht="14.25" customHeight="1">
      <c r="A122" s="2">
        <v>2</v>
      </c>
      <c r="B122" s="2">
        <v>121</v>
      </c>
      <c r="C122" s="2">
        <v>2</v>
      </c>
      <c r="D122" s="2">
        <v>1</v>
      </c>
      <c r="E122" s="2">
        <v>0.97699999999999998</v>
      </c>
      <c r="F122" s="2">
        <v>2</v>
      </c>
    </row>
    <row r="123" spans="1:6" ht="14.25" customHeight="1">
      <c r="A123" s="2">
        <v>2</v>
      </c>
      <c r="B123" s="2">
        <v>122</v>
      </c>
      <c r="C123" s="2">
        <v>7</v>
      </c>
      <c r="D123" s="2">
        <v>1</v>
      </c>
      <c r="E123" s="2">
        <v>0.94199999999999995</v>
      </c>
      <c r="F123" s="2">
        <v>1</v>
      </c>
    </row>
    <row r="124" spans="1:6" ht="14.25" customHeight="1">
      <c r="A124" s="2">
        <v>2</v>
      </c>
      <c r="B124" s="2">
        <v>123</v>
      </c>
      <c r="C124" s="2">
        <v>5</v>
      </c>
      <c r="D124" s="2">
        <v>1</v>
      </c>
      <c r="E124" s="2">
        <v>1.2769999999999999</v>
      </c>
      <c r="F124" s="2">
        <v>2</v>
      </c>
    </row>
    <row r="125" spans="1:6" ht="14.25" customHeight="1">
      <c r="A125" s="2">
        <v>2</v>
      </c>
      <c r="B125" s="2">
        <v>124</v>
      </c>
      <c r="C125" s="2">
        <v>3</v>
      </c>
      <c r="D125" s="2">
        <v>1</v>
      </c>
      <c r="E125" s="2">
        <v>1.534</v>
      </c>
      <c r="F125" s="2">
        <v>1</v>
      </c>
    </row>
    <row r="126" spans="1:6" ht="14.25" customHeight="1">
      <c r="A126" s="2">
        <v>2</v>
      </c>
      <c r="B126" s="2">
        <v>125</v>
      </c>
      <c r="C126" s="2">
        <v>1</v>
      </c>
      <c r="D126" s="2">
        <v>1</v>
      </c>
      <c r="E126" s="2">
        <v>1.302</v>
      </c>
      <c r="F126" s="2">
        <v>2</v>
      </c>
    </row>
    <row r="127" spans="1:6" ht="14.25" customHeight="1">
      <c r="A127" s="2">
        <v>2</v>
      </c>
      <c r="B127" s="2">
        <v>126</v>
      </c>
      <c r="C127" s="2">
        <v>5</v>
      </c>
      <c r="D127" s="2">
        <v>0</v>
      </c>
      <c r="E127" s="2">
        <v>1.3340000000000001</v>
      </c>
      <c r="F127" s="2">
        <v>2</v>
      </c>
    </row>
    <row r="128" spans="1:6" ht="14.25" customHeight="1">
      <c r="A128" s="2">
        <v>2</v>
      </c>
      <c r="B128" s="2">
        <v>127</v>
      </c>
      <c r="C128" s="2">
        <v>1</v>
      </c>
      <c r="D128" s="2">
        <v>1</v>
      </c>
      <c r="E128" s="2">
        <v>1.4770000000000001</v>
      </c>
      <c r="F128" s="2">
        <v>1</v>
      </c>
    </row>
    <row r="129" spans="1:6" ht="14.25" customHeight="1">
      <c r="A129" s="2">
        <v>2</v>
      </c>
      <c r="B129" s="2">
        <v>128</v>
      </c>
      <c r="C129" s="2">
        <v>5</v>
      </c>
      <c r="D129" s="2">
        <v>1</v>
      </c>
      <c r="E129" s="2">
        <v>0.87</v>
      </c>
      <c r="F129" s="2">
        <v>2</v>
      </c>
    </row>
    <row r="130" spans="1:6" ht="14.25" customHeight="1">
      <c r="A130" s="2">
        <v>2</v>
      </c>
      <c r="B130" s="2">
        <v>129</v>
      </c>
      <c r="C130" s="2">
        <v>2</v>
      </c>
      <c r="D130" s="2">
        <v>0</v>
      </c>
      <c r="E130" s="2">
        <v>1.5449999999999999</v>
      </c>
      <c r="F130" s="2">
        <v>2</v>
      </c>
    </row>
    <row r="131" spans="1:6" ht="14.25" customHeight="1">
      <c r="A131" s="2">
        <v>2</v>
      </c>
      <c r="B131" s="2">
        <v>130</v>
      </c>
      <c r="C131" s="2">
        <v>7</v>
      </c>
      <c r="D131" s="2">
        <v>1</v>
      </c>
      <c r="E131" s="2">
        <v>1.591</v>
      </c>
      <c r="F131" s="2">
        <v>1</v>
      </c>
    </row>
    <row r="132" spans="1:6" ht="14.25" customHeight="1">
      <c r="A132" s="2">
        <v>2</v>
      </c>
      <c r="B132" s="2">
        <v>131</v>
      </c>
      <c r="C132" s="2">
        <v>5</v>
      </c>
      <c r="D132" s="2">
        <v>1</v>
      </c>
      <c r="E132" s="2">
        <v>1.0760000000000001</v>
      </c>
      <c r="F132" s="2">
        <v>2</v>
      </c>
    </row>
    <row r="133" spans="1:6" ht="14.25" customHeight="1">
      <c r="A133" s="2">
        <v>2</v>
      </c>
      <c r="B133" s="2">
        <v>132</v>
      </c>
      <c r="C133" s="2">
        <v>4</v>
      </c>
      <c r="D133" s="2">
        <v>0</v>
      </c>
      <c r="E133" s="2">
        <v>1.9890000000000001</v>
      </c>
      <c r="F133" s="2">
        <v>2</v>
      </c>
    </row>
    <row r="134" spans="1:6" ht="14.25" customHeight="1">
      <c r="A134" s="2">
        <v>2</v>
      </c>
      <c r="B134" s="2">
        <v>133</v>
      </c>
      <c r="C134" s="2">
        <v>2</v>
      </c>
      <c r="D134" s="2">
        <v>0</v>
      </c>
      <c r="E134" s="2">
        <v>0.97799999999999998</v>
      </c>
      <c r="F134" s="2">
        <v>1</v>
      </c>
    </row>
    <row r="135" spans="1:6" ht="14.25" customHeight="1">
      <c r="A135" s="2">
        <v>2</v>
      </c>
      <c r="B135" s="2">
        <v>134</v>
      </c>
      <c r="C135" s="2">
        <v>4</v>
      </c>
      <c r="D135" s="2">
        <v>1</v>
      </c>
      <c r="E135" s="2">
        <v>1.5429999999999999</v>
      </c>
      <c r="F135" s="2">
        <v>1</v>
      </c>
    </row>
    <row r="136" spans="1:6" ht="14.25" customHeight="1">
      <c r="A136" s="2">
        <v>2</v>
      </c>
      <c r="B136" s="2">
        <v>135</v>
      </c>
      <c r="C136" s="2">
        <v>3</v>
      </c>
      <c r="D136" s="2">
        <v>1</v>
      </c>
      <c r="E136" s="2">
        <v>0.78200000000000003</v>
      </c>
      <c r="F136" s="2">
        <v>2</v>
      </c>
    </row>
    <row r="137" spans="1:6" ht="14.25" customHeight="1">
      <c r="A137" s="2">
        <v>2</v>
      </c>
      <c r="B137" s="2">
        <v>136</v>
      </c>
      <c r="C137" s="2">
        <v>6</v>
      </c>
      <c r="D137" s="2">
        <v>0</v>
      </c>
      <c r="E137" s="2">
        <v>1.4750000000000001</v>
      </c>
      <c r="F137" s="2">
        <v>1</v>
      </c>
    </row>
    <row r="138" spans="1:6" ht="14.25" customHeight="1">
      <c r="A138" s="2">
        <v>2</v>
      </c>
      <c r="B138" s="2">
        <v>137</v>
      </c>
      <c r="C138" s="2">
        <v>8</v>
      </c>
      <c r="D138" s="2">
        <v>1</v>
      </c>
      <c r="E138" s="2">
        <v>0.85199999999999998</v>
      </c>
      <c r="F138" s="2">
        <v>2</v>
      </c>
    </row>
    <row r="139" spans="1:6" ht="14.25" customHeight="1">
      <c r="A139" s="2">
        <v>2</v>
      </c>
      <c r="B139" s="2">
        <v>138</v>
      </c>
      <c r="C139" s="2">
        <v>1</v>
      </c>
      <c r="D139" s="2">
        <v>1</v>
      </c>
      <c r="E139" s="2">
        <v>1.5509999999999999</v>
      </c>
      <c r="F139" s="2">
        <v>2</v>
      </c>
    </row>
    <row r="140" spans="1:6" ht="14.25" customHeight="1">
      <c r="A140" s="2">
        <v>2</v>
      </c>
      <c r="B140" s="2">
        <v>139</v>
      </c>
      <c r="C140" s="2">
        <v>2</v>
      </c>
      <c r="D140" s="2">
        <v>1</v>
      </c>
      <c r="E140" s="2">
        <v>0.90200000000000002</v>
      </c>
      <c r="F140" s="2">
        <v>2</v>
      </c>
    </row>
    <row r="141" spans="1:6" ht="14.25" customHeight="1">
      <c r="A141" s="2">
        <v>2</v>
      </c>
      <c r="B141" s="2">
        <v>140</v>
      </c>
      <c r="C141" s="2">
        <v>6</v>
      </c>
      <c r="D141" s="2">
        <v>1</v>
      </c>
      <c r="E141" s="2">
        <v>1.446</v>
      </c>
      <c r="F141" s="2">
        <v>1</v>
      </c>
    </row>
    <row r="142" spans="1:6" ht="14.25" customHeight="1">
      <c r="A142" s="2">
        <v>2</v>
      </c>
      <c r="B142" s="2">
        <v>141</v>
      </c>
      <c r="C142" s="2">
        <v>7</v>
      </c>
      <c r="D142" s="2">
        <v>1</v>
      </c>
      <c r="E142" s="2">
        <v>1.2330000000000001</v>
      </c>
      <c r="F142" s="2">
        <v>2</v>
      </c>
    </row>
    <row r="143" spans="1:6" ht="14.25" customHeight="1">
      <c r="A143" s="2">
        <v>2</v>
      </c>
      <c r="B143" s="2">
        <v>142</v>
      </c>
      <c r="C143" s="2">
        <v>8</v>
      </c>
      <c r="D143" s="2">
        <v>1</v>
      </c>
      <c r="E143" s="2">
        <v>1.6120000000000001</v>
      </c>
      <c r="F143" s="2">
        <v>1</v>
      </c>
    </row>
    <row r="144" spans="1:6" ht="14.25" customHeight="1">
      <c r="A144" s="2">
        <v>2</v>
      </c>
      <c r="B144" s="2">
        <v>143</v>
      </c>
      <c r="C144" s="2">
        <v>1</v>
      </c>
      <c r="D144" s="2">
        <v>0</v>
      </c>
      <c r="E144" s="2">
        <v>1.5049999999999999</v>
      </c>
      <c r="F144" s="2">
        <v>1</v>
      </c>
    </row>
    <row r="145" spans="1:6" ht="14.25" customHeight="1">
      <c r="A145" s="2">
        <v>2</v>
      </c>
      <c r="B145" s="2">
        <v>144</v>
      </c>
      <c r="C145" s="2">
        <v>4</v>
      </c>
      <c r="D145" s="2">
        <v>1</v>
      </c>
      <c r="E145" s="2">
        <v>1.5680000000000001</v>
      </c>
      <c r="F145" s="2">
        <v>2</v>
      </c>
    </row>
    <row r="146" spans="1:6" ht="14.25" customHeight="1">
      <c r="A146" s="2">
        <v>2</v>
      </c>
      <c r="B146" s="2">
        <v>145</v>
      </c>
      <c r="C146" s="2">
        <v>7</v>
      </c>
      <c r="D146" s="2">
        <v>1</v>
      </c>
      <c r="E146" s="2">
        <v>1.71</v>
      </c>
      <c r="F146" s="2">
        <v>1</v>
      </c>
    </row>
    <row r="147" spans="1:6" ht="14.25" customHeight="1">
      <c r="A147" s="2">
        <v>2</v>
      </c>
      <c r="B147" s="2">
        <v>146</v>
      </c>
      <c r="C147" s="2">
        <v>4</v>
      </c>
      <c r="D147" s="2">
        <v>1</v>
      </c>
      <c r="E147" s="2">
        <v>1.4139999999999999</v>
      </c>
      <c r="F147" s="2">
        <v>1</v>
      </c>
    </row>
    <row r="148" spans="1:6" ht="14.25" customHeight="1">
      <c r="A148" s="2">
        <v>2</v>
      </c>
      <c r="B148" s="2">
        <v>147</v>
      </c>
      <c r="C148" s="2">
        <v>6</v>
      </c>
      <c r="D148" s="2">
        <v>1</v>
      </c>
      <c r="E148" s="2">
        <v>1.538</v>
      </c>
      <c r="F148" s="2">
        <v>2</v>
      </c>
    </row>
    <row r="149" spans="1:6" ht="14.25" customHeight="1">
      <c r="A149" s="2">
        <v>2</v>
      </c>
      <c r="B149" s="2">
        <v>148</v>
      </c>
      <c r="C149" s="2">
        <v>1</v>
      </c>
      <c r="D149" s="2">
        <v>0</v>
      </c>
      <c r="E149" s="2">
        <v>1.8169999999999999</v>
      </c>
      <c r="F149" s="2">
        <v>2</v>
      </c>
    </row>
    <row r="150" spans="1:6" ht="14.25" customHeight="1">
      <c r="A150" s="2">
        <v>2</v>
      </c>
      <c r="B150" s="2">
        <v>149</v>
      </c>
      <c r="C150" s="2">
        <v>2</v>
      </c>
      <c r="D150" s="2">
        <v>1</v>
      </c>
      <c r="E150" s="2">
        <v>0.90100000000000002</v>
      </c>
      <c r="F150" s="2">
        <v>2</v>
      </c>
    </row>
    <row r="151" spans="1:6" ht="14.25" customHeight="1">
      <c r="A151" s="2">
        <v>2</v>
      </c>
      <c r="B151" s="2">
        <v>150</v>
      </c>
      <c r="C151" s="2">
        <v>8</v>
      </c>
      <c r="D151" s="2">
        <v>0</v>
      </c>
      <c r="E151" s="2">
        <v>1.35</v>
      </c>
      <c r="F151" s="2">
        <v>1</v>
      </c>
    </row>
    <row r="152" spans="1:6" ht="14.25" customHeight="1">
      <c r="A152" s="2">
        <v>2</v>
      </c>
      <c r="B152" s="2">
        <v>151</v>
      </c>
      <c r="C152" s="2">
        <v>3</v>
      </c>
      <c r="D152" s="2">
        <v>1</v>
      </c>
      <c r="E152" s="2">
        <v>1.0429999999999999</v>
      </c>
      <c r="F152" s="2">
        <v>1</v>
      </c>
    </row>
    <row r="153" spans="1:6" ht="14.25" customHeight="1">
      <c r="A153" s="2">
        <v>2</v>
      </c>
      <c r="B153" s="2">
        <v>152</v>
      </c>
      <c r="C153" s="2">
        <v>4</v>
      </c>
      <c r="D153" s="2">
        <v>0</v>
      </c>
      <c r="E153" s="2">
        <v>1.341</v>
      </c>
      <c r="F153" s="2">
        <v>2</v>
      </c>
    </row>
    <row r="154" spans="1:6" ht="14.25" customHeight="1">
      <c r="A154" s="2">
        <v>2</v>
      </c>
      <c r="B154" s="2">
        <v>153</v>
      </c>
      <c r="C154" s="2">
        <v>7</v>
      </c>
      <c r="D154" s="2">
        <v>1</v>
      </c>
      <c r="E154" s="2">
        <v>1.292</v>
      </c>
      <c r="F154" s="2">
        <v>1</v>
      </c>
    </row>
    <row r="155" spans="1:6" ht="14.25" customHeight="1">
      <c r="A155" s="2">
        <v>2</v>
      </c>
      <c r="B155" s="2">
        <v>154</v>
      </c>
      <c r="C155" s="2">
        <v>5</v>
      </c>
      <c r="D155" s="2">
        <v>1</v>
      </c>
      <c r="E155" s="2">
        <v>1.5169999999999999</v>
      </c>
      <c r="F155" s="2">
        <v>2</v>
      </c>
    </row>
    <row r="156" spans="1:6" ht="14.25" customHeight="1">
      <c r="A156" s="2">
        <v>2</v>
      </c>
      <c r="B156" s="2">
        <v>155</v>
      </c>
      <c r="C156" s="2">
        <v>6</v>
      </c>
      <c r="D156" s="2">
        <v>1</v>
      </c>
      <c r="E156" s="2">
        <v>0.90100000000000002</v>
      </c>
      <c r="F156" s="2">
        <v>1</v>
      </c>
    </row>
    <row r="157" spans="1:6" ht="14.25" customHeight="1">
      <c r="A157" s="2">
        <v>2</v>
      </c>
      <c r="B157" s="2">
        <v>156</v>
      </c>
      <c r="C157" s="2">
        <v>7</v>
      </c>
      <c r="D157" s="2">
        <v>1</v>
      </c>
      <c r="E157" s="2">
        <v>1.5489999999999999</v>
      </c>
      <c r="F157" s="2">
        <v>1</v>
      </c>
    </row>
    <row r="158" spans="1:6" ht="14.25" customHeight="1">
      <c r="A158" s="2">
        <v>2</v>
      </c>
      <c r="B158" s="2">
        <v>157</v>
      </c>
      <c r="C158" s="2">
        <v>2</v>
      </c>
      <c r="D158" s="2">
        <v>1</v>
      </c>
      <c r="E158" s="2">
        <v>0.876</v>
      </c>
      <c r="F158" s="2">
        <v>2</v>
      </c>
    </row>
    <row r="159" spans="1:6" ht="14.25" customHeight="1">
      <c r="A159" s="2">
        <v>2</v>
      </c>
      <c r="B159" s="2">
        <v>158</v>
      </c>
      <c r="C159" s="2">
        <v>1</v>
      </c>
      <c r="D159" s="2">
        <v>0</v>
      </c>
      <c r="E159" s="2">
        <v>1.7490000000000001</v>
      </c>
      <c r="F159" s="2">
        <v>2</v>
      </c>
    </row>
    <row r="160" spans="1:6" ht="14.25" customHeight="1">
      <c r="A160" s="2">
        <v>2</v>
      </c>
      <c r="B160" s="2">
        <v>159</v>
      </c>
      <c r="C160" s="2">
        <v>8</v>
      </c>
      <c r="D160" s="2">
        <v>1</v>
      </c>
      <c r="E160" s="2">
        <v>0.82799999999999996</v>
      </c>
      <c r="F160" s="2">
        <v>2</v>
      </c>
    </row>
    <row r="161" spans="1:6" ht="14.25" customHeight="1">
      <c r="A161" s="2">
        <v>2</v>
      </c>
      <c r="B161" s="2">
        <v>160</v>
      </c>
      <c r="C161" s="2">
        <v>3</v>
      </c>
      <c r="D161" s="2">
        <v>1</v>
      </c>
      <c r="E161" s="2">
        <v>1.599</v>
      </c>
      <c r="F161" s="2">
        <v>1</v>
      </c>
    </row>
    <row r="162" spans="1:6" ht="14.25" customHeight="1">
      <c r="A162" s="2">
        <v>2</v>
      </c>
      <c r="B162" s="2">
        <v>161</v>
      </c>
      <c r="C162" s="2">
        <v>4</v>
      </c>
      <c r="D162" s="2">
        <v>1</v>
      </c>
      <c r="E162" s="2">
        <v>1.5309999999999999</v>
      </c>
      <c r="F162" s="2">
        <v>1</v>
      </c>
    </row>
    <row r="163" spans="1:6" ht="14.25" customHeight="1">
      <c r="A163" s="2">
        <v>2</v>
      </c>
      <c r="B163" s="2">
        <v>162</v>
      </c>
      <c r="C163" s="2">
        <v>2</v>
      </c>
      <c r="D163" s="2">
        <v>1</v>
      </c>
      <c r="E163" s="2">
        <v>1.3220000000000001</v>
      </c>
      <c r="F163" s="2">
        <v>2</v>
      </c>
    </row>
    <row r="164" spans="1:6" ht="14.25" customHeight="1">
      <c r="A164" s="2">
        <v>2</v>
      </c>
      <c r="B164" s="2">
        <v>163</v>
      </c>
      <c r="C164" s="2">
        <v>6</v>
      </c>
      <c r="D164" s="2">
        <v>1</v>
      </c>
      <c r="E164" s="2">
        <v>1.873</v>
      </c>
      <c r="F164" s="2">
        <v>1</v>
      </c>
    </row>
    <row r="165" spans="1:6" ht="14.25" customHeight="1">
      <c r="A165" s="2">
        <v>2</v>
      </c>
      <c r="B165" s="2">
        <v>164</v>
      </c>
      <c r="C165" s="2">
        <v>8</v>
      </c>
      <c r="D165" s="2">
        <v>1</v>
      </c>
      <c r="E165" s="2">
        <v>0.97099999999999997</v>
      </c>
      <c r="F165" s="2">
        <v>2</v>
      </c>
    </row>
    <row r="166" spans="1:6" ht="14.25" customHeight="1">
      <c r="A166" s="2">
        <v>2</v>
      </c>
      <c r="B166" s="2">
        <v>165</v>
      </c>
      <c r="C166" s="2">
        <v>4</v>
      </c>
      <c r="D166" s="2">
        <v>0</v>
      </c>
      <c r="E166" s="2">
        <v>1.8560000000000001</v>
      </c>
      <c r="F166" s="2">
        <v>2</v>
      </c>
    </row>
    <row r="167" spans="1:6" ht="14.25" customHeight="1">
      <c r="A167" s="2">
        <v>2</v>
      </c>
      <c r="B167" s="2">
        <v>166</v>
      </c>
      <c r="C167" s="2">
        <v>5</v>
      </c>
      <c r="D167" s="2">
        <v>1</v>
      </c>
      <c r="E167" s="2">
        <v>1.8260000000000001</v>
      </c>
      <c r="F167" s="2">
        <v>2</v>
      </c>
    </row>
    <row r="168" spans="1:6" ht="14.25" customHeight="1">
      <c r="A168" s="2">
        <v>2</v>
      </c>
      <c r="B168" s="2">
        <v>167</v>
      </c>
      <c r="C168" s="2">
        <v>6</v>
      </c>
      <c r="D168" s="2">
        <v>1</v>
      </c>
      <c r="E168" s="2">
        <v>0.89500000000000002</v>
      </c>
      <c r="F168" s="2">
        <v>2</v>
      </c>
    </row>
    <row r="169" spans="1:6" ht="14.25" customHeight="1">
      <c r="A169" s="2">
        <v>2</v>
      </c>
      <c r="B169" s="2">
        <v>168</v>
      </c>
      <c r="C169" s="2">
        <v>2</v>
      </c>
      <c r="D169" s="2">
        <v>0</v>
      </c>
      <c r="E169" s="2">
        <v>1.3979999999999999</v>
      </c>
      <c r="F169" s="2">
        <v>2</v>
      </c>
    </row>
    <row r="170" spans="1:6" ht="14.25" customHeight="1">
      <c r="A170" s="2">
        <v>2</v>
      </c>
      <c r="B170" s="2">
        <v>169</v>
      </c>
      <c r="C170" s="2">
        <v>8</v>
      </c>
      <c r="D170" s="2">
        <v>1</v>
      </c>
      <c r="E170" s="2">
        <v>1.2909999999999999</v>
      </c>
      <c r="F170" s="2">
        <v>2</v>
      </c>
    </row>
    <row r="171" spans="1:6" ht="14.25" customHeight="1">
      <c r="A171" s="2">
        <v>2</v>
      </c>
      <c r="B171" s="2">
        <v>170</v>
      </c>
      <c r="C171" s="2">
        <v>4</v>
      </c>
      <c r="D171" s="2">
        <v>1</v>
      </c>
      <c r="E171" s="2">
        <v>1.196</v>
      </c>
      <c r="F171" s="2">
        <v>1</v>
      </c>
    </row>
    <row r="172" spans="1:6" ht="14.25" customHeight="1">
      <c r="A172" s="2">
        <v>2</v>
      </c>
      <c r="B172" s="2">
        <v>171</v>
      </c>
      <c r="C172" s="2">
        <v>1</v>
      </c>
      <c r="D172" s="2">
        <v>1</v>
      </c>
      <c r="E172" s="2">
        <v>1.1279999999999999</v>
      </c>
      <c r="F172" s="2">
        <v>2</v>
      </c>
    </row>
    <row r="173" spans="1:6" ht="14.25" customHeight="1">
      <c r="A173" s="2">
        <v>2</v>
      </c>
      <c r="B173" s="2">
        <v>172</v>
      </c>
      <c r="C173" s="2">
        <v>4</v>
      </c>
      <c r="D173" s="2">
        <v>1</v>
      </c>
      <c r="E173" s="2">
        <v>1.7509999999999999</v>
      </c>
      <c r="F173" s="2">
        <v>1</v>
      </c>
    </row>
    <row r="174" spans="1:6" ht="14.25" customHeight="1">
      <c r="A174" s="2">
        <v>2</v>
      </c>
      <c r="B174" s="2">
        <v>173</v>
      </c>
      <c r="C174" s="2">
        <v>6</v>
      </c>
      <c r="D174" s="2">
        <v>1</v>
      </c>
      <c r="E174" s="2">
        <v>0.85399999999999998</v>
      </c>
      <c r="F174" s="2">
        <v>2</v>
      </c>
    </row>
    <row r="175" spans="1:6" ht="14.25" customHeight="1">
      <c r="A175" s="2">
        <v>2</v>
      </c>
      <c r="B175" s="2">
        <v>174</v>
      </c>
      <c r="C175" s="2">
        <v>7</v>
      </c>
      <c r="D175" s="2">
        <v>1</v>
      </c>
      <c r="E175" s="2">
        <v>1.3280000000000001</v>
      </c>
      <c r="F175" s="2">
        <v>1</v>
      </c>
    </row>
    <row r="176" spans="1:6" ht="14.25" customHeight="1">
      <c r="A176" s="2">
        <v>2</v>
      </c>
      <c r="B176" s="2">
        <v>175</v>
      </c>
      <c r="C176" s="2">
        <v>6</v>
      </c>
      <c r="D176" s="2">
        <v>1</v>
      </c>
      <c r="E176" s="2">
        <v>0.84799999999999998</v>
      </c>
      <c r="F176" s="2">
        <v>2</v>
      </c>
    </row>
    <row r="177" spans="1:6" ht="14.25" customHeight="1">
      <c r="A177" s="2">
        <v>2</v>
      </c>
      <c r="B177" s="2">
        <v>176</v>
      </c>
      <c r="C177" s="2">
        <v>4</v>
      </c>
      <c r="D177" s="2">
        <v>1</v>
      </c>
      <c r="E177" s="2">
        <v>1.139</v>
      </c>
      <c r="F177" s="2">
        <v>1</v>
      </c>
    </row>
    <row r="178" spans="1:6" ht="14.25" customHeight="1">
      <c r="A178" s="2">
        <v>2</v>
      </c>
      <c r="B178" s="2">
        <v>177</v>
      </c>
      <c r="C178" s="2">
        <v>1</v>
      </c>
      <c r="D178" s="2">
        <v>1</v>
      </c>
      <c r="E178" s="2">
        <v>1.657</v>
      </c>
      <c r="F178" s="2">
        <v>1</v>
      </c>
    </row>
    <row r="179" spans="1:6" ht="14.25" customHeight="1">
      <c r="A179" s="2">
        <v>2</v>
      </c>
      <c r="B179" s="2">
        <v>178</v>
      </c>
      <c r="C179" s="2">
        <v>5</v>
      </c>
      <c r="D179" s="2">
        <v>1</v>
      </c>
      <c r="E179" s="2">
        <v>0.76300000000000001</v>
      </c>
      <c r="F179" s="2">
        <v>2</v>
      </c>
    </row>
    <row r="180" spans="1:6" ht="14.25" customHeight="1">
      <c r="A180" s="2">
        <v>2</v>
      </c>
      <c r="B180" s="2">
        <v>179</v>
      </c>
      <c r="C180" s="2">
        <v>7</v>
      </c>
      <c r="D180" s="2">
        <v>1</v>
      </c>
      <c r="E180" s="2">
        <v>0.94499999999999995</v>
      </c>
      <c r="F180" s="2">
        <v>1</v>
      </c>
    </row>
    <row r="181" spans="1:6" ht="14.25" customHeight="1">
      <c r="A181" s="2">
        <v>2</v>
      </c>
      <c r="B181" s="2">
        <v>180</v>
      </c>
      <c r="C181" s="2">
        <v>1</v>
      </c>
      <c r="D181" s="2">
        <v>1</v>
      </c>
      <c r="E181" s="2">
        <v>1.4</v>
      </c>
      <c r="F181" s="2">
        <v>1</v>
      </c>
    </row>
    <row r="182" spans="1:6" ht="14.25" customHeight="1">
      <c r="A182" s="2">
        <v>2</v>
      </c>
      <c r="B182" s="2">
        <v>181</v>
      </c>
      <c r="C182" s="2">
        <v>3</v>
      </c>
      <c r="D182" s="2">
        <v>1</v>
      </c>
      <c r="E182" s="2">
        <v>1.0840000000000001</v>
      </c>
      <c r="F182" s="2">
        <v>2</v>
      </c>
    </row>
    <row r="183" spans="1:6" ht="14.25" customHeight="1">
      <c r="A183" s="2">
        <v>2</v>
      </c>
      <c r="B183" s="2">
        <v>182</v>
      </c>
      <c r="C183" s="2">
        <v>7</v>
      </c>
      <c r="D183" s="2">
        <v>1</v>
      </c>
      <c r="E183" s="2">
        <v>1.222</v>
      </c>
      <c r="F183" s="2">
        <v>1</v>
      </c>
    </row>
    <row r="184" spans="1:6" ht="14.25" customHeight="1">
      <c r="A184" s="2">
        <v>2</v>
      </c>
      <c r="B184" s="2">
        <v>183</v>
      </c>
      <c r="C184" s="2">
        <v>5</v>
      </c>
      <c r="D184" s="2">
        <v>1</v>
      </c>
      <c r="E184" s="2">
        <v>1.2649999999999999</v>
      </c>
      <c r="F184" s="2">
        <v>2</v>
      </c>
    </row>
    <row r="185" spans="1:6" ht="14.25" customHeight="1">
      <c r="A185" s="2">
        <v>2</v>
      </c>
      <c r="B185" s="2">
        <v>184</v>
      </c>
      <c r="C185" s="2">
        <v>8</v>
      </c>
      <c r="D185" s="2">
        <v>1</v>
      </c>
      <c r="E185" s="2">
        <v>1.5389999999999999</v>
      </c>
      <c r="F185" s="2">
        <v>1</v>
      </c>
    </row>
    <row r="186" spans="1:6" ht="14.25" customHeight="1">
      <c r="A186" s="2">
        <v>2</v>
      </c>
      <c r="B186" s="2">
        <v>185</v>
      </c>
      <c r="C186" s="2">
        <v>2</v>
      </c>
      <c r="D186" s="2">
        <v>1</v>
      </c>
      <c r="E186" s="2">
        <v>0.89800000000000002</v>
      </c>
      <c r="F186" s="2">
        <v>2</v>
      </c>
    </row>
    <row r="187" spans="1:6" ht="14.25" customHeight="1">
      <c r="A187" s="2">
        <v>2</v>
      </c>
      <c r="B187" s="2">
        <v>186</v>
      </c>
      <c r="C187" s="2">
        <v>1</v>
      </c>
      <c r="D187" s="2">
        <v>1</v>
      </c>
      <c r="E187" s="2">
        <v>1.395</v>
      </c>
      <c r="F187" s="2">
        <v>2</v>
      </c>
    </row>
    <row r="188" spans="1:6" ht="14.25" customHeight="1">
      <c r="A188" s="2">
        <v>2</v>
      </c>
      <c r="B188" s="2">
        <v>187</v>
      </c>
      <c r="C188" s="2">
        <v>8</v>
      </c>
      <c r="D188" s="2">
        <v>1</v>
      </c>
      <c r="E188" s="2">
        <v>0.85499999999999998</v>
      </c>
      <c r="F188" s="2">
        <v>2</v>
      </c>
    </row>
    <row r="189" spans="1:6" ht="14.25" customHeight="1">
      <c r="A189" s="2">
        <v>2</v>
      </c>
      <c r="B189" s="2">
        <v>188</v>
      </c>
      <c r="C189" s="2">
        <v>5</v>
      </c>
      <c r="D189" s="2">
        <v>0</v>
      </c>
      <c r="E189" s="2">
        <v>1.2809999999999999</v>
      </c>
      <c r="F189" s="2">
        <v>1</v>
      </c>
    </row>
    <row r="190" spans="1:6" ht="14.25" customHeight="1">
      <c r="A190" s="2">
        <v>2</v>
      </c>
      <c r="B190" s="2">
        <v>189</v>
      </c>
      <c r="C190" s="2">
        <v>2</v>
      </c>
      <c r="D190" s="2">
        <v>1</v>
      </c>
      <c r="E190" s="2">
        <v>0.92300000000000004</v>
      </c>
      <c r="F190" s="2">
        <v>2</v>
      </c>
    </row>
    <row r="191" spans="1:6" ht="14.25" customHeight="1">
      <c r="A191" s="2">
        <v>2</v>
      </c>
      <c r="B191" s="2">
        <v>190</v>
      </c>
      <c r="C191" s="2">
        <v>3</v>
      </c>
      <c r="D191" s="2">
        <v>0</v>
      </c>
      <c r="E191" s="2">
        <v>1.218</v>
      </c>
      <c r="F191" s="2">
        <v>2</v>
      </c>
    </row>
    <row r="192" spans="1:6" ht="14.25" customHeight="1">
      <c r="A192" s="2">
        <v>2</v>
      </c>
      <c r="B192" s="2">
        <v>191</v>
      </c>
      <c r="C192" s="2">
        <v>1</v>
      </c>
      <c r="D192" s="2">
        <v>1</v>
      </c>
      <c r="E192" s="2">
        <v>1.2609999999999999</v>
      </c>
      <c r="F192" s="2">
        <v>2</v>
      </c>
    </row>
    <row r="193" spans="1:6" ht="14.25" customHeight="1">
      <c r="A193" s="2">
        <v>2</v>
      </c>
      <c r="B193" s="2">
        <v>192</v>
      </c>
      <c r="C193" s="2">
        <v>3</v>
      </c>
      <c r="E193" s="2">
        <v>2.0009999999999999</v>
      </c>
    </row>
    <row r="194" spans="1:6" ht="14.25" customHeight="1">
      <c r="A194" s="2">
        <v>2</v>
      </c>
      <c r="B194" s="2">
        <v>193</v>
      </c>
      <c r="C194" s="2">
        <v>6</v>
      </c>
      <c r="D194" s="2">
        <v>1</v>
      </c>
      <c r="E194" s="2">
        <v>0.84399999999999997</v>
      </c>
      <c r="F194" s="2">
        <v>2</v>
      </c>
    </row>
    <row r="195" spans="1:6" ht="14.25" customHeight="1">
      <c r="A195" s="2">
        <v>2</v>
      </c>
      <c r="B195" s="2">
        <v>194</v>
      </c>
      <c r="C195" s="2">
        <v>1</v>
      </c>
      <c r="D195" s="2">
        <v>1</v>
      </c>
      <c r="E195" s="2">
        <v>0.89500000000000002</v>
      </c>
      <c r="F195" s="2">
        <v>2</v>
      </c>
    </row>
    <row r="196" spans="1:6" ht="14.25" customHeight="1">
      <c r="A196" s="2">
        <v>2</v>
      </c>
      <c r="B196" s="2">
        <v>195</v>
      </c>
      <c r="C196" s="2">
        <v>8</v>
      </c>
      <c r="D196" s="2">
        <v>1</v>
      </c>
      <c r="E196" s="2">
        <v>1.224</v>
      </c>
      <c r="F196" s="2">
        <v>1</v>
      </c>
    </row>
    <row r="197" spans="1:6" ht="14.25" customHeight="1">
      <c r="A197" s="2">
        <v>2</v>
      </c>
      <c r="B197" s="2">
        <v>196</v>
      </c>
      <c r="C197" s="2">
        <v>7</v>
      </c>
      <c r="D197" s="2">
        <v>1</v>
      </c>
      <c r="E197" s="2">
        <v>1.411</v>
      </c>
      <c r="F197" s="2">
        <v>1</v>
      </c>
    </row>
    <row r="198" spans="1:6" ht="14.25" customHeight="1">
      <c r="A198" s="2">
        <v>2</v>
      </c>
      <c r="B198" s="2">
        <v>197</v>
      </c>
      <c r="C198" s="2">
        <v>2</v>
      </c>
      <c r="D198" s="2">
        <v>1</v>
      </c>
      <c r="E198" s="2">
        <v>1.5029999999999999</v>
      </c>
      <c r="F198" s="2">
        <v>2</v>
      </c>
    </row>
    <row r="199" spans="1:6" ht="14.25" customHeight="1">
      <c r="A199" s="2">
        <v>2</v>
      </c>
      <c r="B199" s="2">
        <v>198</v>
      </c>
      <c r="C199" s="2">
        <v>3</v>
      </c>
      <c r="D199" s="2">
        <v>0</v>
      </c>
      <c r="E199" s="2">
        <v>1.7829999999999999</v>
      </c>
      <c r="F199" s="2">
        <v>2</v>
      </c>
    </row>
    <row r="200" spans="1:6" ht="14.25" customHeight="1">
      <c r="A200" s="2">
        <v>2</v>
      </c>
      <c r="B200" s="2">
        <v>199</v>
      </c>
      <c r="C200" s="2">
        <v>8</v>
      </c>
      <c r="D200" s="2">
        <v>1</v>
      </c>
      <c r="E200" s="2">
        <v>1.036</v>
      </c>
      <c r="F200" s="2">
        <v>2</v>
      </c>
    </row>
    <row r="201" spans="1:6" ht="14.25" customHeight="1">
      <c r="A201" s="2">
        <v>2</v>
      </c>
      <c r="B201" s="2">
        <v>200</v>
      </c>
      <c r="C201" s="2">
        <v>5</v>
      </c>
      <c r="D201" s="2">
        <v>1</v>
      </c>
      <c r="E201" s="2">
        <v>1.9350000000000001</v>
      </c>
      <c r="F201" s="2">
        <v>2</v>
      </c>
    </row>
    <row r="202" spans="1:6" ht="14.25" customHeight="1">
      <c r="A202" s="2">
        <v>2</v>
      </c>
      <c r="B202" s="2">
        <v>201</v>
      </c>
      <c r="C202" s="2">
        <v>4</v>
      </c>
      <c r="D202" s="2">
        <v>0</v>
      </c>
      <c r="E202" s="2">
        <v>1.597</v>
      </c>
      <c r="F202" s="2">
        <v>2</v>
      </c>
    </row>
    <row r="203" spans="1:6" ht="14.25" customHeight="1">
      <c r="A203" s="2">
        <v>2</v>
      </c>
      <c r="B203" s="2">
        <v>202</v>
      </c>
      <c r="C203" s="2">
        <v>5</v>
      </c>
      <c r="D203" s="2">
        <v>0</v>
      </c>
      <c r="E203" s="2">
        <v>1.81</v>
      </c>
      <c r="F203" s="2">
        <v>2</v>
      </c>
    </row>
    <row r="204" spans="1:6" ht="14.25" customHeight="1">
      <c r="A204" s="2">
        <v>2</v>
      </c>
      <c r="B204" s="2">
        <v>203</v>
      </c>
      <c r="C204" s="2">
        <v>6</v>
      </c>
      <c r="D204" s="2">
        <v>1</v>
      </c>
      <c r="E204" s="2">
        <v>1.2210000000000001</v>
      </c>
      <c r="F204" s="2">
        <v>1</v>
      </c>
    </row>
    <row r="205" spans="1:6" ht="14.25" customHeight="1">
      <c r="A205" s="2">
        <v>2</v>
      </c>
      <c r="B205" s="2">
        <v>204</v>
      </c>
      <c r="C205" s="2">
        <v>8</v>
      </c>
      <c r="D205" s="2">
        <v>0</v>
      </c>
      <c r="E205" s="2">
        <v>1.593</v>
      </c>
      <c r="F205" s="2">
        <v>1</v>
      </c>
    </row>
    <row r="206" spans="1:6" ht="14.25" customHeight="1">
      <c r="A206" s="2">
        <v>2</v>
      </c>
      <c r="B206" s="2">
        <v>205</v>
      </c>
      <c r="C206" s="2">
        <v>3</v>
      </c>
      <c r="D206" s="2">
        <v>1</v>
      </c>
      <c r="E206" s="2">
        <v>1.246</v>
      </c>
      <c r="F206" s="2">
        <v>1</v>
      </c>
    </row>
    <row r="207" spans="1:6" ht="14.25" customHeight="1">
      <c r="A207" s="2">
        <v>2</v>
      </c>
      <c r="B207" s="2">
        <v>206</v>
      </c>
      <c r="C207" s="2">
        <v>1</v>
      </c>
      <c r="D207" s="2">
        <v>0</v>
      </c>
      <c r="E207" s="2">
        <v>1.585</v>
      </c>
      <c r="F207" s="2">
        <v>2</v>
      </c>
    </row>
    <row r="208" spans="1:6" ht="14.25" customHeight="1">
      <c r="A208" s="2">
        <v>2</v>
      </c>
      <c r="B208" s="2">
        <v>207</v>
      </c>
      <c r="C208" s="2">
        <v>6</v>
      </c>
      <c r="D208" s="2">
        <v>1</v>
      </c>
      <c r="E208" s="2">
        <v>0.95</v>
      </c>
      <c r="F208" s="2">
        <v>2</v>
      </c>
    </row>
    <row r="209" spans="1:6" ht="14.25" customHeight="1">
      <c r="A209" s="2">
        <v>2</v>
      </c>
      <c r="B209" s="2">
        <v>208</v>
      </c>
      <c r="C209" s="2">
        <v>5</v>
      </c>
      <c r="E209" s="2">
        <v>2</v>
      </c>
    </row>
    <row r="210" spans="1:6" ht="14.25" customHeight="1">
      <c r="A210" s="2">
        <v>2</v>
      </c>
      <c r="B210" s="2">
        <v>209</v>
      </c>
      <c r="C210" s="2">
        <v>7</v>
      </c>
      <c r="D210" s="2">
        <v>1</v>
      </c>
      <c r="E210" s="2">
        <v>0.84899999999999998</v>
      </c>
      <c r="F210" s="2">
        <v>2</v>
      </c>
    </row>
    <row r="211" spans="1:6" ht="14.25" customHeight="1">
      <c r="A211" s="2">
        <v>2</v>
      </c>
      <c r="B211" s="2">
        <v>210</v>
      </c>
      <c r="C211" s="2">
        <v>8</v>
      </c>
      <c r="D211" s="2">
        <v>1</v>
      </c>
      <c r="E211" s="2">
        <v>1.3560000000000001</v>
      </c>
      <c r="F211" s="2">
        <v>1</v>
      </c>
    </row>
    <row r="212" spans="1:6" ht="14.25" customHeight="1">
      <c r="A212" s="2">
        <v>2</v>
      </c>
      <c r="B212" s="2">
        <v>211</v>
      </c>
      <c r="C212" s="2">
        <v>3</v>
      </c>
      <c r="D212" s="2">
        <v>1</v>
      </c>
      <c r="E212" s="2">
        <v>1.4970000000000001</v>
      </c>
      <c r="F212" s="2">
        <v>1</v>
      </c>
    </row>
    <row r="213" spans="1:6" ht="14.25" customHeight="1">
      <c r="A213" s="2">
        <v>2</v>
      </c>
      <c r="B213" s="2">
        <v>212</v>
      </c>
      <c r="C213" s="2">
        <v>2</v>
      </c>
      <c r="D213" s="2">
        <v>1</v>
      </c>
      <c r="E213" s="2">
        <v>1.921</v>
      </c>
      <c r="F213" s="2">
        <v>2</v>
      </c>
    </row>
    <row r="214" spans="1:6" ht="14.25" customHeight="1">
      <c r="A214" s="2">
        <v>2</v>
      </c>
      <c r="B214" s="2">
        <v>213</v>
      </c>
      <c r="C214" s="2">
        <v>3</v>
      </c>
      <c r="D214" s="2">
        <v>1</v>
      </c>
      <c r="E214" s="2">
        <v>1.3129999999999999</v>
      </c>
      <c r="F214" s="2">
        <v>1</v>
      </c>
    </row>
    <row r="215" spans="1:6" ht="14.25" customHeight="1">
      <c r="A215" s="2">
        <v>2</v>
      </c>
      <c r="B215" s="2">
        <v>214</v>
      </c>
      <c r="C215" s="2">
        <v>8</v>
      </c>
      <c r="D215" s="2">
        <v>1</v>
      </c>
      <c r="E215" s="2">
        <v>1.0569999999999999</v>
      </c>
      <c r="F215" s="2">
        <v>2</v>
      </c>
    </row>
    <row r="216" spans="1:6" ht="14.25" customHeight="1">
      <c r="A216" s="2">
        <v>2</v>
      </c>
      <c r="B216" s="2">
        <v>215</v>
      </c>
      <c r="C216" s="2">
        <v>4</v>
      </c>
      <c r="E216" s="2">
        <v>2</v>
      </c>
    </row>
    <row r="217" spans="1:6" ht="14.25" customHeight="1">
      <c r="A217" s="2">
        <v>2</v>
      </c>
      <c r="B217" s="2">
        <v>216</v>
      </c>
      <c r="C217" s="2">
        <v>2</v>
      </c>
      <c r="D217" s="2">
        <v>0</v>
      </c>
      <c r="E217" s="2">
        <v>1.216</v>
      </c>
      <c r="F217" s="2">
        <v>1</v>
      </c>
    </row>
    <row r="218" spans="1:6" ht="14.25" customHeight="1">
      <c r="A218" s="2">
        <v>2</v>
      </c>
      <c r="B218" s="2">
        <v>217</v>
      </c>
      <c r="C218" s="2">
        <v>7</v>
      </c>
      <c r="D218" s="2">
        <v>1</v>
      </c>
      <c r="E218" s="2">
        <v>0.78900000000000003</v>
      </c>
      <c r="F218" s="2">
        <v>2</v>
      </c>
    </row>
    <row r="219" spans="1:6" ht="14.25" customHeight="1">
      <c r="A219" s="2">
        <v>2</v>
      </c>
      <c r="B219" s="2">
        <v>218</v>
      </c>
      <c r="C219" s="2">
        <v>4</v>
      </c>
      <c r="D219" s="2">
        <v>1</v>
      </c>
      <c r="E219" s="2">
        <v>1.9530000000000001</v>
      </c>
      <c r="F219" s="2">
        <v>1</v>
      </c>
    </row>
    <row r="220" spans="1:6" ht="14.25" customHeight="1">
      <c r="A220" s="2">
        <v>2</v>
      </c>
      <c r="B220" s="2">
        <v>219</v>
      </c>
      <c r="C220" s="2">
        <v>2</v>
      </c>
      <c r="D220" s="2">
        <v>1</v>
      </c>
      <c r="E220" s="2">
        <v>1.496</v>
      </c>
      <c r="F220" s="2">
        <v>2</v>
      </c>
    </row>
    <row r="221" spans="1:6" ht="14.25" customHeight="1">
      <c r="A221" s="2">
        <v>2</v>
      </c>
      <c r="B221" s="2">
        <v>220</v>
      </c>
      <c r="C221" s="2">
        <v>1</v>
      </c>
      <c r="D221" s="2">
        <v>1</v>
      </c>
      <c r="E221" s="2">
        <v>1.6319999999999999</v>
      </c>
      <c r="F221" s="2">
        <v>1</v>
      </c>
    </row>
    <row r="222" spans="1:6" ht="14.25" customHeight="1">
      <c r="A222" s="2">
        <v>2</v>
      </c>
      <c r="B222" s="2">
        <v>221</v>
      </c>
      <c r="C222" s="2">
        <v>7</v>
      </c>
      <c r="D222" s="2">
        <v>1</v>
      </c>
      <c r="E222" s="2">
        <v>1.5720000000000001</v>
      </c>
      <c r="F222" s="2">
        <v>2</v>
      </c>
    </row>
    <row r="223" spans="1:6" ht="14.25" customHeight="1">
      <c r="A223" s="2">
        <v>2</v>
      </c>
      <c r="B223" s="2">
        <v>222</v>
      </c>
      <c r="C223" s="2">
        <v>1</v>
      </c>
      <c r="D223" s="2">
        <v>1</v>
      </c>
      <c r="E223" s="2">
        <v>1.681</v>
      </c>
      <c r="F223" s="2">
        <v>1</v>
      </c>
    </row>
    <row r="224" spans="1:6" ht="14.25" customHeight="1">
      <c r="A224" s="2">
        <v>2</v>
      </c>
      <c r="B224" s="2">
        <v>223</v>
      </c>
      <c r="C224" s="2">
        <v>8</v>
      </c>
      <c r="D224" s="2">
        <v>1</v>
      </c>
      <c r="E224" s="2">
        <v>1.0740000000000001</v>
      </c>
      <c r="F224" s="2">
        <v>2</v>
      </c>
    </row>
    <row r="225" spans="1:6" ht="14.25" customHeight="1">
      <c r="A225" s="2">
        <v>2</v>
      </c>
      <c r="B225" s="2">
        <v>224</v>
      </c>
      <c r="C225" s="2">
        <v>1</v>
      </c>
      <c r="D225" s="2">
        <v>0</v>
      </c>
      <c r="E225" s="2">
        <v>1.0349999999999999</v>
      </c>
      <c r="F225" s="2">
        <v>2</v>
      </c>
    </row>
    <row r="226" spans="1:6" ht="14.25" customHeight="1">
      <c r="A226" s="2">
        <v>2</v>
      </c>
      <c r="B226" s="2">
        <v>225</v>
      </c>
      <c r="C226" s="2">
        <v>4</v>
      </c>
      <c r="D226" s="2">
        <v>1</v>
      </c>
      <c r="E226" s="2">
        <v>0.75</v>
      </c>
      <c r="F226" s="2">
        <v>2</v>
      </c>
    </row>
    <row r="227" spans="1:6" ht="14.25" customHeight="1">
      <c r="A227" s="2">
        <v>2</v>
      </c>
      <c r="B227" s="2">
        <v>226</v>
      </c>
      <c r="C227" s="2">
        <v>5</v>
      </c>
      <c r="D227" s="2">
        <v>1</v>
      </c>
      <c r="E227" s="2">
        <v>1.7889999999999999</v>
      </c>
      <c r="F227" s="2">
        <v>1</v>
      </c>
    </row>
    <row r="228" spans="1:6" ht="14.25" customHeight="1">
      <c r="A228" s="2">
        <v>2</v>
      </c>
      <c r="B228" s="2">
        <v>227</v>
      </c>
      <c r="C228" s="2">
        <v>8</v>
      </c>
      <c r="D228" s="2">
        <v>1</v>
      </c>
      <c r="E228" s="2">
        <v>1.754</v>
      </c>
      <c r="F228" s="2">
        <v>1</v>
      </c>
    </row>
    <row r="229" spans="1:6" ht="14.25" customHeight="1">
      <c r="A229" s="2">
        <v>2</v>
      </c>
      <c r="B229" s="2">
        <v>228</v>
      </c>
      <c r="C229" s="2">
        <v>3</v>
      </c>
      <c r="D229" s="2">
        <v>1</v>
      </c>
      <c r="E229" s="2">
        <v>1.024</v>
      </c>
      <c r="F229" s="2">
        <v>2</v>
      </c>
    </row>
    <row r="230" spans="1:6" ht="14.25" customHeight="1">
      <c r="A230" s="2">
        <v>2</v>
      </c>
      <c r="B230" s="2">
        <v>229</v>
      </c>
      <c r="C230" s="2">
        <v>6</v>
      </c>
      <c r="D230" s="2">
        <v>1</v>
      </c>
      <c r="E230" s="2">
        <v>1.2669999999999999</v>
      </c>
      <c r="F230" s="2">
        <v>1</v>
      </c>
    </row>
    <row r="231" spans="1:6" ht="14.25" customHeight="1">
      <c r="A231" s="2">
        <v>2</v>
      </c>
      <c r="B231" s="2">
        <v>230</v>
      </c>
      <c r="C231" s="2">
        <v>2</v>
      </c>
      <c r="D231" s="2">
        <v>1</v>
      </c>
      <c r="E231" s="2">
        <v>1.677</v>
      </c>
      <c r="F231" s="2">
        <v>1</v>
      </c>
    </row>
    <row r="232" spans="1:6" ht="14.25" customHeight="1">
      <c r="A232" s="2">
        <v>2</v>
      </c>
      <c r="B232" s="2">
        <v>231</v>
      </c>
      <c r="C232" s="2">
        <v>1</v>
      </c>
      <c r="D232" s="2">
        <v>0</v>
      </c>
      <c r="E232" s="2">
        <v>1.3260000000000001</v>
      </c>
      <c r="F232" s="2">
        <v>1</v>
      </c>
    </row>
    <row r="233" spans="1:6" ht="14.25" customHeight="1">
      <c r="A233" s="2">
        <v>2</v>
      </c>
      <c r="B233" s="2">
        <v>232</v>
      </c>
      <c r="C233" s="2">
        <v>4</v>
      </c>
      <c r="D233" s="2">
        <v>1</v>
      </c>
      <c r="E233" s="2">
        <v>1.3340000000000001</v>
      </c>
      <c r="F233" s="2">
        <v>1</v>
      </c>
    </row>
    <row r="234" spans="1:6" ht="14.25" customHeight="1">
      <c r="A234" s="2">
        <v>2</v>
      </c>
      <c r="B234" s="2">
        <v>233</v>
      </c>
      <c r="C234" s="2">
        <v>5</v>
      </c>
      <c r="D234" s="2">
        <v>1</v>
      </c>
      <c r="E234" s="2">
        <v>1.397</v>
      </c>
      <c r="F234" s="2">
        <v>2</v>
      </c>
    </row>
    <row r="235" spans="1:6" ht="14.25" customHeight="1">
      <c r="A235" s="2">
        <v>2</v>
      </c>
      <c r="B235" s="2">
        <v>234</v>
      </c>
      <c r="C235" s="2">
        <v>1</v>
      </c>
      <c r="D235" s="2">
        <v>1</v>
      </c>
      <c r="E235" s="2">
        <v>1.514</v>
      </c>
      <c r="F235" s="2">
        <v>1</v>
      </c>
    </row>
    <row r="236" spans="1:6" ht="14.25" customHeight="1">
      <c r="A236" s="2">
        <v>2</v>
      </c>
      <c r="B236" s="2">
        <v>235</v>
      </c>
      <c r="C236" s="2">
        <v>7</v>
      </c>
      <c r="D236" s="2">
        <v>1</v>
      </c>
      <c r="E236" s="2">
        <v>0.79400000000000004</v>
      </c>
      <c r="F236" s="2">
        <v>2</v>
      </c>
    </row>
    <row r="237" spans="1:6" ht="14.25" customHeight="1">
      <c r="A237" s="2">
        <v>2</v>
      </c>
      <c r="B237" s="2">
        <v>236</v>
      </c>
      <c r="C237" s="2">
        <v>6</v>
      </c>
      <c r="D237" s="2">
        <v>0</v>
      </c>
      <c r="E237" s="2">
        <v>1.6950000000000001</v>
      </c>
      <c r="F237" s="2">
        <v>1</v>
      </c>
    </row>
    <row r="238" spans="1:6" ht="14.25" customHeight="1">
      <c r="A238" s="2">
        <v>2</v>
      </c>
      <c r="B238" s="2">
        <v>237</v>
      </c>
      <c r="C238" s="2">
        <v>2</v>
      </c>
      <c r="D238" s="2">
        <v>1</v>
      </c>
      <c r="E238" s="2">
        <v>1.0469999999999999</v>
      </c>
      <c r="F238" s="2">
        <v>2</v>
      </c>
    </row>
    <row r="239" spans="1:6" ht="14.25" customHeight="1">
      <c r="A239" s="2">
        <v>2</v>
      </c>
      <c r="B239" s="2">
        <v>238</v>
      </c>
      <c r="C239" s="2">
        <v>5</v>
      </c>
      <c r="D239" s="2">
        <v>1</v>
      </c>
      <c r="E239" s="2">
        <v>1.7130000000000001</v>
      </c>
      <c r="F239" s="2">
        <v>2</v>
      </c>
    </row>
    <row r="240" spans="1:6" ht="14.25" customHeight="1">
      <c r="A240" s="2">
        <v>2</v>
      </c>
      <c r="B240" s="2">
        <v>239</v>
      </c>
      <c r="C240" s="2">
        <v>8</v>
      </c>
      <c r="D240" s="2">
        <v>1</v>
      </c>
      <c r="E240" s="2">
        <v>0.93700000000000006</v>
      </c>
      <c r="F240" s="2">
        <v>2</v>
      </c>
    </row>
    <row r="241" spans="1:6" ht="14.25" customHeight="1">
      <c r="A241" s="2">
        <v>2</v>
      </c>
      <c r="B241" s="2">
        <v>240</v>
      </c>
      <c r="C241" s="2">
        <v>1</v>
      </c>
      <c r="D241" s="2">
        <v>1</v>
      </c>
      <c r="E241" s="2">
        <v>1.2330000000000001</v>
      </c>
      <c r="F241" s="2">
        <v>1</v>
      </c>
    </row>
    <row r="242" spans="1:6" ht="14.25" customHeight="1">
      <c r="A242" s="2">
        <v>2</v>
      </c>
      <c r="B242" s="2">
        <v>241</v>
      </c>
      <c r="C242" s="2">
        <v>7</v>
      </c>
      <c r="D242" s="2">
        <v>1</v>
      </c>
      <c r="E242" s="2">
        <v>1.363</v>
      </c>
      <c r="F242" s="2">
        <v>2</v>
      </c>
    </row>
    <row r="243" spans="1:6" ht="14.25" customHeight="1">
      <c r="A243" s="2">
        <v>2</v>
      </c>
      <c r="B243" s="2">
        <v>242</v>
      </c>
      <c r="C243" s="2">
        <v>3</v>
      </c>
      <c r="D243" s="2">
        <v>1</v>
      </c>
      <c r="E243" s="2">
        <v>1.45</v>
      </c>
      <c r="F243" s="2">
        <v>1</v>
      </c>
    </row>
    <row r="244" spans="1:6" ht="14.25" customHeight="1">
      <c r="A244" s="2">
        <v>2</v>
      </c>
      <c r="B244" s="2">
        <v>243</v>
      </c>
      <c r="C244" s="2">
        <v>2</v>
      </c>
      <c r="D244" s="2">
        <v>0</v>
      </c>
      <c r="E244" s="2">
        <v>1.7330000000000001</v>
      </c>
      <c r="F244" s="2">
        <v>1</v>
      </c>
    </row>
    <row r="245" spans="1:6" ht="14.25" customHeight="1">
      <c r="A245" s="2">
        <v>2</v>
      </c>
      <c r="B245" s="2">
        <v>244</v>
      </c>
      <c r="C245" s="2">
        <v>6</v>
      </c>
      <c r="D245" s="2">
        <v>1</v>
      </c>
      <c r="E245" s="2">
        <v>0.85899999999999999</v>
      </c>
      <c r="F245" s="2">
        <v>2</v>
      </c>
    </row>
    <row r="246" spans="1:6" ht="14.25" customHeight="1">
      <c r="A246" s="2">
        <v>2</v>
      </c>
      <c r="B246" s="2">
        <v>245</v>
      </c>
      <c r="C246" s="2">
        <v>3</v>
      </c>
      <c r="D246" s="2">
        <v>1</v>
      </c>
      <c r="E246" s="2">
        <v>1.31</v>
      </c>
      <c r="F246" s="2">
        <v>1</v>
      </c>
    </row>
    <row r="247" spans="1:6" ht="14.25" customHeight="1">
      <c r="A247" s="2">
        <v>2</v>
      </c>
      <c r="B247" s="2">
        <v>246</v>
      </c>
      <c r="C247" s="2">
        <v>7</v>
      </c>
      <c r="D247" s="2">
        <v>1</v>
      </c>
      <c r="E247" s="2">
        <v>1.454</v>
      </c>
      <c r="F247" s="2">
        <v>1</v>
      </c>
    </row>
    <row r="248" spans="1:6" ht="14.25" customHeight="1">
      <c r="A248" s="2">
        <v>2</v>
      </c>
      <c r="B248" s="2">
        <v>247</v>
      </c>
      <c r="C248" s="2">
        <v>6</v>
      </c>
      <c r="D248" s="2">
        <v>0</v>
      </c>
      <c r="E248" s="2">
        <v>1.623</v>
      </c>
      <c r="F248" s="2">
        <v>1</v>
      </c>
    </row>
    <row r="249" spans="1:6" ht="14.25" customHeight="1">
      <c r="A249" s="2">
        <v>2</v>
      </c>
      <c r="B249" s="2">
        <v>248</v>
      </c>
      <c r="C249" s="2">
        <v>8</v>
      </c>
      <c r="D249" s="2">
        <v>1</v>
      </c>
      <c r="E249" s="2">
        <v>1.1870000000000001</v>
      </c>
      <c r="F249" s="2">
        <v>1</v>
      </c>
    </row>
    <row r="250" spans="1:6" ht="14.25" customHeight="1">
      <c r="A250" s="2">
        <v>2</v>
      </c>
      <c r="B250" s="2">
        <v>249</v>
      </c>
      <c r="C250" s="2">
        <v>4</v>
      </c>
      <c r="D250" s="2">
        <v>1</v>
      </c>
      <c r="E250" s="2">
        <v>0.752</v>
      </c>
      <c r="F250" s="2">
        <v>2</v>
      </c>
    </row>
    <row r="251" spans="1:6" ht="14.25" customHeight="1">
      <c r="A251" s="2">
        <v>2</v>
      </c>
      <c r="B251" s="2">
        <v>250</v>
      </c>
      <c r="C251" s="2">
        <v>5</v>
      </c>
      <c r="D251" s="2">
        <v>1</v>
      </c>
      <c r="E251" s="2">
        <v>1.71</v>
      </c>
      <c r="F251" s="2">
        <v>2</v>
      </c>
    </row>
    <row r="252" spans="1:6" ht="14.25" customHeight="1">
      <c r="A252" s="2">
        <v>2</v>
      </c>
      <c r="B252" s="2">
        <v>251</v>
      </c>
      <c r="C252" s="2">
        <v>4</v>
      </c>
      <c r="D252" s="2">
        <v>1</v>
      </c>
      <c r="E252" s="2">
        <v>0.93200000000000005</v>
      </c>
      <c r="F252" s="2">
        <v>1</v>
      </c>
    </row>
    <row r="253" spans="1:6" ht="14.25" customHeight="1">
      <c r="A253" s="2">
        <v>2</v>
      </c>
      <c r="B253" s="2">
        <v>252</v>
      </c>
      <c r="C253" s="2">
        <v>7</v>
      </c>
      <c r="D253" s="2">
        <v>0</v>
      </c>
      <c r="E253" s="2">
        <v>1.8120000000000001</v>
      </c>
      <c r="F253" s="2">
        <v>2</v>
      </c>
    </row>
    <row r="254" spans="1:6" ht="14.25" customHeight="1">
      <c r="A254" s="2">
        <v>2</v>
      </c>
      <c r="B254" s="2">
        <v>253</v>
      </c>
      <c r="C254" s="2">
        <v>5</v>
      </c>
      <c r="D254" s="2">
        <v>1</v>
      </c>
      <c r="E254" s="2">
        <v>1.36</v>
      </c>
      <c r="F254" s="2">
        <v>1</v>
      </c>
    </row>
    <row r="255" spans="1:6" ht="14.25" customHeight="1">
      <c r="A255" s="2">
        <v>2</v>
      </c>
      <c r="B255" s="2">
        <v>254</v>
      </c>
      <c r="C255" s="2">
        <v>4</v>
      </c>
      <c r="D255" s="2">
        <v>1</v>
      </c>
      <c r="E255" s="2">
        <v>1.478</v>
      </c>
      <c r="F255" s="2">
        <v>2</v>
      </c>
    </row>
    <row r="256" spans="1:6" ht="14.25" customHeight="1">
      <c r="A256" s="2">
        <v>2</v>
      </c>
      <c r="B256" s="2">
        <v>255</v>
      </c>
      <c r="C256" s="2">
        <v>2</v>
      </c>
      <c r="D256" s="2">
        <v>1</v>
      </c>
      <c r="E256" s="2">
        <v>1.4710000000000001</v>
      </c>
      <c r="F256" s="2">
        <v>1</v>
      </c>
    </row>
    <row r="257" spans="1:6" ht="14.25" customHeight="1">
      <c r="A257" s="2">
        <v>2</v>
      </c>
      <c r="B257" s="2">
        <v>256</v>
      </c>
      <c r="C257" s="2">
        <v>7</v>
      </c>
      <c r="D257" s="2">
        <v>1</v>
      </c>
      <c r="E257" s="2">
        <v>1.4319999999999999</v>
      </c>
      <c r="F257" s="2">
        <v>1</v>
      </c>
    </row>
    <row r="258" spans="1:6" ht="14.25" customHeight="1">
      <c r="A258" s="2">
        <v>2</v>
      </c>
      <c r="B258" s="2">
        <v>257</v>
      </c>
      <c r="C258" s="2">
        <v>8</v>
      </c>
      <c r="D258" s="2">
        <v>1</v>
      </c>
      <c r="E258" s="2">
        <v>0.84399999999999997</v>
      </c>
      <c r="F258" s="2">
        <v>2</v>
      </c>
    </row>
    <row r="259" spans="1:6" ht="14.25" customHeight="1">
      <c r="A259" s="2">
        <v>2</v>
      </c>
      <c r="B259" s="2">
        <v>258</v>
      </c>
      <c r="C259" s="2">
        <v>2</v>
      </c>
      <c r="E259" s="2">
        <v>2</v>
      </c>
    </row>
    <row r="260" spans="1:6" ht="14.25" customHeight="1">
      <c r="A260" s="2">
        <v>2</v>
      </c>
      <c r="B260" s="2">
        <v>259</v>
      </c>
      <c r="C260" s="2">
        <v>1</v>
      </c>
      <c r="D260" s="2">
        <v>1</v>
      </c>
      <c r="E260" s="2">
        <v>1.0109999999999999</v>
      </c>
      <c r="F260" s="2">
        <v>2</v>
      </c>
    </row>
    <row r="261" spans="1:6" ht="14.25" customHeight="1">
      <c r="A261" s="2">
        <v>2</v>
      </c>
      <c r="B261" s="2">
        <v>260</v>
      </c>
      <c r="C261" s="2">
        <v>8</v>
      </c>
      <c r="D261" s="2">
        <v>1</v>
      </c>
      <c r="E261" s="2">
        <v>1.28</v>
      </c>
      <c r="F261" s="2">
        <v>1</v>
      </c>
    </row>
    <row r="262" spans="1:6" ht="14.25" customHeight="1">
      <c r="A262" s="2">
        <v>2</v>
      </c>
      <c r="B262" s="2">
        <v>261</v>
      </c>
      <c r="C262" s="2">
        <v>6</v>
      </c>
      <c r="D262" s="2">
        <v>1</v>
      </c>
      <c r="E262" s="2">
        <v>1.0880000000000001</v>
      </c>
      <c r="F262" s="2">
        <v>1</v>
      </c>
    </row>
    <row r="263" spans="1:6" ht="14.25" customHeight="1">
      <c r="A263" s="2">
        <v>2</v>
      </c>
      <c r="B263" s="2">
        <v>262</v>
      </c>
      <c r="C263" s="2">
        <v>7</v>
      </c>
      <c r="E263" s="2">
        <v>2</v>
      </c>
    </row>
    <row r="264" spans="1:6" ht="14.25" customHeight="1">
      <c r="A264" s="2">
        <v>2</v>
      </c>
      <c r="B264" s="2">
        <v>263</v>
      </c>
      <c r="C264" s="2">
        <v>2</v>
      </c>
      <c r="D264" s="2">
        <v>1</v>
      </c>
      <c r="E264" s="2">
        <v>1.365</v>
      </c>
      <c r="F264" s="2">
        <v>1</v>
      </c>
    </row>
    <row r="265" spans="1:6" ht="14.25" customHeight="1">
      <c r="A265" s="2">
        <v>2</v>
      </c>
      <c r="B265" s="2">
        <v>264</v>
      </c>
      <c r="C265" s="2">
        <v>4</v>
      </c>
      <c r="D265" s="2">
        <v>1</v>
      </c>
      <c r="E265" s="2">
        <v>0.876</v>
      </c>
      <c r="F265" s="2">
        <v>2</v>
      </c>
    </row>
    <row r="266" spans="1:6" ht="14.25" customHeight="1">
      <c r="A266" s="2">
        <v>2</v>
      </c>
      <c r="B266" s="2">
        <v>265</v>
      </c>
      <c r="C266" s="2">
        <v>8</v>
      </c>
      <c r="E266" s="2">
        <v>2</v>
      </c>
    </row>
    <row r="267" spans="1:6" ht="14.25" customHeight="1">
      <c r="A267" s="2">
        <v>2</v>
      </c>
      <c r="B267" s="2">
        <v>266</v>
      </c>
      <c r="C267" s="2">
        <v>5</v>
      </c>
      <c r="D267" s="2">
        <v>0</v>
      </c>
      <c r="E267" s="2">
        <v>0.626</v>
      </c>
      <c r="F267" s="2">
        <v>1</v>
      </c>
    </row>
    <row r="268" spans="1:6" ht="14.25" customHeight="1">
      <c r="A268" s="2">
        <v>2</v>
      </c>
      <c r="B268" s="2">
        <v>267</v>
      </c>
      <c r="C268" s="2">
        <v>8</v>
      </c>
      <c r="D268" s="2">
        <v>1</v>
      </c>
      <c r="E268" s="2">
        <v>0.80500000000000005</v>
      </c>
      <c r="F268" s="2">
        <v>2</v>
      </c>
    </row>
    <row r="269" spans="1:6" ht="14.25" customHeight="1">
      <c r="A269" s="2">
        <v>2</v>
      </c>
      <c r="B269" s="2">
        <v>268</v>
      </c>
      <c r="C269" s="2">
        <v>7</v>
      </c>
      <c r="D269" s="2">
        <v>1</v>
      </c>
      <c r="E269" s="2">
        <v>1.153</v>
      </c>
      <c r="F269" s="2">
        <v>1</v>
      </c>
    </row>
    <row r="270" spans="1:6" ht="14.25" customHeight="1">
      <c r="A270" s="2">
        <v>2</v>
      </c>
      <c r="B270" s="2">
        <v>269</v>
      </c>
      <c r="C270" s="2">
        <v>2</v>
      </c>
      <c r="D270" s="2">
        <v>1</v>
      </c>
      <c r="E270" s="2">
        <v>1.119</v>
      </c>
      <c r="F270" s="2">
        <v>2</v>
      </c>
    </row>
    <row r="271" spans="1:6" ht="14.25" customHeight="1">
      <c r="A271" s="2">
        <v>2</v>
      </c>
      <c r="B271" s="2">
        <v>270</v>
      </c>
      <c r="C271" s="2">
        <v>8</v>
      </c>
      <c r="D271" s="2">
        <v>0</v>
      </c>
      <c r="E271" s="2">
        <v>1.839</v>
      </c>
      <c r="F271" s="2">
        <v>2</v>
      </c>
    </row>
    <row r="272" spans="1:6" ht="14.25" customHeight="1">
      <c r="A272" s="2">
        <v>2</v>
      </c>
      <c r="B272" s="2">
        <v>271</v>
      </c>
      <c r="C272" s="2">
        <v>5</v>
      </c>
      <c r="D272" s="2">
        <v>1</v>
      </c>
      <c r="E272" s="2">
        <v>0.88100000000000001</v>
      </c>
      <c r="F272" s="2">
        <v>2</v>
      </c>
    </row>
    <row r="273" spans="1:6" ht="14.25" customHeight="1">
      <c r="A273" s="2">
        <v>2</v>
      </c>
      <c r="B273" s="2">
        <v>272</v>
      </c>
      <c r="C273" s="2">
        <v>3</v>
      </c>
      <c r="D273" s="2">
        <v>1</v>
      </c>
      <c r="E273" s="2">
        <v>1.01</v>
      </c>
      <c r="F273" s="2">
        <v>1</v>
      </c>
    </row>
    <row r="274" spans="1:6" ht="14.25" customHeight="1">
      <c r="A274" s="2">
        <v>2</v>
      </c>
      <c r="B274" s="2">
        <v>273</v>
      </c>
      <c r="C274" s="2">
        <v>4</v>
      </c>
      <c r="D274" s="2">
        <v>1</v>
      </c>
      <c r="E274" s="2">
        <v>1.0069999999999999</v>
      </c>
      <c r="F274" s="2">
        <v>2</v>
      </c>
    </row>
    <row r="275" spans="1:6" ht="14.25" customHeight="1">
      <c r="A275" s="2">
        <v>2</v>
      </c>
      <c r="B275" s="2">
        <v>274</v>
      </c>
      <c r="C275" s="2">
        <v>6</v>
      </c>
      <c r="D275" s="2">
        <v>1</v>
      </c>
      <c r="E275" s="2">
        <v>1.6659999999999999</v>
      </c>
      <c r="F275" s="2">
        <v>1</v>
      </c>
    </row>
    <row r="276" spans="1:6" ht="14.25" customHeight="1">
      <c r="A276" s="2">
        <v>2</v>
      </c>
      <c r="B276" s="2">
        <v>275</v>
      </c>
      <c r="C276" s="2">
        <v>1</v>
      </c>
      <c r="D276" s="2">
        <v>1</v>
      </c>
      <c r="E276" s="2">
        <v>0.78</v>
      </c>
      <c r="F276" s="2">
        <v>2</v>
      </c>
    </row>
    <row r="277" spans="1:6" ht="14.25" customHeight="1">
      <c r="A277" s="2">
        <v>2</v>
      </c>
      <c r="B277" s="2">
        <v>276</v>
      </c>
      <c r="C277" s="2">
        <v>6</v>
      </c>
      <c r="D277" s="2">
        <v>1</v>
      </c>
      <c r="E277" s="2">
        <v>1.4259999999999999</v>
      </c>
      <c r="F277" s="2">
        <v>1</v>
      </c>
    </row>
    <row r="278" spans="1:6" ht="14.25" customHeight="1">
      <c r="A278" s="2">
        <v>2</v>
      </c>
      <c r="B278" s="2">
        <v>277</v>
      </c>
      <c r="C278" s="2">
        <v>5</v>
      </c>
      <c r="D278" s="2">
        <v>1</v>
      </c>
      <c r="E278" s="2">
        <v>1.149</v>
      </c>
      <c r="F278" s="2">
        <v>1</v>
      </c>
    </row>
    <row r="279" spans="1:6" ht="14.25" customHeight="1">
      <c r="A279" s="2">
        <v>2</v>
      </c>
      <c r="B279" s="2">
        <v>278</v>
      </c>
      <c r="C279" s="2">
        <v>1</v>
      </c>
      <c r="D279" s="2">
        <v>1</v>
      </c>
      <c r="E279" s="2">
        <v>0.89900000000000002</v>
      </c>
      <c r="F279" s="2">
        <v>2</v>
      </c>
    </row>
    <row r="280" spans="1:6" ht="14.25" customHeight="1">
      <c r="A280" s="2">
        <v>2</v>
      </c>
      <c r="B280" s="2">
        <v>279</v>
      </c>
      <c r="C280" s="2">
        <v>2</v>
      </c>
      <c r="D280" s="2">
        <v>1</v>
      </c>
      <c r="E280" s="2">
        <v>1.044</v>
      </c>
      <c r="F280" s="2">
        <v>1</v>
      </c>
    </row>
    <row r="281" spans="1:6" ht="14.25" customHeight="1">
      <c r="A281" s="2">
        <v>2</v>
      </c>
      <c r="B281" s="2">
        <v>280</v>
      </c>
      <c r="C281" s="2">
        <v>8</v>
      </c>
      <c r="D281" s="2">
        <v>0</v>
      </c>
      <c r="E281" s="2">
        <v>1.4870000000000001</v>
      </c>
      <c r="F281" s="2">
        <v>2</v>
      </c>
    </row>
    <row r="282" spans="1:6" ht="14.25" customHeight="1">
      <c r="A282" s="2">
        <v>2</v>
      </c>
      <c r="B282" s="2">
        <v>281</v>
      </c>
      <c r="C282" s="2">
        <v>4</v>
      </c>
      <c r="D282" s="2">
        <v>0</v>
      </c>
      <c r="E282" s="2">
        <v>1.6</v>
      </c>
      <c r="F282" s="2">
        <v>1</v>
      </c>
    </row>
    <row r="283" spans="1:6" ht="14.25" customHeight="1">
      <c r="A283" s="2">
        <v>2</v>
      </c>
      <c r="B283" s="2">
        <v>282</v>
      </c>
      <c r="C283" s="2">
        <v>8</v>
      </c>
      <c r="D283" s="2">
        <v>1</v>
      </c>
      <c r="E283" s="2">
        <v>1.6359999999999999</v>
      </c>
      <c r="F283" s="2">
        <v>1</v>
      </c>
    </row>
    <row r="284" spans="1:6" ht="14.25" customHeight="1">
      <c r="A284" s="2">
        <v>2</v>
      </c>
      <c r="B284" s="2">
        <v>283</v>
      </c>
      <c r="C284" s="2">
        <v>2</v>
      </c>
      <c r="D284" s="2">
        <v>0</v>
      </c>
      <c r="E284" s="2">
        <v>0.82299999999999995</v>
      </c>
      <c r="F284" s="2">
        <v>1</v>
      </c>
    </row>
    <row r="285" spans="1:6" ht="14.25" customHeight="1">
      <c r="A285" s="2">
        <v>2</v>
      </c>
      <c r="B285" s="2">
        <v>284</v>
      </c>
      <c r="C285" s="2">
        <v>3</v>
      </c>
      <c r="D285" s="2">
        <v>1</v>
      </c>
      <c r="E285" s="2">
        <v>1.2669999999999999</v>
      </c>
      <c r="F285" s="2">
        <v>1</v>
      </c>
    </row>
    <row r="286" spans="1:6" ht="14.25" customHeight="1">
      <c r="A286" s="2">
        <v>2</v>
      </c>
      <c r="B286" s="2">
        <v>285</v>
      </c>
      <c r="C286" s="2">
        <v>1</v>
      </c>
      <c r="D286" s="2">
        <v>1</v>
      </c>
      <c r="E286" s="2">
        <v>0.78100000000000003</v>
      </c>
      <c r="F286" s="2">
        <v>2</v>
      </c>
    </row>
    <row r="287" spans="1:6" ht="14.25" customHeight="1">
      <c r="A287" s="2">
        <v>2</v>
      </c>
      <c r="B287" s="2">
        <v>286</v>
      </c>
      <c r="C287" s="2">
        <v>5</v>
      </c>
      <c r="D287" s="2">
        <v>1</v>
      </c>
      <c r="E287" s="2">
        <v>1.1459999999999999</v>
      </c>
      <c r="F287" s="2">
        <v>2</v>
      </c>
    </row>
    <row r="288" spans="1:6" ht="14.25" customHeight="1">
      <c r="A288" s="2">
        <v>2</v>
      </c>
      <c r="B288" s="2">
        <v>287</v>
      </c>
      <c r="C288" s="2">
        <v>1</v>
      </c>
      <c r="D288" s="2">
        <v>1</v>
      </c>
      <c r="E288" s="2">
        <v>0.90500000000000003</v>
      </c>
      <c r="F288" s="2">
        <v>2</v>
      </c>
    </row>
    <row r="289" spans="1:6" ht="14.25" customHeight="1">
      <c r="A289" s="2">
        <v>2</v>
      </c>
      <c r="B289" s="2">
        <v>288</v>
      </c>
      <c r="C289" s="2">
        <v>3</v>
      </c>
      <c r="D289" s="2">
        <v>1</v>
      </c>
      <c r="E289" s="2">
        <v>1.7450000000000001</v>
      </c>
      <c r="F289" s="2">
        <v>2</v>
      </c>
    </row>
    <row r="290" spans="1:6" ht="14.25" customHeight="1">
      <c r="A290" s="2">
        <v>2</v>
      </c>
      <c r="B290" s="2">
        <v>289</v>
      </c>
      <c r="C290" s="2">
        <v>4</v>
      </c>
      <c r="D290" s="2">
        <v>1</v>
      </c>
      <c r="E290" s="2">
        <v>0.84799999999999998</v>
      </c>
      <c r="F290" s="2">
        <v>2</v>
      </c>
    </row>
    <row r="291" spans="1:6" ht="14.25" customHeight="1">
      <c r="A291" s="2">
        <v>2</v>
      </c>
      <c r="B291" s="2">
        <v>290</v>
      </c>
      <c r="C291" s="2">
        <v>1</v>
      </c>
      <c r="D291" s="2">
        <v>1</v>
      </c>
      <c r="E291" s="2">
        <v>1.2589999999999999</v>
      </c>
      <c r="F291" s="2">
        <v>1</v>
      </c>
    </row>
    <row r="292" spans="1:6" ht="14.25" customHeight="1">
      <c r="A292" s="2">
        <v>2</v>
      </c>
      <c r="B292" s="2">
        <v>291</v>
      </c>
      <c r="C292" s="2">
        <v>7</v>
      </c>
      <c r="D292" s="2">
        <v>1</v>
      </c>
      <c r="E292" s="2">
        <v>1.7490000000000001</v>
      </c>
      <c r="F292" s="2">
        <v>2</v>
      </c>
    </row>
    <row r="293" spans="1:6" ht="14.25" customHeight="1">
      <c r="A293" s="2">
        <v>2</v>
      </c>
      <c r="B293" s="2">
        <v>292</v>
      </c>
      <c r="C293" s="2">
        <v>3</v>
      </c>
      <c r="D293" s="2">
        <v>1</v>
      </c>
      <c r="E293" s="2">
        <v>1.3069999999999999</v>
      </c>
      <c r="F293" s="2">
        <v>1</v>
      </c>
    </row>
    <row r="294" spans="1:6" ht="14.25" customHeight="1">
      <c r="A294" s="2">
        <v>2</v>
      </c>
      <c r="B294" s="2">
        <v>293</v>
      </c>
      <c r="C294" s="2">
        <v>1</v>
      </c>
      <c r="D294" s="2">
        <v>1</v>
      </c>
      <c r="E294" s="2">
        <v>1.7230000000000001</v>
      </c>
      <c r="F294" s="2">
        <v>2</v>
      </c>
    </row>
    <row r="295" spans="1:6" ht="14.25" customHeight="1">
      <c r="A295" s="2">
        <v>2</v>
      </c>
      <c r="B295" s="2">
        <v>294</v>
      </c>
      <c r="C295" s="2">
        <v>3</v>
      </c>
      <c r="D295" s="2">
        <v>1</v>
      </c>
      <c r="E295" s="2">
        <v>0.755</v>
      </c>
      <c r="F295" s="2">
        <v>2</v>
      </c>
    </row>
    <row r="296" spans="1:6" ht="14.25" customHeight="1">
      <c r="A296" s="2">
        <v>2</v>
      </c>
      <c r="B296" s="2">
        <v>295</v>
      </c>
      <c r="C296" s="2">
        <v>6</v>
      </c>
      <c r="D296" s="2">
        <v>1</v>
      </c>
      <c r="E296" s="2">
        <v>1.2490000000000001</v>
      </c>
      <c r="F296" s="2">
        <v>1</v>
      </c>
    </row>
    <row r="297" spans="1:6" ht="14.25" customHeight="1">
      <c r="A297" s="2">
        <v>2</v>
      </c>
      <c r="B297" s="2">
        <v>296</v>
      </c>
      <c r="C297" s="2">
        <v>3</v>
      </c>
      <c r="D297" s="2">
        <v>1</v>
      </c>
      <c r="E297" s="2">
        <v>1.5309999999999999</v>
      </c>
      <c r="F297" s="2">
        <v>1</v>
      </c>
    </row>
    <row r="298" spans="1:6" ht="14.25" customHeight="1">
      <c r="A298" s="2">
        <v>2</v>
      </c>
      <c r="B298" s="2">
        <v>297</v>
      </c>
      <c r="C298" s="2">
        <v>5</v>
      </c>
      <c r="D298" s="2">
        <v>1</v>
      </c>
      <c r="E298" s="2">
        <v>1.5620000000000001</v>
      </c>
      <c r="F298" s="2">
        <v>2</v>
      </c>
    </row>
    <row r="299" spans="1:6" ht="14.25" customHeight="1">
      <c r="A299" s="2">
        <v>2</v>
      </c>
      <c r="B299" s="2">
        <v>298</v>
      </c>
      <c r="C299" s="2">
        <v>6</v>
      </c>
      <c r="D299" s="2">
        <v>1</v>
      </c>
      <c r="E299" s="2">
        <v>1.8320000000000001</v>
      </c>
      <c r="F299" s="2">
        <v>1</v>
      </c>
    </row>
    <row r="300" spans="1:6" ht="14.25" customHeight="1">
      <c r="A300" s="2">
        <v>2</v>
      </c>
      <c r="B300" s="2">
        <v>299</v>
      </c>
      <c r="C300" s="2">
        <v>7</v>
      </c>
      <c r="D300" s="2">
        <v>1</v>
      </c>
      <c r="E300" s="2">
        <v>1.0349999999999999</v>
      </c>
      <c r="F300" s="2">
        <v>2</v>
      </c>
    </row>
    <row r="301" spans="1:6" ht="14.25" customHeight="1">
      <c r="A301" s="2">
        <v>2</v>
      </c>
      <c r="B301" s="2">
        <v>300</v>
      </c>
      <c r="C301" s="2">
        <v>6</v>
      </c>
      <c r="E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14" width="8.6640625" customWidth="1"/>
    <col min="15" max="15" width="13.83203125" customWidth="1"/>
    <col min="16" max="26" width="8.6640625" customWidth="1"/>
  </cols>
  <sheetData>
    <row r="1" spans="1:24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2">
        <v>3</v>
      </c>
      <c r="I1" s="2">
        <v>251</v>
      </c>
      <c r="J1" s="2">
        <v>7</v>
      </c>
      <c r="L1" s="2">
        <v>2.0009999999999999</v>
      </c>
    </row>
    <row r="2" spans="1:24" ht="14.25" customHeight="1">
      <c r="A2" s="2">
        <v>3</v>
      </c>
      <c r="B2" s="2">
        <v>1</v>
      </c>
      <c r="C2" s="2">
        <v>8</v>
      </c>
      <c r="E2" s="2">
        <v>2.0009999999999999</v>
      </c>
      <c r="H2" s="2">
        <v>3</v>
      </c>
      <c r="I2" s="2">
        <v>252</v>
      </c>
      <c r="J2" s="2">
        <v>2</v>
      </c>
      <c r="K2" s="2">
        <v>1</v>
      </c>
      <c r="L2" s="2">
        <v>0.94799999999999995</v>
      </c>
      <c r="M2" s="2">
        <v>2</v>
      </c>
    </row>
    <row r="3" spans="1:24" ht="14.25" customHeight="1">
      <c r="A3" s="2">
        <v>3</v>
      </c>
      <c r="B3" s="2">
        <v>2</v>
      </c>
      <c r="C3" s="2">
        <v>6</v>
      </c>
      <c r="D3" s="2">
        <v>1</v>
      </c>
      <c r="E3" s="2">
        <v>0.76700000000000002</v>
      </c>
      <c r="F3" s="2">
        <v>2</v>
      </c>
      <c r="H3" s="2">
        <v>3</v>
      </c>
      <c r="I3" s="2">
        <v>253</v>
      </c>
      <c r="J3" s="2">
        <v>5</v>
      </c>
      <c r="K3" s="2">
        <v>1</v>
      </c>
      <c r="L3" s="2">
        <v>1.131</v>
      </c>
      <c r="M3" s="2">
        <v>2</v>
      </c>
    </row>
    <row r="4" spans="1:24" ht="14.25" customHeight="1">
      <c r="A4" s="2">
        <v>3</v>
      </c>
      <c r="B4" s="2">
        <v>3</v>
      </c>
      <c r="C4" s="2">
        <v>5</v>
      </c>
      <c r="D4" s="2">
        <v>1</v>
      </c>
      <c r="E4" s="2">
        <v>1.1299999999999999</v>
      </c>
      <c r="F4" s="2">
        <v>2</v>
      </c>
      <c r="H4" s="2">
        <v>3</v>
      </c>
      <c r="I4" s="2">
        <v>254</v>
      </c>
      <c r="J4" s="2">
        <v>1</v>
      </c>
      <c r="K4" s="2">
        <v>1</v>
      </c>
      <c r="L4" s="2">
        <v>1.8029999999999999</v>
      </c>
      <c r="M4" s="2">
        <v>1</v>
      </c>
      <c r="O4" s="2" t="s">
        <v>9</v>
      </c>
    </row>
    <row r="5" spans="1:24" ht="14.25" customHeight="1">
      <c r="A5" s="2">
        <v>3</v>
      </c>
      <c r="B5" s="2">
        <v>4</v>
      </c>
      <c r="C5" s="2">
        <v>8</v>
      </c>
      <c r="D5" s="2">
        <v>0</v>
      </c>
      <c r="E5" s="2">
        <v>0.88900000000000001</v>
      </c>
      <c r="F5" s="2">
        <v>2</v>
      </c>
      <c r="H5" s="2">
        <v>3</v>
      </c>
      <c r="I5" s="2">
        <v>255</v>
      </c>
      <c r="J5" s="2">
        <v>3</v>
      </c>
      <c r="K5" s="2">
        <v>1</v>
      </c>
      <c r="L5" s="2">
        <v>0.68700000000000006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4" ht="14.25" customHeight="1">
      <c r="A6" s="2">
        <v>3</v>
      </c>
      <c r="B6" s="2">
        <v>5</v>
      </c>
      <c r="C6" s="2">
        <v>6</v>
      </c>
      <c r="D6" s="2">
        <v>1</v>
      </c>
      <c r="E6" s="2">
        <v>1.0820000000000001</v>
      </c>
      <c r="F6" s="2">
        <v>2</v>
      </c>
      <c r="H6" s="2">
        <v>3</v>
      </c>
      <c r="I6" s="2">
        <v>256</v>
      </c>
      <c r="J6" s="2">
        <v>5</v>
      </c>
      <c r="K6" s="2">
        <v>1</v>
      </c>
      <c r="L6" s="2">
        <v>1.9359999999999999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4" ht="14.25" customHeight="1">
      <c r="A7" s="2">
        <v>3</v>
      </c>
      <c r="B7" s="2">
        <v>6</v>
      </c>
      <c r="C7" s="2">
        <v>3</v>
      </c>
      <c r="D7" s="2">
        <v>1</v>
      </c>
      <c r="E7" s="2">
        <v>1.492</v>
      </c>
      <c r="F7" s="2">
        <v>2</v>
      </c>
      <c r="H7" s="2">
        <v>3</v>
      </c>
      <c r="I7" s="2">
        <v>257</v>
      </c>
      <c r="J7" s="2">
        <v>1</v>
      </c>
      <c r="L7" s="2">
        <v>2.0009999999999999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4" ht="14.25" customHeight="1">
      <c r="A8" s="2">
        <v>3</v>
      </c>
      <c r="B8" s="2">
        <v>7</v>
      </c>
      <c r="C8" s="2">
        <v>2</v>
      </c>
      <c r="D8" s="2">
        <v>0</v>
      </c>
      <c r="E8" s="2">
        <v>0.995</v>
      </c>
      <c r="F8" s="2">
        <v>2</v>
      </c>
      <c r="H8" s="2">
        <v>3</v>
      </c>
      <c r="I8" s="2">
        <v>258</v>
      </c>
      <c r="J8" s="2">
        <v>7</v>
      </c>
      <c r="L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4" ht="14.25" customHeight="1">
      <c r="A9" s="2">
        <v>3</v>
      </c>
      <c r="B9" s="2">
        <v>8</v>
      </c>
      <c r="C9" s="2">
        <v>1</v>
      </c>
      <c r="D9" s="2">
        <v>0</v>
      </c>
      <c r="E9" s="2">
        <v>1.4330000000000001</v>
      </c>
      <c r="F9" s="2">
        <v>1</v>
      </c>
      <c r="H9" s="2">
        <v>3</v>
      </c>
      <c r="I9" s="2">
        <v>259</v>
      </c>
      <c r="J9" s="2">
        <v>3</v>
      </c>
      <c r="K9" s="2">
        <v>1</v>
      </c>
      <c r="L9" s="2">
        <v>1.1359999999999999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4" ht="14.25" customHeight="1">
      <c r="A10" s="2">
        <v>3</v>
      </c>
      <c r="B10" s="2">
        <v>9</v>
      </c>
      <c r="C10" s="2">
        <v>8</v>
      </c>
      <c r="D10" s="2">
        <v>1</v>
      </c>
      <c r="E10" s="2">
        <v>1.196</v>
      </c>
      <c r="F10" s="2">
        <v>1</v>
      </c>
      <c r="H10" s="2">
        <v>3</v>
      </c>
      <c r="I10" s="2">
        <v>260</v>
      </c>
      <c r="J10" s="2">
        <v>5</v>
      </c>
      <c r="K10" s="2">
        <v>1</v>
      </c>
      <c r="L10" s="2">
        <v>0.97499999999999998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4" ht="14.25" customHeight="1">
      <c r="A11" s="2">
        <v>3</v>
      </c>
      <c r="B11" s="2">
        <v>10</v>
      </c>
      <c r="C11" s="2">
        <v>5</v>
      </c>
      <c r="D11" s="2">
        <v>1</v>
      </c>
      <c r="E11" s="2">
        <v>1.1519999999999999</v>
      </c>
      <c r="F11" s="2">
        <v>2</v>
      </c>
      <c r="H11" s="2">
        <v>3</v>
      </c>
      <c r="I11" s="2">
        <v>261</v>
      </c>
      <c r="J11" s="2">
        <v>8</v>
      </c>
      <c r="L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4" ht="14.25" customHeight="1">
      <c r="A12" s="2">
        <v>3</v>
      </c>
      <c r="B12" s="2">
        <v>11</v>
      </c>
      <c r="C12" s="2">
        <v>3</v>
      </c>
      <c r="D12" s="2">
        <v>1</v>
      </c>
      <c r="E12" s="2">
        <v>1.411</v>
      </c>
      <c r="F12" s="2">
        <v>2</v>
      </c>
      <c r="H12" s="2">
        <v>3</v>
      </c>
      <c r="I12" s="2">
        <v>262</v>
      </c>
      <c r="J12" s="2">
        <v>6</v>
      </c>
      <c r="K12" s="2">
        <v>1</v>
      </c>
      <c r="L12" s="2">
        <v>0.63300000000000001</v>
      </c>
      <c r="M12" s="2">
        <v>1</v>
      </c>
    </row>
    <row r="13" spans="1:24" ht="14.25" customHeight="1">
      <c r="A13" s="2">
        <v>3</v>
      </c>
      <c r="B13" s="2">
        <v>12</v>
      </c>
      <c r="C13" s="2">
        <v>7</v>
      </c>
      <c r="D13" s="2">
        <v>1</v>
      </c>
      <c r="E13" s="2">
        <v>1.454</v>
      </c>
      <c r="F13" s="2">
        <v>1</v>
      </c>
      <c r="H13" s="2">
        <v>3</v>
      </c>
      <c r="I13" s="2">
        <v>263</v>
      </c>
      <c r="J13" s="2">
        <v>7</v>
      </c>
      <c r="K13" s="2">
        <v>1</v>
      </c>
      <c r="L13" s="2">
        <v>0.61199999999999999</v>
      </c>
      <c r="M13" s="2">
        <v>2</v>
      </c>
    </row>
    <row r="14" spans="1:24" ht="14.25" customHeight="1">
      <c r="A14" s="2">
        <v>3</v>
      </c>
      <c r="B14" s="2">
        <v>13</v>
      </c>
      <c r="C14" s="2">
        <v>6</v>
      </c>
      <c r="D14" s="2">
        <v>1</v>
      </c>
      <c r="E14" s="2">
        <v>1.393</v>
      </c>
      <c r="F14" s="2">
        <v>2</v>
      </c>
      <c r="H14" s="2">
        <v>3</v>
      </c>
      <c r="I14" s="2">
        <v>264</v>
      </c>
      <c r="J14" s="2">
        <v>8</v>
      </c>
      <c r="K14" s="2">
        <v>0</v>
      </c>
      <c r="L14" s="2">
        <v>1.5840000000000001</v>
      </c>
      <c r="M14" s="2">
        <v>1</v>
      </c>
      <c r="O14" s="2" t="s">
        <v>8</v>
      </c>
      <c r="P14" s="2" t="s">
        <v>7</v>
      </c>
      <c r="Q14" s="2" t="s">
        <v>8</v>
      </c>
      <c r="R14" s="2" t="s">
        <v>7</v>
      </c>
      <c r="S14" s="2" t="s">
        <v>8</v>
      </c>
      <c r="T14" s="2" t="s">
        <v>8</v>
      </c>
      <c r="U14" s="2" t="s">
        <v>7</v>
      </c>
      <c r="V14" s="2" t="s">
        <v>7</v>
      </c>
    </row>
    <row r="15" spans="1:24" ht="14.25" customHeight="1">
      <c r="A15" s="2">
        <v>3</v>
      </c>
      <c r="B15" s="2">
        <v>14</v>
      </c>
      <c r="C15" s="2">
        <v>1</v>
      </c>
      <c r="D15" s="2">
        <v>0</v>
      </c>
      <c r="E15" s="2">
        <v>1.4219999999999999</v>
      </c>
      <c r="F15" s="2">
        <v>1</v>
      </c>
      <c r="H15" s="2">
        <v>3</v>
      </c>
      <c r="I15" s="2">
        <v>265</v>
      </c>
      <c r="J15" s="2">
        <v>4</v>
      </c>
      <c r="K15" s="2">
        <v>1</v>
      </c>
      <c r="L15" s="2">
        <v>0.70099999999999996</v>
      </c>
      <c r="M15" s="2">
        <v>1</v>
      </c>
      <c r="O15" s="2" t="s">
        <v>9</v>
      </c>
    </row>
    <row r="16" spans="1:24" ht="14.25" customHeight="1">
      <c r="A16" s="2">
        <v>3</v>
      </c>
      <c r="B16" s="2">
        <v>15</v>
      </c>
      <c r="C16" s="2">
        <v>7</v>
      </c>
      <c r="D16" s="2">
        <v>1</v>
      </c>
      <c r="E16" s="2">
        <v>1.4650000000000001</v>
      </c>
      <c r="F16" s="2">
        <v>1</v>
      </c>
      <c r="H16" s="2">
        <v>3</v>
      </c>
      <c r="I16" s="2">
        <v>266</v>
      </c>
      <c r="J16" s="2">
        <v>3</v>
      </c>
      <c r="K16" s="2">
        <v>1</v>
      </c>
      <c r="L16" s="2">
        <v>1.0860000000000001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  <c r="X16" s="2" t="s">
        <v>15</v>
      </c>
    </row>
    <row r="17" spans="1:24" ht="14.25" customHeight="1">
      <c r="A17" s="2">
        <v>3</v>
      </c>
      <c r="B17" s="2">
        <v>16</v>
      </c>
      <c r="C17" s="2">
        <v>1</v>
      </c>
      <c r="D17" s="2">
        <v>1</v>
      </c>
      <c r="E17" s="2">
        <v>1.2270000000000001</v>
      </c>
      <c r="F17" s="2">
        <v>2</v>
      </c>
      <c r="H17" s="2">
        <v>3</v>
      </c>
      <c r="I17" s="2">
        <v>267</v>
      </c>
      <c r="J17" s="2">
        <v>2</v>
      </c>
      <c r="K17" s="2">
        <v>1</v>
      </c>
      <c r="L17" s="2">
        <v>0.97399999999999998</v>
      </c>
      <c r="M17" s="2">
        <v>1</v>
      </c>
      <c r="N17" s="2">
        <v>1</v>
      </c>
      <c r="O17" s="2">
        <f>(O6*COUNTIF($J$1:$J$100,O$16) - COUNTIFS($J$1:$J$100,O$16,$K$1:$K$100,"=1"))^2</f>
        <v>0.48999999999999899</v>
      </c>
      <c r="P17" s="2">
        <f>(P6*COUNTIF($J$1:$J$50,P$16) - COUNTIFS($J$1:$J$50,P$16,$K$1:$K$50,"=0"))^2</f>
        <v>0.12250000000000003</v>
      </c>
      <c r="Q17" s="2">
        <f t="shared" ref="Q17:Q22" si="0">(Q6*COUNTIF($J$1:$J$50,Q$16) - COUNTIFS($J$1:$J$50,Q$16,$K$1:$K$50,"=1"))^2</f>
        <v>9.0000000000000427E-2</v>
      </c>
      <c r="R17" s="2">
        <f t="shared" ref="R17:R22" si="1">(R6*COUNTIF($J$1:$J$50,R$16) - COUNTIFS($J$1:$J$50,R$16,$K$1:$K$50,"=0"))^2</f>
        <v>9.0000000000000024E-2</v>
      </c>
      <c r="S17" s="2">
        <f t="shared" ref="S17:T17" si="2">(S6*COUNTIF($J$1:$J$50,S$16) - COUNTIFS($J$1:$J$50,S$16,$K$1:$K$50,"=1"))^2</f>
        <v>0.48999999999999899</v>
      </c>
      <c r="T17" s="2">
        <f t="shared" si="2"/>
        <v>9.0000000000000427E-2</v>
      </c>
      <c r="U17" s="2">
        <f t="shared" ref="U17:V17" si="3">(U6*COUNTIF($J$1:$J$50,U$16) - COUNTIFS($J$1:$J$50,U$16,$K$1:$K$50,"=0"))^2</f>
        <v>9.0000000000000024E-2</v>
      </c>
      <c r="V17" s="2">
        <f t="shared" si="3"/>
        <v>0.42249999999999988</v>
      </c>
    </row>
    <row r="18" spans="1:24" ht="14.25" customHeight="1">
      <c r="A18" s="2">
        <v>3</v>
      </c>
      <c r="B18" s="2">
        <v>17</v>
      </c>
      <c r="C18" s="2">
        <v>2</v>
      </c>
      <c r="D18" s="2">
        <v>0</v>
      </c>
      <c r="E18" s="2">
        <v>1.19</v>
      </c>
      <c r="F18" s="2">
        <v>2</v>
      </c>
      <c r="H18" s="2">
        <v>3</v>
      </c>
      <c r="I18" s="2">
        <v>268</v>
      </c>
      <c r="J18" s="2">
        <v>4</v>
      </c>
      <c r="K18" s="2">
        <v>1</v>
      </c>
      <c r="L18" s="2">
        <v>1.452</v>
      </c>
      <c r="M18" s="2">
        <v>1</v>
      </c>
      <c r="N18" s="2">
        <v>2</v>
      </c>
      <c r="O18" s="2">
        <f t="shared" ref="O18:P18" si="4">(O7*COUNTIF($J$1:$J$50,O$16) - COUNTIFS($J$1:$J$50,O$16,$K$1:$K$50,"=0"))^2</f>
        <v>32.489999999999995</v>
      </c>
      <c r="P18" s="2">
        <f t="shared" si="4"/>
        <v>44.222499999999989</v>
      </c>
      <c r="Q18" s="2">
        <f t="shared" si="0"/>
        <v>32.49</v>
      </c>
      <c r="R18" s="2">
        <f t="shared" si="1"/>
        <v>9.0000000000000024E-2</v>
      </c>
      <c r="S18" s="2">
        <f t="shared" ref="S18:T18" si="5">(S7*COUNTIF($J$1:$J$50,S$16) - COUNTIFS($J$1:$J$50,S$16,$K$1:$K$50,"=1"))^2</f>
        <v>0.48999999999999899</v>
      </c>
      <c r="T18" s="2">
        <f t="shared" si="5"/>
        <v>9.0000000000000427E-2</v>
      </c>
      <c r="U18" s="2">
        <f t="shared" ref="U18:V18" si="6">(U7*COUNTIF($J$1:$J$50,U$16) - COUNTIFS($J$1:$J$50,U$16,$K$1:$K$50,"=0"))^2</f>
        <v>9.0000000000000024E-2</v>
      </c>
      <c r="V18" s="2">
        <f t="shared" si="6"/>
        <v>0.42249999999999988</v>
      </c>
    </row>
    <row r="19" spans="1:24" ht="14.25" customHeight="1">
      <c r="A19" s="2">
        <v>3</v>
      </c>
      <c r="B19" s="2">
        <v>18</v>
      </c>
      <c r="C19" s="2">
        <v>4</v>
      </c>
      <c r="D19" s="2">
        <v>1</v>
      </c>
      <c r="E19" s="2">
        <v>1.411</v>
      </c>
      <c r="F19" s="2">
        <v>1</v>
      </c>
      <c r="H19" s="2">
        <v>3</v>
      </c>
      <c r="I19" s="2">
        <v>269</v>
      </c>
      <c r="J19" s="2">
        <v>2</v>
      </c>
      <c r="K19" s="2">
        <v>1</v>
      </c>
      <c r="L19" s="2">
        <v>0.82199999999999995</v>
      </c>
      <c r="M19" s="2">
        <v>1</v>
      </c>
      <c r="N19" s="2">
        <v>3</v>
      </c>
      <c r="O19" s="2">
        <f t="shared" ref="O19:P19" si="7">(O8*COUNTIF($J$1:$J$50,O$16) - COUNTIFS($J$1:$J$50,O$16,$K$1:$K$50,"=0"))^2</f>
        <v>32.489999999999995</v>
      </c>
      <c r="P19" s="2">
        <f t="shared" si="7"/>
        <v>0.12250000000000003</v>
      </c>
      <c r="Q19" s="2">
        <f t="shared" si="0"/>
        <v>9.0000000000000427E-2</v>
      </c>
      <c r="R19" s="2">
        <f t="shared" si="1"/>
        <v>9.0000000000000024E-2</v>
      </c>
      <c r="S19" s="2">
        <f t="shared" ref="S19:T19" si="8">(S8*COUNTIF($J$1:$J$50,S$16) - COUNTIFS($J$1:$J$50,S$16,$K$1:$K$50,"=1"))^2</f>
        <v>0.48999999999999899</v>
      </c>
      <c r="T19" s="2">
        <f t="shared" si="8"/>
        <v>32.49</v>
      </c>
      <c r="U19" s="2">
        <f t="shared" ref="U19:V19" si="9">(U8*COUNTIF($J$1:$J$50,U$16) - COUNTIFS($J$1:$J$50,U$16,$K$1:$K$50,"=0"))^2</f>
        <v>32.489999999999995</v>
      </c>
      <c r="V19" s="2">
        <f t="shared" si="9"/>
        <v>0.42249999999999988</v>
      </c>
    </row>
    <row r="20" spans="1:24" ht="14.25" customHeight="1">
      <c r="A20" s="2">
        <v>3</v>
      </c>
      <c r="B20" s="2">
        <v>19</v>
      </c>
      <c r="C20" s="2">
        <v>2</v>
      </c>
      <c r="D20" s="2">
        <v>0</v>
      </c>
      <c r="E20" s="2">
        <v>1.5669999999999999</v>
      </c>
      <c r="F20" s="2">
        <v>2</v>
      </c>
      <c r="H20" s="2">
        <v>3</v>
      </c>
      <c r="I20" s="2">
        <v>270</v>
      </c>
      <c r="J20" s="2">
        <v>3</v>
      </c>
      <c r="K20" s="2">
        <v>1</v>
      </c>
      <c r="L20" s="2">
        <v>1.17</v>
      </c>
      <c r="M20" s="2">
        <v>2</v>
      </c>
      <c r="N20" s="2">
        <v>4</v>
      </c>
      <c r="O20" s="2">
        <f t="shared" ref="O20:P20" si="10">(O9*COUNTIF($J$1:$J$50,O$16) - COUNTIFS($J$1:$J$50,O$16,$K$1:$K$50,"=0"))^2</f>
        <v>9</v>
      </c>
      <c r="P20" s="2">
        <f t="shared" si="10"/>
        <v>12.25</v>
      </c>
      <c r="Q20" s="2">
        <f t="shared" si="0"/>
        <v>9</v>
      </c>
      <c r="R20" s="2">
        <f t="shared" si="1"/>
        <v>9</v>
      </c>
      <c r="S20" s="2">
        <f t="shared" ref="S20:T20" si="11">(S9*COUNTIF($J$1:$J$50,S$16) - COUNTIFS($J$1:$J$50,S$16,$K$1:$K$50,"=1"))^2</f>
        <v>0.48999999999999899</v>
      </c>
      <c r="T20" s="2">
        <f t="shared" si="11"/>
        <v>9.0000000000000427E-2</v>
      </c>
      <c r="U20" s="2">
        <f t="shared" ref="U20:V20" si="12">(U9*COUNTIF($J$1:$J$50,U$16) - COUNTIFS($J$1:$J$50,U$16,$K$1:$K$50,"=0"))^2</f>
        <v>9.0000000000000024E-2</v>
      </c>
      <c r="V20" s="2">
        <f t="shared" si="12"/>
        <v>0.42249999999999988</v>
      </c>
    </row>
    <row r="21" spans="1:24" ht="14.25" customHeight="1">
      <c r="A21" s="2">
        <v>3</v>
      </c>
      <c r="B21" s="2">
        <v>20</v>
      </c>
      <c r="C21" s="2">
        <v>3</v>
      </c>
      <c r="D21" s="2">
        <v>1</v>
      </c>
      <c r="E21" s="2">
        <v>1.6359999999999999</v>
      </c>
      <c r="F21" s="2">
        <v>2</v>
      </c>
      <c r="H21" s="2">
        <v>3</v>
      </c>
      <c r="I21" s="2">
        <v>271</v>
      </c>
      <c r="J21" s="2">
        <v>5</v>
      </c>
      <c r="K21" s="2">
        <v>1</v>
      </c>
      <c r="L21" s="2">
        <v>0.63100000000000001</v>
      </c>
      <c r="M21" s="2">
        <v>1</v>
      </c>
      <c r="N21" s="2">
        <v>5</v>
      </c>
      <c r="O21" s="2">
        <f t="shared" ref="O21:P21" si="13">(O10*COUNTIF($J$1:$J$50,O$16) - COUNTIFS($J$1:$J$50,O$16,$K$1:$K$50,"=0"))^2</f>
        <v>32.489999999999995</v>
      </c>
      <c r="P21" s="2">
        <f t="shared" si="13"/>
        <v>0.12250000000000003</v>
      </c>
      <c r="Q21" s="2">
        <f t="shared" si="0"/>
        <v>9.0000000000000427E-2</v>
      </c>
      <c r="R21" s="2">
        <f t="shared" si="1"/>
        <v>9.0000000000000024E-2</v>
      </c>
      <c r="S21" s="2">
        <f t="shared" ref="S21:T21" si="14">(S10*COUNTIF($J$1:$J$50,S$16) - COUNTIFS($J$1:$J$50,S$16,$K$1:$K$50,"=1"))^2</f>
        <v>4</v>
      </c>
      <c r="T21" s="2">
        <f t="shared" si="14"/>
        <v>9</v>
      </c>
      <c r="U21" s="2">
        <f t="shared" ref="U21:V21" si="15">(U10*COUNTIF($J$1:$J$50,U$16) - COUNTIFS($J$1:$J$50,U$16,$K$1:$K$50,"=0"))^2</f>
        <v>9</v>
      </c>
      <c r="V21" s="2">
        <f t="shared" si="15"/>
        <v>6.25</v>
      </c>
    </row>
    <row r="22" spans="1:24" ht="14.25" customHeight="1">
      <c r="A22" s="2">
        <v>3</v>
      </c>
      <c r="B22" s="2">
        <v>21</v>
      </c>
      <c r="C22" s="2">
        <v>2</v>
      </c>
      <c r="D22" s="2">
        <v>0</v>
      </c>
      <c r="E22" s="2">
        <v>1.0309999999999999</v>
      </c>
      <c r="F22" s="2">
        <v>2</v>
      </c>
      <c r="H22" s="2">
        <v>3</v>
      </c>
      <c r="I22" s="2">
        <v>272</v>
      </c>
      <c r="J22" s="2">
        <v>8</v>
      </c>
      <c r="K22" s="2">
        <v>1</v>
      </c>
      <c r="L22" s="2">
        <v>1.1060000000000001</v>
      </c>
      <c r="M22" s="2">
        <v>1</v>
      </c>
      <c r="N22" s="2">
        <v>6</v>
      </c>
      <c r="O22" s="2">
        <f t="shared" ref="O22:P22" si="16">(O11*COUNTIF($J$1:$J$50,O$16) - COUNTIFS($J$1:$J$50,O$16,$K$1:$K$50,"=0"))^2</f>
        <v>9</v>
      </c>
      <c r="P22" s="2">
        <f t="shared" si="16"/>
        <v>12.25</v>
      </c>
      <c r="Q22" s="2">
        <f t="shared" si="0"/>
        <v>9</v>
      </c>
      <c r="R22" s="2">
        <f t="shared" si="1"/>
        <v>9</v>
      </c>
      <c r="S22" s="2">
        <f t="shared" ref="S22:T22" si="17">(S11*COUNTIF($J$1:$J$50,S$16) - COUNTIFS($J$1:$J$50,S$16,$K$1:$K$50,"=1"))^2</f>
        <v>4</v>
      </c>
      <c r="T22" s="2">
        <f t="shared" si="17"/>
        <v>9</v>
      </c>
      <c r="U22" s="2">
        <f t="shared" ref="U22:V22" si="18">(U11*COUNTIF($J$1:$J$50,U$16) - COUNTIFS($J$1:$J$50,U$16,$K$1:$K$50,"=0"))^2</f>
        <v>9</v>
      </c>
      <c r="V22" s="2">
        <f t="shared" si="18"/>
        <v>6.25</v>
      </c>
    </row>
    <row r="23" spans="1:24" ht="14.25" customHeight="1">
      <c r="A23" s="2">
        <v>3</v>
      </c>
      <c r="B23" s="2">
        <v>22</v>
      </c>
      <c r="C23" s="2">
        <v>8</v>
      </c>
      <c r="D23" s="2">
        <v>0</v>
      </c>
      <c r="E23" s="2">
        <v>1.7070000000000001</v>
      </c>
      <c r="F23" s="2">
        <v>2</v>
      </c>
      <c r="H23" s="2">
        <v>3</v>
      </c>
      <c r="I23" s="2">
        <v>273</v>
      </c>
      <c r="J23" s="2">
        <v>6</v>
      </c>
      <c r="K23" s="2">
        <v>1</v>
      </c>
      <c r="L23" s="2">
        <v>0.65800000000000003</v>
      </c>
      <c r="M23" s="2">
        <v>1</v>
      </c>
    </row>
    <row r="24" spans="1:24" ht="14.25" customHeight="1">
      <c r="A24" s="2">
        <v>3</v>
      </c>
      <c r="B24" s="2">
        <v>23</v>
      </c>
      <c r="C24" s="2">
        <v>7</v>
      </c>
      <c r="D24" s="2">
        <v>1</v>
      </c>
      <c r="E24" s="2">
        <v>1.37</v>
      </c>
      <c r="F24" s="2">
        <v>1</v>
      </c>
      <c r="H24" s="2">
        <v>3</v>
      </c>
      <c r="I24" s="2">
        <v>274</v>
      </c>
      <c r="J24" s="2">
        <v>1</v>
      </c>
      <c r="K24" s="2">
        <v>1</v>
      </c>
      <c r="L24" s="2">
        <v>1.5649999999999999</v>
      </c>
      <c r="M24" s="2">
        <v>1</v>
      </c>
    </row>
    <row r="25" spans="1:24" ht="14.25" customHeight="1">
      <c r="A25" s="2">
        <v>3</v>
      </c>
      <c r="B25" s="2">
        <v>24</v>
      </c>
      <c r="C25" s="2">
        <v>4</v>
      </c>
      <c r="D25" s="2">
        <v>0</v>
      </c>
      <c r="E25" s="2">
        <v>1.52</v>
      </c>
      <c r="F25" s="2">
        <v>2</v>
      </c>
      <c r="H25" s="2">
        <v>3</v>
      </c>
      <c r="I25" s="2">
        <v>275</v>
      </c>
      <c r="J25" s="2">
        <v>8</v>
      </c>
      <c r="K25" s="2">
        <v>1</v>
      </c>
      <c r="L25" s="2">
        <v>0.67400000000000004</v>
      </c>
      <c r="M25" s="2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  <c r="X25" s="2" t="s">
        <v>16</v>
      </c>
    </row>
    <row r="26" spans="1:24" ht="14.25" customHeight="1">
      <c r="A26" s="2">
        <v>3</v>
      </c>
      <c r="B26" s="2">
        <v>25</v>
      </c>
      <c r="C26" s="2">
        <v>6</v>
      </c>
      <c r="D26" s="2">
        <v>1</v>
      </c>
      <c r="E26" s="2">
        <v>1.7030000000000001</v>
      </c>
      <c r="F26" s="2">
        <v>2</v>
      </c>
      <c r="H26" s="2">
        <v>3</v>
      </c>
      <c r="I26" s="2">
        <v>276</v>
      </c>
      <c r="J26" s="2">
        <v>2</v>
      </c>
      <c r="K26" s="2">
        <v>1</v>
      </c>
      <c r="L26" s="2">
        <v>1.4279999999999999</v>
      </c>
      <c r="M26" s="2">
        <v>1</v>
      </c>
      <c r="O26" s="2">
        <f t="shared" ref="O26:V26" si="19">COUNTIF($J$1:$J$50,O16)*COUNTIF($J$1:$J$50,O16)</f>
        <v>36</v>
      </c>
      <c r="P26" s="2">
        <f t="shared" si="19"/>
        <v>49</v>
      </c>
      <c r="Q26" s="2">
        <f t="shared" si="19"/>
        <v>36</v>
      </c>
      <c r="R26" s="2">
        <f t="shared" si="19"/>
        <v>36</v>
      </c>
      <c r="S26" s="2">
        <f t="shared" si="19"/>
        <v>36</v>
      </c>
      <c r="T26" s="2">
        <f t="shared" si="19"/>
        <v>36</v>
      </c>
      <c r="U26" s="2">
        <f t="shared" si="19"/>
        <v>36</v>
      </c>
      <c r="V26" s="2">
        <f t="shared" si="19"/>
        <v>49</v>
      </c>
    </row>
    <row r="27" spans="1:24" ht="14.25" customHeight="1">
      <c r="A27" s="2">
        <v>3</v>
      </c>
      <c r="B27" s="2">
        <v>26</v>
      </c>
      <c r="C27" s="2">
        <v>4</v>
      </c>
      <c r="D27" s="2">
        <v>1</v>
      </c>
      <c r="E27" s="2">
        <v>1.1279999999999999</v>
      </c>
      <c r="F27" s="2">
        <v>1</v>
      </c>
      <c r="H27" s="2">
        <v>3</v>
      </c>
      <c r="I27" s="2">
        <v>277</v>
      </c>
      <c r="J27" s="2">
        <v>7</v>
      </c>
      <c r="K27" s="2">
        <v>1</v>
      </c>
      <c r="L27" s="2">
        <v>0.56799999999999995</v>
      </c>
      <c r="M27" s="2">
        <v>1</v>
      </c>
    </row>
    <row r="28" spans="1:24" ht="14.25" customHeight="1">
      <c r="A28" s="2">
        <v>3</v>
      </c>
      <c r="B28" s="2">
        <v>27</v>
      </c>
      <c r="C28" s="2">
        <v>8</v>
      </c>
      <c r="D28" s="2">
        <v>1</v>
      </c>
      <c r="E28" s="2">
        <v>1.47</v>
      </c>
      <c r="F28" s="2">
        <v>1</v>
      </c>
      <c r="H28" s="2">
        <v>3</v>
      </c>
      <c r="I28" s="2">
        <v>278</v>
      </c>
      <c r="J28" s="2">
        <v>8</v>
      </c>
      <c r="K28" s="2">
        <v>1</v>
      </c>
      <c r="L28" s="2">
        <v>0.54900000000000004</v>
      </c>
      <c r="M28" s="2">
        <v>1</v>
      </c>
    </row>
    <row r="29" spans="1:24" ht="14.25" customHeight="1">
      <c r="A29" s="2">
        <v>3</v>
      </c>
      <c r="B29" s="2">
        <v>28</v>
      </c>
      <c r="C29" s="2">
        <v>7</v>
      </c>
      <c r="E29" s="2">
        <v>2.0009999999999999</v>
      </c>
      <c r="H29" s="2">
        <v>3</v>
      </c>
      <c r="I29" s="2">
        <v>279</v>
      </c>
      <c r="J29" s="2">
        <v>4</v>
      </c>
      <c r="K29" s="2">
        <v>1</v>
      </c>
      <c r="L29" s="2">
        <v>1.244</v>
      </c>
      <c r="M29" s="2">
        <v>2</v>
      </c>
    </row>
    <row r="30" spans="1:24" ht="14.25" customHeight="1">
      <c r="A30" s="2">
        <v>3</v>
      </c>
      <c r="B30" s="2">
        <v>29</v>
      </c>
      <c r="C30" s="2">
        <v>3</v>
      </c>
      <c r="D30" s="2">
        <v>1</v>
      </c>
      <c r="E30" s="2">
        <v>0.98099999999999998</v>
      </c>
      <c r="F30" s="2">
        <v>2</v>
      </c>
      <c r="H30" s="2">
        <v>3</v>
      </c>
      <c r="I30" s="2">
        <v>280</v>
      </c>
      <c r="J30" s="2">
        <v>6</v>
      </c>
      <c r="K30" s="2">
        <v>1</v>
      </c>
      <c r="L30" s="2">
        <v>1.3180000000000001</v>
      </c>
      <c r="M30" s="2">
        <v>1</v>
      </c>
    </row>
    <row r="31" spans="1:24" ht="14.25" customHeight="1">
      <c r="A31" s="2">
        <v>3</v>
      </c>
      <c r="B31" s="2">
        <v>30</v>
      </c>
      <c r="C31" s="2">
        <v>4</v>
      </c>
      <c r="D31" s="2">
        <v>1</v>
      </c>
      <c r="E31" s="2">
        <v>0.746</v>
      </c>
      <c r="F31" s="2">
        <v>1</v>
      </c>
      <c r="H31" s="2">
        <v>3</v>
      </c>
      <c r="I31" s="2">
        <v>281</v>
      </c>
      <c r="J31" s="2">
        <v>2</v>
      </c>
      <c r="K31" s="2">
        <v>1</v>
      </c>
      <c r="L31" s="2">
        <v>0.87</v>
      </c>
      <c r="M31" s="2">
        <v>1</v>
      </c>
      <c r="N31" s="2">
        <v>1</v>
      </c>
      <c r="O31" s="2">
        <f t="shared" ref="O31:O36" si="20">SUM(O17:V17)/SUM(O$26:V$26)</f>
        <v>6.0031847133757924E-3</v>
      </c>
    </row>
    <row r="32" spans="1:24" ht="14.25" customHeight="1">
      <c r="A32" s="2">
        <v>3</v>
      </c>
      <c r="B32" s="2">
        <v>31</v>
      </c>
      <c r="C32" s="2">
        <v>7</v>
      </c>
      <c r="D32" s="2">
        <v>0</v>
      </c>
      <c r="E32" s="2">
        <v>1.377</v>
      </c>
      <c r="F32" s="2">
        <v>2</v>
      </c>
      <c r="H32" s="2">
        <v>3</v>
      </c>
      <c r="I32" s="2">
        <v>282</v>
      </c>
      <c r="J32" s="2">
        <v>4</v>
      </c>
      <c r="K32" s="2">
        <v>1</v>
      </c>
      <c r="L32" s="2">
        <v>1</v>
      </c>
      <c r="M32" s="2">
        <v>1</v>
      </c>
      <c r="N32" s="2">
        <v>2</v>
      </c>
      <c r="O32" s="2">
        <f t="shared" si="20"/>
        <v>0.35154458598726113</v>
      </c>
    </row>
    <row r="33" spans="1:15" ht="14.25" customHeight="1">
      <c r="A33" s="2">
        <v>3</v>
      </c>
      <c r="B33" s="2">
        <v>32</v>
      </c>
      <c r="C33" s="2">
        <v>2</v>
      </c>
      <c r="D33" s="2">
        <v>0</v>
      </c>
      <c r="E33" s="2">
        <v>1.6459999999999999</v>
      </c>
      <c r="F33" s="2">
        <v>2</v>
      </c>
      <c r="H33" s="2">
        <v>3</v>
      </c>
      <c r="I33" s="2">
        <v>283</v>
      </c>
      <c r="J33" s="2">
        <v>6</v>
      </c>
      <c r="K33" s="2">
        <v>1</v>
      </c>
      <c r="L33" s="2">
        <v>1.2689999999999999</v>
      </c>
      <c r="M33" s="2">
        <v>1</v>
      </c>
      <c r="N33" s="2">
        <v>3</v>
      </c>
      <c r="O33" s="2">
        <f t="shared" si="20"/>
        <v>0.31428343949044585</v>
      </c>
    </row>
    <row r="34" spans="1:15" ht="14.25" customHeight="1">
      <c r="A34" s="2">
        <v>3</v>
      </c>
      <c r="B34" s="2">
        <v>33</v>
      </c>
      <c r="C34" s="2">
        <v>4</v>
      </c>
      <c r="D34" s="2">
        <v>1</v>
      </c>
      <c r="E34" s="2">
        <v>1.552</v>
      </c>
      <c r="F34" s="2">
        <v>1</v>
      </c>
      <c r="H34" s="2">
        <v>3</v>
      </c>
      <c r="I34" s="2">
        <v>284</v>
      </c>
      <c r="J34" s="2">
        <v>7</v>
      </c>
      <c r="K34" s="2">
        <v>1</v>
      </c>
      <c r="L34" s="2">
        <v>0.77400000000000002</v>
      </c>
      <c r="M34" s="2">
        <v>1</v>
      </c>
      <c r="N34" s="2">
        <v>4</v>
      </c>
      <c r="O34" s="2">
        <f t="shared" si="20"/>
        <v>0.12847929936305735</v>
      </c>
    </row>
    <row r="35" spans="1:15" ht="14.25" customHeight="1">
      <c r="A35" s="2">
        <v>3</v>
      </c>
      <c r="B35" s="2">
        <v>34</v>
      </c>
      <c r="C35" s="2">
        <v>8</v>
      </c>
      <c r="D35" s="2">
        <v>1</v>
      </c>
      <c r="E35" s="2">
        <v>1.159</v>
      </c>
      <c r="F35" s="2">
        <v>1</v>
      </c>
      <c r="H35" s="2">
        <v>3</v>
      </c>
      <c r="I35" s="2">
        <v>285</v>
      </c>
      <c r="J35" s="2">
        <v>1</v>
      </c>
      <c r="K35" s="2">
        <v>1</v>
      </c>
      <c r="L35" s="2">
        <v>0.91500000000000004</v>
      </c>
      <c r="M35" s="2">
        <v>1</v>
      </c>
      <c r="N35" s="2">
        <v>5</v>
      </c>
      <c r="O35" s="2">
        <f t="shared" si="20"/>
        <v>0.19440286624203823</v>
      </c>
    </row>
    <row r="36" spans="1:15" ht="14.25" customHeight="1">
      <c r="A36" s="2">
        <v>3</v>
      </c>
      <c r="B36" s="2">
        <v>35</v>
      </c>
      <c r="C36" s="2">
        <v>2</v>
      </c>
      <c r="D36" s="2">
        <v>0</v>
      </c>
      <c r="E36" s="2">
        <v>1.2290000000000001</v>
      </c>
      <c r="F36" s="2">
        <v>2</v>
      </c>
      <c r="H36" s="2">
        <v>3</v>
      </c>
      <c r="I36" s="2">
        <v>286</v>
      </c>
      <c r="J36" s="2">
        <v>2</v>
      </c>
      <c r="K36" s="2">
        <v>1</v>
      </c>
      <c r="L36" s="2">
        <v>1.075</v>
      </c>
      <c r="M36" s="2">
        <v>2</v>
      </c>
      <c r="N36" s="2">
        <v>6</v>
      </c>
      <c r="O36" s="2">
        <f t="shared" si="20"/>
        <v>0.21496815286624205</v>
      </c>
    </row>
    <row r="37" spans="1:15" ht="14.25" customHeight="1">
      <c r="A37" s="2">
        <v>3</v>
      </c>
      <c r="B37" s="2">
        <v>36</v>
      </c>
      <c r="C37" s="2">
        <v>3</v>
      </c>
      <c r="D37" s="2">
        <v>1</v>
      </c>
      <c r="E37" s="2">
        <v>1.64</v>
      </c>
      <c r="F37" s="2">
        <v>2</v>
      </c>
      <c r="H37" s="2">
        <v>3</v>
      </c>
      <c r="I37" s="2">
        <v>287</v>
      </c>
      <c r="J37" s="2">
        <v>3</v>
      </c>
      <c r="K37" s="2">
        <v>1</v>
      </c>
      <c r="L37" s="2">
        <v>1.3160000000000001</v>
      </c>
      <c r="M37" s="2">
        <v>2</v>
      </c>
    </row>
    <row r="38" spans="1:15" ht="14.25" customHeight="1">
      <c r="A38" s="2">
        <v>3</v>
      </c>
      <c r="B38" s="2">
        <v>37</v>
      </c>
      <c r="C38" s="2">
        <v>1</v>
      </c>
      <c r="D38" s="2">
        <v>0</v>
      </c>
      <c r="E38" s="2">
        <v>1.3620000000000001</v>
      </c>
      <c r="F38" s="2">
        <v>1</v>
      </c>
      <c r="H38" s="2">
        <v>3</v>
      </c>
      <c r="I38" s="2">
        <v>288</v>
      </c>
      <c r="J38" s="2">
        <v>4</v>
      </c>
      <c r="K38" s="2">
        <v>1</v>
      </c>
      <c r="L38" s="2">
        <v>0.876</v>
      </c>
      <c r="M38" s="2">
        <v>2</v>
      </c>
    </row>
    <row r="39" spans="1:15" ht="14.25" customHeight="1">
      <c r="A39" s="2">
        <v>3</v>
      </c>
      <c r="B39" s="2">
        <v>38</v>
      </c>
      <c r="C39" s="2">
        <v>5</v>
      </c>
      <c r="D39" s="2">
        <v>1</v>
      </c>
      <c r="E39" s="2">
        <v>1.536</v>
      </c>
      <c r="F39" s="2">
        <v>2</v>
      </c>
      <c r="H39" s="2">
        <v>3</v>
      </c>
      <c r="I39" s="2">
        <v>289</v>
      </c>
      <c r="J39" s="2">
        <v>8</v>
      </c>
      <c r="K39" s="2">
        <v>1</v>
      </c>
      <c r="L39" s="2">
        <v>1.798</v>
      </c>
      <c r="M39" s="2">
        <v>2</v>
      </c>
    </row>
    <row r="40" spans="1:15" ht="14.25" customHeight="1">
      <c r="A40" s="2">
        <v>3</v>
      </c>
      <c r="B40" s="2">
        <v>39</v>
      </c>
      <c r="C40" s="2">
        <v>1</v>
      </c>
      <c r="D40" s="2">
        <v>1</v>
      </c>
      <c r="E40" s="2">
        <v>1.383</v>
      </c>
      <c r="F40" s="2">
        <v>2</v>
      </c>
      <c r="H40" s="2">
        <v>3</v>
      </c>
      <c r="I40" s="2">
        <v>290</v>
      </c>
      <c r="J40" s="2">
        <v>5</v>
      </c>
      <c r="K40" s="2">
        <v>1</v>
      </c>
      <c r="L40" s="2">
        <v>0.82699999999999996</v>
      </c>
      <c r="M40" s="2">
        <v>2</v>
      </c>
    </row>
    <row r="41" spans="1:15" ht="14.25" customHeight="1">
      <c r="A41" s="2">
        <v>3</v>
      </c>
      <c r="B41" s="2">
        <v>40</v>
      </c>
      <c r="C41" s="2">
        <v>5</v>
      </c>
      <c r="D41" s="2">
        <v>0</v>
      </c>
      <c r="E41" s="2">
        <v>1.716</v>
      </c>
      <c r="F41" s="2">
        <v>1</v>
      </c>
      <c r="H41" s="2">
        <v>3</v>
      </c>
      <c r="I41" s="2">
        <v>291</v>
      </c>
      <c r="J41" s="2">
        <v>6</v>
      </c>
      <c r="K41" s="2">
        <v>1</v>
      </c>
      <c r="L41" s="2">
        <v>0.79800000000000004</v>
      </c>
      <c r="M41" s="2">
        <v>1</v>
      </c>
    </row>
    <row r="42" spans="1:15" ht="14.25" customHeight="1">
      <c r="A42" s="2">
        <v>3</v>
      </c>
      <c r="B42" s="2">
        <v>41</v>
      </c>
      <c r="C42" s="2">
        <v>2</v>
      </c>
      <c r="D42" s="2">
        <v>1</v>
      </c>
      <c r="E42" s="2">
        <v>1.4610000000000001</v>
      </c>
      <c r="F42" s="2">
        <v>1</v>
      </c>
      <c r="H42" s="2">
        <v>3</v>
      </c>
      <c r="I42" s="2">
        <v>292</v>
      </c>
      <c r="J42" s="2">
        <v>7</v>
      </c>
      <c r="K42" s="2">
        <v>1</v>
      </c>
      <c r="L42" s="2">
        <v>0.69799999999999995</v>
      </c>
      <c r="M42" s="2">
        <v>2</v>
      </c>
    </row>
    <row r="43" spans="1:15" ht="14.25" customHeight="1">
      <c r="A43" s="2">
        <v>3</v>
      </c>
      <c r="B43" s="2">
        <v>42</v>
      </c>
      <c r="C43" s="2">
        <v>5</v>
      </c>
      <c r="D43" s="2">
        <v>0</v>
      </c>
      <c r="E43" s="2">
        <v>1.5349999999999999</v>
      </c>
      <c r="F43" s="2">
        <v>1</v>
      </c>
      <c r="H43" s="2">
        <v>3</v>
      </c>
      <c r="I43" s="2">
        <v>293</v>
      </c>
      <c r="J43" s="2">
        <v>4</v>
      </c>
      <c r="K43" s="2">
        <v>1</v>
      </c>
      <c r="L43" s="2">
        <v>0.65200000000000002</v>
      </c>
      <c r="M43" s="2">
        <v>1</v>
      </c>
    </row>
    <row r="44" spans="1:15" ht="14.25" customHeight="1">
      <c r="A44" s="2">
        <v>3</v>
      </c>
      <c r="B44" s="2">
        <v>43</v>
      </c>
      <c r="C44" s="2">
        <v>7</v>
      </c>
      <c r="E44" s="2">
        <v>2.0009999999999999</v>
      </c>
      <c r="H44" s="2">
        <v>3</v>
      </c>
      <c r="I44" s="2">
        <v>294</v>
      </c>
      <c r="J44" s="2">
        <v>1</v>
      </c>
      <c r="K44" s="2">
        <v>1</v>
      </c>
      <c r="L44" s="2">
        <v>0.72599999999999998</v>
      </c>
      <c r="M44" s="2">
        <v>2</v>
      </c>
    </row>
    <row r="45" spans="1:15" ht="14.25" customHeight="1">
      <c r="A45" s="2">
        <v>3</v>
      </c>
      <c r="B45" s="2">
        <v>44</v>
      </c>
      <c r="C45" s="2">
        <v>6</v>
      </c>
      <c r="D45" s="2">
        <v>0</v>
      </c>
      <c r="E45" s="2">
        <v>1.3140000000000001</v>
      </c>
      <c r="F45" s="2">
        <v>1</v>
      </c>
      <c r="H45" s="2">
        <v>3</v>
      </c>
      <c r="I45" s="2">
        <v>295</v>
      </c>
      <c r="J45" s="2">
        <v>2</v>
      </c>
      <c r="K45" s="2">
        <v>1</v>
      </c>
      <c r="L45" s="2">
        <v>0.70899999999999996</v>
      </c>
      <c r="M45" s="2">
        <v>2</v>
      </c>
    </row>
    <row r="46" spans="1:15" ht="14.25" customHeight="1">
      <c r="A46" s="2">
        <v>3</v>
      </c>
      <c r="B46" s="2">
        <v>45</v>
      </c>
      <c r="C46" s="2">
        <v>5</v>
      </c>
      <c r="D46" s="2">
        <v>1</v>
      </c>
      <c r="E46" s="2">
        <v>0.79500000000000004</v>
      </c>
      <c r="F46" s="2">
        <v>2</v>
      </c>
      <c r="H46" s="2">
        <v>3</v>
      </c>
      <c r="I46" s="2">
        <v>296</v>
      </c>
      <c r="J46" s="2">
        <v>1</v>
      </c>
      <c r="K46" s="2">
        <v>1</v>
      </c>
      <c r="L46" s="2">
        <v>1.1890000000000001</v>
      </c>
      <c r="M46" s="2">
        <v>2</v>
      </c>
    </row>
    <row r="47" spans="1:15" ht="14.25" customHeight="1">
      <c r="A47" s="2">
        <v>3</v>
      </c>
      <c r="B47" s="2">
        <v>46</v>
      </c>
      <c r="C47" s="2">
        <v>3</v>
      </c>
      <c r="D47" s="2">
        <v>1</v>
      </c>
      <c r="E47" s="2">
        <v>1.792</v>
      </c>
      <c r="F47" s="2">
        <v>2</v>
      </c>
      <c r="H47" s="2">
        <v>3</v>
      </c>
      <c r="I47" s="2">
        <v>297</v>
      </c>
      <c r="J47" s="2">
        <v>8</v>
      </c>
      <c r="K47" s="2">
        <v>1</v>
      </c>
      <c r="L47" s="2">
        <v>0.73799999999999999</v>
      </c>
      <c r="M47" s="2">
        <v>2</v>
      </c>
    </row>
    <row r="48" spans="1:15" ht="14.25" customHeight="1">
      <c r="A48" s="2">
        <v>3</v>
      </c>
      <c r="B48" s="2">
        <v>47</v>
      </c>
      <c r="C48" s="2">
        <v>6</v>
      </c>
      <c r="D48" s="2">
        <v>0</v>
      </c>
      <c r="E48" s="2">
        <v>1.3640000000000001</v>
      </c>
      <c r="F48" s="2">
        <v>1</v>
      </c>
      <c r="H48" s="2">
        <v>3</v>
      </c>
      <c r="I48" s="2">
        <v>298</v>
      </c>
      <c r="J48" s="2">
        <v>3</v>
      </c>
      <c r="K48" s="2">
        <v>1</v>
      </c>
      <c r="L48" s="2">
        <v>1.3049999999999999</v>
      </c>
      <c r="M48" s="2">
        <v>2</v>
      </c>
    </row>
    <row r="49" spans="1:13" ht="14.25" customHeight="1">
      <c r="A49" s="2">
        <v>3</v>
      </c>
      <c r="B49" s="2">
        <v>48</v>
      </c>
      <c r="C49" s="2">
        <v>1</v>
      </c>
      <c r="D49" s="2">
        <v>0</v>
      </c>
      <c r="E49" s="2">
        <v>1.554</v>
      </c>
      <c r="F49" s="2">
        <v>1</v>
      </c>
      <c r="H49" s="2">
        <v>3</v>
      </c>
      <c r="I49" s="2">
        <v>299</v>
      </c>
      <c r="J49" s="2">
        <v>5</v>
      </c>
      <c r="K49" s="2">
        <v>0</v>
      </c>
      <c r="L49" s="2">
        <v>1.617</v>
      </c>
      <c r="M49" s="2">
        <v>2</v>
      </c>
    </row>
    <row r="50" spans="1:13" ht="14.25" customHeight="1">
      <c r="A50" s="2">
        <v>3</v>
      </c>
      <c r="B50" s="2">
        <v>49</v>
      </c>
      <c r="C50" s="2">
        <v>4</v>
      </c>
      <c r="D50" s="2">
        <v>0</v>
      </c>
      <c r="E50" s="2">
        <v>1.4319999999999999</v>
      </c>
      <c r="F50" s="2">
        <v>2</v>
      </c>
      <c r="H50" s="2">
        <v>3</v>
      </c>
      <c r="I50" s="2">
        <v>300</v>
      </c>
      <c r="J50" s="2">
        <v>6</v>
      </c>
      <c r="K50" s="2">
        <v>1</v>
      </c>
      <c r="L50" s="2">
        <v>0.68500000000000005</v>
      </c>
      <c r="M50" s="2">
        <v>1</v>
      </c>
    </row>
    <row r="51" spans="1:13" ht="14.25" customHeight="1">
      <c r="A51" s="2">
        <v>3</v>
      </c>
      <c r="B51" s="2">
        <v>50</v>
      </c>
      <c r="C51" s="2">
        <v>8</v>
      </c>
      <c r="D51" s="2">
        <v>0</v>
      </c>
      <c r="E51" s="2">
        <v>1.6990000000000001</v>
      </c>
      <c r="F51" s="2">
        <v>2</v>
      </c>
    </row>
    <row r="52" spans="1:13" ht="14.25" customHeight="1">
      <c r="A52" s="2">
        <v>3</v>
      </c>
      <c r="B52" s="2">
        <v>51</v>
      </c>
      <c r="C52" s="2">
        <v>1</v>
      </c>
      <c r="D52" s="2">
        <v>1</v>
      </c>
      <c r="E52" s="2">
        <v>1.1930000000000001</v>
      </c>
      <c r="F52" s="2">
        <v>1</v>
      </c>
    </row>
    <row r="53" spans="1:13" ht="14.25" customHeight="1">
      <c r="A53" s="2">
        <v>3</v>
      </c>
      <c r="B53" s="2">
        <v>52</v>
      </c>
      <c r="C53" s="2">
        <v>7</v>
      </c>
      <c r="D53" s="2">
        <v>1</v>
      </c>
      <c r="E53" s="2">
        <v>0.98099999999999998</v>
      </c>
      <c r="F53" s="2">
        <v>2</v>
      </c>
    </row>
    <row r="54" spans="1:13" ht="14.25" customHeight="1">
      <c r="A54" s="2">
        <v>3</v>
      </c>
      <c r="B54" s="2">
        <v>53</v>
      </c>
      <c r="C54" s="2">
        <v>5</v>
      </c>
      <c r="D54" s="2">
        <v>0</v>
      </c>
      <c r="E54" s="2">
        <v>1.355</v>
      </c>
      <c r="F54" s="2">
        <v>1</v>
      </c>
    </row>
    <row r="55" spans="1:13" ht="14.25" customHeight="1">
      <c r="A55" s="2">
        <v>3</v>
      </c>
      <c r="B55" s="2">
        <v>54</v>
      </c>
      <c r="C55" s="2">
        <v>1</v>
      </c>
      <c r="D55" s="2">
        <v>0</v>
      </c>
      <c r="E55" s="2">
        <v>0.51200000000000001</v>
      </c>
      <c r="F55" s="2">
        <v>2</v>
      </c>
    </row>
    <row r="56" spans="1:13" ht="14.25" customHeight="1">
      <c r="A56" s="2">
        <v>3</v>
      </c>
      <c r="B56" s="2">
        <v>55</v>
      </c>
      <c r="C56" s="2">
        <v>4</v>
      </c>
      <c r="D56" s="2">
        <v>1</v>
      </c>
      <c r="E56" s="2">
        <v>0.99299999999999999</v>
      </c>
      <c r="F56" s="2">
        <v>2</v>
      </c>
    </row>
    <row r="57" spans="1:13" ht="14.25" customHeight="1">
      <c r="A57" s="2">
        <v>3</v>
      </c>
      <c r="B57" s="2">
        <v>56</v>
      </c>
      <c r="C57" s="2">
        <v>7</v>
      </c>
      <c r="D57" s="2">
        <v>0</v>
      </c>
      <c r="E57" s="2">
        <v>0.58099999999999996</v>
      </c>
      <c r="F57" s="2">
        <v>1</v>
      </c>
    </row>
    <row r="58" spans="1:13" ht="14.25" customHeight="1">
      <c r="A58" s="2">
        <v>3</v>
      </c>
      <c r="B58" s="2">
        <v>57</v>
      </c>
      <c r="C58" s="2">
        <v>4</v>
      </c>
      <c r="D58" s="2">
        <v>0</v>
      </c>
      <c r="E58" s="2">
        <v>1.0349999999999999</v>
      </c>
      <c r="F58" s="2">
        <v>2</v>
      </c>
    </row>
    <row r="59" spans="1:13" ht="14.25" customHeight="1">
      <c r="A59" s="2">
        <v>3</v>
      </c>
      <c r="B59" s="2">
        <v>58</v>
      </c>
      <c r="C59" s="2">
        <v>7</v>
      </c>
      <c r="D59" s="2">
        <v>1</v>
      </c>
      <c r="E59" s="2">
        <v>1.07</v>
      </c>
      <c r="F59" s="2">
        <v>2</v>
      </c>
    </row>
    <row r="60" spans="1:13" ht="14.25" customHeight="1">
      <c r="A60" s="2">
        <v>3</v>
      </c>
      <c r="B60" s="2">
        <v>59</v>
      </c>
      <c r="C60" s="2">
        <v>1</v>
      </c>
      <c r="D60" s="2">
        <v>1</v>
      </c>
      <c r="E60" s="2">
        <v>0.91900000000000004</v>
      </c>
      <c r="F60" s="2">
        <v>1</v>
      </c>
    </row>
    <row r="61" spans="1:13" ht="14.25" customHeight="1">
      <c r="A61" s="2">
        <v>3</v>
      </c>
      <c r="B61" s="2">
        <v>60</v>
      </c>
      <c r="C61" s="2">
        <v>3</v>
      </c>
      <c r="D61" s="2">
        <v>1</v>
      </c>
      <c r="E61" s="2">
        <v>0.96799999999999997</v>
      </c>
      <c r="F61" s="2">
        <v>2</v>
      </c>
    </row>
    <row r="62" spans="1:13" ht="14.25" customHeight="1">
      <c r="A62" s="2">
        <v>3</v>
      </c>
      <c r="B62" s="2">
        <v>61</v>
      </c>
      <c r="C62" s="2">
        <v>7</v>
      </c>
      <c r="D62" s="2">
        <v>0</v>
      </c>
      <c r="E62" s="2">
        <v>0.66900000000000004</v>
      </c>
      <c r="F62" s="2">
        <v>1</v>
      </c>
    </row>
    <row r="63" spans="1:13" ht="14.25" customHeight="1">
      <c r="A63" s="2">
        <v>3</v>
      </c>
      <c r="B63" s="2">
        <v>62</v>
      </c>
      <c r="C63" s="2">
        <v>6</v>
      </c>
      <c r="D63" s="2">
        <v>1</v>
      </c>
      <c r="E63" s="2">
        <v>1.1339999999999999</v>
      </c>
      <c r="F63" s="2">
        <v>1</v>
      </c>
    </row>
    <row r="64" spans="1:13" ht="14.25" customHeight="1">
      <c r="A64" s="2">
        <v>3</v>
      </c>
      <c r="B64" s="2">
        <v>63</v>
      </c>
      <c r="C64" s="2">
        <v>8</v>
      </c>
      <c r="D64" s="2">
        <v>1</v>
      </c>
      <c r="E64" s="2">
        <v>0.97399999999999998</v>
      </c>
      <c r="F64" s="2">
        <v>2</v>
      </c>
    </row>
    <row r="65" spans="1:6" ht="14.25" customHeight="1">
      <c r="A65" s="2">
        <v>3</v>
      </c>
      <c r="B65" s="2">
        <v>64</v>
      </c>
      <c r="C65" s="2">
        <v>3</v>
      </c>
      <c r="D65" s="2">
        <v>1</v>
      </c>
      <c r="E65" s="2">
        <v>1.2749999999999999</v>
      </c>
      <c r="F65" s="2">
        <v>2</v>
      </c>
    </row>
    <row r="66" spans="1:6" ht="14.25" customHeight="1">
      <c r="A66" s="2">
        <v>3</v>
      </c>
      <c r="B66" s="2">
        <v>65</v>
      </c>
      <c r="C66" s="2">
        <v>2</v>
      </c>
      <c r="D66" s="2">
        <v>1</v>
      </c>
      <c r="E66" s="2">
        <v>1.276</v>
      </c>
      <c r="F66" s="2">
        <v>1</v>
      </c>
    </row>
    <row r="67" spans="1:6" ht="14.25" customHeight="1">
      <c r="A67" s="2">
        <v>3</v>
      </c>
      <c r="B67" s="2">
        <v>66</v>
      </c>
      <c r="C67" s="2">
        <v>4</v>
      </c>
      <c r="D67" s="2">
        <v>1</v>
      </c>
      <c r="E67" s="2">
        <v>1.03</v>
      </c>
      <c r="F67" s="2">
        <v>2</v>
      </c>
    </row>
    <row r="68" spans="1:6" ht="14.25" customHeight="1">
      <c r="A68" s="2">
        <v>3</v>
      </c>
      <c r="B68" s="2">
        <v>67</v>
      </c>
      <c r="C68" s="2">
        <v>7</v>
      </c>
      <c r="D68" s="2">
        <v>0</v>
      </c>
      <c r="E68" s="2">
        <v>1.0980000000000001</v>
      </c>
      <c r="F68" s="2">
        <v>2</v>
      </c>
    </row>
    <row r="69" spans="1:6" ht="14.25" customHeight="1">
      <c r="A69" s="2">
        <v>3</v>
      </c>
      <c r="B69" s="2">
        <v>68</v>
      </c>
      <c r="C69" s="2">
        <v>8</v>
      </c>
      <c r="D69" s="2">
        <v>0</v>
      </c>
      <c r="E69" s="2">
        <v>1.2410000000000001</v>
      </c>
      <c r="F69" s="2">
        <v>2</v>
      </c>
    </row>
    <row r="70" spans="1:6" ht="14.25" customHeight="1">
      <c r="A70" s="2">
        <v>3</v>
      </c>
      <c r="B70" s="2">
        <v>69</v>
      </c>
      <c r="C70" s="2">
        <v>2</v>
      </c>
      <c r="D70" s="2">
        <v>0</v>
      </c>
      <c r="E70" s="2">
        <v>0.92500000000000004</v>
      </c>
      <c r="F70" s="2">
        <v>2</v>
      </c>
    </row>
    <row r="71" spans="1:6" ht="14.25" customHeight="1">
      <c r="A71" s="2">
        <v>3</v>
      </c>
      <c r="B71" s="2">
        <v>70</v>
      </c>
      <c r="C71" s="2">
        <v>5</v>
      </c>
      <c r="D71" s="2">
        <v>0</v>
      </c>
      <c r="E71" s="2">
        <v>1.548</v>
      </c>
      <c r="F71" s="2">
        <v>1</v>
      </c>
    </row>
    <row r="72" spans="1:6" ht="14.25" customHeight="1">
      <c r="A72" s="2">
        <v>3</v>
      </c>
      <c r="B72" s="2">
        <v>71</v>
      </c>
      <c r="C72" s="2">
        <v>2</v>
      </c>
      <c r="D72" s="2">
        <v>0</v>
      </c>
      <c r="E72" s="2">
        <v>1.0029999999999999</v>
      </c>
      <c r="F72" s="2">
        <v>2</v>
      </c>
    </row>
    <row r="73" spans="1:6" ht="14.25" customHeight="1">
      <c r="A73" s="2">
        <v>3</v>
      </c>
      <c r="B73" s="2">
        <v>72</v>
      </c>
      <c r="C73" s="2">
        <v>3</v>
      </c>
      <c r="D73" s="2">
        <v>0</v>
      </c>
      <c r="E73" s="2">
        <v>1.43</v>
      </c>
      <c r="F73" s="2">
        <v>2</v>
      </c>
    </row>
    <row r="74" spans="1:6" ht="14.25" customHeight="1">
      <c r="A74" s="2">
        <v>3</v>
      </c>
      <c r="B74" s="2">
        <v>73</v>
      </c>
      <c r="C74" s="2">
        <v>6</v>
      </c>
      <c r="D74" s="2">
        <v>1</v>
      </c>
      <c r="E74" s="2">
        <v>1.474</v>
      </c>
      <c r="F74" s="2">
        <v>1</v>
      </c>
    </row>
    <row r="75" spans="1:6" ht="14.25" customHeight="1">
      <c r="A75" s="2">
        <v>3</v>
      </c>
      <c r="B75" s="2">
        <v>74</v>
      </c>
      <c r="C75" s="2">
        <v>1</v>
      </c>
      <c r="D75" s="2">
        <v>1</v>
      </c>
      <c r="E75" s="2">
        <v>1.179</v>
      </c>
      <c r="F75" s="2">
        <v>1</v>
      </c>
    </row>
    <row r="76" spans="1:6" ht="14.25" customHeight="1">
      <c r="A76" s="2">
        <v>3</v>
      </c>
      <c r="B76" s="2">
        <v>75</v>
      </c>
      <c r="C76" s="2">
        <v>2</v>
      </c>
      <c r="D76" s="2">
        <v>1</v>
      </c>
      <c r="E76" s="2">
        <v>1.577</v>
      </c>
      <c r="F76" s="2">
        <v>2</v>
      </c>
    </row>
    <row r="77" spans="1:6" ht="14.25" customHeight="1">
      <c r="A77" s="2">
        <v>3</v>
      </c>
      <c r="B77" s="2">
        <v>76</v>
      </c>
      <c r="C77" s="2">
        <v>8</v>
      </c>
      <c r="D77" s="2">
        <v>0</v>
      </c>
      <c r="E77" s="2">
        <v>1.35</v>
      </c>
      <c r="F77" s="2">
        <v>2</v>
      </c>
    </row>
    <row r="78" spans="1:6" ht="14.25" customHeight="1">
      <c r="A78" s="2">
        <v>3</v>
      </c>
      <c r="B78" s="2">
        <v>77</v>
      </c>
      <c r="C78" s="2">
        <v>4</v>
      </c>
      <c r="D78" s="2">
        <v>1</v>
      </c>
      <c r="E78" s="2">
        <v>1.508</v>
      </c>
      <c r="F78" s="2">
        <v>1</v>
      </c>
    </row>
    <row r="79" spans="1:6" ht="14.25" customHeight="1">
      <c r="A79" s="2">
        <v>3</v>
      </c>
      <c r="B79" s="2">
        <v>78</v>
      </c>
      <c r="C79" s="2">
        <v>2</v>
      </c>
      <c r="D79" s="2">
        <v>1</v>
      </c>
      <c r="E79" s="2">
        <v>1.1559999999999999</v>
      </c>
      <c r="F79" s="2">
        <v>1</v>
      </c>
    </row>
    <row r="80" spans="1:6" ht="14.25" customHeight="1">
      <c r="A80" s="2">
        <v>3</v>
      </c>
      <c r="B80" s="2">
        <v>79</v>
      </c>
      <c r="C80" s="2">
        <v>1</v>
      </c>
      <c r="E80" s="2">
        <v>2.0009999999999999</v>
      </c>
    </row>
    <row r="81" spans="1:6" ht="14.25" customHeight="1">
      <c r="A81" s="2">
        <v>3</v>
      </c>
      <c r="B81" s="2">
        <v>80</v>
      </c>
      <c r="C81" s="2">
        <v>5</v>
      </c>
      <c r="D81" s="2">
        <v>0</v>
      </c>
      <c r="E81" s="2">
        <v>0.73499999999999999</v>
      </c>
      <c r="F81" s="2">
        <v>2</v>
      </c>
    </row>
    <row r="82" spans="1:6" ht="14.25" customHeight="1">
      <c r="A82" s="2">
        <v>3</v>
      </c>
      <c r="B82" s="2">
        <v>81</v>
      </c>
      <c r="C82" s="2">
        <v>2</v>
      </c>
      <c r="D82" s="2">
        <v>1</v>
      </c>
      <c r="E82" s="2">
        <v>0.99</v>
      </c>
      <c r="F82" s="2">
        <v>1</v>
      </c>
    </row>
    <row r="83" spans="1:6" ht="14.25" customHeight="1">
      <c r="A83" s="2">
        <v>3</v>
      </c>
      <c r="B83" s="2">
        <v>82</v>
      </c>
      <c r="C83" s="2">
        <v>4</v>
      </c>
      <c r="D83" s="2">
        <v>0</v>
      </c>
      <c r="E83" s="2">
        <v>0.72199999999999998</v>
      </c>
      <c r="F83" s="2">
        <v>2</v>
      </c>
    </row>
    <row r="84" spans="1:6" ht="14.25" customHeight="1">
      <c r="A84" s="2">
        <v>3</v>
      </c>
      <c r="B84" s="2">
        <v>83</v>
      </c>
      <c r="C84" s="2">
        <v>3</v>
      </c>
      <c r="D84" s="2">
        <v>0</v>
      </c>
      <c r="E84" s="2">
        <v>1.554</v>
      </c>
      <c r="F84" s="2">
        <v>2</v>
      </c>
    </row>
    <row r="85" spans="1:6" ht="14.25" customHeight="1">
      <c r="A85" s="2">
        <v>3</v>
      </c>
      <c r="B85" s="2">
        <v>84</v>
      </c>
      <c r="C85" s="2">
        <v>5</v>
      </c>
      <c r="D85" s="2">
        <v>0</v>
      </c>
      <c r="E85" s="2">
        <v>1.4810000000000001</v>
      </c>
      <c r="F85" s="2">
        <v>2</v>
      </c>
    </row>
    <row r="86" spans="1:6" ht="14.25" customHeight="1">
      <c r="A86" s="2">
        <v>3</v>
      </c>
      <c r="B86" s="2">
        <v>85</v>
      </c>
      <c r="C86" s="2">
        <v>8</v>
      </c>
      <c r="D86" s="2">
        <v>0</v>
      </c>
      <c r="E86" s="2">
        <v>0.80200000000000005</v>
      </c>
      <c r="F86" s="2">
        <v>2</v>
      </c>
    </row>
    <row r="87" spans="1:6" ht="14.25" customHeight="1">
      <c r="A87" s="2">
        <v>3</v>
      </c>
      <c r="B87" s="2">
        <v>86</v>
      </c>
      <c r="C87" s="2">
        <v>1</v>
      </c>
      <c r="D87" s="2">
        <v>1</v>
      </c>
      <c r="E87" s="2">
        <v>1.454</v>
      </c>
      <c r="F87" s="2">
        <v>2</v>
      </c>
    </row>
    <row r="88" spans="1:6" ht="14.25" customHeight="1">
      <c r="A88" s="2">
        <v>3</v>
      </c>
      <c r="B88" s="2">
        <v>87</v>
      </c>
      <c r="C88" s="2">
        <v>3</v>
      </c>
      <c r="D88" s="2">
        <v>1</v>
      </c>
      <c r="E88" s="2">
        <v>1.44</v>
      </c>
      <c r="F88" s="2">
        <v>2</v>
      </c>
    </row>
    <row r="89" spans="1:6" ht="14.25" customHeight="1">
      <c r="A89" s="2">
        <v>3</v>
      </c>
      <c r="B89" s="2">
        <v>88</v>
      </c>
      <c r="C89" s="2">
        <v>8</v>
      </c>
      <c r="D89" s="2">
        <v>0</v>
      </c>
      <c r="E89" s="2">
        <v>1.643</v>
      </c>
      <c r="F89" s="2">
        <v>1</v>
      </c>
    </row>
    <row r="90" spans="1:6" ht="14.25" customHeight="1">
      <c r="A90" s="2">
        <v>3</v>
      </c>
      <c r="B90" s="2">
        <v>89</v>
      </c>
      <c r="C90" s="2">
        <v>5</v>
      </c>
      <c r="D90" s="2">
        <v>1</v>
      </c>
      <c r="E90" s="2">
        <v>1.294</v>
      </c>
      <c r="F90" s="2">
        <v>2</v>
      </c>
    </row>
    <row r="91" spans="1:6" ht="14.25" customHeight="1">
      <c r="A91" s="2">
        <v>3</v>
      </c>
      <c r="B91" s="2">
        <v>90</v>
      </c>
      <c r="C91" s="2">
        <v>6</v>
      </c>
      <c r="D91" s="2">
        <v>1</v>
      </c>
      <c r="E91" s="2">
        <v>1.454</v>
      </c>
      <c r="F91" s="2">
        <v>2</v>
      </c>
    </row>
    <row r="92" spans="1:6" ht="14.25" customHeight="1">
      <c r="A92" s="2">
        <v>3</v>
      </c>
      <c r="B92" s="2">
        <v>91</v>
      </c>
      <c r="C92" s="2">
        <v>8</v>
      </c>
      <c r="D92" s="2">
        <v>0</v>
      </c>
      <c r="E92" s="2">
        <v>1.4239999999999999</v>
      </c>
      <c r="F92" s="2">
        <v>2</v>
      </c>
    </row>
    <row r="93" spans="1:6" ht="14.25" customHeight="1">
      <c r="A93" s="2">
        <v>3</v>
      </c>
      <c r="B93" s="2">
        <v>92</v>
      </c>
      <c r="C93" s="2">
        <v>6</v>
      </c>
      <c r="D93" s="2">
        <v>1</v>
      </c>
      <c r="E93" s="2">
        <v>1.1240000000000001</v>
      </c>
      <c r="F93" s="2">
        <v>2</v>
      </c>
    </row>
    <row r="94" spans="1:6" ht="14.25" customHeight="1">
      <c r="A94" s="2">
        <v>3</v>
      </c>
      <c r="B94" s="2">
        <v>93</v>
      </c>
      <c r="C94" s="2">
        <v>4</v>
      </c>
      <c r="D94" s="2">
        <v>1</v>
      </c>
      <c r="E94" s="2">
        <v>1.619</v>
      </c>
      <c r="F94" s="2">
        <v>1</v>
      </c>
    </row>
    <row r="95" spans="1:6" ht="14.25" customHeight="1">
      <c r="A95" s="2">
        <v>3</v>
      </c>
      <c r="B95" s="2">
        <v>94</v>
      </c>
      <c r="C95" s="2">
        <v>6</v>
      </c>
      <c r="D95" s="2">
        <v>1</v>
      </c>
      <c r="E95" s="2">
        <v>1.5509999999999999</v>
      </c>
      <c r="F95" s="2">
        <v>2</v>
      </c>
    </row>
    <row r="96" spans="1:6" ht="14.25" customHeight="1">
      <c r="A96" s="2">
        <v>3</v>
      </c>
      <c r="B96" s="2">
        <v>95</v>
      </c>
      <c r="C96" s="2">
        <v>5</v>
      </c>
      <c r="D96" s="2">
        <v>1</v>
      </c>
      <c r="E96" s="2">
        <v>1.0529999999999999</v>
      </c>
      <c r="F96" s="2">
        <v>2</v>
      </c>
    </row>
    <row r="97" spans="1:6" ht="14.25" customHeight="1">
      <c r="A97" s="2">
        <v>3</v>
      </c>
      <c r="B97" s="2">
        <v>96</v>
      </c>
      <c r="C97" s="2">
        <v>7</v>
      </c>
      <c r="D97" s="2">
        <v>0</v>
      </c>
      <c r="E97" s="2">
        <v>1.5349999999999999</v>
      </c>
      <c r="F97" s="2">
        <v>1</v>
      </c>
    </row>
    <row r="98" spans="1:6" ht="14.25" customHeight="1">
      <c r="A98" s="2">
        <v>3</v>
      </c>
      <c r="B98" s="2">
        <v>97</v>
      </c>
      <c r="C98" s="2">
        <v>6</v>
      </c>
      <c r="D98" s="2">
        <v>1</v>
      </c>
      <c r="E98" s="2">
        <v>1.855</v>
      </c>
      <c r="F98" s="2">
        <v>2</v>
      </c>
    </row>
    <row r="99" spans="1:6" ht="14.25" customHeight="1">
      <c r="A99" s="2">
        <v>3</v>
      </c>
      <c r="B99" s="2">
        <v>98</v>
      </c>
      <c r="C99" s="2">
        <v>8</v>
      </c>
      <c r="D99" s="2">
        <v>1</v>
      </c>
      <c r="E99" s="2">
        <v>1.681</v>
      </c>
      <c r="F99" s="2">
        <v>2</v>
      </c>
    </row>
    <row r="100" spans="1:6" ht="14.25" customHeight="1">
      <c r="A100" s="2">
        <v>3</v>
      </c>
      <c r="B100" s="2">
        <v>99</v>
      </c>
      <c r="C100" s="2">
        <v>3</v>
      </c>
      <c r="D100" s="2">
        <v>1</v>
      </c>
      <c r="E100" s="2">
        <v>1.514</v>
      </c>
      <c r="F100" s="2">
        <v>1</v>
      </c>
    </row>
    <row r="101" spans="1:6" ht="14.25" customHeight="1">
      <c r="A101" s="2">
        <v>3</v>
      </c>
      <c r="B101" s="2">
        <v>100</v>
      </c>
      <c r="C101" s="2">
        <v>2</v>
      </c>
      <c r="D101" s="2">
        <v>1</v>
      </c>
      <c r="E101" s="2">
        <v>1.6419999999999999</v>
      </c>
      <c r="F101" s="2">
        <v>1</v>
      </c>
    </row>
    <row r="102" spans="1:6" ht="14.25" customHeight="1">
      <c r="A102" s="2">
        <v>3</v>
      </c>
      <c r="B102" s="2">
        <v>101</v>
      </c>
      <c r="C102" s="2">
        <v>5</v>
      </c>
      <c r="D102" s="2">
        <v>1</v>
      </c>
      <c r="E102" s="2">
        <v>1.2989999999999999</v>
      </c>
      <c r="F102" s="2">
        <v>1</v>
      </c>
    </row>
    <row r="103" spans="1:6" ht="14.25" customHeight="1">
      <c r="A103" s="2">
        <v>3</v>
      </c>
      <c r="B103" s="2">
        <v>102</v>
      </c>
      <c r="C103" s="2">
        <v>2</v>
      </c>
      <c r="D103" s="2">
        <v>1</v>
      </c>
      <c r="E103" s="2">
        <v>1.6439999999999999</v>
      </c>
      <c r="F103" s="2">
        <v>2</v>
      </c>
    </row>
    <row r="104" spans="1:6" ht="14.25" customHeight="1">
      <c r="A104" s="2">
        <v>3</v>
      </c>
      <c r="B104" s="2">
        <v>103</v>
      </c>
      <c r="C104" s="2">
        <v>8</v>
      </c>
      <c r="D104" s="2">
        <v>1</v>
      </c>
      <c r="E104" s="2">
        <v>1.167</v>
      </c>
      <c r="F104" s="2">
        <v>2</v>
      </c>
    </row>
    <row r="105" spans="1:6" ht="14.25" customHeight="1">
      <c r="A105" s="2">
        <v>3</v>
      </c>
      <c r="B105" s="2">
        <v>104</v>
      </c>
      <c r="C105" s="2">
        <v>4</v>
      </c>
      <c r="D105" s="2">
        <v>1</v>
      </c>
      <c r="E105" s="2">
        <v>1.4450000000000001</v>
      </c>
      <c r="F105" s="2">
        <v>1</v>
      </c>
    </row>
    <row r="106" spans="1:6" ht="14.25" customHeight="1">
      <c r="A106" s="2">
        <v>3</v>
      </c>
      <c r="B106" s="2">
        <v>105</v>
      </c>
      <c r="C106" s="2">
        <v>1</v>
      </c>
      <c r="D106" s="2">
        <v>1</v>
      </c>
      <c r="E106" s="2">
        <v>1.24</v>
      </c>
      <c r="F106" s="2">
        <v>2</v>
      </c>
    </row>
    <row r="107" spans="1:6" ht="14.25" customHeight="1">
      <c r="A107" s="2">
        <v>3</v>
      </c>
      <c r="B107" s="2">
        <v>106</v>
      </c>
      <c r="C107" s="2">
        <v>6</v>
      </c>
      <c r="D107" s="2">
        <v>0</v>
      </c>
      <c r="E107" s="2">
        <v>1.794</v>
      </c>
      <c r="F107" s="2">
        <v>1</v>
      </c>
    </row>
    <row r="108" spans="1:6" ht="14.25" customHeight="1">
      <c r="A108" s="2">
        <v>3</v>
      </c>
      <c r="B108" s="2">
        <v>107</v>
      </c>
      <c r="C108" s="2">
        <v>5</v>
      </c>
      <c r="D108" s="2">
        <v>0</v>
      </c>
      <c r="E108" s="2">
        <v>1.143</v>
      </c>
      <c r="F108" s="2">
        <v>2</v>
      </c>
    </row>
    <row r="109" spans="1:6" ht="14.25" customHeight="1">
      <c r="A109" s="2">
        <v>3</v>
      </c>
      <c r="B109" s="2">
        <v>108</v>
      </c>
      <c r="C109" s="2">
        <v>6</v>
      </c>
      <c r="D109" s="2">
        <v>1</v>
      </c>
      <c r="E109" s="2">
        <v>1.0529999999999999</v>
      </c>
      <c r="F109" s="2">
        <v>2</v>
      </c>
    </row>
    <row r="110" spans="1:6" ht="14.25" customHeight="1">
      <c r="A110" s="2">
        <v>3</v>
      </c>
      <c r="B110" s="2">
        <v>109</v>
      </c>
      <c r="C110" s="2">
        <v>4</v>
      </c>
      <c r="D110" s="2">
        <v>1</v>
      </c>
      <c r="E110" s="2">
        <v>1.8</v>
      </c>
      <c r="F110" s="2">
        <v>1</v>
      </c>
    </row>
    <row r="111" spans="1:6" ht="14.25" customHeight="1">
      <c r="A111" s="2">
        <v>3</v>
      </c>
      <c r="B111" s="2">
        <v>110</v>
      </c>
      <c r="C111" s="2">
        <v>7</v>
      </c>
      <c r="D111" s="2">
        <v>1</v>
      </c>
      <c r="E111" s="2">
        <v>0.996</v>
      </c>
      <c r="F111" s="2">
        <v>2</v>
      </c>
    </row>
    <row r="112" spans="1:6" ht="14.25" customHeight="1">
      <c r="A112" s="2">
        <v>3</v>
      </c>
      <c r="B112" s="2">
        <v>111</v>
      </c>
      <c r="C112" s="2">
        <v>1</v>
      </c>
      <c r="D112" s="2">
        <v>0</v>
      </c>
      <c r="E112" s="2">
        <v>1.68</v>
      </c>
      <c r="F112" s="2">
        <v>1</v>
      </c>
    </row>
    <row r="113" spans="1:6" ht="14.25" customHeight="1">
      <c r="A113" s="2">
        <v>3</v>
      </c>
      <c r="B113" s="2">
        <v>112</v>
      </c>
      <c r="C113" s="2">
        <v>3</v>
      </c>
      <c r="D113" s="2">
        <v>0</v>
      </c>
      <c r="E113" s="2">
        <v>1.5289999999999999</v>
      </c>
      <c r="F113" s="2">
        <v>2</v>
      </c>
    </row>
    <row r="114" spans="1:6" ht="14.25" customHeight="1">
      <c r="A114" s="2">
        <v>3</v>
      </c>
      <c r="B114" s="2">
        <v>113</v>
      </c>
      <c r="C114" s="2">
        <v>8</v>
      </c>
      <c r="D114" s="2">
        <v>1</v>
      </c>
      <c r="E114" s="2">
        <v>0.752</v>
      </c>
      <c r="F114" s="2">
        <v>2</v>
      </c>
    </row>
    <row r="115" spans="1:6" ht="14.25" customHeight="1">
      <c r="A115" s="2">
        <v>3</v>
      </c>
      <c r="B115" s="2">
        <v>114</v>
      </c>
      <c r="C115" s="2">
        <v>6</v>
      </c>
      <c r="D115" s="2">
        <v>1</v>
      </c>
      <c r="E115" s="2">
        <v>1.0389999999999999</v>
      </c>
      <c r="F115" s="2">
        <v>2</v>
      </c>
    </row>
    <row r="116" spans="1:6" ht="14.25" customHeight="1">
      <c r="A116" s="2">
        <v>3</v>
      </c>
      <c r="B116" s="2">
        <v>115</v>
      </c>
      <c r="C116" s="2">
        <v>5</v>
      </c>
      <c r="D116" s="2">
        <v>1</v>
      </c>
      <c r="E116" s="2">
        <v>1.329</v>
      </c>
      <c r="F116" s="2">
        <v>1</v>
      </c>
    </row>
    <row r="117" spans="1:6" ht="14.25" customHeight="1">
      <c r="A117" s="2">
        <v>3</v>
      </c>
      <c r="B117" s="2">
        <v>116</v>
      </c>
      <c r="C117" s="2">
        <v>2</v>
      </c>
      <c r="D117" s="2">
        <v>1</v>
      </c>
      <c r="E117" s="2">
        <v>1.296</v>
      </c>
      <c r="F117" s="2">
        <v>2</v>
      </c>
    </row>
    <row r="118" spans="1:6" ht="14.25" customHeight="1">
      <c r="A118" s="2">
        <v>3</v>
      </c>
      <c r="B118" s="2">
        <v>117</v>
      </c>
      <c r="C118" s="2">
        <v>4</v>
      </c>
      <c r="D118" s="2">
        <v>0</v>
      </c>
      <c r="E118" s="2">
        <v>1.2809999999999999</v>
      </c>
      <c r="F118" s="2">
        <v>2</v>
      </c>
    </row>
    <row r="119" spans="1:6" ht="14.25" customHeight="1">
      <c r="A119" s="2">
        <v>3</v>
      </c>
      <c r="B119" s="2">
        <v>118</v>
      </c>
      <c r="C119" s="2">
        <v>8</v>
      </c>
      <c r="D119" s="2">
        <v>1</v>
      </c>
      <c r="E119" s="2">
        <v>1.786</v>
      </c>
      <c r="F119" s="2">
        <v>1</v>
      </c>
    </row>
    <row r="120" spans="1:6" ht="14.25" customHeight="1">
      <c r="A120" s="2">
        <v>3</v>
      </c>
      <c r="B120" s="2">
        <v>119</v>
      </c>
      <c r="C120" s="2">
        <v>2</v>
      </c>
      <c r="D120" s="2">
        <v>1</v>
      </c>
      <c r="E120" s="2">
        <v>1.2230000000000001</v>
      </c>
      <c r="F120" s="2">
        <v>1</v>
      </c>
    </row>
    <row r="121" spans="1:6" ht="14.25" customHeight="1">
      <c r="A121" s="2">
        <v>3</v>
      </c>
      <c r="B121" s="2">
        <v>120</v>
      </c>
      <c r="C121" s="2">
        <v>3</v>
      </c>
      <c r="D121" s="2">
        <v>0</v>
      </c>
      <c r="E121" s="2">
        <v>0.874</v>
      </c>
      <c r="F121" s="2">
        <v>1</v>
      </c>
    </row>
    <row r="122" spans="1:6" ht="14.25" customHeight="1">
      <c r="A122" s="2">
        <v>3</v>
      </c>
      <c r="B122" s="2">
        <v>121</v>
      </c>
      <c r="C122" s="2">
        <v>6</v>
      </c>
      <c r="D122" s="2">
        <v>0</v>
      </c>
      <c r="E122" s="2">
        <v>0.85199999999999998</v>
      </c>
      <c r="F122" s="2">
        <v>2</v>
      </c>
    </row>
    <row r="123" spans="1:6" ht="14.25" customHeight="1">
      <c r="A123" s="2">
        <v>3</v>
      </c>
      <c r="B123" s="2">
        <v>122</v>
      </c>
      <c r="C123" s="2">
        <v>7</v>
      </c>
      <c r="D123" s="2">
        <v>1</v>
      </c>
      <c r="E123" s="2">
        <v>1.35</v>
      </c>
      <c r="F123" s="2">
        <v>1</v>
      </c>
    </row>
    <row r="124" spans="1:6" ht="14.25" customHeight="1">
      <c r="A124" s="2">
        <v>3</v>
      </c>
      <c r="B124" s="2">
        <v>123</v>
      </c>
      <c r="C124" s="2">
        <v>8</v>
      </c>
      <c r="D124" s="2">
        <v>1</v>
      </c>
      <c r="E124" s="2">
        <v>1.7090000000000001</v>
      </c>
      <c r="F124" s="2">
        <v>1</v>
      </c>
    </row>
    <row r="125" spans="1:6" ht="14.25" customHeight="1">
      <c r="A125" s="2">
        <v>3</v>
      </c>
      <c r="B125" s="2">
        <v>124</v>
      </c>
      <c r="C125" s="2">
        <v>5</v>
      </c>
      <c r="D125" s="2">
        <v>1</v>
      </c>
      <c r="E125" s="2">
        <v>1.5649999999999999</v>
      </c>
      <c r="F125" s="2">
        <v>1</v>
      </c>
    </row>
    <row r="126" spans="1:6" ht="14.25" customHeight="1">
      <c r="A126" s="2">
        <v>3</v>
      </c>
      <c r="B126" s="2">
        <v>125</v>
      </c>
      <c r="C126" s="2">
        <v>7</v>
      </c>
      <c r="D126" s="2">
        <v>1</v>
      </c>
      <c r="E126" s="2">
        <v>0.34599999999999997</v>
      </c>
      <c r="F126" s="2">
        <v>2</v>
      </c>
    </row>
    <row r="127" spans="1:6" ht="14.25" customHeight="1">
      <c r="A127" s="2">
        <v>3</v>
      </c>
      <c r="B127" s="2">
        <v>126</v>
      </c>
      <c r="C127" s="2">
        <v>6</v>
      </c>
      <c r="D127" s="2">
        <v>1</v>
      </c>
      <c r="E127" s="2">
        <v>1.2649999999999999</v>
      </c>
      <c r="F127" s="2">
        <v>1</v>
      </c>
    </row>
    <row r="128" spans="1:6" ht="14.25" customHeight="1">
      <c r="A128" s="2">
        <v>3</v>
      </c>
      <c r="B128" s="2">
        <v>127</v>
      </c>
      <c r="C128" s="2">
        <v>5</v>
      </c>
      <c r="D128" s="2">
        <v>1</v>
      </c>
      <c r="E128" s="2">
        <v>1.427</v>
      </c>
      <c r="F128" s="2">
        <v>1</v>
      </c>
    </row>
    <row r="129" spans="1:6" ht="14.25" customHeight="1">
      <c r="A129" s="2">
        <v>3</v>
      </c>
      <c r="B129" s="2">
        <v>128</v>
      </c>
      <c r="C129" s="2">
        <v>3</v>
      </c>
      <c r="D129" s="2">
        <v>1</v>
      </c>
      <c r="E129" s="2">
        <v>1.67</v>
      </c>
      <c r="F129" s="2">
        <v>1</v>
      </c>
    </row>
    <row r="130" spans="1:6" ht="14.25" customHeight="1">
      <c r="A130" s="2">
        <v>3</v>
      </c>
      <c r="B130" s="2">
        <v>129</v>
      </c>
      <c r="C130" s="2">
        <v>1</v>
      </c>
      <c r="D130" s="2">
        <v>1</v>
      </c>
      <c r="E130" s="2">
        <v>1.8720000000000001</v>
      </c>
      <c r="F130" s="2">
        <v>2</v>
      </c>
    </row>
    <row r="131" spans="1:6" ht="14.25" customHeight="1">
      <c r="A131" s="2">
        <v>3</v>
      </c>
      <c r="B131" s="2">
        <v>130</v>
      </c>
      <c r="C131" s="2">
        <v>3</v>
      </c>
      <c r="D131" s="2">
        <v>1</v>
      </c>
      <c r="E131" s="2">
        <v>1.0980000000000001</v>
      </c>
      <c r="F131" s="2">
        <v>1</v>
      </c>
    </row>
    <row r="132" spans="1:6" ht="14.25" customHeight="1">
      <c r="A132" s="2">
        <v>3</v>
      </c>
      <c r="B132" s="2">
        <v>131</v>
      </c>
      <c r="C132" s="2">
        <v>6</v>
      </c>
      <c r="D132" s="2">
        <v>1</v>
      </c>
      <c r="E132" s="2">
        <v>1.1779999999999999</v>
      </c>
      <c r="F132" s="2">
        <v>1</v>
      </c>
    </row>
    <row r="133" spans="1:6" ht="14.25" customHeight="1">
      <c r="A133" s="2">
        <v>3</v>
      </c>
      <c r="B133" s="2">
        <v>132</v>
      </c>
      <c r="C133" s="2">
        <v>4</v>
      </c>
      <c r="E133" s="2">
        <v>2</v>
      </c>
    </row>
    <row r="134" spans="1:6" ht="14.25" customHeight="1">
      <c r="A134" s="2">
        <v>3</v>
      </c>
      <c r="B134" s="2">
        <v>133</v>
      </c>
      <c r="C134" s="2">
        <v>1</v>
      </c>
      <c r="D134" s="2">
        <v>1</v>
      </c>
      <c r="E134" s="2">
        <v>0.94799999999999995</v>
      </c>
      <c r="F134" s="2">
        <v>1</v>
      </c>
    </row>
    <row r="135" spans="1:6" ht="14.25" customHeight="1">
      <c r="A135" s="2">
        <v>3</v>
      </c>
      <c r="B135" s="2">
        <v>134</v>
      </c>
      <c r="C135" s="2">
        <v>4</v>
      </c>
      <c r="D135" s="2">
        <v>1</v>
      </c>
      <c r="E135" s="2">
        <v>1.147</v>
      </c>
      <c r="F135" s="2">
        <v>1</v>
      </c>
    </row>
    <row r="136" spans="1:6" ht="14.25" customHeight="1">
      <c r="A136" s="2">
        <v>3</v>
      </c>
      <c r="B136" s="2">
        <v>135</v>
      </c>
      <c r="C136" s="2">
        <v>1</v>
      </c>
      <c r="D136" s="2">
        <v>1</v>
      </c>
      <c r="E136" s="2">
        <v>1.25</v>
      </c>
      <c r="F136" s="2">
        <v>1</v>
      </c>
    </row>
    <row r="137" spans="1:6" ht="14.25" customHeight="1">
      <c r="A137" s="2">
        <v>3</v>
      </c>
      <c r="B137" s="2">
        <v>136</v>
      </c>
      <c r="C137" s="2">
        <v>8</v>
      </c>
      <c r="D137" s="2">
        <v>0</v>
      </c>
      <c r="E137" s="2">
        <v>1.9</v>
      </c>
      <c r="F137" s="2">
        <v>1</v>
      </c>
    </row>
    <row r="138" spans="1:6" ht="14.25" customHeight="1">
      <c r="A138" s="2">
        <v>3</v>
      </c>
      <c r="B138" s="2">
        <v>137</v>
      </c>
      <c r="C138" s="2">
        <v>7</v>
      </c>
      <c r="D138" s="2">
        <v>1</v>
      </c>
      <c r="E138" s="2">
        <v>1.0609999999999999</v>
      </c>
      <c r="F138" s="2">
        <v>2</v>
      </c>
    </row>
    <row r="139" spans="1:6" ht="14.25" customHeight="1">
      <c r="A139" s="2">
        <v>3</v>
      </c>
      <c r="B139" s="2">
        <v>138</v>
      </c>
      <c r="C139" s="2">
        <v>3</v>
      </c>
      <c r="D139" s="2">
        <v>1</v>
      </c>
      <c r="E139" s="2">
        <v>0.94399999999999995</v>
      </c>
      <c r="F139" s="2">
        <v>2</v>
      </c>
    </row>
    <row r="140" spans="1:6" ht="14.25" customHeight="1">
      <c r="A140" s="2">
        <v>3</v>
      </c>
      <c r="B140" s="2">
        <v>139</v>
      </c>
      <c r="C140" s="2">
        <v>4</v>
      </c>
      <c r="D140" s="2">
        <v>1</v>
      </c>
      <c r="E140" s="2">
        <v>0.78200000000000003</v>
      </c>
      <c r="F140" s="2">
        <v>2</v>
      </c>
    </row>
    <row r="141" spans="1:6" ht="14.25" customHeight="1">
      <c r="A141" s="2">
        <v>3</v>
      </c>
      <c r="B141" s="2">
        <v>140</v>
      </c>
      <c r="C141" s="2">
        <v>2</v>
      </c>
      <c r="D141" s="2">
        <v>1</v>
      </c>
      <c r="E141" s="2">
        <v>1.419</v>
      </c>
      <c r="F141" s="2">
        <v>2</v>
      </c>
    </row>
    <row r="142" spans="1:6" ht="14.25" customHeight="1">
      <c r="A142" s="2">
        <v>3</v>
      </c>
      <c r="B142" s="2">
        <v>141</v>
      </c>
      <c r="C142" s="2">
        <v>8</v>
      </c>
      <c r="D142" s="2">
        <v>0</v>
      </c>
      <c r="E142" s="2">
        <v>1.319</v>
      </c>
      <c r="F142" s="2">
        <v>2</v>
      </c>
    </row>
    <row r="143" spans="1:6" ht="14.25" customHeight="1">
      <c r="A143" s="2">
        <v>3</v>
      </c>
      <c r="B143" s="2">
        <v>142</v>
      </c>
      <c r="C143" s="2">
        <v>2</v>
      </c>
      <c r="D143" s="2">
        <v>1</v>
      </c>
      <c r="E143" s="2">
        <v>1.7829999999999999</v>
      </c>
      <c r="F143" s="2">
        <v>2</v>
      </c>
    </row>
    <row r="144" spans="1:6" ht="14.25" customHeight="1">
      <c r="A144" s="2">
        <v>3</v>
      </c>
      <c r="B144" s="2">
        <v>143</v>
      </c>
      <c r="C144" s="2">
        <v>7</v>
      </c>
      <c r="D144" s="2">
        <v>1</v>
      </c>
      <c r="E144" s="2">
        <v>0.90800000000000003</v>
      </c>
      <c r="F144" s="2">
        <v>1</v>
      </c>
    </row>
    <row r="145" spans="1:6" ht="14.25" customHeight="1">
      <c r="A145" s="2">
        <v>3</v>
      </c>
      <c r="B145" s="2">
        <v>144</v>
      </c>
      <c r="C145" s="2">
        <v>5</v>
      </c>
      <c r="D145" s="2">
        <v>1</v>
      </c>
      <c r="E145" s="2">
        <v>1.292</v>
      </c>
      <c r="F145" s="2">
        <v>2</v>
      </c>
    </row>
    <row r="146" spans="1:6" ht="14.25" customHeight="1">
      <c r="A146" s="2">
        <v>3</v>
      </c>
      <c r="B146" s="2">
        <v>145</v>
      </c>
      <c r="C146" s="2">
        <v>2</v>
      </c>
      <c r="D146" s="2">
        <v>1</v>
      </c>
      <c r="E146" s="2">
        <v>1.0129999999999999</v>
      </c>
      <c r="F146" s="2">
        <v>2</v>
      </c>
    </row>
    <row r="147" spans="1:6" ht="14.25" customHeight="1">
      <c r="A147" s="2">
        <v>3</v>
      </c>
      <c r="B147" s="2">
        <v>146</v>
      </c>
      <c r="C147" s="2">
        <v>1</v>
      </c>
      <c r="D147" s="2">
        <v>0</v>
      </c>
      <c r="E147" s="2">
        <v>1.3280000000000001</v>
      </c>
      <c r="F147" s="2">
        <v>1</v>
      </c>
    </row>
    <row r="148" spans="1:6" ht="14.25" customHeight="1">
      <c r="A148" s="2">
        <v>3</v>
      </c>
      <c r="B148" s="2">
        <v>147</v>
      </c>
      <c r="C148" s="2">
        <v>8</v>
      </c>
      <c r="D148" s="2">
        <v>1</v>
      </c>
      <c r="E148" s="2">
        <v>1.44</v>
      </c>
      <c r="F148" s="2">
        <v>2</v>
      </c>
    </row>
    <row r="149" spans="1:6" ht="14.25" customHeight="1">
      <c r="A149" s="2">
        <v>3</v>
      </c>
      <c r="B149" s="2">
        <v>148</v>
      </c>
      <c r="C149" s="2">
        <v>7</v>
      </c>
      <c r="D149" s="2">
        <v>1</v>
      </c>
      <c r="E149" s="2">
        <v>1.5780000000000001</v>
      </c>
      <c r="F149" s="2">
        <v>2</v>
      </c>
    </row>
    <row r="150" spans="1:6" ht="14.25" customHeight="1">
      <c r="A150" s="2">
        <v>3</v>
      </c>
      <c r="B150" s="2">
        <v>149</v>
      </c>
      <c r="C150" s="2">
        <v>3</v>
      </c>
      <c r="D150" s="2">
        <v>1</v>
      </c>
      <c r="E150" s="2">
        <v>1.464</v>
      </c>
      <c r="F150" s="2">
        <v>1</v>
      </c>
    </row>
    <row r="151" spans="1:6" ht="14.25" customHeight="1">
      <c r="A151" s="2">
        <v>3</v>
      </c>
      <c r="B151" s="2">
        <v>150</v>
      </c>
      <c r="C151" s="2">
        <v>2</v>
      </c>
      <c r="D151" s="2">
        <v>1</v>
      </c>
      <c r="E151" s="2">
        <v>1.091</v>
      </c>
      <c r="F151" s="2">
        <v>1</v>
      </c>
    </row>
    <row r="152" spans="1:6" ht="14.25" customHeight="1">
      <c r="A152" s="2">
        <v>3</v>
      </c>
      <c r="B152" s="2">
        <v>151</v>
      </c>
      <c r="C152" s="2">
        <v>4</v>
      </c>
      <c r="D152" s="2">
        <v>1</v>
      </c>
      <c r="E152" s="2">
        <v>1.2410000000000001</v>
      </c>
      <c r="F152" s="2">
        <v>1</v>
      </c>
    </row>
    <row r="153" spans="1:6" ht="14.25" customHeight="1">
      <c r="A153" s="2">
        <v>3</v>
      </c>
      <c r="B153" s="2">
        <v>152</v>
      </c>
      <c r="C153" s="2">
        <v>8</v>
      </c>
      <c r="D153" s="2">
        <v>0</v>
      </c>
      <c r="E153" s="2">
        <v>1.38</v>
      </c>
      <c r="F153" s="2">
        <v>1</v>
      </c>
    </row>
    <row r="154" spans="1:6" ht="14.25" customHeight="1">
      <c r="A154" s="2">
        <v>3</v>
      </c>
      <c r="B154" s="2">
        <v>153</v>
      </c>
      <c r="C154" s="2">
        <v>7</v>
      </c>
      <c r="D154" s="2">
        <v>1</v>
      </c>
      <c r="E154" s="2">
        <v>0.96899999999999997</v>
      </c>
      <c r="F154" s="2">
        <v>2</v>
      </c>
    </row>
    <row r="155" spans="1:6" ht="14.25" customHeight="1">
      <c r="A155" s="2">
        <v>3</v>
      </c>
      <c r="B155" s="2">
        <v>154</v>
      </c>
      <c r="C155" s="2">
        <v>4</v>
      </c>
      <c r="D155" s="2">
        <v>1</v>
      </c>
      <c r="E155" s="2">
        <v>1.31</v>
      </c>
      <c r="F155" s="2">
        <v>1</v>
      </c>
    </row>
    <row r="156" spans="1:6" ht="14.25" customHeight="1">
      <c r="A156" s="2">
        <v>3</v>
      </c>
      <c r="B156" s="2">
        <v>155</v>
      </c>
      <c r="C156" s="2">
        <v>2</v>
      </c>
      <c r="D156" s="2">
        <v>1</v>
      </c>
      <c r="E156" s="2">
        <v>1.2070000000000001</v>
      </c>
      <c r="F156" s="2">
        <v>2</v>
      </c>
    </row>
    <row r="157" spans="1:6" ht="14.25" customHeight="1">
      <c r="A157" s="2">
        <v>3</v>
      </c>
      <c r="B157" s="2">
        <v>156</v>
      </c>
      <c r="C157" s="2">
        <v>7</v>
      </c>
      <c r="D157" s="2">
        <v>0</v>
      </c>
      <c r="E157" s="2">
        <v>1.3380000000000001</v>
      </c>
      <c r="F157" s="2">
        <v>1</v>
      </c>
    </row>
    <row r="158" spans="1:6" ht="14.25" customHeight="1">
      <c r="A158" s="2">
        <v>3</v>
      </c>
      <c r="B158" s="2">
        <v>157</v>
      </c>
      <c r="C158" s="2">
        <v>4</v>
      </c>
      <c r="D158" s="2">
        <v>0</v>
      </c>
      <c r="E158" s="2">
        <v>1.417</v>
      </c>
      <c r="F158" s="2">
        <v>2</v>
      </c>
    </row>
    <row r="159" spans="1:6" ht="14.25" customHeight="1">
      <c r="A159" s="2">
        <v>3</v>
      </c>
      <c r="B159" s="2">
        <v>158</v>
      </c>
      <c r="C159" s="2">
        <v>2</v>
      </c>
      <c r="D159" s="2">
        <v>1</v>
      </c>
      <c r="E159" s="2">
        <v>0.90100000000000002</v>
      </c>
      <c r="F159" s="2">
        <v>2</v>
      </c>
    </row>
    <row r="160" spans="1:6" ht="14.25" customHeight="1">
      <c r="A160" s="2">
        <v>3</v>
      </c>
      <c r="B160" s="2">
        <v>159</v>
      </c>
      <c r="C160" s="2">
        <v>3</v>
      </c>
      <c r="D160" s="2">
        <v>1</v>
      </c>
      <c r="E160" s="2">
        <v>1.1579999999999999</v>
      </c>
      <c r="F160" s="2">
        <v>1</v>
      </c>
    </row>
    <row r="161" spans="1:6" ht="14.25" customHeight="1">
      <c r="A161" s="2">
        <v>3</v>
      </c>
      <c r="B161" s="2">
        <v>160</v>
      </c>
      <c r="C161" s="2">
        <v>5</v>
      </c>
      <c r="D161" s="2">
        <v>1</v>
      </c>
      <c r="E161" s="2">
        <v>1.02</v>
      </c>
      <c r="F161" s="2">
        <v>2</v>
      </c>
    </row>
    <row r="162" spans="1:6" ht="14.25" customHeight="1">
      <c r="A162" s="2">
        <v>3</v>
      </c>
      <c r="B162" s="2">
        <v>161</v>
      </c>
      <c r="C162" s="2">
        <v>7</v>
      </c>
      <c r="D162" s="2">
        <v>0</v>
      </c>
      <c r="E162" s="2">
        <v>1.462</v>
      </c>
      <c r="F162" s="2">
        <v>1</v>
      </c>
    </row>
    <row r="163" spans="1:6" ht="14.25" customHeight="1">
      <c r="A163" s="2">
        <v>3</v>
      </c>
      <c r="B163" s="2">
        <v>162</v>
      </c>
      <c r="C163" s="2">
        <v>6</v>
      </c>
      <c r="D163" s="2">
        <v>1</v>
      </c>
      <c r="E163" s="2">
        <v>1.121</v>
      </c>
      <c r="F163" s="2">
        <v>1</v>
      </c>
    </row>
    <row r="164" spans="1:6" ht="14.25" customHeight="1">
      <c r="A164" s="2">
        <v>3</v>
      </c>
      <c r="B164" s="2">
        <v>163</v>
      </c>
      <c r="C164" s="2">
        <v>8</v>
      </c>
      <c r="D164" s="2">
        <v>1</v>
      </c>
      <c r="E164" s="2">
        <v>1.44</v>
      </c>
      <c r="F164" s="2">
        <v>2</v>
      </c>
    </row>
    <row r="165" spans="1:6" ht="14.25" customHeight="1">
      <c r="A165" s="2">
        <v>3</v>
      </c>
      <c r="B165" s="2">
        <v>164</v>
      </c>
      <c r="C165" s="2">
        <v>3</v>
      </c>
      <c r="D165" s="2">
        <v>1</v>
      </c>
      <c r="E165" s="2">
        <v>0.76300000000000001</v>
      </c>
      <c r="F165" s="2">
        <v>2</v>
      </c>
    </row>
    <row r="166" spans="1:6" ht="14.25" customHeight="1">
      <c r="A166" s="2">
        <v>3</v>
      </c>
      <c r="B166" s="2">
        <v>165</v>
      </c>
      <c r="C166" s="2">
        <v>7</v>
      </c>
      <c r="D166" s="2">
        <v>1</v>
      </c>
      <c r="E166" s="2">
        <v>1.857</v>
      </c>
      <c r="F166" s="2">
        <v>1</v>
      </c>
    </row>
    <row r="167" spans="1:6" ht="14.25" customHeight="1">
      <c r="A167" s="2">
        <v>3</v>
      </c>
      <c r="B167" s="2">
        <v>166</v>
      </c>
      <c r="C167" s="2">
        <v>2</v>
      </c>
      <c r="D167" s="2">
        <v>1</v>
      </c>
      <c r="E167" s="2">
        <v>1.3149999999999999</v>
      </c>
      <c r="F167" s="2">
        <v>2</v>
      </c>
    </row>
    <row r="168" spans="1:6" ht="14.25" customHeight="1">
      <c r="A168" s="2">
        <v>3</v>
      </c>
      <c r="B168" s="2">
        <v>167</v>
      </c>
      <c r="C168" s="2">
        <v>5</v>
      </c>
      <c r="D168" s="2">
        <v>1</v>
      </c>
      <c r="E168" s="2">
        <v>0.69899999999999995</v>
      </c>
      <c r="F168" s="2">
        <v>1</v>
      </c>
    </row>
    <row r="169" spans="1:6" ht="14.25" customHeight="1">
      <c r="A169" s="2">
        <v>3</v>
      </c>
      <c r="B169" s="2">
        <v>168</v>
      </c>
      <c r="C169" s="2">
        <v>2</v>
      </c>
      <c r="D169" s="2">
        <v>1</v>
      </c>
      <c r="E169" s="2">
        <v>1.643</v>
      </c>
      <c r="F169" s="2">
        <v>1</v>
      </c>
    </row>
    <row r="170" spans="1:6" ht="14.25" customHeight="1">
      <c r="A170" s="2">
        <v>3</v>
      </c>
      <c r="B170" s="2">
        <v>169</v>
      </c>
      <c r="C170" s="2">
        <v>7</v>
      </c>
      <c r="D170" s="2">
        <v>1</v>
      </c>
      <c r="E170" s="2">
        <v>0.99</v>
      </c>
      <c r="F170" s="2">
        <v>1</v>
      </c>
    </row>
    <row r="171" spans="1:6" ht="14.25" customHeight="1">
      <c r="A171" s="2">
        <v>3</v>
      </c>
      <c r="B171" s="2">
        <v>170</v>
      </c>
      <c r="C171" s="2">
        <v>5</v>
      </c>
      <c r="D171" s="2">
        <v>1</v>
      </c>
      <c r="E171" s="2">
        <v>1.6259999999999999</v>
      </c>
      <c r="F171" s="2">
        <v>2</v>
      </c>
    </row>
    <row r="172" spans="1:6" ht="14.25" customHeight="1">
      <c r="A172" s="2">
        <v>3</v>
      </c>
      <c r="B172" s="2">
        <v>171</v>
      </c>
      <c r="C172" s="2">
        <v>1</v>
      </c>
      <c r="D172" s="2">
        <v>1</v>
      </c>
      <c r="E172" s="2">
        <v>1.542</v>
      </c>
      <c r="F172" s="2">
        <v>1</v>
      </c>
    </row>
    <row r="173" spans="1:6" ht="14.25" customHeight="1">
      <c r="A173" s="2">
        <v>3</v>
      </c>
      <c r="B173" s="2">
        <v>172</v>
      </c>
      <c r="C173" s="2">
        <v>8</v>
      </c>
      <c r="D173" s="2">
        <v>1</v>
      </c>
      <c r="E173" s="2">
        <v>1.804</v>
      </c>
      <c r="F173" s="2">
        <v>1</v>
      </c>
    </row>
    <row r="174" spans="1:6" ht="14.25" customHeight="1">
      <c r="A174" s="2">
        <v>3</v>
      </c>
      <c r="B174" s="2">
        <v>173</v>
      </c>
      <c r="C174" s="2">
        <v>3</v>
      </c>
      <c r="D174" s="2">
        <v>1</v>
      </c>
      <c r="E174" s="2">
        <v>1.3680000000000001</v>
      </c>
      <c r="F174" s="2">
        <v>1</v>
      </c>
    </row>
    <row r="175" spans="1:6" ht="14.25" customHeight="1">
      <c r="A175" s="2">
        <v>3</v>
      </c>
      <c r="B175" s="2">
        <v>174</v>
      </c>
      <c r="C175" s="2">
        <v>6</v>
      </c>
      <c r="D175" s="2">
        <v>1</v>
      </c>
      <c r="E175" s="2">
        <v>1.8220000000000001</v>
      </c>
      <c r="F175" s="2">
        <v>1</v>
      </c>
    </row>
    <row r="176" spans="1:6" ht="14.25" customHeight="1">
      <c r="A176" s="2">
        <v>3</v>
      </c>
      <c r="B176" s="2">
        <v>175</v>
      </c>
      <c r="C176" s="2">
        <v>4</v>
      </c>
      <c r="D176" s="2">
        <v>1</v>
      </c>
      <c r="E176" s="2">
        <v>1.6579999999999999</v>
      </c>
      <c r="F176" s="2">
        <v>2</v>
      </c>
    </row>
    <row r="177" spans="1:6" ht="14.25" customHeight="1">
      <c r="A177" s="2">
        <v>3</v>
      </c>
      <c r="B177" s="2">
        <v>176</v>
      </c>
      <c r="C177" s="2">
        <v>1</v>
      </c>
      <c r="E177" s="2">
        <v>2.0009999999999999</v>
      </c>
    </row>
    <row r="178" spans="1:6" ht="14.25" customHeight="1">
      <c r="A178" s="2">
        <v>3</v>
      </c>
      <c r="B178" s="2">
        <v>177</v>
      </c>
      <c r="C178" s="2">
        <v>6</v>
      </c>
      <c r="D178" s="2">
        <v>0</v>
      </c>
      <c r="E178" s="2">
        <v>1.0980000000000001</v>
      </c>
      <c r="F178" s="2">
        <v>2</v>
      </c>
    </row>
    <row r="179" spans="1:6" ht="14.25" customHeight="1">
      <c r="A179" s="2">
        <v>3</v>
      </c>
      <c r="B179" s="2">
        <v>178</v>
      </c>
      <c r="C179" s="2">
        <v>3</v>
      </c>
      <c r="D179" s="2">
        <v>1</v>
      </c>
      <c r="E179" s="2">
        <v>1.0820000000000001</v>
      </c>
      <c r="F179" s="2">
        <v>1</v>
      </c>
    </row>
    <row r="180" spans="1:6" ht="14.25" customHeight="1">
      <c r="A180" s="2">
        <v>3</v>
      </c>
      <c r="B180" s="2">
        <v>179</v>
      </c>
      <c r="C180" s="2">
        <v>6</v>
      </c>
      <c r="D180" s="2">
        <v>0</v>
      </c>
      <c r="E180" s="2">
        <v>1.756</v>
      </c>
      <c r="F180" s="2">
        <v>1</v>
      </c>
    </row>
    <row r="181" spans="1:6" ht="14.25" customHeight="1">
      <c r="A181" s="2">
        <v>3</v>
      </c>
      <c r="B181" s="2">
        <v>180</v>
      </c>
      <c r="C181" s="2">
        <v>7</v>
      </c>
      <c r="D181" s="2">
        <v>1</v>
      </c>
      <c r="E181" s="2">
        <v>1.4730000000000001</v>
      </c>
      <c r="F181" s="2">
        <v>1</v>
      </c>
    </row>
    <row r="182" spans="1:6" ht="14.25" customHeight="1">
      <c r="A182" s="2">
        <v>3</v>
      </c>
      <c r="B182" s="2">
        <v>181</v>
      </c>
      <c r="C182" s="2">
        <v>6</v>
      </c>
      <c r="D182" s="2">
        <v>0</v>
      </c>
      <c r="E182" s="2">
        <v>0.85099999999999998</v>
      </c>
      <c r="F182" s="2">
        <v>2</v>
      </c>
    </row>
    <row r="183" spans="1:6" ht="14.25" customHeight="1">
      <c r="A183" s="2">
        <v>3</v>
      </c>
      <c r="B183" s="2">
        <v>182</v>
      </c>
      <c r="C183" s="2">
        <v>1</v>
      </c>
      <c r="D183" s="2">
        <v>1</v>
      </c>
      <c r="E183" s="2">
        <v>1.0780000000000001</v>
      </c>
      <c r="F183" s="2">
        <v>1</v>
      </c>
    </row>
    <row r="184" spans="1:6" ht="14.25" customHeight="1">
      <c r="A184" s="2">
        <v>3</v>
      </c>
      <c r="B184" s="2">
        <v>183</v>
      </c>
      <c r="C184" s="2">
        <v>8</v>
      </c>
      <c r="D184" s="2">
        <v>1</v>
      </c>
      <c r="E184" s="2">
        <v>1.375</v>
      </c>
      <c r="F184" s="2">
        <v>1</v>
      </c>
    </row>
    <row r="185" spans="1:6" ht="14.25" customHeight="1">
      <c r="A185" s="2">
        <v>3</v>
      </c>
      <c r="B185" s="2">
        <v>184</v>
      </c>
      <c r="C185" s="2">
        <v>3</v>
      </c>
      <c r="D185" s="2">
        <v>1</v>
      </c>
      <c r="E185" s="2">
        <v>0.9</v>
      </c>
      <c r="F185" s="2">
        <v>1</v>
      </c>
    </row>
    <row r="186" spans="1:6" ht="14.25" customHeight="1">
      <c r="A186" s="2">
        <v>3</v>
      </c>
      <c r="B186" s="2">
        <v>185</v>
      </c>
      <c r="C186" s="2">
        <v>2</v>
      </c>
      <c r="D186" s="2">
        <v>1</v>
      </c>
      <c r="E186" s="2">
        <v>1.004</v>
      </c>
      <c r="F186" s="2">
        <v>1</v>
      </c>
    </row>
    <row r="187" spans="1:6" ht="14.25" customHeight="1">
      <c r="A187" s="2">
        <v>3</v>
      </c>
      <c r="B187" s="2">
        <v>186</v>
      </c>
      <c r="C187" s="2">
        <v>3</v>
      </c>
      <c r="D187" s="2">
        <v>0</v>
      </c>
      <c r="E187" s="2">
        <v>1.169</v>
      </c>
      <c r="F187" s="2">
        <v>1</v>
      </c>
    </row>
    <row r="188" spans="1:6" ht="14.25" customHeight="1">
      <c r="A188" s="2">
        <v>3</v>
      </c>
      <c r="B188" s="2">
        <v>187</v>
      </c>
      <c r="C188" s="2">
        <v>6</v>
      </c>
      <c r="D188" s="2">
        <v>1</v>
      </c>
      <c r="E188" s="2">
        <v>1.0389999999999999</v>
      </c>
      <c r="F188" s="2">
        <v>2</v>
      </c>
    </row>
    <row r="189" spans="1:6" ht="14.25" customHeight="1">
      <c r="A189" s="2">
        <v>3</v>
      </c>
      <c r="B189" s="2">
        <v>188</v>
      </c>
      <c r="C189" s="2">
        <v>5</v>
      </c>
      <c r="D189" s="2">
        <v>1</v>
      </c>
      <c r="E189" s="2">
        <v>1.161</v>
      </c>
      <c r="F189" s="2">
        <v>2</v>
      </c>
    </row>
    <row r="190" spans="1:6" ht="14.25" customHeight="1">
      <c r="A190" s="2">
        <v>3</v>
      </c>
      <c r="B190" s="2">
        <v>189</v>
      </c>
      <c r="C190" s="2">
        <v>8</v>
      </c>
      <c r="D190" s="2">
        <v>1</v>
      </c>
      <c r="E190" s="2">
        <v>0.83899999999999997</v>
      </c>
      <c r="F190" s="2">
        <v>2</v>
      </c>
    </row>
    <row r="191" spans="1:6" ht="14.25" customHeight="1">
      <c r="A191" s="2">
        <v>3</v>
      </c>
      <c r="B191" s="2">
        <v>190</v>
      </c>
      <c r="C191" s="2">
        <v>5</v>
      </c>
      <c r="D191" s="2">
        <v>1</v>
      </c>
      <c r="E191" s="2">
        <v>0.84199999999999997</v>
      </c>
      <c r="F191" s="2">
        <v>2</v>
      </c>
    </row>
    <row r="192" spans="1:6" ht="14.25" customHeight="1">
      <c r="A192" s="2">
        <v>3</v>
      </c>
      <c r="B192" s="2">
        <v>191</v>
      </c>
      <c r="C192" s="2">
        <v>8</v>
      </c>
      <c r="D192" s="2">
        <v>1</v>
      </c>
      <c r="E192" s="2">
        <v>0.77300000000000002</v>
      </c>
      <c r="F192" s="2">
        <v>1</v>
      </c>
    </row>
    <row r="193" spans="1:6" ht="14.25" customHeight="1">
      <c r="A193" s="2">
        <v>3</v>
      </c>
      <c r="B193" s="2">
        <v>192</v>
      </c>
      <c r="C193" s="2">
        <v>4</v>
      </c>
      <c r="D193" s="2">
        <v>1</v>
      </c>
      <c r="E193" s="2">
        <v>0.874</v>
      </c>
      <c r="F193" s="2">
        <v>2</v>
      </c>
    </row>
    <row r="194" spans="1:6" ht="14.25" customHeight="1">
      <c r="A194" s="2">
        <v>3</v>
      </c>
      <c r="B194" s="2">
        <v>193</v>
      </c>
      <c r="C194" s="2">
        <v>2</v>
      </c>
      <c r="D194" s="2">
        <v>1</v>
      </c>
      <c r="E194" s="2">
        <v>1.2669999999999999</v>
      </c>
      <c r="F194" s="2">
        <v>1</v>
      </c>
    </row>
    <row r="195" spans="1:6" ht="14.25" customHeight="1">
      <c r="A195" s="2">
        <v>3</v>
      </c>
      <c r="B195" s="2">
        <v>194</v>
      </c>
      <c r="C195" s="2">
        <v>1</v>
      </c>
      <c r="D195" s="2">
        <v>1</v>
      </c>
      <c r="E195" s="2">
        <v>1.2210000000000001</v>
      </c>
      <c r="F195" s="2">
        <v>2</v>
      </c>
    </row>
    <row r="196" spans="1:6" ht="14.25" customHeight="1">
      <c r="A196" s="2">
        <v>3</v>
      </c>
      <c r="B196" s="2">
        <v>195</v>
      </c>
      <c r="C196" s="2">
        <v>8</v>
      </c>
      <c r="D196" s="2">
        <v>1</v>
      </c>
      <c r="E196" s="2">
        <v>1.0720000000000001</v>
      </c>
      <c r="F196" s="2">
        <v>2</v>
      </c>
    </row>
    <row r="197" spans="1:6" ht="14.25" customHeight="1">
      <c r="A197" s="2">
        <v>3</v>
      </c>
      <c r="B197" s="2">
        <v>196</v>
      </c>
      <c r="C197" s="2">
        <v>1</v>
      </c>
      <c r="D197" s="2">
        <v>0</v>
      </c>
      <c r="E197" s="2">
        <v>1.722</v>
      </c>
      <c r="F197" s="2">
        <v>1</v>
      </c>
    </row>
    <row r="198" spans="1:6" ht="14.25" customHeight="1">
      <c r="A198" s="2">
        <v>3</v>
      </c>
      <c r="B198" s="2">
        <v>197</v>
      </c>
      <c r="C198" s="2">
        <v>2</v>
      </c>
      <c r="D198" s="2">
        <v>1</v>
      </c>
      <c r="E198" s="2">
        <v>1.329</v>
      </c>
      <c r="F198" s="2">
        <v>2</v>
      </c>
    </row>
    <row r="199" spans="1:6" ht="14.25" customHeight="1">
      <c r="A199" s="2">
        <v>3</v>
      </c>
      <c r="B199" s="2">
        <v>198</v>
      </c>
      <c r="C199" s="2">
        <v>1</v>
      </c>
      <c r="D199" s="2">
        <v>1</v>
      </c>
      <c r="E199" s="2">
        <v>1.512</v>
      </c>
      <c r="F199" s="2">
        <v>2</v>
      </c>
    </row>
    <row r="200" spans="1:6" ht="14.25" customHeight="1">
      <c r="A200" s="2">
        <v>3</v>
      </c>
      <c r="B200" s="2">
        <v>199</v>
      </c>
      <c r="C200" s="2">
        <v>4</v>
      </c>
      <c r="D200" s="2">
        <v>1</v>
      </c>
      <c r="E200" s="2">
        <v>1.5760000000000001</v>
      </c>
      <c r="F200" s="2">
        <v>1</v>
      </c>
    </row>
    <row r="201" spans="1:6" ht="14.25" customHeight="1">
      <c r="A201" s="2">
        <v>3</v>
      </c>
      <c r="B201" s="2">
        <v>200</v>
      </c>
      <c r="C201" s="2">
        <v>5</v>
      </c>
      <c r="D201" s="2">
        <v>1</v>
      </c>
      <c r="E201" s="2">
        <v>1.518</v>
      </c>
      <c r="F201" s="2">
        <v>1</v>
      </c>
    </row>
    <row r="202" spans="1:6" ht="14.25" customHeight="1">
      <c r="A202" s="2">
        <v>3</v>
      </c>
      <c r="B202" s="2">
        <v>201</v>
      </c>
      <c r="C202" s="2">
        <v>2</v>
      </c>
      <c r="E202" s="2">
        <v>2</v>
      </c>
    </row>
    <row r="203" spans="1:6" ht="14.25" customHeight="1">
      <c r="A203" s="2">
        <v>3</v>
      </c>
      <c r="B203" s="2">
        <v>202</v>
      </c>
      <c r="C203" s="2">
        <v>3</v>
      </c>
      <c r="D203" s="2">
        <v>1</v>
      </c>
      <c r="E203" s="2">
        <v>0.92200000000000004</v>
      </c>
      <c r="F203" s="2">
        <v>2</v>
      </c>
    </row>
    <row r="204" spans="1:6" ht="14.25" customHeight="1">
      <c r="A204" s="2">
        <v>3</v>
      </c>
      <c r="B204" s="2">
        <v>203</v>
      </c>
      <c r="C204" s="2">
        <v>8</v>
      </c>
      <c r="D204" s="2">
        <v>1</v>
      </c>
      <c r="E204" s="2">
        <v>1.0580000000000001</v>
      </c>
      <c r="F204" s="2">
        <v>2</v>
      </c>
    </row>
    <row r="205" spans="1:6" ht="14.25" customHeight="1">
      <c r="A205" s="2">
        <v>3</v>
      </c>
      <c r="B205" s="2">
        <v>204</v>
      </c>
      <c r="C205" s="2">
        <v>7</v>
      </c>
      <c r="D205" s="2">
        <v>1</v>
      </c>
      <c r="E205" s="2">
        <v>0.995</v>
      </c>
      <c r="F205" s="2">
        <v>1</v>
      </c>
    </row>
    <row r="206" spans="1:6" ht="14.25" customHeight="1">
      <c r="A206" s="2">
        <v>3</v>
      </c>
      <c r="B206" s="2">
        <v>205</v>
      </c>
      <c r="C206" s="2">
        <v>1</v>
      </c>
      <c r="D206" s="2">
        <v>1</v>
      </c>
      <c r="E206" s="2">
        <v>1.3440000000000001</v>
      </c>
      <c r="F206" s="2">
        <v>2</v>
      </c>
    </row>
    <row r="207" spans="1:6" ht="14.25" customHeight="1">
      <c r="A207" s="2">
        <v>3</v>
      </c>
      <c r="B207" s="2">
        <v>206</v>
      </c>
      <c r="C207" s="2">
        <v>4</v>
      </c>
      <c r="D207" s="2">
        <v>0</v>
      </c>
      <c r="E207" s="2">
        <v>1.534</v>
      </c>
      <c r="F207" s="2">
        <v>1</v>
      </c>
    </row>
    <row r="208" spans="1:6" ht="14.25" customHeight="1">
      <c r="A208" s="2">
        <v>3</v>
      </c>
      <c r="B208" s="2">
        <v>207</v>
      </c>
      <c r="C208" s="2">
        <v>2</v>
      </c>
      <c r="D208" s="2">
        <v>1</v>
      </c>
      <c r="E208" s="2">
        <v>1.518</v>
      </c>
      <c r="F208" s="2">
        <v>1</v>
      </c>
    </row>
    <row r="209" spans="1:6" ht="14.25" customHeight="1">
      <c r="A209" s="2">
        <v>3</v>
      </c>
      <c r="B209" s="2">
        <v>208</v>
      </c>
      <c r="C209" s="2">
        <v>5</v>
      </c>
      <c r="D209" s="2">
        <v>1</v>
      </c>
      <c r="E209" s="2">
        <v>0.95799999999999996</v>
      </c>
      <c r="F209" s="2">
        <v>2</v>
      </c>
    </row>
    <row r="210" spans="1:6" ht="14.25" customHeight="1">
      <c r="A210" s="2">
        <v>3</v>
      </c>
      <c r="B210" s="2">
        <v>209</v>
      </c>
      <c r="C210" s="2">
        <v>4</v>
      </c>
      <c r="D210" s="2">
        <v>1</v>
      </c>
      <c r="E210" s="2">
        <v>0.82</v>
      </c>
      <c r="F210" s="2">
        <v>1</v>
      </c>
    </row>
    <row r="211" spans="1:6" ht="14.25" customHeight="1">
      <c r="A211" s="2">
        <v>3</v>
      </c>
      <c r="B211" s="2">
        <v>210</v>
      </c>
      <c r="C211" s="2">
        <v>5</v>
      </c>
      <c r="D211" s="2">
        <v>1</v>
      </c>
      <c r="E211" s="2">
        <v>1.599</v>
      </c>
      <c r="F211" s="2">
        <v>2</v>
      </c>
    </row>
    <row r="212" spans="1:6" ht="14.25" customHeight="1">
      <c r="A212" s="2">
        <v>3</v>
      </c>
      <c r="B212" s="2">
        <v>211</v>
      </c>
      <c r="C212" s="2">
        <v>1</v>
      </c>
      <c r="D212" s="2">
        <v>0</v>
      </c>
      <c r="E212" s="2">
        <v>0.88300000000000001</v>
      </c>
      <c r="F212" s="2">
        <v>1</v>
      </c>
    </row>
    <row r="213" spans="1:6" ht="14.25" customHeight="1">
      <c r="A213" s="2">
        <v>3</v>
      </c>
      <c r="B213" s="2">
        <v>212</v>
      </c>
      <c r="C213" s="2">
        <v>8</v>
      </c>
      <c r="D213" s="2">
        <v>1</v>
      </c>
      <c r="E213" s="2">
        <v>1.3089999999999999</v>
      </c>
      <c r="F213" s="2">
        <v>1</v>
      </c>
    </row>
    <row r="214" spans="1:6" ht="14.25" customHeight="1">
      <c r="A214" s="2">
        <v>3</v>
      </c>
      <c r="B214" s="2">
        <v>213</v>
      </c>
      <c r="C214" s="2">
        <v>4</v>
      </c>
      <c r="D214" s="2">
        <v>1</v>
      </c>
      <c r="E214" s="2">
        <v>0.78900000000000003</v>
      </c>
      <c r="F214" s="2">
        <v>2</v>
      </c>
    </row>
    <row r="215" spans="1:6" ht="14.25" customHeight="1">
      <c r="A215" s="2">
        <v>3</v>
      </c>
      <c r="B215" s="2">
        <v>214</v>
      </c>
      <c r="C215" s="2">
        <v>8</v>
      </c>
      <c r="D215" s="2">
        <v>1</v>
      </c>
      <c r="E215" s="2">
        <v>1.0649999999999999</v>
      </c>
      <c r="F215" s="2">
        <v>2</v>
      </c>
    </row>
    <row r="216" spans="1:6" ht="14.25" customHeight="1">
      <c r="A216" s="2">
        <v>3</v>
      </c>
      <c r="B216" s="2">
        <v>215</v>
      </c>
      <c r="C216" s="2">
        <v>2</v>
      </c>
      <c r="D216" s="2">
        <v>1</v>
      </c>
      <c r="E216" s="2">
        <v>1.4750000000000001</v>
      </c>
      <c r="F216" s="2">
        <v>1</v>
      </c>
    </row>
    <row r="217" spans="1:6" ht="14.25" customHeight="1">
      <c r="A217" s="2">
        <v>3</v>
      </c>
      <c r="B217" s="2">
        <v>216</v>
      </c>
      <c r="C217" s="2">
        <v>8</v>
      </c>
      <c r="D217" s="2">
        <v>1</v>
      </c>
      <c r="E217" s="2">
        <v>0.88400000000000001</v>
      </c>
      <c r="F217" s="2">
        <v>2</v>
      </c>
    </row>
    <row r="218" spans="1:6" ht="14.25" customHeight="1">
      <c r="A218" s="2">
        <v>3</v>
      </c>
      <c r="B218" s="2">
        <v>217</v>
      </c>
      <c r="C218" s="2">
        <v>7</v>
      </c>
      <c r="D218" s="2">
        <v>1</v>
      </c>
      <c r="E218" s="2">
        <v>0.79800000000000004</v>
      </c>
      <c r="F218" s="2">
        <v>1</v>
      </c>
    </row>
    <row r="219" spans="1:6" ht="14.25" customHeight="1">
      <c r="A219" s="2">
        <v>3</v>
      </c>
      <c r="B219" s="2">
        <v>218</v>
      </c>
      <c r="C219" s="2">
        <v>5</v>
      </c>
      <c r="D219" s="2">
        <v>0</v>
      </c>
      <c r="E219" s="2">
        <v>1.6819999999999999</v>
      </c>
      <c r="F219" s="2">
        <v>2</v>
      </c>
    </row>
    <row r="220" spans="1:6" ht="14.25" customHeight="1">
      <c r="A220" s="2">
        <v>3</v>
      </c>
      <c r="B220" s="2">
        <v>219</v>
      </c>
      <c r="C220" s="2">
        <v>1</v>
      </c>
      <c r="D220" s="2">
        <v>1</v>
      </c>
      <c r="E220" s="2">
        <v>0.86</v>
      </c>
      <c r="F220" s="2">
        <v>1</v>
      </c>
    </row>
    <row r="221" spans="1:6" ht="14.25" customHeight="1">
      <c r="A221" s="2">
        <v>3</v>
      </c>
      <c r="B221" s="2">
        <v>220</v>
      </c>
      <c r="C221" s="2">
        <v>5</v>
      </c>
      <c r="D221" s="2">
        <v>1</v>
      </c>
      <c r="E221" s="2">
        <v>1.1339999999999999</v>
      </c>
      <c r="F221" s="2">
        <v>2</v>
      </c>
    </row>
    <row r="222" spans="1:6" ht="14.25" customHeight="1">
      <c r="A222" s="2">
        <v>3</v>
      </c>
      <c r="B222" s="2">
        <v>221</v>
      </c>
      <c r="C222" s="2">
        <v>6</v>
      </c>
      <c r="D222" s="2">
        <v>1</v>
      </c>
      <c r="E222" s="2">
        <v>1.0289999999999999</v>
      </c>
      <c r="F222" s="2">
        <v>1</v>
      </c>
    </row>
    <row r="223" spans="1:6" ht="14.25" customHeight="1">
      <c r="A223" s="2">
        <v>3</v>
      </c>
      <c r="B223" s="2">
        <v>222</v>
      </c>
      <c r="C223" s="2">
        <v>7</v>
      </c>
      <c r="E223" s="2">
        <v>2.0009999999999999</v>
      </c>
    </row>
    <row r="224" spans="1:6" ht="14.25" customHeight="1">
      <c r="A224" s="2">
        <v>3</v>
      </c>
      <c r="B224" s="2">
        <v>223</v>
      </c>
      <c r="C224" s="2">
        <v>3</v>
      </c>
      <c r="D224" s="2">
        <v>1</v>
      </c>
      <c r="E224" s="2">
        <v>1.302</v>
      </c>
      <c r="F224" s="2">
        <v>1</v>
      </c>
    </row>
    <row r="225" spans="1:6" ht="14.25" customHeight="1">
      <c r="A225" s="2">
        <v>3</v>
      </c>
      <c r="B225" s="2">
        <v>224</v>
      </c>
      <c r="C225" s="2">
        <v>8</v>
      </c>
      <c r="D225" s="2">
        <v>1</v>
      </c>
      <c r="E225" s="2">
        <v>1.694</v>
      </c>
      <c r="F225" s="2">
        <v>1</v>
      </c>
    </row>
    <row r="226" spans="1:6" ht="14.25" customHeight="1">
      <c r="A226" s="2">
        <v>3</v>
      </c>
      <c r="B226" s="2">
        <v>225</v>
      </c>
      <c r="C226" s="2">
        <v>3</v>
      </c>
      <c r="D226" s="2">
        <v>1</v>
      </c>
      <c r="E226" s="2">
        <v>1.03</v>
      </c>
      <c r="F226" s="2">
        <v>2</v>
      </c>
    </row>
    <row r="227" spans="1:6" ht="14.25" customHeight="1">
      <c r="A227" s="2">
        <v>3</v>
      </c>
      <c r="B227" s="2">
        <v>226</v>
      </c>
      <c r="C227" s="2">
        <v>1</v>
      </c>
      <c r="D227" s="2">
        <v>1</v>
      </c>
      <c r="E227" s="2">
        <v>1.6659999999999999</v>
      </c>
      <c r="F227" s="2">
        <v>1</v>
      </c>
    </row>
    <row r="228" spans="1:6" ht="14.25" customHeight="1">
      <c r="A228" s="2">
        <v>3</v>
      </c>
      <c r="B228" s="2">
        <v>227</v>
      </c>
      <c r="C228" s="2">
        <v>7</v>
      </c>
      <c r="D228" s="2">
        <v>1</v>
      </c>
      <c r="E228" s="2">
        <v>0.88400000000000001</v>
      </c>
      <c r="F228" s="2">
        <v>1</v>
      </c>
    </row>
    <row r="229" spans="1:6" ht="14.25" customHeight="1">
      <c r="A229" s="2">
        <v>3</v>
      </c>
      <c r="B229" s="2">
        <v>228</v>
      </c>
      <c r="C229" s="2">
        <v>4</v>
      </c>
      <c r="D229" s="2">
        <v>1</v>
      </c>
      <c r="E229" s="2">
        <v>1.2290000000000001</v>
      </c>
      <c r="F229" s="2">
        <v>1</v>
      </c>
    </row>
    <row r="230" spans="1:6" ht="14.25" customHeight="1">
      <c r="A230" s="2">
        <v>3</v>
      </c>
      <c r="B230" s="2">
        <v>229</v>
      </c>
      <c r="C230" s="2">
        <v>3</v>
      </c>
      <c r="D230" s="2">
        <v>1</v>
      </c>
      <c r="E230" s="2">
        <v>1.4570000000000001</v>
      </c>
      <c r="F230" s="2">
        <v>2</v>
      </c>
    </row>
    <row r="231" spans="1:6" ht="14.25" customHeight="1">
      <c r="A231" s="2">
        <v>3</v>
      </c>
      <c r="B231" s="2">
        <v>230</v>
      </c>
      <c r="C231" s="2">
        <v>1</v>
      </c>
      <c r="D231" s="2">
        <v>1</v>
      </c>
      <c r="E231" s="2">
        <v>1.77</v>
      </c>
      <c r="F231" s="2">
        <v>1</v>
      </c>
    </row>
    <row r="232" spans="1:6" ht="14.25" customHeight="1">
      <c r="A232" s="2">
        <v>3</v>
      </c>
      <c r="B232" s="2">
        <v>231</v>
      </c>
      <c r="C232" s="2">
        <v>6</v>
      </c>
      <c r="D232" s="2">
        <v>1</v>
      </c>
      <c r="E232" s="2">
        <v>1.024</v>
      </c>
      <c r="F232" s="2">
        <v>1</v>
      </c>
    </row>
    <row r="233" spans="1:6" ht="14.25" customHeight="1">
      <c r="A233" s="2">
        <v>3</v>
      </c>
      <c r="B233" s="2">
        <v>232</v>
      </c>
      <c r="C233" s="2">
        <v>2</v>
      </c>
      <c r="D233" s="2">
        <v>1</v>
      </c>
      <c r="E233" s="2">
        <v>0.88300000000000001</v>
      </c>
      <c r="F233" s="2">
        <v>1</v>
      </c>
    </row>
    <row r="234" spans="1:6" ht="14.25" customHeight="1">
      <c r="A234" s="2">
        <v>3</v>
      </c>
      <c r="B234" s="2">
        <v>233</v>
      </c>
      <c r="C234" s="2">
        <v>6</v>
      </c>
      <c r="D234" s="2">
        <v>1</v>
      </c>
      <c r="E234" s="2">
        <v>1.7</v>
      </c>
      <c r="F234" s="2">
        <v>1</v>
      </c>
    </row>
    <row r="235" spans="1:6" ht="14.25" customHeight="1">
      <c r="A235" s="2">
        <v>3</v>
      </c>
      <c r="B235" s="2">
        <v>234</v>
      </c>
      <c r="C235" s="2">
        <v>7</v>
      </c>
      <c r="D235" s="2">
        <v>1</v>
      </c>
      <c r="E235" s="2">
        <v>0.85299999999999998</v>
      </c>
      <c r="F235" s="2">
        <v>1</v>
      </c>
    </row>
    <row r="236" spans="1:6" ht="14.25" customHeight="1">
      <c r="A236" s="2">
        <v>3</v>
      </c>
      <c r="B236" s="2">
        <v>235</v>
      </c>
      <c r="C236" s="2">
        <v>3</v>
      </c>
      <c r="D236" s="2">
        <v>1</v>
      </c>
      <c r="E236" s="2">
        <v>1.048</v>
      </c>
      <c r="F236" s="2">
        <v>1</v>
      </c>
    </row>
    <row r="237" spans="1:6" ht="14.25" customHeight="1">
      <c r="A237" s="2">
        <v>3</v>
      </c>
      <c r="B237" s="2">
        <v>236</v>
      </c>
      <c r="C237" s="2">
        <v>6</v>
      </c>
      <c r="D237" s="2">
        <v>1</v>
      </c>
      <c r="E237" s="2">
        <v>1.81</v>
      </c>
      <c r="F237" s="2">
        <v>2</v>
      </c>
    </row>
    <row r="238" spans="1:6" ht="14.25" customHeight="1">
      <c r="A238" s="2">
        <v>3</v>
      </c>
      <c r="B238" s="2">
        <v>237</v>
      </c>
      <c r="C238" s="2">
        <v>4</v>
      </c>
      <c r="D238" s="2">
        <v>1</v>
      </c>
      <c r="E238" s="2">
        <v>1.07</v>
      </c>
      <c r="F238" s="2">
        <v>2</v>
      </c>
    </row>
    <row r="239" spans="1:6" ht="14.25" customHeight="1">
      <c r="A239" s="2">
        <v>3</v>
      </c>
      <c r="B239" s="2">
        <v>238</v>
      </c>
      <c r="C239" s="2">
        <v>6</v>
      </c>
      <c r="D239" s="2">
        <v>1</v>
      </c>
      <c r="E239" s="2">
        <v>1.903</v>
      </c>
      <c r="F239" s="2">
        <v>2</v>
      </c>
    </row>
    <row r="240" spans="1:6" ht="14.25" customHeight="1">
      <c r="A240" s="2">
        <v>3</v>
      </c>
      <c r="B240" s="2">
        <v>239</v>
      </c>
      <c r="C240" s="2">
        <v>8</v>
      </c>
      <c r="E240" s="2">
        <v>2</v>
      </c>
    </row>
    <row r="241" spans="1:6" ht="14.25" customHeight="1">
      <c r="A241" s="2">
        <v>3</v>
      </c>
      <c r="B241" s="2">
        <v>240</v>
      </c>
      <c r="C241" s="2">
        <v>2</v>
      </c>
      <c r="D241" s="2">
        <v>1</v>
      </c>
      <c r="E241" s="2">
        <v>0.89200000000000002</v>
      </c>
      <c r="F241" s="2">
        <v>2</v>
      </c>
    </row>
    <row r="242" spans="1:6" ht="14.25" customHeight="1">
      <c r="A242" s="2">
        <v>3</v>
      </c>
      <c r="B242" s="2">
        <v>241</v>
      </c>
      <c r="C242" s="2">
        <v>5</v>
      </c>
      <c r="D242" s="2">
        <v>1</v>
      </c>
      <c r="E242" s="2">
        <v>1.325</v>
      </c>
      <c r="F242" s="2">
        <v>1</v>
      </c>
    </row>
    <row r="243" spans="1:6" ht="14.25" customHeight="1">
      <c r="A243" s="2">
        <v>3</v>
      </c>
      <c r="B243" s="2">
        <v>242</v>
      </c>
      <c r="C243" s="2">
        <v>7</v>
      </c>
      <c r="D243" s="2">
        <v>1</v>
      </c>
      <c r="E243" s="2">
        <v>0.76500000000000001</v>
      </c>
      <c r="F243" s="2">
        <v>2</v>
      </c>
    </row>
    <row r="244" spans="1:6" ht="14.25" customHeight="1">
      <c r="A244" s="2">
        <v>3</v>
      </c>
      <c r="B244" s="2">
        <v>243</v>
      </c>
      <c r="C244" s="2">
        <v>1</v>
      </c>
      <c r="D244" s="2">
        <v>1</v>
      </c>
      <c r="E244" s="2">
        <v>1.3069999999999999</v>
      </c>
      <c r="F244" s="2">
        <v>1</v>
      </c>
    </row>
    <row r="245" spans="1:6" ht="14.25" customHeight="1">
      <c r="A245" s="2">
        <v>3</v>
      </c>
      <c r="B245" s="2">
        <v>244</v>
      </c>
      <c r="C245" s="2">
        <v>4</v>
      </c>
      <c r="D245" s="2">
        <v>1</v>
      </c>
      <c r="E245" s="2">
        <v>1.107</v>
      </c>
      <c r="F245" s="2">
        <v>2</v>
      </c>
    </row>
    <row r="246" spans="1:6" ht="14.25" customHeight="1">
      <c r="A246" s="2">
        <v>3</v>
      </c>
      <c r="B246" s="2">
        <v>245</v>
      </c>
      <c r="C246" s="2">
        <v>3</v>
      </c>
      <c r="D246" s="2">
        <v>1</v>
      </c>
      <c r="E246" s="2">
        <v>1.226</v>
      </c>
      <c r="F246" s="2">
        <v>2</v>
      </c>
    </row>
    <row r="247" spans="1:6" ht="14.25" customHeight="1">
      <c r="A247" s="2">
        <v>3</v>
      </c>
      <c r="B247" s="2">
        <v>246</v>
      </c>
      <c r="C247" s="2">
        <v>2</v>
      </c>
      <c r="D247" s="2">
        <v>1</v>
      </c>
      <c r="E247" s="2">
        <v>1.5089999999999999</v>
      </c>
      <c r="F247" s="2">
        <v>2</v>
      </c>
    </row>
    <row r="248" spans="1:6" ht="14.25" customHeight="1">
      <c r="A248" s="2">
        <v>3</v>
      </c>
      <c r="B248" s="2">
        <v>247</v>
      </c>
      <c r="C248" s="2">
        <v>5</v>
      </c>
      <c r="D248" s="2">
        <v>1</v>
      </c>
      <c r="E248" s="2">
        <v>0.87</v>
      </c>
      <c r="F248" s="2">
        <v>2</v>
      </c>
    </row>
    <row r="249" spans="1:6" ht="14.25" customHeight="1">
      <c r="A249" s="2">
        <v>3</v>
      </c>
      <c r="B249" s="2">
        <v>248</v>
      </c>
      <c r="C249" s="2">
        <v>6</v>
      </c>
      <c r="D249" s="2">
        <v>1</v>
      </c>
      <c r="E249" s="2">
        <v>1.7270000000000001</v>
      </c>
      <c r="F249" s="2">
        <v>2</v>
      </c>
    </row>
    <row r="250" spans="1:6" ht="14.25" customHeight="1">
      <c r="A250" s="2">
        <v>3</v>
      </c>
      <c r="B250" s="2">
        <v>249</v>
      </c>
      <c r="C250" s="2">
        <v>8</v>
      </c>
      <c r="D250" s="2">
        <v>0</v>
      </c>
      <c r="E250" s="2">
        <v>1.766</v>
      </c>
      <c r="F250" s="2">
        <v>2</v>
      </c>
    </row>
    <row r="251" spans="1:6" ht="14.25" customHeight="1">
      <c r="A251" s="2">
        <v>3</v>
      </c>
      <c r="B251" s="2">
        <v>250</v>
      </c>
      <c r="C251" s="2">
        <v>2</v>
      </c>
      <c r="D251" s="2">
        <v>1</v>
      </c>
      <c r="E251" s="2">
        <v>0.80500000000000005</v>
      </c>
      <c r="F251" s="2">
        <v>1</v>
      </c>
    </row>
    <row r="252" spans="1:6" ht="14.25" customHeight="1">
      <c r="A252" s="2">
        <v>3</v>
      </c>
      <c r="B252" s="2">
        <v>251</v>
      </c>
      <c r="C252" s="2">
        <v>7</v>
      </c>
      <c r="E252" s="2">
        <v>2.0009999999999999</v>
      </c>
    </row>
    <row r="253" spans="1:6" ht="14.25" customHeight="1">
      <c r="A253" s="2">
        <v>3</v>
      </c>
      <c r="B253" s="2">
        <v>252</v>
      </c>
      <c r="C253" s="2">
        <v>2</v>
      </c>
      <c r="D253" s="2">
        <v>1</v>
      </c>
      <c r="E253" s="2">
        <v>0.94799999999999995</v>
      </c>
      <c r="F253" s="2">
        <v>2</v>
      </c>
    </row>
    <row r="254" spans="1:6" ht="14.25" customHeight="1">
      <c r="A254" s="2">
        <v>3</v>
      </c>
      <c r="B254" s="2">
        <v>253</v>
      </c>
      <c r="C254" s="2">
        <v>5</v>
      </c>
      <c r="D254" s="2">
        <v>1</v>
      </c>
      <c r="E254" s="2">
        <v>1.131</v>
      </c>
      <c r="F254" s="2">
        <v>2</v>
      </c>
    </row>
    <row r="255" spans="1:6" ht="14.25" customHeight="1">
      <c r="A255" s="2">
        <v>3</v>
      </c>
      <c r="B255" s="2">
        <v>254</v>
      </c>
      <c r="C255" s="2">
        <v>1</v>
      </c>
      <c r="D255" s="2">
        <v>1</v>
      </c>
      <c r="E255" s="2">
        <v>1.8029999999999999</v>
      </c>
      <c r="F255" s="2">
        <v>1</v>
      </c>
    </row>
    <row r="256" spans="1:6" ht="14.25" customHeight="1">
      <c r="A256" s="2">
        <v>3</v>
      </c>
      <c r="B256" s="2">
        <v>255</v>
      </c>
      <c r="C256" s="2">
        <v>3</v>
      </c>
      <c r="D256" s="2">
        <v>1</v>
      </c>
      <c r="E256" s="2">
        <v>0.68700000000000006</v>
      </c>
      <c r="F256" s="2">
        <v>2</v>
      </c>
    </row>
    <row r="257" spans="1:6" ht="14.25" customHeight="1">
      <c r="A257" s="2">
        <v>3</v>
      </c>
      <c r="B257" s="2">
        <v>256</v>
      </c>
      <c r="C257" s="2">
        <v>5</v>
      </c>
      <c r="D257" s="2">
        <v>1</v>
      </c>
      <c r="E257" s="2">
        <v>1.9359999999999999</v>
      </c>
      <c r="F257" s="2">
        <v>2</v>
      </c>
    </row>
    <row r="258" spans="1:6" ht="14.25" customHeight="1">
      <c r="A258" s="2">
        <v>3</v>
      </c>
      <c r="B258" s="2">
        <v>257</v>
      </c>
      <c r="C258" s="2">
        <v>1</v>
      </c>
      <c r="E258" s="2">
        <v>2.0009999999999999</v>
      </c>
    </row>
    <row r="259" spans="1:6" ht="14.25" customHeight="1">
      <c r="A259" s="2">
        <v>3</v>
      </c>
      <c r="B259" s="2">
        <v>258</v>
      </c>
      <c r="C259" s="2">
        <v>7</v>
      </c>
      <c r="E259" s="2">
        <v>2</v>
      </c>
    </row>
    <row r="260" spans="1:6" ht="14.25" customHeight="1">
      <c r="A260" s="2">
        <v>3</v>
      </c>
      <c r="B260" s="2">
        <v>259</v>
      </c>
      <c r="C260" s="2">
        <v>3</v>
      </c>
      <c r="D260" s="2">
        <v>1</v>
      </c>
      <c r="E260" s="2">
        <v>1.1359999999999999</v>
      </c>
      <c r="F260" s="2">
        <v>1</v>
      </c>
    </row>
    <row r="261" spans="1:6" ht="14.25" customHeight="1">
      <c r="A261" s="2">
        <v>3</v>
      </c>
      <c r="B261" s="2">
        <v>260</v>
      </c>
      <c r="C261" s="2">
        <v>5</v>
      </c>
      <c r="D261" s="2">
        <v>1</v>
      </c>
      <c r="E261" s="2">
        <v>0.97499999999999998</v>
      </c>
      <c r="F261" s="2">
        <v>2</v>
      </c>
    </row>
    <row r="262" spans="1:6" ht="14.25" customHeight="1">
      <c r="A262" s="2">
        <v>3</v>
      </c>
      <c r="B262" s="2">
        <v>261</v>
      </c>
      <c r="C262" s="2">
        <v>8</v>
      </c>
      <c r="E262" s="2">
        <v>2</v>
      </c>
    </row>
    <row r="263" spans="1:6" ht="14.25" customHeight="1">
      <c r="A263" s="2">
        <v>3</v>
      </c>
      <c r="B263" s="2">
        <v>262</v>
      </c>
      <c r="C263" s="2">
        <v>6</v>
      </c>
      <c r="D263" s="2">
        <v>1</v>
      </c>
      <c r="E263" s="2">
        <v>0.63300000000000001</v>
      </c>
      <c r="F263" s="2">
        <v>1</v>
      </c>
    </row>
    <row r="264" spans="1:6" ht="14.25" customHeight="1">
      <c r="A264" s="2">
        <v>3</v>
      </c>
      <c r="B264" s="2">
        <v>263</v>
      </c>
      <c r="C264" s="2">
        <v>7</v>
      </c>
      <c r="D264" s="2">
        <v>1</v>
      </c>
      <c r="E264" s="2">
        <v>0.61199999999999999</v>
      </c>
      <c r="F264" s="2">
        <v>2</v>
      </c>
    </row>
    <row r="265" spans="1:6" ht="14.25" customHeight="1">
      <c r="A265" s="2">
        <v>3</v>
      </c>
      <c r="B265" s="2">
        <v>264</v>
      </c>
      <c r="C265" s="2">
        <v>8</v>
      </c>
      <c r="D265" s="2">
        <v>0</v>
      </c>
      <c r="E265" s="2">
        <v>1.5840000000000001</v>
      </c>
      <c r="F265" s="2">
        <v>1</v>
      </c>
    </row>
    <row r="266" spans="1:6" ht="14.25" customHeight="1">
      <c r="A266" s="2">
        <v>3</v>
      </c>
      <c r="B266" s="2">
        <v>265</v>
      </c>
      <c r="C266" s="2">
        <v>4</v>
      </c>
      <c r="D266" s="2">
        <v>1</v>
      </c>
      <c r="E266" s="2">
        <v>0.70099999999999996</v>
      </c>
      <c r="F266" s="2">
        <v>1</v>
      </c>
    </row>
    <row r="267" spans="1:6" ht="14.25" customHeight="1">
      <c r="A267" s="2">
        <v>3</v>
      </c>
      <c r="B267" s="2">
        <v>266</v>
      </c>
      <c r="C267" s="2">
        <v>3</v>
      </c>
      <c r="D267" s="2">
        <v>1</v>
      </c>
      <c r="E267" s="2">
        <v>1.0860000000000001</v>
      </c>
      <c r="F267" s="2">
        <v>2</v>
      </c>
    </row>
    <row r="268" spans="1:6" ht="14.25" customHeight="1">
      <c r="A268" s="2">
        <v>3</v>
      </c>
      <c r="B268" s="2">
        <v>267</v>
      </c>
      <c r="C268" s="2">
        <v>2</v>
      </c>
      <c r="D268" s="2">
        <v>1</v>
      </c>
      <c r="E268" s="2">
        <v>0.97399999999999998</v>
      </c>
      <c r="F268" s="2">
        <v>1</v>
      </c>
    </row>
    <row r="269" spans="1:6" ht="14.25" customHeight="1">
      <c r="A269" s="2">
        <v>3</v>
      </c>
      <c r="B269" s="2">
        <v>268</v>
      </c>
      <c r="C269" s="2">
        <v>4</v>
      </c>
      <c r="D269" s="2">
        <v>1</v>
      </c>
      <c r="E269" s="2">
        <v>1.452</v>
      </c>
      <c r="F269" s="2">
        <v>1</v>
      </c>
    </row>
    <row r="270" spans="1:6" ht="14.25" customHeight="1">
      <c r="A270" s="2">
        <v>3</v>
      </c>
      <c r="B270" s="2">
        <v>269</v>
      </c>
      <c r="C270" s="2">
        <v>2</v>
      </c>
      <c r="D270" s="2">
        <v>1</v>
      </c>
      <c r="E270" s="2">
        <v>0.82199999999999995</v>
      </c>
      <c r="F270" s="2">
        <v>1</v>
      </c>
    </row>
    <row r="271" spans="1:6" ht="14.25" customHeight="1">
      <c r="A271" s="2">
        <v>3</v>
      </c>
      <c r="B271" s="2">
        <v>270</v>
      </c>
      <c r="C271" s="2">
        <v>3</v>
      </c>
      <c r="D271" s="2">
        <v>1</v>
      </c>
      <c r="E271" s="2">
        <v>1.17</v>
      </c>
      <c r="F271" s="2">
        <v>2</v>
      </c>
    </row>
    <row r="272" spans="1:6" ht="14.25" customHeight="1">
      <c r="A272" s="2">
        <v>3</v>
      </c>
      <c r="B272" s="2">
        <v>271</v>
      </c>
      <c r="C272" s="2">
        <v>5</v>
      </c>
      <c r="D272" s="2">
        <v>1</v>
      </c>
      <c r="E272" s="2">
        <v>0.63100000000000001</v>
      </c>
      <c r="F272" s="2">
        <v>1</v>
      </c>
    </row>
    <row r="273" spans="1:6" ht="14.25" customHeight="1">
      <c r="A273" s="2">
        <v>3</v>
      </c>
      <c r="B273" s="2">
        <v>272</v>
      </c>
      <c r="C273" s="2">
        <v>8</v>
      </c>
      <c r="D273" s="2">
        <v>1</v>
      </c>
      <c r="E273" s="2">
        <v>1.1060000000000001</v>
      </c>
      <c r="F273" s="2">
        <v>1</v>
      </c>
    </row>
    <row r="274" spans="1:6" ht="14.25" customHeight="1">
      <c r="A274" s="2">
        <v>3</v>
      </c>
      <c r="B274" s="2">
        <v>273</v>
      </c>
      <c r="C274" s="2">
        <v>6</v>
      </c>
      <c r="D274" s="2">
        <v>1</v>
      </c>
      <c r="E274" s="2">
        <v>0.65800000000000003</v>
      </c>
      <c r="F274" s="2">
        <v>1</v>
      </c>
    </row>
    <row r="275" spans="1:6" ht="14.25" customHeight="1">
      <c r="A275" s="2">
        <v>3</v>
      </c>
      <c r="B275" s="2">
        <v>274</v>
      </c>
      <c r="C275" s="2">
        <v>1</v>
      </c>
      <c r="D275" s="2">
        <v>1</v>
      </c>
      <c r="E275" s="2">
        <v>1.5649999999999999</v>
      </c>
      <c r="F275" s="2">
        <v>1</v>
      </c>
    </row>
    <row r="276" spans="1:6" ht="14.25" customHeight="1">
      <c r="A276" s="2">
        <v>3</v>
      </c>
      <c r="B276" s="2">
        <v>275</v>
      </c>
      <c r="C276" s="2">
        <v>8</v>
      </c>
      <c r="D276" s="2">
        <v>1</v>
      </c>
      <c r="E276" s="2">
        <v>0.67400000000000004</v>
      </c>
      <c r="F276" s="2">
        <v>2</v>
      </c>
    </row>
    <row r="277" spans="1:6" ht="14.25" customHeight="1">
      <c r="A277" s="2">
        <v>3</v>
      </c>
      <c r="B277" s="2">
        <v>276</v>
      </c>
      <c r="C277" s="2">
        <v>2</v>
      </c>
      <c r="D277" s="2">
        <v>1</v>
      </c>
      <c r="E277" s="2">
        <v>1.4279999999999999</v>
      </c>
      <c r="F277" s="2">
        <v>1</v>
      </c>
    </row>
    <row r="278" spans="1:6" ht="14.25" customHeight="1">
      <c r="A278" s="2">
        <v>3</v>
      </c>
      <c r="B278" s="2">
        <v>277</v>
      </c>
      <c r="C278" s="2">
        <v>7</v>
      </c>
      <c r="D278" s="2">
        <v>1</v>
      </c>
      <c r="E278" s="2">
        <v>0.56799999999999995</v>
      </c>
      <c r="F278" s="2">
        <v>1</v>
      </c>
    </row>
    <row r="279" spans="1:6" ht="14.25" customHeight="1">
      <c r="A279" s="2">
        <v>3</v>
      </c>
      <c r="B279" s="2">
        <v>278</v>
      </c>
      <c r="C279" s="2">
        <v>8</v>
      </c>
      <c r="D279" s="2">
        <v>1</v>
      </c>
      <c r="E279" s="2">
        <v>0.54900000000000004</v>
      </c>
      <c r="F279" s="2">
        <v>1</v>
      </c>
    </row>
    <row r="280" spans="1:6" ht="14.25" customHeight="1">
      <c r="A280" s="2">
        <v>3</v>
      </c>
      <c r="B280" s="2">
        <v>279</v>
      </c>
      <c r="C280" s="2">
        <v>4</v>
      </c>
      <c r="D280" s="2">
        <v>1</v>
      </c>
      <c r="E280" s="2">
        <v>1.244</v>
      </c>
      <c r="F280" s="2">
        <v>2</v>
      </c>
    </row>
    <row r="281" spans="1:6" ht="14.25" customHeight="1">
      <c r="A281" s="2">
        <v>3</v>
      </c>
      <c r="B281" s="2">
        <v>280</v>
      </c>
      <c r="C281" s="2">
        <v>6</v>
      </c>
      <c r="D281" s="2">
        <v>1</v>
      </c>
      <c r="E281" s="2">
        <v>1.3180000000000001</v>
      </c>
      <c r="F281" s="2">
        <v>1</v>
      </c>
    </row>
    <row r="282" spans="1:6" ht="14.25" customHeight="1">
      <c r="A282" s="2">
        <v>3</v>
      </c>
      <c r="B282" s="2">
        <v>281</v>
      </c>
      <c r="C282" s="2">
        <v>2</v>
      </c>
      <c r="D282" s="2">
        <v>1</v>
      </c>
      <c r="E282" s="2">
        <v>0.87</v>
      </c>
      <c r="F282" s="2">
        <v>1</v>
      </c>
    </row>
    <row r="283" spans="1:6" ht="14.25" customHeight="1">
      <c r="A283" s="2">
        <v>3</v>
      </c>
      <c r="B283" s="2">
        <v>282</v>
      </c>
      <c r="C283" s="2">
        <v>4</v>
      </c>
      <c r="D283" s="2">
        <v>1</v>
      </c>
      <c r="E283" s="2">
        <v>1</v>
      </c>
      <c r="F283" s="2">
        <v>1</v>
      </c>
    </row>
    <row r="284" spans="1:6" ht="14.25" customHeight="1">
      <c r="A284" s="2">
        <v>3</v>
      </c>
      <c r="B284" s="2">
        <v>283</v>
      </c>
      <c r="C284" s="2">
        <v>6</v>
      </c>
      <c r="D284" s="2">
        <v>1</v>
      </c>
      <c r="E284" s="2">
        <v>1.2689999999999999</v>
      </c>
      <c r="F284" s="2">
        <v>1</v>
      </c>
    </row>
    <row r="285" spans="1:6" ht="14.25" customHeight="1">
      <c r="A285" s="2">
        <v>3</v>
      </c>
      <c r="B285" s="2">
        <v>284</v>
      </c>
      <c r="C285" s="2">
        <v>7</v>
      </c>
      <c r="D285" s="2">
        <v>1</v>
      </c>
      <c r="E285" s="2">
        <v>0.77400000000000002</v>
      </c>
      <c r="F285" s="2">
        <v>1</v>
      </c>
    </row>
    <row r="286" spans="1:6" ht="14.25" customHeight="1">
      <c r="A286" s="2">
        <v>3</v>
      </c>
      <c r="B286" s="2">
        <v>285</v>
      </c>
      <c r="C286" s="2">
        <v>1</v>
      </c>
      <c r="D286" s="2">
        <v>1</v>
      </c>
      <c r="E286" s="2">
        <v>0.91500000000000004</v>
      </c>
      <c r="F286" s="2">
        <v>1</v>
      </c>
    </row>
    <row r="287" spans="1:6" ht="14.25" customHeight="1">
      <c r="A287" s="2">
        <v>3</v>
      </c>
      <c r="B287" s="2">
        <v>286</v>
      </c>
      <c r="C287" s="2">
        <v>2</v>
      </c>
      <c r="D287" s="2">
        <v>1</v>
      </c>
      <c r="E287" s="2">
        <v>1.075</v>
      </c>
      <c r="F287" s="2">
        <v>2</v>
      </c>
    </row>
    <row r="288" spans="1:6" ht="14.25" customHeight="1">
      <c r="A288" s="2">
        <v>3</v>
      </c>
      <c r="B288" s="2">
        <v>287</v>
      </c>
      <c r="C288" s="2">
        <v>3</v>
      </c>
      <c r="D288" s="2">
        <v>1</v>
      </c>
      <c r="E288" s="2">
        <v>1.3160000000000001</v>
      </c>
      <c r="F288" s="2">
        <v>2</v>
      </c>
    </row>
    <row r="289" spans="1:6" ht="14.25" customHeight="1">
      <c r="A289" s="2">
        <v>3</v>
      </c>
      <c r="B289" s="2">
        <v>288</v>
      </c>
      <c r="C289" s="2">
        <v>4</v>
      </c>
      <c r="D289" s="2">
        <v>1</v>
      </c>
      <c r="E289" s="2">
        <v>0.876</v>
      </c>
      <c r="F289" s="2">
        <v>2</v>
      </c>
    </row>
    <row r="290" spans="1:6" ht="14.25" customHeight="1">
      <c r="A290" s="2">
        <v>3</v>
      </c>
      <c r="B290" s="2">
        <v>289</v>
      </c>
      <c r="C290" s="2">
        <v>8</v>
      </c>
      <c r="D290" s="2">
        <v>1</v>
      </c>
      <c r="E290" s="2">
        <v>1.798</v>
      </c>
      <c r="F290" s="2">
        <v>2</v>
      </c>
    </row>
    <row r="291" spans="1:6" ht="14.25" customHeight="1">
      <c r="A291" s="2">
        <v>3</v>
      </c>
      <c r="B291" s="2">
        <v>290</v>
      </c>
      <c r="C291" s="2">
        <v>5</v>
      </c>
      <c r="D291" s="2">
        <v>1</v>
      </c>
      <c r="E291" s="2">
        <v>0.82699999999999996</v>
      </c>
      <c r="F291" s="2">
        <v>2</v>
      </c>
    </row>
    <row r="292" spans="1:6" ht="14.25" customHeight="1">
      <c r="A292" s="2">
        <v>3</v>
      </c>
      <c r="B292" s="2">
        <v>291</v>
      </c>
      <c r="C292" s="2">
        <v>6</v>
      </c>
      <c r="D292" s="2">
        <v>1</v>
      </c>
      <c r="E292" s="2">
        <v>0.79800000000000004</v>
      </c>
      <c r="F292" s="2">
        <v>1</v>
      </c>
    </row>
    <row r="293" spans="1:6" ht="14.25" customHeight="1">
      <c r="A293" s="2">
        <v>3</v>
      </c>
      <c r="B293" s="2">
        <v>292</v>
      </c>
      <c r="C293" s="2">
        <v>7</v>
      </c>
      <c r="D293" s="2">
        <v>1</v>
      </c>
      <c r="E293" s="2">
        <v>0.69799999999999995</v>
      </c>
      <c r="F293" s="2">
        <v>2</v>
      </c>
    </row>
    <row r="294" spans="1:6" ht="14.25" customHeight="1">
      <c r="A294" s="2">
        <v>3</v>
      </c>
      <c r="B294" s="2">
        <v>293</v>
      </c>
      <c r="C294" s="2">
        <v>4</v>
      </c>
      <c r="D294" s="2">
        <v>1</v>
      </c>
      <c r="E294" s="2">
        <v>0.65200000000000002</v>
      </c>
      <c r="F294" s="2">
        <v>1</v>
      </c>
    </row>
    <row r="295" spans="1:6" ht="14.25" customHeight="1">
      <c r="A295" s="2">
        <v>3</v>
      </c>
      <c r="B295" s="2">
        <v>294</v>
      </c>
      <c r="C295" s="2">
        <v>1</v>
      </c>
      <c r="D295" s="2">
        <v>1</v>
      </c>
      <c r="E295" s="2">
        <v>0.72599999999999998</v>
      </c>
      <c r="F295" s="2">
        <v>2</v>
      </c>
    </row>
    <row r="296" spans="1:6" ht="14.25" customHeight="1">
      <c r="A296" s="2">
        <v>3</v>
      </c>
      <c r="B296" s="2">
        <v>295</v>
      </c>
      <c r="C296" s="2">
        <v>2</v>
      </c>
      <c r="D296" s="2">
        <v>1</v>
      </c>
      <c r="E296" s="2">
        <v>0.70899999999999996</v>
      </c>
      <c r="F296" s="2">
        <v>2</v>
      </c>
    </row>
    <row r="297" spans="1:6" ht="14.25" customHeight="1">
      <c r="A297" s="2">
        <v>3</v>
      </c>
      <c r="B297" s="2">
        <v>296</v>
      </c>
      <c r="C297" s="2">
        <v>1</v>
      </c>
      <c r="D297" s="2">
        <v>1</v>
      </c>
      <c r="E297" s="2">
        <v>1.1890000000000001</v>
      </c>
      <c r="F297" s="2">
        <v>2</v>
      </c>
    </row>
    <row r="298" spans="1:6" ht="14.25" customHeight="1">
      <c r="A298" s="2">
        <v>3</v>
      </c>
      <c r="B298" s="2">
        <v>297</v>
      </c>
      <c r="C298" s="2">
        <v>8</v>
      </c>
      <c r="D298" s="2">
        <v>1</v>
      </c>
      <c r="E298" s="2">
        <v>0.73799999999999999</v>
      </c>
      <c r="F298" s="2">
        <v>2</v>
      </c>
    </row>
    <row r="299" spans="1:6" ht="14.25" customHeight="1">
      <c r="A299" s="2">
        <v>3</v>
      </c>
      <c r="B299" s="2">
        <v>298</v>
      </c>
      <c r="C299" s="2">
        <v>3</v>
      </c>
      <c r="D299" s="2">
        <v>1</v>
      </c>
      <c r="E299" s="2">
        <v>1.3049999999999999</v>
      </c>
      <c r="F299" s="2">
        <v>2</v>
      </c>
    </row>
    <row r="300" spans="1:6" ht="14.25" customHeight="1">
      <c r="A300" s="2">
        <v>3</v>
      </c>
      <c r="B300" s="2">
        <v>299</v>
      </c>
      <c r="C300" s="2">
        <v>5</v>
      </c>
      <c r="D300" s="2">
        <v>0</v>
      </c>
      <c r="E300" s="2">
        <v>1.617</v>
      </c>
      <c r="F300" s="2">
        <v>2</v>
      </c>
    </row>
    <row r="301" spans="1:6" ht="14.25" customHeight="1">
      <c r="A301" s="2">
        <v>3</v>
      </c>
      <c r="B301" s="2">
        <v>300</v>
      </c>
      <c r="C301" s="2">
        <v>6</v>
      </c>
      <c r="D301" s="2">
        <v>1</v>
      </c>
      <c r="E301" s="2">
        <v>0.68500000000000005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/>
  </sheetViews>
  <sheetFormatPr baseColWidth="10" defaultColWidth="14.5" defaultRowHeight="15" customHeight="1"/>
  <cols>
    <col min="1" max="1" width="7.5" customWidth="1"/>
    <col min="2" max="2" width="13.5" customWidth="1"/>
    <col min="3" max="3" width="13.1640625" customWidth="1"/>
    <col min="4" max="4" width="12.33203125" customWidth="1"/>
    <col min="5" max="5" width="13.5" customWidth="1"/>
    <col min="6" max="6" width="11.1640625" customWidth="1"/>
    <col min="7" max="14" width="8.6640625" customWidth="1"/>
    <col min="15" max="15" width="17.83203125" customWidth="1"/>
    <col min="16" max="26" width="8.6640625" customWidth="1"/>
  </cols>
  <sheetData>
    <row r="1" spans="1:24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</v>
      </c>
      <c r="I1" s="2">
        <v>1</v>
      </c>
      <c r="J1" s="2">
        <v>6</v>
      </c>
      <c r="K1" s="2">
        <v>0</v>
      </c>
      <c r="L1" s="2">
        <v>1.853</v>
      </c>
      <c r="M1" s="2">
        <v>2</v>
      </c>
    </row>
    <row r="2" spans="1:24" ht="14.25" customHeight="1">
      <c r="A2" s="2">
        <v>4</v>
      </c>
      <c r="B2" s="2">
        <v>1</v>
      </c>
      <c r="C2" s="2">
        <v>6</v>
      </c>
      <c r="D2" s="2">
        <v>0</v>
      </c>
      <c r="E2" s="2">
        <v>1.853</v>
      </c>
      <c r="F2" s="2">
        <v>2</v>
      </c>
      <c r="H2" s="2">
        <v>4</v>
      </c>
      <c r="I2" s="2">
        <v>2</v>
      </c>
      <c r="J2" s="2">
        <v>8</v>
      </c>
      <c r="K2" s="2">
        <v>1</v>
      </c>
      <c r="L2" s="2">
        <v>1.893</v>
      </c>
      <c r="M2" s="2">
        <v>2</v>
      </c>
    </row>
    <row r="3" spans="1:24" ht="14.25" customHeight="1">
      <c r="A3" s="2">
        <v>4</v>
      </c>
      <c r="B3" s="2">
        <v>2</v>
      </c>
      <c r="C3" s="2">
        <v>8</v>
      </c>
      <c r="D3" s="2">
        <v>1</v>
      </c>
      <c r="E3" s="2">
        <v>1.893</v>
      </c>
      <c r="F3" s="2">
        <v>2</v>
      </c>
      <c r="H3" s="2">
        <v>4</v>
      </c>
      <c r="I3" s="2">
        <v>3</v>
      </c>
      <c r="J3" s="2">
        <v>7</v>
      </c>
      <c r="K3" s="2">
        <v>1</v>
      </c>
      <c r="L3" s="2">
        <v>1.165</v>
      </c>
      <c r="M3" s="2">
        <v>2</v>
      </c>
    </row>
    <row r="4" spans="1:24" ht="14.25" customHeight="1">
      <c r="A4" s="2">
        <v>4</v>
      </c>
      <c r="B4" s="2">
        <v>3</v>
      </c>
      <c r="C4" s="2">
        <v>7</v>
      </c>
      <c r="D4" s="2">
        <v>1</v>
      </c>
      <c r="E4" s="2">
        <v>1.165</v>
      </c>
      <c r="F4" s="2">
        <v>2</v>
      </c>
      <c r="H4" s="2">
        <v>4</v>
      </c>
      <c r="I4" s="2">
        <v>4</v>
      </c>
      <c r="J4" s="2">
        <v>6</v>
      </c>
      <c r="K4" s="2">
        <v>1</v>
      </c>
      <c r="L4" s="2">
        <v>1.083</v>
      </c>
      <c r="M4" s="2">
        <v>1</v>
      </c>
      <c r="O4" s="2" t="s">
        <v>9</v>
      </c>
    </row>
    <row r="5" spans="1:24" ht="14.25" customHeight="1">
      <c r="A5" s="2">
        <v>4</v>
      </c>
      <c r="B5" s="2">
        <v>4</v>
      </c>
      <c r="C5" s="2">
        <v>6</v>
      </c>
      <c r="D5" s="2">
        <v>1</v>
      </c>
      <c r="E5" s="2">
        <v>1.083</v>
      </c>
      <c r="F5" s="2">
        <v>1</v>
      </c>
      <c r="H5" s="2">
        <v>4</v>
      </c>
      <c r="I5" s="2">
        <v>5</v>
      </c>
      <c r="J5" s="2">
        <v>3</v>
      </c>
      <c r="L5" s="2">
        <v>2.0009999999999999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4" ht="14.25" customHeight="1">
      <c r="A6" s="2">
        <v>4</v>
      </c>
      <c r="B6" s="2">
        <v>5</v>
      </c>
      <c r="C6" s="2">
        <v>3</v>
      </c>
      <c r="E6" s="2">
        <v>2.0009999999999999</v>
      </c>
      <c r="H6" s="2">
        <v>4</v>
      </c>
      <c r="I6" s="2">
        <v>6</v>
      </c>
      <c r="J6" s="2">
        <v>6</v>
      </c>
      <c r="K6" s="2">
        <v>1</v>
      </c>
      <c r="L6" s="2">
        <v>0.99399999999999999</v>
      </c>
      <c r="M6" s="2">
        <v>1</v>
      </c>
      <c r="N6" s="2">
        <v>1</v>
      </c>
      <c r="O6" s="2">
        <v>0.05</v>
      </c>
      <c r="P6" s="2">
        <v>0.95</v>
      </c>
      <c r="Q6" s="2">
        <v>0.1</v>
      </c>
      <c r="R6" s="2">
        <v>0.95</v>
      </c>
      <c r="S6" s="2">
        <v>0.05</v>
      </c>
      <c r="T6" s="2">
        <v>0.05</v>
      </c>
      <c r="U6" s="2">
        <v>0.95</v>
      </c>
      <c r="V6" s="2">
        <v>0.95</v>
      </c>
    </row>
    <row r="7" spans="1:24" ht="14.25" customHeight="1">
      <c r="A7" s="2">
        <v>4</v>
      </c>
      <c r="B7" s="2">
        <v>6</v>
      </c>
      <c r="C7" s="2">
        <v>6</v>
      </c>
      <c r="D7" s="2">
        <v>1</v>
      </c>
      <c r="E7" s="2">
        <v>0.99399999999999999</v>
      </c>
      <c r="F7" s="2">
        <v>1</v>
      </c>
      <c r="H7" s="2">
        <v>4</v>
      </c>
      <c r="I7" s="2">
        <v>7</v>
      </c>
      <c r="J7" s="2">
        <v>7</v>
      </c>
      <c r="K7" s="2">
        <v>1</v>
      </c>
      <c r="L7" s="2">
        <v>0.87</v>
      </c>
      <c r="M7" s="2">
        <v>2</v>
      </c>
      <c r="N7" s="2">
        <v>2</v>
      </c>
      <c r="O7" s="2">
        <v>0.05</v>
      </c>
      <c r="P7" s="2">
        <v>0.05</v>
      </c>
      <c r="Q7" s="2">
        <v>1</v>
      </c>
      <c r="R7" s="2">
        <v>0.95</v>
      </c>
      <c r="S7" s="2">
        <v>0.05</v>
      </c>
      <c r="T7" s="2">
        <v>0.05</v>
      </c>
      <c r="U7" s="2">
        <v>0.95</v>
      </c>
      <c r="V7" s="2">
        <v>0.95</v>
      </c>
    </row>
    <row r="8" spans="1:24" ht="14.25" customHeight="1">
      <c r="A8" s="2">
        <v>4</v>
      </c>
      <c r="B8" s="2">
        <v>7</v>
      </c>
      <c r="C8" s="2">
        <v>7</v>
      </c>
      <c r="D8" s="2">
        <v>1</v>
      </c>
      <c r="E8" s="2">
        <v>0.87</v>
      </c>
      <c r="F8" s="2">
        <v>2</v>
      </c>
      <c r="H8" s="2">
        <v>4</v>
      </c>
      <c r="I8" s="2">
        <v>8</v>
      </c>
      <c r="J8" s="2">
        <v>6</v>
      </c>
      <c r="K8" s="2">
        <v>1</v>
      </c>
      <c r="L8" s="2">
        <v>0.92800000000000005</v>
      </c>
      <c r="M8" s="2">
        <v>1</v>
      </c>
      <c r="N8" s="2">
        <v>3</v>
      </c>
      <c r="O8" s="2">
        <v>0.05</v>
      </c>
      <c r="P8" s="2">
        <v>0.95</v>
      </c>
      <c r="Q8" s="2">
        <v>0.1</v>
      </c>
      <c r="R8" s="2">
        <v>0.95</v>
      </c>
      <c r="S8" s="2">
        <v>0.05</v>
      </c>
      <c r="T8" s="2">
        <v>0.95</v>
      </c>
      <c r="U8" s="2">
        <v>0.05</v>
      </c>
      <c r="V8" s="2">
        <v>0.95</v>
      </c>
    </row>
    <row r="9" spans="1:24" ht="14.25" customHeight="1">
      <c r="A9" s="2">
        <v>4</v>
      </c>
      <c r="B9" s="2">
        <v>8</v>
      </c>
      <c r="C9" s="2">
        <v>6</v>
      </c>
      <c r="D9" s="2">
        <v>1</v>
      </c>
      <c r="E9" s="2">
        <v>0.92800000000000005</v>
      </c>
      <c r="F9" s="2">
        <v>1</v>
      </c>
      <c r="H9" s="2">
        <v>4</v>
      </c>
      <c r="I9" s="2">
        <v>9</v>
      </c>
      <c r="J9" s="2">
        <v>1</v>
      </c>
      <c r="K9" s="2">
        <v>1</v>
      </c>
      <c r="L9" s="2">
        <v>0.879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0.05</v>
      </c>
      <c r="T9" s="2">
        <v>0.05</v>
      </c>
      <c r="U9" s="2">
        <v>0.95</v>
      </c>
      <c r="V9" s="2">
        <v>0.95</v>
      </c>
    </row>
    <row r="10" spans="1:24" ht="14.25" customHeight="1">
      <c r="A10" s="2">
        <v>4</v>
      </c>
      <c r="B10" s="2">
        <v>9</v>
      </c>
      <c r="C10" s="2">
        <v>1</v>
      </c>
      <c r="D10" s="2">
        <v>1</v>
      </c>
      <c r="E10" s="2">
        <v>0.879</v>
      </c>
      <c r="F10" s="2">
        <v>1</v>
      </c>
      <c r="H10" s="2">
        <v>4</v>
      </c>
      <c r="I10" s="2">
        <v>10</v>
      </c>
      <c r="J10" s="2">
        <v>7</v>
      </c>
      <c r="K10" s="2">
        <v>1</v>
      </c>
      <c r="L10" s="2">
        <v>0.64900000000000002</v>
      </c>
      <c r="M10" s="2">
        <v>2</v>
      </c>
      <c r="N10" s="2">
        <v>5</v>
      </c>
      <c r="O10" s="2">
        <v>0.05</v>
      </c>
      <c r="P10" s="2">
        <v>0.95</v>
      </c>
      <c r="Q10" s="2">
        <v>0.1</v>
      </c>
      <c r="R10" s="2">
        <v>0.95</v>
      </c>
      <c r="S10" s="2">
        <v>0.5</v>
      </c>
      <c r="T10" s="2">
        <v>0.5</v>
      </c>
      <c r="U10" s="2">
        <v>0.5</v>
      </c>
      <c r="V10" s="2">
        <v>0.5</v>
      </c>
    </row>
    <row r="11" spans="1:24" ht="14.25" customHeight="1">
      <c r="A11" s="2">
        <v>4</v>
      </c>
      <c r="B11" s="2">
        <v>10</v>
      </c>
      <c r="C11" s="2">
        <v>7</v>
      </c>
      <c r="D11" s="2">
        <v>1</v>
      </c>
      <c r="E11" s="2">
        <v>0.64900000000000002</v>
      </c>
      <c r="F11" s="2">
        <v>2</v>
      </c>
      <c r="H11" s="2">
        <v>4</v>
      </c>
      <c r="I11" s="2">
        <v>11</v>
      </c>
      <c r="J11" s="2">
        <v>3</v>
      </c>
      <c r="K11" s="2">
        <v>0</v>
      </c>
      <c r="L11" s="2">
        <v>0.65100000000000002</v>
      </c>
      <c r="M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4" ht="14.25" customHeight="1">
      <c r="A12" s="2">
        <v>4</v>
      </c>
      <c r="B12" s="2">
        <v>11</v>
      </c>
      <c r="C12" s="2">
        <v>3</v>
      </c>
      <c r="D12" s="2">
        <v>0</v>
      </c>
      <c r="E12" s="2">
        <v>0.65100000000000002</v>
      </c>
      <c r="F12" s="2">
        <v>2</v>
      </c>
      <c r="H12" s="2">
        <v>4</v>
      </c>
      <c r="I12" s="2">
        <v>12</v>
      </c>
      <c r="J12" s="2">
        <v>1</v>
      </c>
      <c r="K12" s="2">
        <v>1</v>
      </c>
      <c r="L12" s="2">
        <v>1.0940000000000001</v>
      </c>
      <c r="M12" s="2">
        <v>1</v>
      </c>
    </row>
    <row r="13" spans="1:24" ht="14.25" customHeight="1">
      <c r="A13" s="2">
        <v>4</v>
      </c>
      <c r="B13" s="2">
        <v>12</v>
      </c>
      <c r="C13" s="2">
        <v>1</v>
      </c>
      <c r="D13" s="2">
        <v>1</v>
      </c>
      <c r="E13" s="2">
        <v>1.0940000000000001</v>
      </c>
      <c r="F13" s="2">
        <v>1</v>
      </c>
      <c r="H13" s="2">
        <v>4</v>
      </c>
      <c r="I13" s="2">
        <v>13</v>
      </c>
      <c r="J13" s="2">
        <v>2</v>
      </c>
      <c r="K13" s="2">
        <v>0</v>
      </c>
      <c r="L13" s="2">
        <v>0.78200000000000003</v>
      </c>
      <c r="M13" s="2">
        <v>1</v>
      </c>
    </row>
    <row r="14" spans="1:24" ht="14.25" customHeight="1">
      <c r="A14" s="2">
        <v>4</v>
      </c>
      <c r="B14" s="2">
        <v>13</v>
      </c>
      <c r="C14" s="2">
        <v>2</v>
      </c>
      <c r="D14" s="2">
        <v>0</v>
      </c>
      <c r="E14" s="2">
        <v>0.78200000000000003</v>
      </c>
      <c r="F14" s="2">
        <v>1</v>
      </c>
      <c r="H14" s="2">
        <v>4</v>
      </c>
      <c r="I14" s="2">
        <v>14</v>
      </c>
      <c r="J14" s="2">
        <v>3</v>
      </c>
      <c r="K14" s="2">
        <v>0</v>
      </c>
      <c r="L14" s="2">
        <v>1.1240000000000001</v>
      </c>
      <c r="M14" s="2">
        <v>2</v>
      </c>
      <c r="O14" s="2" t="s">
        <v>8</v>
      </c>
      <c r="P14" s="2" t="s">
        <v>7</v>
      </c>
      <c r="Q14" s="2" t="s">
        <v>8</v>
      </c>
      <c r="R14" s="2" t="s">
        <v>7</v>
      </c>
      <c r="S14" s="2" t="s">
        <v>8</v>
      </c>
      <c r="T14" s="2" t="s">
        <v>8</v>
      </c>
      <c r="U14" s="2" t="s">
        <v>7</v>
      </c>
      <c r="V14" s="2" t="s">
        <v>7</v>
      </c>
    </row>
    <row r="15" spans="1:24" ht="14.25" customHeight="1">
      <c r="A15" s="2">
        <v>4</v>
      </c>
      <c r="B15" s="2">
        <v>14</v>
      </c>
      <c r="C15" s="2">
        <v>3</v>
      </c>
      <c r="D15" s="2">
        <v>0</v>
      </c>
      <c r="E15" s="2">
        <v>1.1240000000000001</v>
      </c>
      <c r="F15" s="2">
        <v>2</v>
      </c>
      <c r="H15" s="2">
        <v>4</v>
      </c>
      <c r="I15" s="2">
        <v>15</v>
      </c>
      <c r="J15" s="2">
        <v>5</v>
      </c>
      <c r="K15" s="2">
        <v>1</v>
      </c>
      <c r="L15" s="2">
        <v>1.2509999999999999</v>
      </c>
      <c r="M15" s="2">
        <v>1</v>
      </c>
      <c r="O15" s="2" t="s">
        <v>9</v>
      </c>
    </row>
    <row r="16" spans="1:24" ht="14.25" customHeight="1">
      <c r="A16" s="2">
        <v>4</v>
      </c>
      <c r="B16" s="2">
        <v>15</v>
      </c>
      <c r="C16" s="2">
        <v>5</v>
      </c>
      <c r="D16" s="2">
        <v>1</v>
      </c>
      <c r="E16" s="2">
        <v>1.2509999999999999</v>
      </c>
      <c r="F16" s="2">
        <v>1</v>
      </c>
      <c r="H16" s="2">
        <v>4</v>
      </c>
      <c r="I16" s="2">
        <v>16</v>
      </c>
      <c r="J16" s="2">
        <v>2</v>
      </c>
      <c r="K16" s="2">
        <v>1</v>
      </c>
      <c r="L16" s="2">
        <v>1.3260000000000001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  <c r="X16" s="2" t="s">
        <v>15</v>
      </c>
    </row>
    <row r="17" spans="1:24" ht="14.25" customHeight="1">
      <c r="A17" s="2">
        <v>4</v>
      </c>
      <c r="B17" s="2">
        <v>16</v>
      </c>
      <c r="C17" s="2">
        <v>2</v>
      </c>
      <c r="D17" s="2">
        <v>1</v>
      </c>
      <c r="E17" s="2">
        <v>1.3260000000000001</v>
      </c>
      <c r="F17" s="2">
        <v>2</v>
      </c>
      <c r="H17" s="2">
        <v>4</v>
      </c>
      <c r="I17" s="2">
        <v>17</v>
      </c>
      <c r="J17" s="2">
        <v>1</v>
      </c>
      <c r="K17" s="2">
        <v>0</v>
      </c>
      <c r="L17" s="2">
        <v>1.1080000000000001</v>
      </c>
      <c r="M17" s="2">
        <v>2</v>
      </c>
      <c r="N17" s="2">
        <v>1</v>
      </c>
      <c r="O17" s="2">
        <f t="shared" ref="O17:O22" si="0">(O6*COUNTIF($J$1:$J$51,O$16) - COUNTIFS($J$1:$J$51,O$16,$K$1:$K$51,"=0"))^2</f>
        <v>2.8899999999999997</v>
      </c>
      <c r="P17" s="2">
        <f t="shared" ref="P17:P22" si="1">(P6*COUNTIF($J$1:$J$51,P$16) - COUNTIFS($J$1:$J$51,P$16,$K$1:$K$51,"=1"))^2</f>
        <v>2.8899999999999975</v>
      </c>
      <c r="Q17" s="2">
        <f t="shared" ref="Q17:Q22" si="2">(Q6*COUNTIF($J$1:$J$51,Q$16) - COUNTIFS($J$1:$J$51,Q$16,$K$1:$K$51,"=0"))^2</f>
        <v>10.889999999999999</v>
      </c>
      <c r="R17" s="2">
        <f t="shared" ref="R17:R22" si="3">(R6*COUNTIF($J$1:$J$51,R$16) - COUNTIFS($J$1:$J$51,R$16,$K$1:$K$51,"=1"))^2</f>
        <v>0.48999999999999899</v>
      </c>
      <c r="S17" s="2">
        <f t="shared" ref="S17:T17" si="4">(S6*COUNTIF($J$1:$J$51,S$16) - COUNTIFS($J$1:$J$51,S$16,$K$1:$K$51,"=0"))^2</f>
        <v>9.0000000000000024E-2</v>
      </c>
      <c r="T17" s="2">
        <f t="shared" si="4"/>
        <v>0.48999999999999994</v>
      </c>
      <c r="U17" s="2">
        <f t="shared" ref="U17:V17" si="5">(U6*COUNTIF($J$1:$J$51,U$16) - COUNTIFS($J$1:$J$51,U$16,$K$1:$K$51,"=1"))^2</f>
        <v>0.12250000000000037</v>
      </c>
      <c r="V17" s="2">
        <f t="shared" si="5"/>
        <v>9.0000000000000427E-2</v>
      </c>
    </row>
    <row r="18" spans="1:24" ht="14.25" customHeight="1">
      <c r="A18" s="2">
        <v>4</v>
      </c>
      <c r="B18" s="2">
        <v>17</v>
      </c>
      <c r="C18" s="2">
        <v>1</v>
      </c>
      <c r="D18" s="2">
        <v>0</v>
      </c>
      <c r="E18" s="2">
        <v>1.1080000000000001</v>
      </c>
      <c r="F18" s="2">
        <v>2</v>
      </c>
      <c r="H18" s="2">
        <v>4</v>
      </c>
      <c r="I18" s="2">
        <v>18</v>
      </c>
      <c r="J18" s="2">
        <v>4</v>
      </c>
      <c r="K18" s="2">
        <v>0</v>
      </c>
      <c r="L18" s="2">
        <v>1.9319999999999999</v>
      </c>
      <c r="M18" s="2">
        <v>1</v>
      </c>
      <c r="N18" s="2">
        <v>2</v>
      </c>
      <c r="O18" s="2">
        <f t="shared" si="0"/>
        <v>2.8899999999999997</v>
      </c>
      <c r="P18" s="2">
        <f t="shared" si="1"/>
        <v>13.690000000000001</v>
      </c>
      <c r="Q18" s="2">
        <f t="shared" si="2"/>
        <v>9</v>
      </c>
      <c r="R18" s="2">
        <f t="shared" si="3"/>
        <v>0.48999999999999899</v>
      </c>
      <c r="S18" s="2">
        <f t="shared" ref="S18:T18" si="6">(S7*COUNTIF($J$1:$J$51,S$16) - COUNTIFS($J$1:$J$51,S$16,$K$1:$K$51,"=0"))^2</f>
        <v>9.0000000000000024E-2</v>
      </c>
      <c r="T18" s="2">
        <f t="shared" si="6"/>
        <v>0.48999999999999994</v>
      </c>
      <c r="U18" s="2">
        <f t="shared" ref="U18:V18" si="7">(U7*COUNTIF($J$1:$J$51,U$16) - COUNTIFS($J$1:$J$51,U$16,$K$1:$K$51,"=1"))^2</f>
        <v>0.12250000000000037</v>
      </c>
      <c r="V18" s="2">
        <f t="shared" si="7"/>
        <v>9.0000000000000427E-2</v>
      </c>
    </row>
    <row r="19" spans="1:24" ht="14.25" customHeight="1">
      <c r="A19" s="2">
        <v>4</v>
      </c>
      <c r="B19" s="2">
        <v>18</v>
      </c>
      <c r="C19" s="2">
        <v>4</v>
      </c>
      <c r="D19" s="2">
        <v>0</v>
      </c>
      <c r="E19" s="2">
        <v>1.9319999999999999</v>
      </c>
      <c r="F19" s="2">
        <v>1</v>
      </c>
      <c r="H19" s="2">
        <v>4</v>
      </c>
      <c r="I19" s="2">
        <v>19</v>
      </c>
      <c r="J19" s="2">
        <v>8</v>
      </c>
      <c r="K19" s="2">
        <v>1</v>
      </c>
      <c r="L19" s="2">
        <v>1.3720000000000001</v>
      </c>
      <c r="M19" s="2">
        <v>2</v>
      </c>
      <c r="N19" s="2">
        <v>3</v>
      </c>
      <c r="O19" s="2">
        <f t="shared" si="0"/>
        <v>2.8899999999999997</v>
      </c>
      <c r="P19" s="2">
        <f t="shared" si="1"/>
        <v>2.8899999999999975</v>
      </c>
      <c r="Q19" s="2">
        <f t="shared" si="2"/>
        <v>10.889999999999999</v>
      </c>
      <c r="R19" s="2">
        <f t="shared" si="3"/>
        <v>0.48999999999999899</v>
      </c>
      <c r="S19" s="2">
        <f t="shared" ref="S19:T19" si="8">(S8*COUNTIF($J$1:$J$51,S$16) - COUNTIFS($J$1:$J$51,S$16,$K$1:$K$51,"=0"))^2</f>
        <v>9.0000000000000024E-2</v>
      </c>
      <c r="T19" s="2">
        <f t="shared" si="8"/>
        <v>22.089999999999993</v>
      </c>
      <c r="U19" s="2">
        <f t="shared" ref="U19:V19" si="9">(U8*COUNTIF($J$1:$J$51,U$16) - COUNTIFS($J$1:$J$51,U$16,$K$1:$K$51,"=1"))^2</f>
        <v>44.222500000000004</v>
      </c>
      <c r="V19" s="2">
        <f t="shared" si="9"/>
        <v>9.0000000000000427E-2</v>
      </c>
    </row>
    <row r="20" spans="1:24" ht="14.25" customHeight="1">
      <c r="A20" s="2">
        <v>4</v>
      </c>
      <c r="B20" s="2">
        <v>19</v>
      </c>
      <c r="C20" s="2">
        <v>8</v>
      </c>
      <c r="D20" s="2">
        <v>1</v>
      </c>
      <c r="E20" s="2">
        <v>1.3720000000000001</v>
      </c>
      <c r="F20" s="2">
        <v>2</v>
      </c>
      <c r="H20" s="2">
        <v>4</v>
      </c>
      <c r="I20" s="2">
        <v>20</v>
      </c>
      <c r="J20" s="2">
        <v>4</v>
      </c>
      <c r="K20" s="2">
        <v>1</v>
      </c>
      <c r="L20" s="2">
        <v>1.577</v>
      </c>
      <c r="M20" s="2">
        <v>2</v>
      </c>
      <c r="N20" s="2">
        <v>4</v>
      </c>
      <c r="O20" s="2">
        <f t="shared" si="0"/>
        <v>1</v>
      </c>
      <c r="P20" s="2">
        <f t="shared" si="1"/>
        <v>1</v>
      </c>
      <c r="Q20" s="2">
        <f t="shared" si="2"/>
        <v>0.25</v>
      </c>
      <c r="R20" s="2">
        <f t="shared" si="3"/>
        <v>4</v>
      </c>
      <c r="S20" s="2">
        <f t="shared" ref="S20:T20" si="10">(S9*COUNTIF($J$1:$J$51,S$16) - COUNTIFS($J$1:$J$51,S$16,$K$1:$K$51,"=0"))^2</f>
        <v>9.0000000000000024E-2</v>
      </c>
      <c r="T20" s="2">
        <f t="shared" si="10"/>
        <v>0.48999999999999994</v>
      </c>
      <c r="U20" s="2">
        <f t="shared" ref="U20:V20" si="11">(U9*COUNTIF($J$1:$J$51,U$16) - COUNTIFS($J$1:$J$51,U$16,$K$1:$K$51,"=1"))^2</f>
        <v>0.12250000000000037</v>
      </c>
      <c r="V20" s="2">
        <f t="shared" si="11"/>
        <v>9.0000000000000427E-2</v>
      </c>
    </row>
    <row r="21" spans="1:24" ht="14.25" customHeight="1">
      <c r="A21" s="2">
        <v>4</v>
      </c>
      <c r="B21" s="2">
        <v>20</v>
      </c>
      <c r="C21" s="2">
        <v>4</v>
      </c>
      <c r="D21" s="2">
        <v>1</v>
      </c>
      <c r="E21" s="2">
        <v>1.577</v>
      </c>
      <c r="F21" s="2">
        <v>2</v>
      </c>
      <c r="H21" s="2">
        <v>4</v>
      </c>
      <c r="I21" s="2">
        <v>21</v>
      </c>
      <c r="J21" s="2">
        <v>7</v>
      </c>
      <c r="K21" s="2">
        <v>1</v>
      </c>
      <c r="L21" s="2">
        <v>1.3260000000000001</v>
      </c>
      <c r="M21" s="2">
        <v>2</v>
      </c>
      <c r="N21" s="2">
        <v>5</v>
      </c>
      <c r="O21" s="2">
        <f t="shared" si="0"/>
        <v>2.8899999999999997</v>
      </c>
      <c r="P21" s="2">
        <f t="shared" si="1"/>
        <v>2.8899999999999975</v>
      </c>
      <c r="Q21" s="2">
        <f t="shared" si="2"/>
        <v>10.889999999999999</v>
      </c>
      <c r="R21" s="2">
        <f t="shared" si="3"/>
        <v>0.48999999999999899</v>
      </c>
      <c r="S21" s="2">
        <f t="shared" ref="S21:T21" si="12">(S10*COUNTIF($J$1:$J$51,S$16) - COUNTIFS($J$1:$J$51,S$16,$K$1:$K$51,"=0"))^2</f>
        <v>9</v>
      </c>
      <c r="T21" s="2">
        <f t="shared" si="12"/>
        <v>4</v>
      </c>
      <c r="U21" s="2">
        <f t="shared" ref="U21:V21" si="13">(U10*COUNTIF($J$1:$J$51,U$16) - COUNTIFS($J$1:$J$51,U$16,$K$1:$K$51,"=1"))^2</f>
        <v>12.25</v>
      </c>
      <c r="V21" s="2">
        <f t="shared" si="13"/>
        <v>9</v>
      </c>
    </row>
    <row r="22" spans="1:24" ht="14.25" customHeight="1">
      <c r="A22" s="2">
        <v>4</v>
      </c>
      <c r="B22" s="2">
        <v>21</v>
      </c>
      <c r="C22" s="2">
        <v>7</v>
      </c>
      <c r="D22" s="2">
        <v>1</v>
      </c>
      <c r="E22" s="2">
        <v>1.3260000000000001</v>
      </c>
      <c r="F22" s="2">
        <v>2</v>
      </c>
      <c r="H22" s="2">
        <v>4</v>
      </c>
      <c r="I22" s="2">
        <v>22</v>
      </c>
      <c r="J22" s="2">
        <v>2</v>
      </c>
      <c r="K22" s="2">
        <v>0</v>
      </c>
      <c r="L22" s="2">
        <v>0.98199999999999998</v>
      </c>
      <c r="M22" s="2">
        <v>1</v>
      </c>
      <c r="N22" s="2">
        <v>6</v>
      </c>
      <c r="O22" s="2">
        <f t="shared" si="0"/>
        <v>1</v>
      </c>
      <c r="P22" s="2">
        <f t="shared" si="1"/>
        <v>1</v>
      </c>
      <c r="Q22" s="2">
        <f t="shared" si="2"/>
        <v>0.25</v>
      </c>
      <c r="R22" s="2">
        <f t="shared" si="3"/>
        <v>4</v>
      </c>
      <c r="S22" s="2">
        <f t="shared" ref="S22:T22" si="14">(S11*COUNTIF($J$1:$J$51,S$16) - COUNTIFS($J$1:$J$51,S$16,$K$1:$K$51,"=0"))^2</f>
        <v>9</v>
      </c>
      <c r="T22" s="2">
        <f t="shared" si="14"/>
        <v>4</v>
      </c>
      <c r="U22" s="2">
        <f t="shared" ref="U22:V22" si="15">(U11*COUNTIF($J$1:$J$51,U$16) - COUNTIFS($J$1:$J$51,U$16,$K$1:$K$51,"=1"))^2</f>
        <v>12.25</v>
      </c>
      <c r="V22" s="2">
        <f t="shared" si="15"/>
        <v>9</v>
      </c>
    </row>
    <row r="23" spans="1:24" ht="14.25" customHeight="1">
      <c r="A23" s="2">
        <v>4</v>
      </c>
      <c r="B23" s="2">
        <v>22</v>
      </c>
      <c r="C23" s="2">
        <v>2</v>
      </c>
      <c r="D23" s="2">
        <v>0</v>
      </c>
      <c r="E23" s="2">
        <v>0.98199999999999998</v>
      </c>
      <c r="F23" s="2">
        <v>1</v>
      </c>
      <c r="H23" s="2">
        <v>4</v>
      </c>
      <c r="I23" s="2">
        <v>23</v>
      </c>
      <c r="J23" s="2">
        <v>8</v>
      </c>
      <c r="K23" s="2">
        <v>1</v>
      </c>
      <c r="L23" s="2">
        <v>1.1950000000000001</v>
      </c>
      <c r="M23" s="2">
        <v>2</v>
      </c>
    </row>
    <row r="24" spans="1:24" ht="14.25" customHeight="1">
      <c r="A24" s="2">
        <v>4</v>
      </c>
      <c r="B24" s="2">
        <v>23</v>
      </c>
      <c r="C24" s="2">
        <v>8</v>
      </c>
      <c r="D24" s="2">
        <v>1</v>
      </c>
      <c r="E24" s="2">
        <v>1.1950000000000001</v>
      </c>
      <c r="F24" s="2">
        <v>2</v>
      </c>
      <c r="H24" s="2">
        <v>4</v>
      </c>
      <c r="I24" s="2">
        <v>24</v>
      </c>
      <c r="J24" s="2">
        <v>4</v>
      </c>
      <c r="K24" s="2">
        <v>1</v>
      </c>
      <c r="L24" s="2">
        <v>1.3520000000000001</v>
      </c>
      <c r="M24" s="2">
        <v>2</v>
      </c>
    </row>
    <row r="25" spans="1:24" ht="14.25" customHeight="1">
      <c r="A25" s="2">
        <v>4</v>
      </c>
      <c r="B25" s="2">
        <v>24</v>
      </c>
      <c r="C25" s="2">
        <v>4</v>
      </c>
      <c r="D25" s="2">
        <v>1</v>
      </c>
      <c r="E25" s="2">
        <v>1.3520000000000001</v>
      </c>
      <c r="F25" s="2">
        <v>2</v>
      </c>
      <c r="H25" s="2">
        <v>4</v>
      </c>
      <c r="I25" s="2">
        <v>25</v>
      </c>
      <c r="J25" s="2">
        <v>6</v>
      </c>
      <c r="K25" s="2">
        <v>1</v>
      </c>
      <c r="L25" s="2">
        <v>1.5669999999999999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  <c r="X25" s="2" t="s">
        <v>16</v>
      </c>
    </row>
    <row r="26" spans="1:24" ht="14.25" customHeight="1">
      <c r="A26" s="2">
        <v>4</v>
      </c>
      <c r="B26" s="2">
        <v>25</v>
      </c>
      <c r="C26" s="2">
        <v>6</v>
      </c>
      <c r="D26" s="2">
        <v>1</v>
      </c>
      <c r="E26" s="2">
        <v>1.5669999999999999</v>
      </c>
      <c r="F26" s="2">
        <v>1</v>
      </c>
      <c r="H26" s="2">
        <v>4</v>
      </c>
      <c r="I26" s="2">
        <v>26</v>
      </c>
      <c r="J26" s="2">
        <v>1</v>
      </c>
      <c r="K26" s="2">
        <v>0</v>
      </c>
      <c r="L26" s="2">
        <v>1.4450000000000001</v>
      </c>
      <c r="M26" s="2">
        <v>2</v>
      </c>
      <c r="O26" s="2">
        <f t="shared" ref="O26:V26" si="16">COUNTIF($J$1:$J$51,O16)*COUNTIF($J$1:$J$51,O16)</f>
        <v>36</v>
      </c>
      <c r="P26" s="2">
        <f t="shared" si="16"/>
        <v>36</v>
      </c>
      <c r="Q26" s="2">
        <f t="shared" si="16"/>
        <v>49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49</v>
      </c>
      <c r="V26" s="2">
        <f t="shared" si="16"/>
        <v>36</v>
      </c>
    </row>
    <row r="27" spans="1:24" ht="14.25" customHeight="1">
      <c r="A27" s="2">
        <v>4</v>
      </c>
      <c r="B27" s="2">
        <v>26</v>
      </c>
      <c r="C27" s="2">
        <v>1</v>
      </c>
      <c r="D27" s="2">
        <v>0</v>
      </c>
      <c r="E27" s="2">
        <v>1.4450000000000001</v>
      </c>
      <c r="F27" s="2">
        <v>2</v>
      </c>
      <c r="H27" s="2">
        <v>4</v>
      </c>
      <c r="I27" s="2">
        <v>27</v>
      </c>
      <c r="J27" s="2">
        <v>3</v>
      </c>
      <c r="L27" s="2">
        <v>2</v>
      </c>
    </row>
    <row r="28" spans="1:24" ht="14.25" customHeight="1">
      <c r="A28" s="2">
        <v>4</v>
      </c>
      <c r="B28" s="2">
        <v>27</v>
      </c>
      <c r="C28" s="2">
        <v>3</v>
      </c>
      <c r="E28" s="2">
        <v>2</v>
      </c>
      <c r="H28" s="2">
        <v>4</v>
      </c>
      <c r="I28" s="2">
        <v>28</v>
      </c>
      <c r="J28" s="2">
        <v>1</v>
      </c>
      <c r="K28" s="2">
        <v>1</v>
      </c>
      <c r="L28" s="2">
        <v>1.556</v>
      </c>
      <c r="M28" s="2">
        <v>1</v>
      </c>
    </row>
    <row r="29" spans="1:24" ht="14.25" customHeight="1">
      <c r="A29" s="2">
        <v>4</v>
      </c>
      <c r="B29" s="2">
        <v>28</v>
      </c>
      <c r="C29" s="2">
        <v>1</v>
      </c>
      <c r="D29" s="2">
        <v>1</v>
      </c>
      <c r="E29" s="2">
        <v>1.556</v>
      </c>
      <c r="F29" s="2">
        <v>1</v>
      </c>
      <c r="H29" s="2">
        <v>4</v>
      </c>
      <c r="I29" s="2">
        <v>29</v>
      </c>
      <c r="J29" s="2">
        <v>5</v>
      </c>
      <c r="K29" s="2">
        <v>1</v>
      </c>
      <c r="L29" s="2">
        <v>1.506</v>
      </c>
      <c r="M29" s="2">
        <v>1</v>
      </c>
    </row>
    <row r="30" spans="1:24" ht="14.25" customHeight="1">
      <c r="A30" s="2">
        <v>4</v>
      </c>
      <c r="B30" s="2">
        <v>29</v>
      </c>
      <c r="C30" s="2">
        <v>5</v>
      </c>
      <c r="D30" s="2">
        <v>1</v>
      </c>
      <c r="E30" s="2">
        <v>1.506</v>
      </c>
      <c r="F30" s="2">
        <v>1</v>
      </c>
      <c r="H30" s="2">
        <v>4</v>
      </c>
      <c r="I30" s="2">
        <v>30</v>
      </c>
      <c r="J30" s="2">
        <v>2</v>
      </c>
      <c r="K30" s="2">
        <v>1</v>
      </c>
      <c r="L30" s="2">
        <v>1.498</v>
      </c>
      <c r="M30" s="2">
        <v>2</v>
      </c>
    </row>
    <row r="31" spans="1:24" ht="14.25" customHeight="1">
      <c r="A31" s="2">
        <v>4</v>
      </c>
      <c r="B31" s="2">
        <v>30</v>
      </c>
      <c r="C31" s="2">
        <v>2</v>
      </c>
      <c r="D31" s="2">
        <v>1</v>
      </c>
      <c r="E31" s="2">
        <v>1.498</v>
      </c>
      <c r="F31" s="2">
        <v>2</v>
      </c>
      <c r="H31" s="2">
        <v>4</v>
      </c>
      <c r="I31" s="2">
        <v>31</v>
      </c>
      <c r="J31" s="2">
        <v>6</v>
      </c>
      <c r="K31" s="2">
        <v>1</v>
      </c>
      <c r="L31" s="2">
        <v>1.4990000000000001</v>
      </c>
      <c r="M31" s="2">
        <v>1</v>
      </c>
      <c r="N31" s="2">
        <v>1</v>
      </c>
      <c r="O31" s="2">
        <f t="shared" ref="O31:O36" si="17">SUM(O17:V17)/SUM(O$26:V$26)</f>
        <v>5.7173566878980862E-2</v>
      </c>
    </row>
    <row r="32" spans="1:24" ht="14.25" customHeight="1">
      <c r="A32" s="2">
        <v>4</v>
      </c>
      <c r="B32" s="2">
        <v>31</v>
      </c>
      <c r="C32" s="2">
        <v>6</v>
      </c>
      <c r="D32" s="2">
        <v>1</v>
      </c>
      <c r="E32" s="2">
        <v>1.4990000000000001</v>
      </c>
      <c r="F32" s="2">
        <v>1</v>
      </c>
      <c r="H32" s="2">
        <v>4</v>
      </c>
      <c r="I32" s="2">
        <v>32</v>
      </c>
      <c r="J32" s="2">
        <v>2</v>
      </c>
      <c r="K32" s="2">
        <v>1</v>
      </c>
      <c r="L32" s="2">
        <v>1.4590000000000001</v>
      </c>
      <c r="M32" s="2">
        <v>2</v>
      </c>
      <c r="N32" s="2">
        <v>2</v>
      </c>
      <c r="O32" s="2">
        <f t="shared" si="17"/>
        <v>8.5549363057324829E-2</v>
      </c>
    </row>
    <row r="33" spans="1:15" ht="14.25" customHeight="1">
      <c r="A33" s="2">
        <v>4</v>
      </c>
      <c r="B33" s="2">
        <v>32</v>
      </c>
      <c r="C33" s="2">
        <v>2</v>
      </c>
      <c r="D33" s="2">
        <v>1</v>
      </c>
      <c r="E33" s="2">
        <v>1.4590000000000001</v>
      </c>
      <c r="F33" s="2">
        <v>2</v>
      </c>
      <c r="H33" s="2">
        <v>4</v>
      </c>
      <c r="I33" s="2">
        <v>33</v>
      </c>
      <c r="J33" s="2">
        <v>8</v>
      </c>
      <c r="K33" s="2">
        <v>1</v>
      </c>
      <c r="L33" s="2">
        <v>1.381</v>
      </c>
      <c r="M33" s="2">
        <v>2</v>
      </c>
      <c r="N33" s="2">
        <v>3</v>
      </c>
      <c r="O33" s="2">
        <f t="shared" si="17"/>
        <v>0.26640923566878982</v>
      </c>
    </row>
    <row r="34" spans="1:15" ht="14.25" customHeight="1">
      <c r="A34" s="2">
        <v>4</v>
      </c>
      <c r="B34" s="2">
        <v>33</v>
      </c>
      <c r="C34" s="2">
        <v>8</v>
      </c>
      <c r="D34" s="2">
        <v>1</v>
      </c>
      <c r="E34" s="2">
        <v>1.381</v>
      </c>
      <c r="F34" s="2">
        <v>2</v>
      </c>
      <c r="H34" s="2">
        <v>4</v>
      </c>
      <c r="I34" s="2">
        <v>34</v>
      </c>
      <c r="J34" s="2">
        <v>5</v>
      </c>
      <c r="K34" s="2">
        <v>1</v>
      </c>
      <c r="L34" s="2">
        <v>1.635</v>
      </c>
      <c r="M34" s="2">
        <v>1</v>
      </c>
      <c r="N34" s="2">
        <v>4</v>
      </c>
      <c r="O34" s="2">
        <f t="shared" si="17"/>
        <v>2.2428343949044589E-2</v>
      </c>
    </row>
    <row r="35" spans="1:15" ht="14.25" customHeight="1">
      <c r="A35" s="2">
        <v>4</v>
      </c>
      <c r="B35" s="2">
        <v>34</v>
      </c>
      <c r="C35" s="2">
        <v>5</v>
      </c>
      <c r="D35" s="2">
        <v>1</v>
      </c>
      <c r="E35" s="2">
        <v>1.635</v>
      </c>
      <c r="F35" s="2">
        <v>1</v>
      </c>
      <c r="H35" s="2">
        <v>4</v>
      </c>
      <c r="I35" s="2">
        <v>35</v>
      </c>
      <c r="J35" s="2">
        <v>4</v>
      </c>
      <c r="K35" s="2">
        <v>1</v>
      </c>
      <c r="L35" s="2">
        <v>1.3740000000000001</v>
      </c>
      <c r="M35" s="2">
        <v>2</v>
      </c>
      <c r="N35" s="2">
        <v>5</v>
      </c>
      <c r="O35" s="2">
        <f t="shared" si="17"/>
        <v>0.16372611464968151</v>
      </c>
    </row>
    <row r="36" spans="1:15" ht="14.25" customHeight="1">
      <c r="A36" s="2">
        <v>4</v>
      </c>
      <c r="B36" s="2">
        <v>35</v>
      </c>
      <c r="C36" s="2">
        <v>4</v>
      </c>
      <c r="D36" s="2">
        <v>1</v>
      </c>
      <c r="E36" s="2">
        <v>1.3740000000000001</v>
      </c>
      <c r="F36" s="2">
        <v>2</v>
      </c>
      <c r="H36" s="2">
        <v>4</v>
      </c>
      <c r="I36" s="2">
        <v>36</v>
      </c>
      <c r="J36" s="2">
        <v>7</v>
      </c>
      <c r="K36" s="2">
        <v>1</v>
      </c>
      <c r="L36" s="2">
        <v>1.0920000000000001</v>
      </c>
      <c r="M36" s="2">
        <v>2</v>
      </c>
      <c r="N36" s="2">
        <v>6</v>
      </c>
      <c r="O36" s="2">
        <f t="shared" si="17"/>
        <v>0.12898089171974522</v>
      </c>
    </row>
    <row r="37" spans="1:15" ht="14.25" customHeight="1">
      <c r="A37" s="2">
        <v>4</v>
      </c>
      <c r="B37" s="2">
        <v>36</v>
      </c>
      <c r="C37" s="2">
        <v>7</v>
      </c>
      <c r="D37" s="2">
        <v>1</v>
      </c>
      <c r="E37" s="2">
        <v>1.0920000000000001</v>
      </c>
      <c r="F37" s="2">
        <v>2</v>
      </c>
      <c r="H37" s="2">
        <v>4</v>
      </c>
      <c r="I37" s="2">
        <v>37</v>
      </c>
      <c r="J37" s="2">
        <v>8</v>
      </c>
      <c r="K37" s="2">
        <v>1</v>
      </c>
      <c r="L37" s="2">
        <v>0.95599999999999996</v>
      </c>
      <c r="M37" s="2">
        <v>2</v>
      </c>
    </row>
    <row r="38" spans="1:15" ht="14.25" customHeight="1">
      <c r="A38" s="2">
        <v>4</v>
      </c>
      <c r="B38" s="2">
        <v>37</v>
      </c>
      <c r="C38" s="2">
        <v>8</v>
      </c>
      <c r="D38" s="2">
        <v>1</v>
      </c>
      <c r="E38" s="2">
        <v>0.95599999999999996</v>
      </c>
      <c r="F38" s="2">
        <v>2</v>
      </c>
      <c r="H38" s="2">
        <v>4</v>
      </c>
      <c r="I38" s="2">
        <v>38</v>
      </c>
      <c r="J38" s="2">
        <v>3</v>
      </c>
      <c r="K38" s="2">
        <v>0</v>
      </c>
      <c r="L38" s="2">
        <v>1.49</v>
      </c>
      <c r="M38" s="2">
        <v>2</v>
      </c>
    </row>
    <row r="39" spans="1:15" ht="14.25" customHeight="1">
      <c r="A39" s="2">
        <v>4</v>
      </c>
      <c r="B39" s="2">
        <v>38</v>
      </c>
      <c r="C39" s="2">
        <v>3</v>
      </c>
      <c r="D39" s="2">
        <v>0</v>
      </c>
      <c r="E39" s="2">
        <v>1.49</v>
      </c>
      <c r="F39" s="2">
        <v>2</v>
      </c>
      <c r="H39" s="2">
        <v>4</v>
      </c>
      <c r="I39" s="2">
        <v>39</v>
      </c>
      <c r="J39" s="2">
        <v>4</v>
      </c>
      <c r="K39" s="2">
        <v>1</v>
      </c>
      <c r="L39" s="2">
        <v>1.498</v>
      </c>
      <c r="M39" s="2">
        <v>2</v>
      </c>
    </row>
    <row r="40" spans="1:15" ht="14.25" customHeight="1">
      <c r="A40" s="2">
        <v>4</v>
      </c>
      <c r="B40" s="2">
        <v>39</v>
      </c>
      <c r="C40" s="2">
        <v>4</v>
      </c>
      <c r="D40" s="2">
        <v>1</v>
      </c>
      <c r="E40" s="2">
        <v>1.498</v>
      </c>
      <c r="F40" s="2">
        <v>2</v>
      </c>
      <c r="H40" s="2">
        <v>4</v>
      </c>
      <c r="I40" s="2">
        <v>40</v>
      </c>
      <c r="J40" s="2">
        <v>7</v>
      </c>
      <c r="K40" s="2">
        <v>1</v>
      </c>
      <c r="L40" s="2">
        <v>0.94699999999999995</v>
      </c>
      <c r="M40" s="2">
        <v>2</v>
      </c>
    </row>
    <row r="41" spans="1:15" ht="14.25" customHeight="1">
      <c r="A41" s="2">
        <v>4</v>
      </c>
      <c r="B41" s="2">
        <v>40</v>
      </c>
      <c r="C41" s="2">
        <v>7</v>
      </c>
      <c r="D41" s="2">
        <v>1</v>
      </c>
      <c r="E41" s="2">
        <v>0.94699999999999995</v>
      </c>
      <c r="F41" s="2">
        <v>2</v>
      </c>
      <c r="H41" s="2">
        <v>4</v>
      </c>
      <c r="I41" s="2">
        <v>41</v>
      </c>
      <c r="J41" s="2">
        <v>5</v>
      </c>
      <c r="K41" s="2">
        <v>1</v>
      </c>
      <c r="L41" s="2">
        <v>1.25</v>
      </c>
      <c r="M41" s="2">
        <v>1</v>
      </c>
    </row>
    <row r="42" spans="1:15" ht="14.25" customHeight="1">
      <c r="A42" s="2">
        <v>4</v>
      </c>
      <c r="B42" s="2">
        <v>41</v>
      </c>
      <c r="C42" s="2">
        <v>5</v>
      </c>
      <c r="D42" s="2">
        <v>1</v>
      </c>
      <c r="E42" s="2">
        <v>1.25</v>
      </c>
      <c r="F42" s="2">
        <v>1</v>
      </c>
      <c r="H42" s="2">
        <v>4</v>
      </c>
      <c r="I42" s="2">
        <v>42</v>
      </c>
      <c r="J42" s="2">
        <v>3</v>
      </c>
      <c r="K42" s="2">
        <v>0</v>
      </c>
      <c r="L42" s="2">
        <v>1.4039999999999999</v>
      </c>
      <c r="M42" s="2">
        <v>2</v>
      </c>
    </row>
    <row r="43" spans="1:15" ht="14.25" customHeight="1">
      <c r="A43" s="2">
        <v>4</v>
      </c>
      <c r="B43" s="2">
        <v>42</v>
      </c>
      <c r="C43" s="2">
        <v>3</v>
      </c>
      <c r="D43" s="2">
        <v>0</v>
      </c>
      <c r="E43" s="2">
        <v>1.4039999999999999</v>
      </c>
      <c r="F43" s="2">
        <v>2</v>
      </c>
      <c r="H43" s="2">
        <v>4</v>
      </c>
      <c r="I43" s="2">
        <v>43</v>
      </c>
      <c r="J43" s="2">
        <v>1</v>
      </c>
      <c r="L43" s="2">
        <v>2.0009999999999999</v>
      </c>
    </row>
    <row r="44" spans="1:15" ht="14.25" customHeight="1">
      <c r="A44" s="2">
        <v>4</v>
      </c>
      <c r="B44" s="2">
        <v>43</v>
      </c>
      <c r="C44" s="2">
        <v>1</v>
      </c>
      <c r="E44" s="2">
        <v>2.0009999999999999</v>
      </c>
      <c r="H44" s="2">
        <v>4</v>
      </c>
      <c r="I44" s="2">
        <v>44</v>
      </c>
      <c r="J44" s="2">
        <v>5</v>
      </c>
      <c r="K44" s="2">
        <v>1</v>
      </c>
      <c r="L44" s="2">
        <v>1.254</v>
      </c>
      <c r="M44" s="2">
        <v>1</v>
      </c>
    </row>
    <row r="45" spans="1:15" ht="14.25" customHeight="1">
      <c r="A45" s="2">
        <v>4</v>
      </c>
      <c r="B45" s="2">
        <v>44</v>
      </c>
      <c r="C45" s="2">
        <v>5</v>
      </c>
      <c r="D45" s="2">
        <v>1</v>
      </c>
      <c r="E45" s="2">
        <v>1.254</v>
      </c>
      <c r="F45" s="2">
        <v>1</v>
      </c>
      <c r="H45" s="2">
        <v>4</v>
      </c>
      <c r="I45" s="2">
        <v>45</v>
      </c>
      <c r="J45" s="2">
        <v>2</v>
      </c>
      <c r="K45" s="2">
        <v>1</v>
      </c>
      <c r="L45" s="2">
        <v>1.92</v>
      </c>
      <c r="M45" s="2">
        <v>2</v>
      </c>
    </row>
    <row r="46" spans="1:15" ht="14.25" customHeight="1">
      <c r="A46" s="2">
        <v>4</v>
      </c>
      <c r="B46" s="2">
        <v>45</v>
      </c>
      <c r="C46" s="2">
        <v>2</v>
      </c>
      <c r="D46" s="2">
        <v>1</v>
      </c>
      <c r="E46" s="2">
        <v>1.92</v>
      </c>
      <c r="F46" s="2">
        <v>2</v>
      </c>
      <c r="H46" s="2">
        <v>4</v>
      </c>
      <c r="I46" s="2">
        <v>46</v>
      </c>
      <c r="J46" s="2">
        <v>7</v>
      </c>
      <c r="K46" s="2">
        <v>1</v>
      </c>
      <c r="L46" s="2">
        <v>1.3919999999999999</v>
      </c>
      <c r="M46" s="2">
        <v>2</v>
      </c>
    </row>
    <row r="47" spans="1:15" ht="14.25" customHeight="1">
      <c r="A47" s="2">
        <v>4</v>
      </c>
      <c r="B47" s="2">
        <v>46</v>
      </c>
      <c r="C47" s="2">
        <v>7</v>
      </c>
      <c r="D47" s="2">
        <v>1</v>
      </c>
      <c r="E47" s="2">
        <v>1.3919999999999999</v>
      </c>
      <c r="F47" s="2">
        <v>2</v>
      </c>
      <c r="H47" s="2">
        <v>4</v>
      </c>
      <c r="I47" s="2">
        <v>47</v>
      </c>
      <c r="J47" s="2">
        <v>3</v>
      </c>
      <c r="K47" s="2">
        <v>1</v>
      </c>
      <c r="L47" s="2">
        <v>1.716</v>
      </c>
      <c r="M47" s="2">
        <v>1</v>
      </c>
    </row>
    <row r="48" spans="1:15" ht="14.25" customHeight="1">
      <c r="A48" s="2">
        <v>4</v>
      </c>
      <c r="B48" s="2">
        <v>47</v>
      </c>
      <c r="C48" s="2">
        <v>3</v>
      </c>
      <c r="D48" s="2">
        <v>1</v>
      </c>
      <c r="E48" s="2">
        <v>1.716</v>
      </c>
      <c r="F48" s="2">
        <v>1</v>
      </c>
      <c r="H48" s="2">
        <v>4</v>
      </c>
      <c r="I48" s="2">
        <v>48</v>
      </c>
      <c r="J48" s="2">
        <v>5</v>
      </c>
      <c r="K48" s="2">
        <v>1</v>
      </c>
      <c r="L48" s="2">
        <v>1.901</v>
      </c>
      <c r="M48" s="2">
        <v>1</v>
      </c>
    </row>
    <row r="49" spans="1:13" ht="14.25" customHeight="1">
      <c r="A49" s="2">
        <v>4</v>
      </c>
      <c r="B49" s="2">
        <v>48</v>
      </c>
      <c r="C49" s="2">
        <v>5</v>
      </c>
      <c r="D49" s="2">
        <v>1</v>
      </c>
      <c r="E49" s="2">
        <v>1.901</v>
      </c>
      <c r="F49" s="2">
        <v>1</v>
      </c>
      <c r="H49" s="2">
        <v>4</v>
      </c>
      <c r="I49" s="2">
        <v>49</v>
      </c>
      <c r="J49" s="2">
        <v>4</v>
      </c>
      <c r="K49" s="2">
        <v>1</v>
      </c>
      <c r="L49" s="2">
        <v>1.2290000000000001</v>
      </c>
      <c r="M49" s="2">
        <v>2</v>
      </c>
    </row>
    <row r="50" spans="1:13" ht="14.25" customHeight="1">
      <c r="A50" s="2">
        <v>4</v>
      </c>
      <c r="B50" s="2">
        <v>49</v>
      </c>
      <c r="C50" s="2">
        <v>4</v>
      </c>
      <c r="D50" s="2">
        <v>1</v>
      </c>
      <c r="E50" s="2">
        <v>1.2290000000000001</v>
      </c>
      <c r="F50" s="2">
        <v>2</v>
      </c>
      <c r="H50" s="2">
        <v>4</v>
      </c>
      <c r="I50" s="2">
        <v>50</v>
      </c>
      <c r="J50" s="2">
        <v>8</v>
      </c>
      <c r="K50" s="2">
        <v>1</v>
      </c>
      <c r="L50" s="2">
        <v>0.77600000000000002</v>
      </c>
      <c r="M50" s="2">
        <v>2</v>
      </c>
    </row>
    <row r="51" spans="1:13" ht="14.25" customHeight="1">
      <c r="A51" s="2">
        <v>4</v>
      </c>
      <c r="B51" s="2">
        <v>50</v>
      </c>
      <c r="C51" s="2">
        <v>8</v>
      </c>
      <c r="D51" s="2">
        <v>1</v>
      </c>
      <c r="E51" s="2">
        <v>0.77600000000000002</v>
      </c>
      <c r="F51" s="2">
        <v>2</v>
      </c>
    </row>
    <row r="52" spans="1:13" ht="14.25" customHeight="1">
      <c r="A52" s="2">
        <v>4</v>
      </c>
      <c r="B52" s="2">
        <v>51</v>
      </c>
      <c r="C52" s="2">
        <v>2</v>
      </c>
      <c r="E52" s="2">
        <v>2</v>
      </c>
    </row>
    <row r="53" spans="1:13" ht="14.25" customHeight="1">
      <c r="A53" s="2">
        <v>4</v>
      </c>
      <c r="B53" s="2">
        <v>52</v>
      </c>
      <c r="C53" s="2">
        <v>1</v>
      </c>
      <c r="D53" s="2">
        <v>1</v>
      </c>
      <c r="E53" s="2">
        <v>0.69799999999999995</v>
      </c>
      <c r="F53" s="2">
        <v>2</v>
      </c>
    </row>
    <row r="54" spans="1:13" ht="14.25" customHeight="1">
      <c r="A54" s="2">
        <v>4</v>
      </c>
      <c r="B54" s="2">
        <v>53</v>
      </c>
      <c r="C54" s="2">
        <v>2</v>
      </c>
      <c r="D54" s="2">
        <v>1</v>
      </c>
      <c r="E54" s="2">
        <v>0.85899999999999999</v>
      </c>
      <c r="F54" s="2">
        <v>2</v>
      </c>
    </row>
    <row r="55" spans="1:13" ht="14.25" customHeight="1">
      <c r="A55" s="2">
        <v>4</v>
      </c>
      <c r="B55" s="2">
        <v>54</v>
      </c>
      <c r="C55" s="2">
        <v>3</v>
      </c>
      <c r="D55" s="2">
        <v>1</v>
      </c>
      <c r="E55" s="2">
        <v>0.73299999999999998</v>
      </c>
      <c r="F55" s="2">
        <v>1</v>
      </c>
    </row>
    <row r="56" spans="1:13" ht="14.25" customHeight="1">
      <c r="A56" s="2">
        <v>4</v>
      </c>
      <c r="B56" s="2">
        <v>55</v>
      </c>
      <c r="C56" s="2">
        <v>5</v>
      </c>
      <c r="D56" s="2">
        <v>1</v>
      </c>
      <c r="E56" s="2">
        <v>1.3879999999999999</v>
      </c>
      <c r="F56" s="2">
        <v>1</v>
      </c>
    </row>
    <row r="57" spans="1:13" ht="14.25" customHeight="1">
      <c r="A57" s="2">
        <v>4</v>
      </c>
      <c r="B57" s="2">
        <v>56</v>
      </c>
      <c r="C57" s="2">
        <v>3</v>
      </c>
      <c r="D57" s="2">
        <v>0</v>
      </c>
      <c r="E57" s="2">
        <v>1.2490000000000001</v>
      </c>
      <c r="F57" s="2">
        <v>2</v>
      </c>
    </row>
    <row r="58" spans="1:13" ht="14.25" customHeight="1">
      <c r="A58" s="2">
        <v>4</v>
      </c>
      <c r="B58" s="2">
        <v>57</v>
      </c>
      <c r="C58" s="2">
        <v>8</v>
      </c>
      <c r="D58" s="2">
        <v>1</v>
      </c>
      <c r="E58" s="2">
        <v>1.236</v>
      </c>
      <c r="F58" s="2">
        <v>2</v>
      </c>
    </row>
    <row r="59" spans="1:13" ht="14.25" customHeight="1">
      <c r="A59" s="2">
        <v>4</v>
      </c>
      <c r="B59" s="2">
        <v>58</v>
      </c>
      <c r="C59" s="2">
        <v>4</v>
      </c>
      <c r="D59" s="2">
        <v>1</v>
      </c>
      <c r="E59" s="2">
        <v>1.054</v>
      </c>
      <c r="F59" s="2">
        <v>1</v>
      </c>
    </row>
    <row r="60" spans="1:13" ht="14.25" customHeight="1">
      <c r="A60" s="2">
        <v>4</v>
      </c>
      <c r="B60" s="2">
        <v>59</v>
      </c>
      <c r="C60" s="2">
        <v>2</v>
      </c>
      <c r="D60" s="2">
        <v>0</v>
      </c>
      <c r="E60" s="2">
        <v>1.849</v>
      </c>
      <c r="F60" s="2">
        <v>2</v>
      </c>
    </row>
    <row r="61" spans="1:13" ht="14.25" customHeight="1">
      <c r="A61" s="2">
        <v>4</v>
      </c>
      <c r="B61" s="2">
        <v>60</v>
      </c>
      <c r="C61" s="2">
        <v>8</v>
      </c>
      <c r="D61" s="2">
        <v>1</v>
      </c>
      <c r="E61" s="2">
        <v>1.2110000000000001</v>
      </c>
      <c r="F61" s="2">
        <v>2</v>
      </c>
    </row>
    <row r="62" spans="1:13" ht="14.25" customHeight="1">
      <c r="A62" s="2">
        <v>4</v>
      </c>
      <c r="B62" s="2">
        <v>61</v>
      </c>
      <c r="C62" s="2">
        <v>3</v>
      </c>
      <c r="D62" s="2">
        <v>1</v>
      </c>
      <c r="E62" s="2">
        <v>1.5660000000000001</v>
      </c>
      <c r="F62" s="2">
        <v>1</v>
      </c>
    </row>
    <row r="63" spans="1:13" ht="14.25" customHeight="1">
      <c r="A63" s="2">
        <v>4</v>
      </c>
      <c r="B63" s="2">
        <v>62</v>
      </c>
      <c r="C63" s="2">
        <v>7</v>
      </c>
      <c r="E63" s="2">
        <v>2</v>
      </c>
    </row>
    <row r="64" spans="1:13" ht="14.25" customHeight="1">
      <c r="A64" s="2">
        <v>4</v>
      </c>
      <c r="B64" s="2">
        <v>63</v>
      </c>
      <c r="C64" s="2">
        <v>8</v>
      </c>
      <c r="D64" s="2">
        <v>1</v>
      </c>
      <c r="E64" s="2">
        <v>0.90500000000000003</v>
      </c>
      <c r="F64" s="2">
        <v>2</v>
      </c>
    </row>
    <row r="65" spans="1:6" ht="14.25" customHeight="1">
      <c r="A65" s="2">
        <v>4</v>
      </c>
      <c r="B65" s="2">
        <v>64</v>
      </c>
      <c r="C65" s="2">
        <v>2</v>
      </c>
      <c r="D65" s="2">
        <v>1</v>
      </c>
      <c r="E65" s="2">
        <v>1.7529999999999999</v>
      </c>
      <c r="F65" s="2">
        <v>1</v>
      </c>
    </row>
    <row r="66" spans="1:6" ht="14.25" customHeight="1">
      <c r="A66" s="2">
        <v>4</v>
      </c>
      <c r="B66" s="2">
        <v>65</v>
      </c>
      <c r="C66" s="2">
        <v>3</v>
      </c>
      <c r="D66" s="2">
        <v>1</v>
      </c>
      <c r="E66" s="2">
        <v>1.47</v>
      </c>
      <c r="F66" s="2">
        <v>1</v>
      </c>
    </row>
    <row r="67" spans="1:6" ht="14.25" customHeight="1">
      <c r="A67" s="2">
        <v>4</v>
      </c>
      <c r="B67" s="2">
        <v>66</v>
      </c>
      <c r="C67" s="2">
        <v>7</v>
      </c>
      <c r="D67" s="2">
        <v>1</v>
      </c>
      <c r="E67" s="2">
        <v>1.744</v>
      </c>
      <c r="F67" s="2">
        <v>2</v>
      </c>
    </row>
    <row r="68" spans="1:6" ht="14.25" customHeight="1">
      <c r="A68" s="2">
        <v>4</v>
      </c>
      <c r="B68" s="2">
        <v>67</v>
      </c>
      <c r="C68" s="2">
        <v>5</v>
      </c>
      <c r="D68" s="2">
        <v>1</v>
      </c>
      <c r="E68" s="2">
        <v>1.399</v>
      </c>
      <c r="F68" s="2">
        <v>1</v>
      </c>
    </row>
    <row r="69" spans="1:6" ht="14.25" customHeight="1">
      <c r="A69" s="2">
        <v>4</v>
      </c>
      <c r="B69" s="2">
        <v>68</v>
      </c>
      <c r="C69" s="2">
        <v>6</v>
      </c>
      <c r="D69" s="2">
        <v>1</v>
      </c>
      <c r="E69" s="2">
        <v>1.7310000000000001</v>
      </c>
      <c r="F69" s="2">
        <v>2</v>
      </c>
    </row>
    <row r="70" spans="1:6" ht="14.25" customHeight="1">
      <c r="A70" s="2">
        <v>4</v>
      </c>
      <c r="B70" s="2">
        <v>69</v>
      </c>
      <c r="C70" s="2">
        <v>5</v>
      </c>
      <c r="D70" s="2">
        <v>1</v>
      </c>
      <c r="E70" s="2">
        <v>0.83299999999999996</v>
      </c>
      <c r="F70" s="2">
        <v>2</v>
      </c>
    </row>
    <row r="71" spans="1:6" ht="14.25" customHeight="1">
      <c r="A71" s="2">
        <v>4</v>
      </c>
      <c r="B71" s="2">
        <v>70</v>
      </c>
      <c r="C71" s="2">
        <v>8</v>
      </c>
      <c r="D71" s="2">
        <v>1</v>
      </c>
      <c r="E71" s="2">
        <v>1.4530000000000001</v>
      </c>
      <c r="F71" s="2">
        <v>2</v>
      </c>
    </row>
    <row r="72" spans="1:6" ht="14.25" customHeight="1">
      <c r="A72" s="2">
        <v>4</v>
      </c>
      <c r="B72" s="2">
        <v>71</v>
      </c>
      <c r="C72" s="2">
        <v>7</v>
      </c>
      <c r="D72" s="2">
        <v>1</v>
      </c>
      <c r="E72" s="2">
        <v>0.998</v>
      </c>
      <c r="F72" s="2">
        <v>2</v>
      </c>
    </row>
    <row r="73" spans="1:6" ht="14.25" customHeight="1">
      <c r="A73" s="2">
        <v>4</v>
      </c>
      <c r="B73" s="2">
        <v>72</v>
      </c>
      <c r="C73" s="2">
        <v>5</v>
      </c>
      <c r="D73" s="2">
        <v>0</v>
      </c>
      <c r="E73" s="2">
        <v>1.698</v>
      </c>
      <c r="F73" s="2">
        <v>1</v>
      </c>
    </row>
    <row r="74" spans="1:6" ht="14.25" customHeight="1">
      <c r="A74" s="2">
        <v>4</v>
      </c>
      <c r="B74" s="2">
        <v>73</v>
      </c>
      <c r="C74" s="2">
        <v>2</v>
      </c>
      <c r="D74" s="2">
        <v>1</v>
      </c>
      <c r="E74" s="2">
        <v>1.0269999999999999</v>
      </c>
      <c r="F74" s="2">
        <v>2</v>
      </c>
    </row>
    <row r="75" spans="1:6" ht="14.25" customHeight="1">
      <c r="A75" s="2">
        <v>4</v>
      </c>
      <c r="B75" s="2">
        <v>74</v>
      </c>
      <c r="C75" s="2">
        <v>7</v>
      </c>
      <c r="D75" s="2">
        <v>1</v>
      </c>
      <c r="E75" s="2">
        <v>0.94199999999999995</v>
      </c>
      <c r="F75" s="2">
        <v>2</v>
      </c>
    </row>
    <row r="76" spans="1:6" ht="14.25" customHeight="1">
      <c r="A76" s="2">
        <v>4</v>
      </c>
      <c r="B76" s="2">
        <v>75</v>
      </c>
      <c r="C76" s="2">
        <v>1</v>
      </c>
      <c r="D76" s="2">
        <v>1</v>
      </c>
      <c r="E76" s="2">
        <v>1.1080000000000001</v>
      </c>
      <c r="F76" s="2">
        <v>1</v>
      </c>
    </row>
    <row r="77" spans="1:6" ht="14.25" customHeight="1">
      <c r="A77" s="2">
        <v>4</v>
      </c>
      <c r="B77" s="2">
        <v>76</v>
      </c>
      <c r="C77" s="2">
        <v>4</v>
      </c>
      <c r="D77" s="2">
        <v>1</v>
      </c>
      <c r="E77" s="2">
        <v>1.413</v>
      </c>
      <c r="F77" s="2">
        <v>1</v>
      </c>
    </row>
    <row r="78" spans="1:6" ht="14.25" customHeight="1">
      <c r="A78" s="2">
        <v>4</v>
      </c>
      <c r="B78" s="2">
        <v>77</v>
      </c>
      <c r="C78" s="2">
        <v>8</v>
      </c>
      <c r="D78" s="2">
        <v>1</v>
      </c>
      <c r="E78" s="2">
        <v>1.425</v>
      </c>
      <c r="F78" s="2">
        <v>1</v>
      </c>
    </row>
    <row r="79" spans="1:6" ht="14.25" customHeight="1">
      <c r="A79" s="2">
        <v>4</v>
      </c>
      <c r="B79" s="2">
        <v>78</v>
      </c>
      <c r="C79" s="2">
        <v>1</v>
      </c>
      <c r="E79" s="2">
        <v>2.0009999999999999</v>
      </c>
    </row>
    <row r="80" spans="1:6" ht="14.25" customHeight="1">
      <c r="A80" s="2">
        <v>4</v>
      </c>
      <c r="B80" s="2">
        <v>79</v>
      </c>
      <c r="C80" s="2">
        <v>2</v>
      </c>
      <c r="D80" s="2">
        <v>1</v>
      </c>
      <c r="E80" s="2">
        <v>0.99299999999999999</v>
      </c>
      <c r="F80" s="2">
        <v>1</v>
      </c>
    </row>
    <row r="81" spans="1:6" ht="14.25" customHeight="1">
      <c r="A81" s="2">
        <v>4</v>
      </c>
      <c r="B81" s="2">
        <v>80</v>
      </c>
      <c r="C81" s="2">
        <v>6</v>
      </c>
      <c r="D81" s="2">
        <v>0</v>
      </c>
      <c r="E81" s="2">
        <v>1.4370000000000001</v>
      </c>
      <c r="F81" s="2">
        <v>1</v>
      </c>
    </row>
    <row r="82" spans="1:6" ht="14.25" customHeight="1">
      <c r="A82" s="2">
        <v>4</v>
      </c>
      <c r="B82" s="2">
        <v>81</v>
      </c>
      <c r="C82" s="2">
        <v>4</v>
      </c>
      <c r="D82" s="2">
        <v>1</v>
      </c>
      <c r="E82" s="2">
        <v>1.1040000000000001</v>
      </c>
      <c r="F82" s="2">
        <v>1</v>
      </c>
    </row>
    <row r="83" spans="1:6" ht="14.25" customHeight="1">
      <c r="A83" s="2">
        <v>4</v>
      </c>
      <c r="B83" s="2">
        <v>82</v>
      </c>
      <c r="C83" s="2">
        <v>6</v>
      </c>
      <c r="D83" s="2">
        <v>0</v>
      </c>
      <c r="E83" s="2">
        <v>0.88</v>
      </c>
      <c r="F83" s="2">
        <v>1</v>
      </c>
    </row>
    <row r="84" spans="1:6" ht="14.25" customHeight="1">
      <c r="A84" s="2">
        <v>4</v>
      </c>
      <c r="B84" s="2">
        <v>83</v>
      </c>
      <c r="C84" s="2">
        <v>1</v>
      </c>
      <c r="D84" s="2">
        <v>1</v>
      </c>
      <c r="E84" s="2">
        <v>1.2569999999999999</v>
      </c>
      <c r="F84" s="2">
        <v>2</v>
      </c>
    </row>
    <row r="85" spans="1:6" ht="14.25" customHeight="1">
      <c r="A85" s="2">
        <v>4</v>
      </c>
      <c r="B85" s="2">
        <v>84</v>
      </c>
      <c r="C85" s="2">
        <v>5</v>
      </c>
      <c r="D85" s="2">
        <v>1</v>
      </c>
      <c r="E85" s="2">
        <v>1.115</v>
      </c>
      <c r="F85" s="2">
        <v>1</v>
      </c>
    </row>
    <row r="86" spans="1:6" ht="14.25" customHeight="1">
      <c r="A86" s="2">
        <v>4</v>
      </c>
      <c r="B86" s="2">
        <v>85</v>
      </c>
      <c r="C86" s="2">
        <v>1</v>
      </c>
      <c r="D86" s="2">
        <v>1</v>
      </c>
      <c r="E86" s="2">
        <v>1.5389999999999999</v>
      </c>
      <c r="F86" s="2">
        <v>2</v>
      </c>
    </row>
    <row r="87" spans="1:6" ht="14.25" customHeight="1">
      <c r="A87" s="2">
        <v>4</v>
      </c>
      <c r="B87" s="2">
        <v>86</v>
      </c>
      <c r="C87" s="2">
        <v>3</v>
      </c>
      <c r="D87" s="2">
        <v>1</v>
      </c>
      <c r="E87" s="2">
        <v>0.71399999999999997</v>
      </c>
      <c r="F87" s="2">
        <v>2</v>
      </c>
    </row>
    <row r="88" spans="1:6" ht="14.25" customHeight="1">
      <c r="A88" s="2">
        <v>4</v>
      </c>
      <c r="B88" s="2">
        <v>87</v>
      </c>
      <c r="C88" s="2">
        <v>7</v>
      </c>
      <c r="D88" s="2">
        <v>1</v>
      </c>
      <c r="E88" s="2">
        <v>0.66600000000000004</v>
      </c>
      <c r="F88" s="2">
        <v>2</v>
      </c>
    </row>
    <row r="89" spans="1:6" ht="14.25" customHeight="1">
      <c r="A89" s="2">
        <v>4</v>
      </c>
      <c r="B89" s="2">
        <v>88</v>
      </c>
      <c r="C89" s="2">
        <v>3</v>
      </c>
      <c r="D89" s="2">
        <v>1</v>
      </c>
      <c r="E89" s="2">
        <v>1.3</v>
      </c>
      <c r="F89" s="2">
        <v>1</v>
      </c>
    </row>
    <row r="90" spans="1:6" ht="14.25" customHeight="1">
      <c r="A90" s="2">
        <v>4</v>
      </c>
      <c r="B90" s="2">
        <v>89</v>
      </c>
      <c r="C90" s="2">
        <v>7</v>
      </c>
      <c r="D90" s="2">
        <v>1</v>
      </c>
      <c r="E90" s="2">
        <v>0.90100000000000002</v>
      </c>
      <c r="F90" s="2">
        <v>2</v>
      </c>
    </row>
    <row r="91" spans="1:6" ht="14.25" customHeight="1">
      <c r="A91" s="2">
        <v>4</v>
      </c>
      <c r="B91" s="2">
        <v>90</v>
      </c>
      <c r="C91" s="2">
        <v>4</v>
      </c>
      <c r="D91" s="2">
        <v>1</v>
      </c>
      <c r="E91" s="2">
        <v>0.83</v>
      </c>
      <c r="F91" s="2">
        <v>2</v>
      </c>
    </row>
    <row r="92" spans="1:6" ht="14.25" customHeight="1">
      <c r="A92" s="2">
        <v>4</v>
      </c>
      <c r="B92" s="2">
        <v>91</v>
      </c>
      <c r="C92" s="2">
        <v>8</v>
      </c>
      <c r="D92" s="2">
        <v>0</v>
      </c>
      <c r="E92" s="2">
        <v>0.93700000000000006</v>
      </c>
      <c r="F92" s="2">
        <v>2</v>
      </c>
    </row>
    <row r="93" spans="1:6" ht="14.25" customHeight="1">
      <c r="A93" s="2">
        <v>4</v>
      </c>
      <c r="B93" s="2">
        <v>92</v>
      </c>
      <c r="C93" s="2">
        <v>6</v>
      </c>
      <c r="D93" s="2">
        <v>1</v>
      </c>
      <c r="E93" s="2">
        <v>1.335</v>
      </c>
      <c r="F93" s="2">
        <v>1</v>
      </c>
    </row>
    <row r="94" spans="1:6" ht="14.25" customHeight="1">
      <c r="A94" s="2">
        <v>4</v>
      </c>
      <c r="B94" s="2">
        <v>93</v>
      </c>
      <c r="C94" s="2">
        <v>4</v>
      </c>
      <c r="D94" s="2">
        <v>1</v>
      </c>
      <c r="E94" s="2">
        <v>1.4390000000000001</v>
      </c>
      <c r="F94" s="2">
        <v>1</v>
      </c>
    </row>
    <row r="95" spans="1:6" ht="14.25" customHeight="1">
      <c r="A95" s="2">
        <v>4</v>
      </c>
      <c r="B95" s="2">
        <v>94</v>
      </c>
      <c r="C95" s="2">
        <v>1</v>
      </c>
      <c r="D95" s="2">
        <v>1</v>
      </c>
      <c r="E95" s="2">
        <v>1.0569999999999999</v>
      </c>
      <c r="F95" s="2">
        <v>1</v>
      </c>
    </row>
    <row r="96" spans="1:6" ht="14.25" customHeight="1">
      <c r="A96" s="2">
        <v>4</v>
      </c>
      <c r="B96" s="2">
        <v>95</v>
      </c>
      <c r="C96" s="2">
        <v>3</v>
      </c>
      <c r="D96" s="2">
        <v>1</v>
      </c>
      <c r="E96" s="2">
        <v>1.2669999999999999</v>
      </c>
      <c r="F96" s="2">
        <v>2</v>
      </c>
    </row>
    <row r="97" spans="1:6" ht="14.25" customHeight="1">
      <c r="A97" s="2">
        <v>4</v>
      </c>
      <c r="B97" s="2">
        <v>96</v>
      </c>
      <c r="C97" s="2">
        <v>6</v>
      </c>
      <c r="D97" s="2">
        <v>1</v>
      </c>
      <c r="E97" s="2">
        <v>0.98099999999999998</v>
      </c>
      <c r="F97" s="2">
        <v>2</v>
      </c>
    </row>
    <row r="98" spans="1:6" ht="14.25" customHeight="1">
      <c r="A98" s="2">
        <v>4</v>
      </c>
      <c r="B98" s="2">
        <v>97</v>
      </c>
      <c r="C98" s="2">
        <v>4</v>
      </c>
      <c r="D98" s="2">
        <v>1</v>
      </c>
      <c r="E98" s="2">
        <v>1.1779999999999999</v>
      </c>
      <c r="F98" s="2">
        <v>1</v>
      </c>
    </row>
    <row r="99" spans="1:6" ht="14.25" customHeight="1">
      <c r="A99" s="2">
        <v>4</v>
      </c>
      <c r="B99" s="2">
        <v>98</v>
      </c>
      <c r="C99" s="2">
        <v>7</v>
      </c>
      <c r="D99" s="2">
        <v>1</v>
      </c>
      <c r="E99" s="2">
        <v>1.3440000000000001</v>
      </c>
      <c r="F99" s="2">
        <v>1</v>
      </c>
    </row>
    <row r="100" spans="1:6" ht="14.25" customHeight="1">
      <c r="A100" s="2">
        <v>4</v>
      </c>
      <c r="B100" s="2">
        <v>99</v>
      </c>
      <c r="C100" s="2">
        <v>6</v>
      </c>
      <c r="D100" s="2">
        <v>1</v>
      </c>
      <c r="E100" s="2">
        <v>1.5109999999999999</v>
      </c>
      <c r="F100" s="2">
        <v>2</v>
      </c>
    </row>
    <row r="101" spans="1:6" ht="14.25" customHeight="1">
      <c r="A101" s="2">
        <v>4</v>
      </c>
      <c r="B101" s="2">
        <v>100</v>
      </c>
      <c r="C101" s="2">
        <v>5</v>
      </c>
      <c r="D101" s="2">
        <v>1</v>
      </c>
      <c r="E101" s="2">
        <v>1.151</v>
      </c>
      <c r="F101" s="2">
        <v>2</v>
      </c>
    </row>
    <row r="102" spans="1:6" ht="14.25" customHeight="1">
      <c r="A102" s="2">
        <v>4</v>
      </c>
      <c r="B102" s="2">
        <v>101</v>
      </c>
      <c r="C102" s="2">
        <v>6</v>
      </c>
      <c r="D102" s="2">
        <v>1</v>
      </c>
      <c r="E102" s="2">
        <v>1.4119999999999999</v>
      </c>
    </row>
    <row r="103" spans="1:6" ht="14.25" customHeight="1">
      <c r="A103" s="2">
        <v>4</v>
      </c>
      <c r="B103" s="2">
        <v>102</v>
      </c>
      <c r="C103" s="2">
        <v>7</v>
      </c>
      <c r="D103" s="2">
        <v>1</v>
      </c>
      <c r="E103" s="2">
        <v>0.72799999999999998</v>
      </c>
    </row>
    <row r="104" spans="1:6" ht="14.25" customHeight="1">
      <c r="A104" s="2">
        <v>4</v>
      </c>
      <c r="B104" s="2">
        <v>103</v>
      </c>
      <c r="C104" s="2">
        <v>8</v>
      </c>
      <c r="D104" s="2">
        <v>1</v>
      </c>
      <c r="E104" s="2">
        <v>0.75900000000000001</v>
      </c>
    </row>
    <row r="105" spans="1:6" ht="14.25" customHeight="1">
      <c r="A105" s="2">
        <v>4</v>
      </c>
      <c r="B105" s="2">
        <v>104</v>
      </c>
      <c r="C105" s="2">
        <v>2</v>
      </c>
      <c r="D105" s="2">
        <v>1</v>
      </c>
      <c r="E105" s="2">
        <v>0.79700000000000004</v>
      </c>
    </row>
    <row r="106" spans="1:6" ht="14.25" customHeight="1">
      <c r="A106" s="2">
        <v>4</v>
      </c>
      <c r="B106" s="2">
        <v>105</v>
      </c>
      <c r="C106" s="2">
        <v>1</v>
      </c>
      <c r="D106" s="2">
        <v>1</v>
      </c>
      <c r="E106" s="2">
        <v>1.218</v>
      </c>
    </row>
    <row r="107" spans="1:6" ht="14.25" customHeight="1">
      <c r="A107" s="2">
        <v>4</v>
      </c>
      <c r="B107" s="2">
        <v>106</v>
      </c>
      <c r="C107" s="2">
        <v>5</v>
      </c>
      <c r="D107" s="2">
        <v>1</v>
      </c>
      <c r="E107" s="2">
        <v>0.91800000000000004</v>
      </c>
    </row>
    <row r="108" spans="1:6" ht="14.25" customHeight="1">
      <c r="A108" s="2">
        <v>4</v>
      </c>
      <c r="B108" s="2">
        <v>107</v>
      </c>
      <c r="C108" s="2">
        <v>6</v>
      </c>
      <c r="D108" s="2">
        <v>1</v>
      </c>
      <c r="E108" s="2">
        <v>0.78200000000000003</v>
      </c>
    </row>
    <row r="109" spans="1:6" ht="14.25" customHeight="1">
      <c r="A109" s="2">
        <v>4</v>
      </c>
      <c r="B109" s="2">
        <v>108</v>
      </c>
      <c r="C109" s="2">
        <v>4</v>
      </c>
      <c r="D109" s="2">
        <v>1</v>
      </c>
      <c r="E109" s="2">
        <v>1.02</v>
      </c>
    </row>
    <row r="110" spans="1:6" ht="14.25" customHeight="1">
      <c r="A110" s="2">
        <v>4</v>
      </c>
      <c r="B110" s="2">
        <v>109</v>
      </c>
      <c r="C110" s="2">
        <v>5</v>
      </c>
      <c r="D110" s="2">
        <v>1</v>
      </c>
      <c r="E110" s="2">
        <v>0.84699999999999998</v>
      </c>
    </row>
    <row r="111" spans="1:6" ht="14.25" customHeight="1">
      <c r="A111" s="2">
        <v>4</v>
      </c>
      <c r="B111" s="2">
        <v>110</v>
      </c>
      <c r="C111" s="2">
        <v>8</v>
      </c>
      <c r="D111" s="2">
        <v>1</v>
      </c>
      <c r="E111" s="2">
        <v>0.79400000000000004</v>
      </c>
    </row>
    <row r="112" spans="1:6" ht="14.25" customHeight="1">
      <c r="A112" s="2">
        <v>4</v>
      </c>
      <c r="B112" s="2">
        <v>111</v>
      </c>
      <c r="C112" s="2">
        <v>1</v>
      </c>
      <c r="D112" s="2">
        <v>1</v>
      </c>
      <c r="E112" s="2">
        <v>1.294</v>
      </c>
    </row>
    <row r="113" spans="1:5" ht="14.25" customHeight="1">
      <c r="A113" s="2">
        <v>4</v>
      </c>
      <c r="B113" s="2">
        <v>112</v>
      </c>
      <c r="C113" s="2">
        <v>2</v>
      </c>
      <c r="D113" s="2">
        <v>1</v>
      </c>
      <c r="E113" s="2">
        <v>1.351</v>
      </c>
    </row>
    <row r="114" spans="1:5" ht="14.25" customHeight="1">
      <c r="A114" s="2">
        <v>4</v>
      </c>
      <c r="B114" s="2">
        <v>113</v>
      </c>
      <c r="C114" s="2">
        <v>5</v>
      </c>
      <c r="D114" s="2">
        <v>1</v>
      </c>
      <c r="E114" s="2">
        <v>1.3009999999999999</v>
      </c>
    </row>
    <row r="115" spans="1:5" ht="14.25" customHeight="1">
      <c r="A115" s="2">
        <v>4</v>
      </c>
      <c r="B115" s="2">
        <v>114</v>
      </c>
      <c r="C115" s="2">
        <v>1</v>
      </c>
      <c r="D115" s="2">
        <v>1</v>
      </c>
      <c r="E115" s="2">
        <v>1.254</v>
      </c>
    </row>
    <row r="116" spans="1:5" ht="14.25" customHeight="1">
      <c r="A116" s="2">
        <v>4</v>
      </c>
      <c r="B116" s="2">
        <v>115</v>
      </c>
      <c r="C116" s="2">
        <v>4</v>
      </c>
      <c r="D116" s="2">
        <v>1</v>
      </c>
      <c r="E116" s="2">
        <v>1.456</v>
      </c>
    </row>
    <row r="117" spans="1:5" ht="14.25" customHeight="1">
      <c r="A117" s="2">
        <v>4</v>
      </c>
      <c r="B117" s="2">
        <v>116</v>
      </c>
      <c r="C117" s="2">
        <v>6</v>
      </c>
      <c r="D117" s="2">
        <v>1</v>
      </c>
      <c r="E117" s="2">
        <v>1.05</v>
      </c>
    </row>
    <row r="118" spans="1:5" ht="14.25" customHeight="1">
      <c r="A118" s="2">
        <v>4</v>
      </c>
      <c r="B118" s="2">
        <v>117</v>
      </c>
      <c r="C118" s="2">
        <v>3</v>
      </c>
      <c r="D118" s="2">
        <v>1</v>
      </c>
      <c r="E118" s="2">
        <v>1.036</v>
      </c>
    </row>
    <row r="119" spans="1:5" ht="14.25" customHeight="1">
      <c r="A119" s="2">
        <v>4</v>
      </c>
      <c r="B119" s="2">
        <v>118</v>
      </c>
      <c r="C119" s="2">
        <v>2</v>
      </c>
      <c r="D119" s="2">
        <v>1</v>
      </c>
      <c r="E119" s="2">
        <v>1.472</v>
      </c>
    </row>
    <row r="120" spans="1:5" ht="14.25" customHeight="1">
      <c r="A120" s="2">
        <v>4</v>
      </c>
      <c r="B120" s="2">
        <v>119</v>
      </c>
      <c r="C120" s="2">
        <v>4</v>
      </c>
      <c r="D120" s="2">
        <v>1</v>
      </c>
      <c r="E120" s="2">
        <v>0.88200000000000001</v>
      </c>
    </row>
    <row r="121" spans="1:5" ht="14.25" customHeight="1">
      <c r="A121" s="2">
        <v>4</v>
      </c>
      <c r="B121" s="2">
        <v>120</v>
      </c>
      <c r="C121" s="2">
        <v>6</v>
      </c>
      <c r="D121" s="2">
        <v>1</v>
      </c>
      <c r="E121" s="2">
        <v>1.2030000000000001</v>
      </c>
    </row>
    <row r="122" spans="1:5" ht="14.25" customHeight="1">
      <c r="A122" s="2">
        <v>4</v>
      </c>
      <c r="B122" s="2">
        <v>121</v>
      </c>
      <c r="C122" s="2">
        <v>3</v>
      </c>
      <c r="D122" s="2">
        <v>1</v>
      </c>
      <c r="E122" s="2">
        <v>1.0469999999999999</v>
      </c>
    </row>
    <row r="123" spans="1:5" ht="14.25" customHeight="1">
      <c r="A123" s="2">
        <v>4</v>
      </c>
      <c r="B123" s="2">
        <v>122</v>
      </c>
      <c r="C123" s="2">
        <v>7</v>
      </c>
      <c r="D123" s="2">
        <v>1</v>
      </c>
      <c r="E123" s="2">
        <v>1.298</v>
      </c>
    </row>
    <row r="124" spans="1:5" ht="14.25" customHeight="1">
      <c r="A124" s="2">
        <v>4</v>
      </c>
      <c r="B124" s="2">
        <v>123</v>
      </c>
      <c r="C124" s="2">
        <v>5</v>
      </c>
      <c r="D124" s="2">
        <v>1</v>
      </c>
      <c r="E124" s="2">
        <v>0.80200000000000005</v>
      </c>
    </row>
    <row r="125" spans="1:5" ht="14.25" customHeight="1">
      <c r="A125" s="2">
        <v>4</v>
      </c>
      <c r="B125" s="2">
        <v>124</v>
      </c>
      <c r="C125" s="2">
        <v>7</v>
      </c>
      <c r="D125" s="2">
        <v>1</v>
      </c>
      <c r="E125" s="2">
        <v>1.1120000000000001</v>
      </c>
    </row>
    <row r="126" spans="1:5" ht="14.25" customHeight="1">
      <c r="A126" s="2">
        <v>4</v>
      </c>
      <c r="B126" s="2">
        <v>125</v>
      </c>
      <c r="C126" s="2">
        <v>4</v>
      </c>
      <c r="D126" s="2">
        <v>0</v>
      </c>
      <c r="E126" s="2">
        <v>0.86299999999999999</v>
      </c>
    </row>
    <row r="127" spans="1:5" ht="14.25" customHeight="1">
      <c r="A127" s="2">
        <v>4</v>
      </c>
      <c r="B127" s="2">
        <v>126</v>
      </c>
      <c r="C127" s="2">
        <v>6</v>
      </c>
      <c r="D127" s="2">
        <v>1</v>
      </c>
      <c r="E127" s="2">
        <v>1.7370000000000001</v>
      </c>
    </row>
    <row r="128" spans="1:5" ht="14.25" customHeight="1">
      <c r="A128" s="2">
        <v>4</v>
      </c>
      <c r="B128" s="2">
        <v>127</v>
      </c>
      <c r="C128" s="2">
        <v>1</v>
      </c>
      <c r="D128" s="2">
        <v>1</v>
      </c>
      <c r="E128" s="2">
        <v>1.4330000000000001</v>
      </c>
    </row>
    <row r="129" spans="1:5" ht="14.25" customHeight="1">
      <c r="A129" s="2">
        <v>4</v>
      </c>
      <c r="B129" s="2">
        <v>128</v>
      </c>
      <c r="C129" s="2">
        <v>7</v>
      </c>
      <c r="D129" s="2">
        <v>1</v>
      </c>
      <c r="E129" s="2">
        <v>1.5</v>
      </c>
    </row>
    <row r="130" spans="1:5" ht="14.25" customHeight="1">
      <c r="A130" s="2">
        <v>4</v>
      </c>
      <c r="B130" s="2">
        <v>129</v>
      </c>
      <c r="C130" s="2">
        <v>3</v>
      </c>
      <c r="D130" s="2">
        <v>1</v>
      </c>
      <c r="E130" s="2">
        <v>1.204</v>
      </c>
    </row>
    <row r="131" spans="1:5" ht="14.25" customHeight="1">
      <c r="A131" s="2">
        <v>4</v>
      </c>
      <c r="B131" s="2">
        <v>130</v>
      </c>
      <c r="C131" s="2">
        <v>2</v>
      </c>
      <c r="D131" s="2">
        <v>1</v>
      </c>
      <c r="E131" s="2">
        <v>1.08</v>
      </c>
    </row>
    <row r="132" spans="1:5" ht="14.25" customHeight="1">
      <c r="A132" s="2">
        <v>4</v>
      </c>
      <c r="B132" s="2">
        <v>131</v>
      </c>
      <c r="C132" s="2">
        <v>1</v>
      </c>
      <c r="D132" s="2">
        <v>1</v>
      </c>
      <c r="E132" s="2">
        <v>1.33</v>
      </c>
    </row>
    <row r="133" spans="1:5" ht="14.25" customHeight="1">
      <c r="A133" s="2">
        <v>4</v>
      </c>
      <c r="B133" s="2">
        <v>132</v>
      </c>
      <c r="C133" s="2">
        <v>7</v>
      </c>
      <c r="D133" s="2">
        <v>1</v>
      </c>
      <c r="E133" s="2">
        <v>1.1850000000000001</v>
      </c>
    </row>
    <row r="134" spans="1:5" ht="14.25" customHeight="1">
      <c r="A134" s="2">
        <v>4</v>
      </c>
      <c r="B134" s="2">
        <v>133</v>
      </c>
      <c r="C134" s="2">
        <v>5</v>
      </c>
      <c r="D134" s="2">
        <v>1</v>
      </c>
      <c r="E134" s="2">
        <v>0.81499999999999995</v>
      </c>
    </row>
    <row r="135" spans="1:5" ht="14.25" customHeight="1">
      <c r="A135" s="2">
        <v>4</v>
      </c>
      <c r="B135" s="2">
        <v>134</v>
      </c>
      <c r="C135" s="2">
        <v>7</v>
      </c>
      <c r="D135" s="2">
        <v>1</v>
      </c>
      <c r="E135" s="2">
        <v>1.115</v>
      </c>
    </row>
    <row r="136" spans="1:5" ht="14.25" customHeight="1">
      <c r="A136" s="2">
        <v>4</v>
      </c>
      <c r="B136" s="2">
        <v>135</v>
      </c>
      <c r="C136" s="2">
        <v>1</v>
      </c>
      <c r="D136" s="2">
        <v>1</v>
      </c>
      <c r="E136" s="2">
        <v>1.546</v>
      </c>
    </row>
    <row r="137" spans="1:5" ht="14.25" customHeight="1">
      <c r="A137" s="2">
        <v>4</v>
      </c>
      <c r="B137" s="2">
        <v>136</v>
      </c>
      <c r="C137" s="2">
        <v>4</v>
      </c>
      <c r="D137" s="2">
        <v>1</v>
      </c>
      <c r="E137" s="2">
        <v>0.873</v>
      </c>
    </row>
    <row r="138" spans="1:5" ht="14.25" customHeight="1">
      <c r="A138" s="2">
        <v>4</v>
      </c>
      <c r="B138" s="2">
        <v>137</v>
      </c>
      <c r="C138" s="2">
        <v>2</v>
      </c>
      <c r="D138" s="2">
        <v>1</v>
      </c>
      <c r="E138" s="2">
        <v>0.72299999999999998</v>
      </c>
    </row>
    <row r="139" spans="1:5" ht="14.25" customHeight="1">
      <c r="A139" s="2">
        <v>4</v>
      </c>
      <c r="B139" s="2">
        <v>138</v>
      </c>
      <c r="C139" s="2">
        <v>8</v>
      </c>
      <c r="D139" s="2">
        <v>1</v>
      </c>
      <c r="E139" s="2">
        <v>1.546</v>
      </c>
    </row>
    <row r="140" spans="1:5" ht="14.25" customHeight="1">
      <c r="A140" s="2">
        <v>4</v>
      </c>
      <c r="B140" s="2">
        <v>139</v>
      </c>
      <c r="C140" s="2">
        <v>6</v>
      </c>
      <c r="D140" s="2">
        <v>1</v>
      </c>
      <c r="E140" s="2">
        <v>1.081</v>
      </c>
    </row>
    <row r="141" spans="1:5" ht="14.25" customHeight="1">
      <c r="A141" s="2">
        <v>4</v>
      </c>
      <c r="B141" s="2">
        <v>140</v>
      </c>
      <c r="C141" s="2">
        <v>3</v>
      </c>
      <c r="D141" s="2">
        <v>1</v>
      </c>
      <c r="E141" s="2">
        <v>0.89</v>
      </c>
    </row>
    <row r="142" spans="1:5" ht="14.25" customHeight="1">
      <c r="A142" s="2">
        <v>4</v>
      </c>
      <c r="B142" s="2">
        <v>141</v>
      </c>
      <c r="C142" s="2">
        <v>8</v>
      </c>
      <c r="D142" s="2">
        <v>1</v>
      </c>
      <c r="E142" s="2">
        <v>1.1459999999999999</v>
      </c>
    </row>
    <row r="143" spans="1:5" ht="14.25" customHeight="1">
      <c r="A143" s="2">
        <v>4</v>
      </c>
      <c r="B143" s="2">
        <v>142</v>
      </c>
      <c r="C143" s="2">
        <v>5</v>
      </c>
      <c r="D143" s="2">
        <v>1</v>
      </c>
      <c r="E143" s="2">
        <v>1.5369999999999999</v>
      </c>
    </row>
    <row r="144" spans="1:5" ht="14.25" customHeight="1">
      <c r="A144" s="2">
        <v>4</v>
      </c>
      <c r="B144" s="2">
        <v>143</v>
      </c>
      <c r="C144" s="2">
        <v>4</v>
      </c>
      <c r="D144" s="2">
        <v>1</v>
      </c>
      <c r="E144" s="2">
        <v>1.4810000000000001</v>
      </c>
    </row>
    <row r="145" spans="1:5" ht="14.25" customHeight="1">
      <c r="A145" s="2">
        <v>4</v>
      </c>
      <c r="B145" s="2">
        <v>144</v>
      </c>
      <c r="C145" s="2">
        <v>7</v>
      </c>
      <c r="D145" s="2">
        <v>1</v>
      </c>
      <c r="E145" s="2">
        <v>0.92200000000000004</v>
      </c>
    </row>
    <row r="146" spans="1:5" ht="14.25" customHeight="1">
      <c r="A146" s="2">
        <v>4</v>
      </c>
      <c r="B146" s="2">
        <v>145</v>
      </c>
      <c r="C146" s="2">
        <v>3</v>
      </c>
      <c r="D146" s="2">
        <v>1</v>
      </c>
      <c r="E146" s="2">
        <v>1.5620000000000001</v>
      </c>
    </row>
    <row r="147" spans="1:5" ht="14.25" customHeight="1">
      <c r="A147" s="2">
        <v>4</v>
      </c>
      <c r="B147" s="2">
        <v>146</v>
      </c>
      <c r="C147" s="2">
        <v>2</v>
      </c>
      <c r="D147" s="2">
        <v>1</v>
      </c>
      <c r="E147" s="2">
        <v>1.0229999999999999</v>
      </c>
    </row>
    <row r="148" spans="1:5" ht="14.25" customHeight="1">
      <c r="A148" s="2">
        <v>4</v>
      </c>
      <c r="B148" s="2">
        <v>147</v>
      </c>
      <c r="C148" s="2">
        <v>3</v>
      </c>
      <c r="D148" s="2">
        <v>1</v>
      </c>
      <c r="E148" s="2">
        <v>1.5780000000000001</v>
      </c>
    </row>
    <row r="149" spans="1:5" ht="14.25" customHeight="1">
      <c r="A149" s="2">
        <v>4</v>
      </c>
      <c r="B149" s="2">
        <v>148</v>
      </c>
      <c r="C149" s="2">
        <v>8</v>
      </c>
      <c r="D149" s="2">
        <v>1</v>
      </c>
      <c r="E149" s="2">
        <v>1.1040000000000001</v>
      </c>
    </row>
    <row r="150" spans="1:5" ht="14.25" customHeight="1">
      <c r="A150" s="2">
        <v>4</v>
      </c>
      <c r="B150" s="2">
        <v>149</v>
      </c>
      <c r="C150" s="2">
        <v>3</v>
      </c>
      <c r="D150" s="2">
        <v>1</v>
      </c>
      <c r="E150" s="2">
        <v>1.28</v>
      </c>
    </row>
    <row r="151" spans="1:5" ht="14.25" customHeight="1">
      <c r="A151" s="2">
        <v>4</v>
      </c>
      <c r="B151" s="2">
        <v>150</v>
      </c>
      <c r="C151" s="2">
        <v>8</v>
      </c>
      <c r="D151" s="2">
        <v>1</v>
      </c>
      <c r="E151" s="2">
        <v>0.85</v>
      </c>
    </row>
    <row r="152" spans="1:5" ht="14.25" customHeight="1">
      <c r="A152" s="2">
        <v>4</v>
      </c>
      <c r="B152" s="2">
        <v>151</v>
      </c>
      <c r="C152" s="2">
        <v>2</v>
      </c>
    </row>
    <row r="153" spans="1:5" ht="14.25" customHeight="1">
      <c r="A153" s="2">
        <v>4</v>
      </c>
      <c r="B153" s="2">
        <v>152</v>
      </c>
      <c r="C153" s="2">
        <v>6</v>
      </c>
    </row>
    <row r="154" spans="1:5" ht="14.25" customHeight="1">
      <c r="A154" s="2">
        <v>4</v>
      </c>
      <c r="B154" s="2">
        <v>153</v>
      </c>
      <c r="C154" s="2">
        <v>7</v>
      </c>
    </row>
    <row r="155" spans="1:5" ht="14.25" customHeight="1">
      <c r="A155" s="2">
        <v>4</v>
      </c>
      <c r="B155" s="2">
        <v>154</v>
      </c>
      <c r="C155" s="2">
        <v>4</v>
      </c>
    </row>
    <row r="156" spans="1:5" ht="14.25" customHeight="1">
      <c r="A156" s="2">
        <v>4</v>
      </c>
      <c r="B156" s="2">
        <v>155</v>
      </c>
      <c r="C156" s="2">
        <v>5</v>
      </c>
    </row>
    <row r="157" spans="1:5" ht="14.25" customHeight="1">
      <c r="A157" s="2">
        <v>4</v>
      </c>
      <c r="B157" s="2">
        <v>156</v>
      </c>
      <c r="C157" s="2">
        <v>8</v>
      </c>
    </row>
    <row r="158" spans="1:5" ht="14.25" customHeight="1">
      <c r="A158" s="2">
        <v>4</v>
      </c>
      <c r="B158" s="2">
        <v>157</v>
      </c>
      <c r="C158" s="2">
        <v>5</v>
      </c>
    </row>
    <row r="159" spans="1:5" ht="14.25" customHeight="1">
      <c r="A159" s="2">
        <v>4</v>
      </c>
      <c r="B159" s="2">
        <v>158</v>
      </c>
      <c r="C159" s="2">
        <v>7</v>
      </c>
    </row>
    <row r="160" spans="1:5" ht="14.25" customHeight="1">
      <c r="A160" s="2">
        <v>4</v>
      </c>
      <c r="B160" s="2">
        <v>159</v>
      </c>
      <c r="C160" s="2">
        <v>4</v>
      </c>
    </row>
    <row r="161" spans="1:3" ht="14.25" customHeight="1">
      <c r="A161" s="2">
        <v>4</v>
      </c>
      <c r="B161" s="2">
        <v>160</v>
      </c>
      <c r="C161" s="2">
        <v>7</v>
      </c>
    </row>
    <row r="162" spans="1:3" ht="14.25" customHeight="1">
      <c r="A162" s="2">
        <v>4</v>
      </c>
      <c r="B162" s="2">
        <v>161</v>
      </c>
      <c r="C162" s="2">
        <v>1</v>
      </c>
    </row>
    <row r="163" spans="1:3" ht="14.25" customHeight="1">
      <c r="A163" s="2">
        <v>4</v>
      </c>
      <c r="B163" s="2">
        <v>162</v>
      </c>
      <c r="C163" s="2">
        <v>2</v>
      </c>
    </row>
    <row r="164" spans="1:3" ht="14.25" customHeight="1">
      <c r="A164" s="2">
        <v>4</v>
      </c>
      <c r="B164" s="2">
        <v>163</v>
      </c>
      <c r="C164" s="2">
        <v>8</v>
      </c>
    </row>
    <row r="165" spans="1:3" ht="14.25" customHeight="1">
      <c r="A165" s="2">
        <v>4</v>
      </c>
      <c r="B165" s="2">
        <v>164</v>
      </c>
      <c r="C165" s="2">
        <v>7</v>
      </c>
    </row>
    <row r="166" spans="1:3" ht="14.25" customHeight="1">
      <c r="A166" s="2">
        <v>4</v>
      </c>
      <c r="B166" s="2">
        <v>165</v>
      </c>
      <c r="C166" s="2">
        <v>8</v>
      </c>
    </row>
    <row r="167" spans="1:3" ht="14.25" customHeight="1">
      <c r="A167" s="2">
        <v>4</v>
      </c>
      <c r="B167" s="2">
        <v>166</v>
      </c>
      <c r="C167" s="2">
        <v>6</v>
      </c>
    </row>
    <row r="168" spans="1:3" ht="14.25" customHeight="1">
      <c r="A168" s="2">
        <v>4</v>
      </c>
      <c r="B168" s="2">
        <v>167</v>
      </c>
      <c r="C168" s="2">
        <v>3</v>
      </c>
    </row>
    <row r="169" spans="1:3" ht="14.25" customHeight="1">
      <c r="A169" s="2">
        <v>4</v>
      </c>
      <c r="B169" s="2">
        <v>168</v>
      </c>
      <c r="C169" s="2">
        <v>1</v>
      </c>
    </row>
    <row r="170" spans="1:3" ht="14.25" customHeight="1">
      <c r="A170" s="2">
        <v>4</v>
      </c>
      <c r="B170" s="2">
        <v>169</v>
      </c>
      <c r="C170" s="2">
        <v>3</v>
      </c>
    </row>
    <row r="171" spans="1:3" ht="14.25" customHeight="1">
      <c r="A171" s="2">
        <v>4</v>
      </c>
      <c r="B171" s="2">
        <v>170</v>
      </c>
      <c r="C171" s="2">
        <v>2</v>
      </c>
    </row>
    <row r="172" spans="1:3" ht="14.25" customHeight="1">
      <c r="A172" s="2">
        <v>4</v>
      </c>
      <c r="B172" s="2">
        <v>171</v>
      </c>
      <c r="C172" s="2">
        <v>7</v>
      </c>
    </row>
    <row r="173" spans="1:3" ht="14.25" customHeight="1">
      <c r="A173" s="2">
        <v>4</v>
      </c>
      <c r="B173" s="2">
        <v>172</v>
      </c>
      <c r="C173" s="2">
        <v>5</v>
      </c>
    </row>
    <row r="174" spans="1:3" ht="14.25" customHeight="1">
      <c r="A174" s="2">
        <v>4</v>
      </c>
      <c r="B174" s="2">
        <v>173</v>
      </c>
      <c r="C174" s="2">
        <v>3</v>
      </c>
    </row>
    <row r="175" spans="1:3" ht="14.25" customHeight="1">
      <c r="A175" s="2">
        <v>4</v>
      </c>
      <c r="B175" s="2">
        <v>174</v>
      </c>
      <c r="C175" s="2">
        <v>5</v>
      </c>
    </row>
    <row r="176" spans="1:3" ht="14.25" customHeight="1">
      <c r="A176" s="2">
        <v>4</v>
      </c>
      <c r="B176" s="2">
        <v>175</v>
      </c>
      <c r="C176" s="2">
        <v>6</v>
      </c>
    </row>
    <row r="177" spans="1:3" ht="14.25" customHeight="1">
      <c r="A177" s="2">
        <v>4</v>
      </c>
      <c r="B177" s="2">
        <v>176</v>
      </c>
      <c r="C177" s="2">
        <v>3</v>
      </c>
    </row>
    <row r="178" spans="1:3" ht="14.25" customHeight="1">
      <c r="A178" s="2">
        <v>4</v>
      </c>
      <c r="B178" s="2">
        <v>177</v>
      </c>
      <c r="C178" s="2">
        <v>2</v>
      </c>
    </row>
    <row r="179" spans="1:3" ht="14.25" customHeight="1">
      <c r="A179" s="2">
        <v>4</v>
      </c>
      <c r="B179" s="2">
        <v>178</v>
      </c>
      <c r="C179" s="2">
        <v>7</v>
      </c>
    </row>
    <row r="180" spans="1:3" ht="14.25" customHeight="1">
      <c r="A180" s="2">
        <v>4</v>
      </c>
      <c r="B180" s="2">
        <v>179</v>
      </c>
      <c r="C180" s="2">
        <v>6</v>
      </c>
    </row>
    <row r="181" spans="1:3" ht="14.25" customHeight="1">
      <c r="A181" s="2">
        <v>4</v>
      </c>
      <c r="B181" s="2">
        <v>180</v>
      </c>
      <c r="C181" s="2">
        <v>4</v>
      </c>
    </row>
    <row r="182" spans="1:3" ht="14.25" customHeight="1">
      <c r="A182" s="2">
        <v>4</v>
      </c>
      <c r="B182" s="2">
        <v>181</v>
      </c>
      <c r="C182" s="2">
        <v>2</v>
      </c>
    </row>
    <row r="183" spans="1:3" ht="14.25" customHeight="1">
      <c r="A183" s="2">
        <v>4</v>
      </c>
      <c r="B183" s="2">
        <v>182</v>
      </c>
      <c r="C183" s="2">
        <v>4</v>
      </c>
    </row>
    <row r="184" spans="1:3" ht="14.25" customHeight="1">
      <c r="A184" s="2">
        <v>4</v>
      </c>
      <c r="B184" s="2">
        <v>183</v>
      </c>
      <c r="C184" s="2">
        <v>1</v>
      </c>
    </row>
    <row r="185" spans="1:3" ht="14.25" customHeight="1">
      <c r="A185" s="2">
        <v>4</v>
      </c>
      <c r="B185" s="2">
        <v>184</v>
      </c>
      <c r="C185" s="2">
        <v>5</v>
      </c>
    </row>
    <row r="186" spans="1:3" ht="14.25" customHeight="1">
      <c r="A186" s="2">
        <v>4</v>
      </c>
      <c r="B186" s="2">
        <v>185</v>
      </c>
      <c r="C186" s="2">
        <v>3</v>
      </c>
    </row>
    <row r="187" spans="1:3" ht="14.25" customHeight="1">
      <c r="A187" s="2">
        <v>4</v>
      </c>
      <c r="B187" s="2">
        <v>186</v>
      </c>
      <c r="C187" s="2">
        <v>5</v>
      </c>
    </row>
    <row r="188" spans="1:3" ht="14.25" customHeight="1">
      <c r="A188" s="2">
        <v>4</v>
      </c>
      <c r="B188" s="2">
        <v>187</v>
      </c>
      <c r="C188" s="2">
        <v>1</v>
      </c>
    </row>
    <row r="189" spans="1:3" ht="14.25" customHeight="1">
      <c r="A189" s="2">
        <v>4</v>
      </c>
      <c r="B189" s="2">
        <v>188</v>
      </c>
      <c r="C189" s="2">
        <v>6</v>
      </c>
    </row>
    <row r="190" spans="1:3" ht="14.25" customHeight="1">
      <c r="A190" s="2">
        <v>4</v>
      </c>
      <c r="B190" s="2">
        <v>189</v>
      </c>
      <c r="C190" s="2">
        <v>1</v>
      </c>
    </row>
    <row r="191" spans="1:3" ht="14.25" customHeight="1">
      <c r="A191" s="2">
        <v>4</v>
      </c>
      <c r="B191" s="2">
        <v>190</v>
      </c>
      <c r="C191" s="2">
        <v>8</v>
      </c>
    </row>
    <row r="192" spans="1:3" ht="14.25" customHeight="1">
      <c r="A192" s="2">
        <v>4</v>
      </c>
      <c r="B192" s="2">
        <v>191</v>
      </c>
      <c r="C192" s="2">
        <v>1</v>
      </c>
    </row>
    <row r="193" spans="1:3" ht="14.25" customHeight="1">
      <c r="A193" s="2">
        <v>4</v>
      </c>
      <c r="B193" s="2">
        <v>192</v>
      </c>
      <c r="C193" s="2">
        <v>4</v>
      </c>
    </row>
    <row r="194" spans="1:3" ht="14.25" customHeight="1">
      <c r="A194" s="2">
        <v>4</v>
      </c>
      <c r="B194" s="2">
        <v>193</v>
      </c>
      <c r="C194" s="2">
        <v>3</v>
      </c>
    </row>
    <row r="195" spans="1:3" ht="14.25" customHeight="1">
      <c r="A195" s="2">
        <v>4</v>
      </c>
      <c r="B195" s="2">
        <v>194</v>
      </c>
      <c r="C195" s="2">
        <v>8</v>
      </c>
    </row>
    <row r="196" spans="1:3" ht="14.25" customHeight="1">
      <c r="A196" s="2">
        <v>4</v>
      </c>
      <c r="B196" s="2">
        <v>195</v>
      </c>
      <c r="C196" s="2">
        <v>7</v>
      </c>
    </row>
    <row r="197" spans="1:3" ht="14.25" customHeight="1">
      <c r="A197" s="2">
        <v>4</v>
      </c>
      <c r="B197" s="2">
        <v>196</v>
      </c>
      <c r="C197" s="2">
        <v>3</v>
      </c>
    </row>
    <row r="198" spans="1:3" ht="14.25" customHeight="1">
      <c r="A198" s="2">
        <v>4</v>
      </c>
      <c r="B198" s="2">
        <v>197</v>
      </c>
      <c r="C198" s="2">
        <v>4</v>
      </c>
    </row>
    <row r="199" spans="1:3" ht="14.25" customHeight="1">
      <c r="A199" s="2">
        <v>4</v>
      </c>
      <c r="B199" s="2">
        <v>198</v>
      </c>
      <c r="C199" s="2">
        <v>8</v>
      </c>
    </row>
    <row r="200" spans="1:3" ht="14.25" customHeight="1">
      <c r="A200" s="2">
        <v>4</v>
      </c>
      <c r="B200" s="2">
        <v>199</v>
      </c>
      <c r="C200" s="2">
        <v>6</v>
      </c>
    </row>
    <row r="201" spans="1:3" ht="14.25" customHeight="1">
      <c r="A201" s="2">
        <v>4</v>
      </c>
      <c r="B201" s="2">
        <v>200</v>
      </c>
      <c r="C201" s="2">
        <v>2</v>
      </c>
    </row>
    <row r="202" spans="1:3" ht="14.25" customHeight="1">
      <c r="A202" s="2">
        <v>4</v>
      </c>
      <c r="B202" s="2">
        <v>201</v>
      </c>
      <c r="C202" s="2">
        <v>5</v>
      </c>
    </row>
    <row r="203" spans="1:3" ht="14.25" customHeight="1">
      <c r="A203" s="2">
        <v>4</v>
      </c>
      <c r="B203" s="2">
        <v>202</v>
      </c>
      <c r="C203" s="2">
        <v>3</v>
      </c>
    </row>
    <row r="204" spans="1:3" ht="14.25" customHeight="1">
      <c r="A204" s="2">
        <v>4</v>
      </c>
      <c r="B204" s="2">
        <v>203</v>
      </c>
      <c r="C204" s="2">
        <v>1</v>
      </c>
    </row>
    <row r="205" spans="1:3" ht="14.25" customHeight="1">
      <c r="A205" s="2">
        <v>4</v>
      </c>
      <c r="B205" s="2">
        <v>204</v>
      </c>
      <c r="C205" s="2">
        <v>6</v>
      </c>
    </row>
    <row r="206" spans="1:3" ht="14.25" customHeight="1">
      <c r="A206" s="2">
        <v>4</v>
      </c>
      <c r="B206" s="2">
        <v>205</v>
      </c>
      <c r="C206" s="2">
        <v>4</v>
      </c>
    </row>
    <row r="207" spans="1:3" ht="14.25" customHeight="1">
      <c r="A207" s="2">
        <v>4</v>
      </c>
      <c r="B207" s="2">
        <v>206</v>
      </c>
      <c r="C207" s="2">
        <v>5</v>
      </c>
    </row>
    <row r="208" spans="1:3" ht="14.25" customHeight="1">
      <c r="A208" s="2">
        <v>4</v>
      </c>
      <c r="B208" s="2">
        <v>207</v>
      </c>
      <c r="C208" s="2">
        <v>8</v>
      </c>
    </row>
    <row r="209" spans="1:3" ht="14.25" customHeight="1">
      <c r="A209" s="2">
        <v>4</v>
      </c>
      <c r="B209" s="2">
        <v>208</v>
      </c>
      <c r="C209" s="2">
        <v>4</v>
      </c>
    </row>
    <row r="210" spans="1:3" ht="14.25" customHeight="1">
      <c r="A210" s="2">
        <v>4</v>
      </c>
      <c r="B210" s="2">
        <v>209</v>
      </c>
      <c r="C210" s="2">
        <v>3</v>
      </c>
    </row>
    <row r="211" spans="1:3" ht="14.25" customHeight="1">
      <c r="A211" s="2">
        <v>4</v>
      </c>
      <c r="B211" s="2">
        <v>210</v>
      </c>
      <c r="C211" s="2">
        <v>7</v>
      </c>
    </row>
    <row r="212" spans="1:3" ht="14.25" customHeight="1">
      <c r="A212" s="2">
        <v>4</v>
      </c>
      <c r="B212" s="2">
        <v>211</v>
      </c>
      <c r="C212" s="2">
        <v>3</v>
      </c>
    </row>
    <row r="213" spans="1:3" ht="14.25" customHeight="1">
      <c r="A213" s="2">
        <v>4</v>
      </c>
      <c r="B213" s="2">
        <v>212</v>
      </c>
      <c r="C213" s="2">
        <v>7</v>
      </c>
    </row>
    <row r="214" spans="1:3" ht="14.25" customHeight="1">
      <c r="A214" s="2">
        <v>4</v>
      </c>
      <c r="B214" s="2">
        <v>213</v>
      </c>
      <c r="C214" s="2">
        <v>5</v>
      </c>
    </row>
    <row r="215" spans="1:3" ht="14.25" customHeight="1">
      <c r="A215" s="2">
        <v>4</v>
      </c>
      <c r="B215" s="2">
        <v>214</v>
      </c>
      <c r="C215" s="2">
        <v>6</v>
      </c>
    </row>
    <row r="216" spans="1:3" ht="14.25" customHeight="1">
      <c r="A216" s="2">
        <v>4</v>
      </c>
      <c r="B216" s="2">
        <v>215</v>
      </c>
      <c r="C216" s="2">
        <v>3</v>
      </c>
    </row>
    <row r="217" spans="1:3" ht="14.25" customHeight="1">
      <c r="A217" s="2">
        <v>4</v>
      </c>
      <c r="B217" s="2">
        <v>216</v>
      </c>
      <c r="C217" s="2">
        <v>1</v>
      </c>
    </row>
    <row r="218" spans="1:3" ht="14.25" customHeight="1">
      <c r="A218" s="2">
        <v>4</v>
      </c>
      <c r="B218" s="2">
        <v>217</v>
      </c>
      <c r="C218" s="2">
        <v>6</v>
      </c>
    </row>
    <row r="219" spans="1:3" ht="14.25" customHeight="1">
      <c r="A219" s="2">
        <v>4</v>
      </c>
      <c r="B219" s="2">
        <v>218</v>
      </c>
      <c r="C219" s="2">
        <v>8</v>
      </c>
    </row>
    <row r="220" spans="1:3" ht="14.25" customHeight="1">
      <c r="A220" s="2">
        <v>4</v>
      </c>
      <c r="B220" s="2">
        <v>219</v>
      </c>
      <c r="C220" s="2">
        <v>7</v>
      </c>
    </row>
    <row r="221" spans="1:3" ht="14.25" customHeight="1">
      <c r="A221" s="2">
        <v>4</v>
      </c>
      <c r="B221" s="2">
        <v>220</v>
      </c>
      <c r="C221" s="2">
        <v>1</v>
      </c>
    </row>
    <row r="222" spans="1:3" ht="14.25" customHeight="1">
      <c r="A222" s="2">
        <v>4</v>
      </c>
      <c r="B222" s="2">
        <v>221</v>
      </c>
      <c r="C222" s="2">
        <v>2</v>
      </c>
    </row>
    <row r="223" spans="1:3" ht="14.25" customHeight="1">
      <c r="A223" s="2">
        <v>4</v>
      </c>
      <c r="B223" s="2">
        <v>222</v>
      </c>
      <c r="C223" s="2">
        <v>4</v>
      </c>
    </row>
    <row r="224" spans="1:3" ht="14.25" customHeight="1">
      <c r="A224" s="2">
        <v>4</v>
      </c>
      <c r="B224" s="2">
        <v>223</v>
      </c>
      <c r="C224" s="2">
        <v>5</v>
      </c>
    </row>
    <row r="225" spans="1:3" ht="14.25" customHeight="1">
      <c r="A225" s="2">
        <v>4</v>
      </c>
      <c r="B225" s="2">
        <v>224</v>
      </c>
      <c r="C225" s="2">
        <v>2</v>
      </c>
    </row>
    <row r="226" spans="1:3" ht="14.25" customHeight="1">
      <c r="A226" s="2">
        <v>4</v>
      </c>
      <c r="B226" s="2">
        <v>225</v>
      </c>
      <c r="C226" s="2">
        <v>3</v>
      </c>
    </row>
    <row r="227" spans="1:3" ht="14.25" customHeight="1">
      <c r="A227" s="2">
        <v>4</v>
      </c>
      <c r="B227" s="2">
        <v>226</v>
      </c>
      <c r="C227" s="2">
        <v>7</v>
      </c>
    </row>
    <row r="228" spans="1:3" ht="14.25" customHeight="1">
      <c r="A228" s="2">
        <v>4</v>
      </c>
      <c r="B228" s="2">
        <v>227</v>
      </c>
      <c r="C228" s="2">
        <v>3</v>
      </c>
    </row>
    <row r="229" spans="1:3" ht="14.25" customHeight="1">
      <c r="A229" s="2">
        <v>4</v>
      </c>
      <c r="B229" s="2">
        <v>228</v>
      </c>
      <c r="C229" s="2">
        <v>7</v>
      </c>
    </row>
    <row r="230" spans="1:3" ht="14.25" customHeight="1">
      <c r="A230" s="2">
        <v>4</v>
      </c>
      <c r="B230" s="2">
        <v>229</v>
      </c>
      <c r="C230" s="2">
        <v>8</v>
      </c>
    </row>
    <row r="231" spans="1:3" ht="14.25" customHeight="1">
      <c r="A231" s="2">
        <v>4</v>
      </c>
      <c r="B231" s="2">
        <v>230</v>
      </c>
      <c r="C231" s="2">
        <v>2</v>
      </c>
    </row>
    <row r="232" spans="1:3" ht="14.25" customHeight="1">
      <c r="A232" s="2">
        <v>4</v>
      </c>
      <c r="B232" s="2">
        <v>231</v>
      </c>
      <c r="C232" s="2">
        <v>4</v>
      </c>
    </row>
    <row r="233" spans="1:3" ht="14.25" customHeight="1">
      <c r="A233" s="2">
        <v>4</v>
      </c>
      <c r="B233" s="2">
        <v>232</v>
      </c>
      <c r="C233" s="2">
        <v>8</v>
      </c>
    </row>
    <row r="234" spans="1:3" ht="14.25" customHeight="1">
      <c r="A234" s="2">
        <v>4</v>
      </c>
      <c r="B234" s="2">
        <v>233</v>
      </c>
      <c r="C234" s="2">
        <v>7</v>
      </c>
    </row>
    <row r="235" spans="1:3" ht="14.25" customHeight="1">
      <c r="A235" s="2">
        <v>4</v>
      </c>
      <c r="B235" s="2">
        <v>234</v>
      </c>
      <c r="C235" s="2">
        <v>2</v>
      </c>
    </row>
    <row r="236" spans="1:3" ht="14.25" customHeight="1">
      <c r="A236" s="2">
        <v>4</v>
      </c>
      <c r="B236" s="2">
        <v>235</v>
      </c>
      <c r="C236" s="2">
        <v>7</v>
      </c>
    </row>
    <row r="237" spans="1:3" ht="14.25" customHeight="1">
      <c r="A237" s="2">
        <v>4</v>
      </c>
      <c r="B237" s="2">
        <v>236</v>
      </c>
      <c r="C237" s="2">
        <v>1</v>
      </c>
    </row>
    <row r="238" spans="1:3" ht="14.25" customHeight="1">
      <c r="A238" s="2">
        <v>4</v>
      </c>
      <c r="B238" s="2">
        <v>237</v>
      </c>
      <c r="C238" s="2">
        <v>4</v>
      </c>
    </row>
    <row r="239" spans="1:3" ht="14.25" customHeight="1">
      <c r="A239" s="2">
        <v>4</v>
      </c>
      <c r="B239" s="2">
        <v>238</v>
      </c>
      <c r="C239" s="2">
        <v>1</v>
      </c>
    </row>
    <row r="240" spans="1:3" ht="14.25" customHeight="1">
      <c r="A240" s="2">
        <v>4</v>
      </c>
      <c r="B240" s="2">
        <v>239</v>
      </c>
      <c r="C240" s="2">
        <v>4</v>
      </c>
    </row>
    <row r="241" spans="1:3" ht="14.25" customHeight="1">
      <c r="A241" s="2">
        <v>4</v>
      </c>
      <c r="B241" s="2">
        <v>240</v>
      </c>
      <c r="C241" s="2">
        <v>5</v>
      </c>
    </row>
    <row r="242" spans="1:3" ht="14.25" customHeight="1">
      <c r="A242" s="2">
        <v>4</v>
      </c>
      <c r="B242" s="2">
        <v>241</v>
      </c>
      <c r="C242" s="2">
        <v>8</v>
      </c>
    </row>
    <row r="243" spans="1:3" ht="14.25" customHeight="1">
      <c r="A243" s="2">
        <v>4</v>
      </c>
      <c r="B243" s="2">
        <v>242</v>
      </c>
      <c r="C243" s="2">
        <v>3</v>
      </c>
    </row>
    <row r="244" spans="1:3" ht="14.25" customHeight="1">
      <c r="A244" s="2">
        <v>4</v>
      </c>
      <c r="B244" s="2">
        <v>243</v>
      </c>
      <c r="C244" s="2">
        <v>1</v>
      </c>
    </row>
    <row r="245" spans="1:3" ht="14.25" customHeight="1">
      <c r="A245" s="2">
        <v>4</v>
      </c>
      <c r="B245" s="2">
        <v>244</v>
      </c>
      <c r="C245" s="2">
        <v>2</v>
      </c>
    </row>
    <row r="246" spans="1:3" ht="14.25" customHeight="1">
      <c r="A246" s="2">
        <v>4</v>
      </c>
      <c r="B246" s="2">
        <v>245</v>
      </c>
      <c r="C246" s="2">
        <v>6</v>
      </c>
    </row>
    <row r="247" spans="1:3" ht="14.25" customHeight="1">
      <c r="A247" s="2">
        <v>4</v>
      </c>
      <c r="B247" s="2">
        <v>246</v>
      </c>
      <c r="C247" s="2">
        <v>5</v>
      </c>
    </row>
    <row r="248" spans="1:3" ht="14.25" customHeight="1">
      <c r="A248" s="2">
        <v>4</v>
      </c>
      <c r="B248" s="2">
        <v>247</v>
      </c>
      <c r="C248" s="2">
        <v>2</v>
      </c>
    </row>
    <row r="249" spans="1:3" ht="14.25" customHeight="1">
      <c r="A249" s="2">
        <v>4</v>
      </c>
      <c r="B249" s="2">
        <v>248</v>
      </c>
      <c r="C249" s="2">
        <v>6</v>
      </c>
    </row>
    <row r="250" spans="1:3" ht="14.25" customHeight="1">
      <c r="A250" s="2">
        <v>4</v>
      </c>
      <c r="B250" s="2">
        <v>249</v>
      </c>
      <c r="C250" s="2">
        <v>8</v>
      </c>
    </row>
    <row r="251" spans="1:3" ht="14.25" customHeight="1">
      <c r="A251" s="2">
        <v>4</v>
      </c>
      <c r="B251" s="2">
        <v>250</v>
      </c>
      <c r="C251" s="2">
        <v>6</v>
      </c>
    </row>
    <row r="252" spans="1:3" ht="14.25" customHeight="1">
      <c r="A252" s="2">
        <v>4</v>
      </c>
      <c r="B252" s="2">
        <v>251</v>
      </c>
      <c r="C252" s="2">
        <v>8</v>
      </c>
    </row>
    <row r="253" spans="1:3" ht="14.25" customHeight="1">
      <c r="A253" s="2">
        <v>4</v>
      </c>
      <c r="B253" s="2">
        <v>252</v>
      </c>
      <c r="C253" s="2">
        <v>7</v>
      </c>
    </row>
    <row r="254" spans="1:3" ht="14.25" customHeight="1">
      <c r="A254" s="2">
        <v>4</v>
      </c>
      <c r="B254" s="2">
        <v>253</v>
      </c>
      <c r="C254" s="2">
        <v>6</v>
      </c>
    </row>
    <row r="255" spans="1:3" ht="14.25" customHeight="1">
      <c r="A255" s="2">
        <v>4</v>
      </c>
      <c r="B255" s="2">
        <v>254</v>
      </c>
      <c r="C255" s="2">
        <v>8</v>
      </c>
    </row>
    <row r="256" spans="1:3" ht="14.25" customHeight="1">
      <c r="A256" s="2">
        <v>4</v>
      </c>
      <c r="B256" s="2">
        <v>255</v>
      </c>
      <c r="C256" s="2">
        <v>1</v>
      </c>
    </row>
    <row r="257" spans="1:3" ht="14.25" customHeight="1">
      <c r="A257" s="2">
        <v>4</v>
      </c>
      <c r="B257" s="2">
        <v>256</v>
      </c>
      <c r="C257" s="2">
        <v>3</v>
      </c>
    </row>
    <row r="258" spans="1:3" ht="14.25" customHeight="1">
      <c r="A258" s="2">
        <v>4</v>
      </c>
      <c r="B258" s="2">
        <v>257</v>
      </c>
      <c r="C258" s="2">
        <v>4</v>
      </c>
    </row>
    <row r="259" spans="1:3" ht="14.25" customHeight="1">
      <c r="A259" s="2">
        <v>4</v>
      </c>
      <c r="B259" s="2">
        <v>258</v>
      </c>
      <c r="C259" s="2">
        <v>5</v>
      </c>
    </row>
    <row r="260" spans="1:3" ht="14.25" customHeight="1">
      <c r="A260" s="2">
        <v>4</v>
      </c>
      <c r="B260" s="2">
        <v>259</v>
      </c>
      <c r="C260" s="2">
        <v>6</v>
      </c>
    </row>
    <row r="261" spans="1:3" ht="14.25" customHeight="1">
      <c r="A261" s="2">
        <v>4</v>
      </c>
      <c r="B261" s="2">
        <v>260</v>
      </c>
      <c r="C261" s="2">
        <v>4</v>
      </c>
    </row>
    <row r="262" spans="1:3" ht="14.25" customHeight="1">
      <c r="A262" s="2">
        <v>4</v>
      </c>
      <c r="B262" s="2">
        <v>261</v>
      </c>
      <c r="C262" s="2">
        <v>2</v>
      </c>
    </row>
    <row r="263" spans="1:3" ht="14.25" customHeight="1">
      <c r="A263" s="2">
        <v>4</v>
      </c>
      <c r="B263" s="2">
        <v>262</v>
      </c>
      <c r="C263" s="2">
        <v>6</v>
      </c>
    </row>
    <row r="264" spans="1:3" ht="14.25" customHeight="1">
      <c r="A264" s="2">
        <v>4</v>
      </c>
      <c r="B264" s="2">
        <v>263</v>
      </c>
      <c r="C264" s="2">
        <v>1</v>
      </c>
    </row>
    <row r="265" spans="1:3" ht="14.25" customHeight="1">
      <c r="A265" s="2">
        <v>4</v>
      </c>
      <c r="B265" s="2">
        <v>264</v>
      </c>
      <c r="C265" s="2">
        <v>8</v>
      </c>
    </row>
    <row r="266" spans="1:3" ht="14.25" customHeight="1">
      <c r="A266" s="2">
        <v>4</v>
      </c>
      <c r="B266" s="2">
        <v>265</v>
      </c>
      <c r="C266" s="2">
        <v>3</v>
      </c>
    </row>
    <row r="267" spans="1:3" ht="14.25" customHeight="1">
      <c r="A267" s="2">
        <v>4</v>
      </c>
      <c r="B267" s="2">
        <v>266</v>
      </c>
      <c r="C267" s="2">
        <v>5</v>
      </c>
    </row>
    <row r="268" spans="1:3" ht="14.25" customHeight="1">
      <c r="A268" s="2">
        <v>4</v>
      </c>
      <c r="B268" s="2">
        <v>267</v>
      </c>
      <c r="C268" s="2">
        <v>4</v>
      </c>
    </row>
    <row r="269" spans="1:3" ht="14.25" customHeight="1">
      <c r="A269" s="2">
        <v>4</v>
      </c>
      <c r="B269" s="2">
        <v>268</v>
      </c>
      <c r="C269" s="2">
        <v>7</v>
      </c>
    </row>
    <row r="270" spans="1:3" ht="14.25" customHeight="1">
      <c r="A270" s="2">
        <v>4</v>
      </c>
      <c r="B270" s="2">
        <v>269</v>
      </c>
      <c r="C270" s="2">
        <v>1</v>
      </c>
    </row>
    <row r="271" spans="1:3" ht="14.25" customHeight="1">
      <c r="A271" s="2">
        <v>4</v>
      </c>
      <c r="B271" s="2">
        <v>270</v>
      </c>
      <c r="C271" s="2">
        <v>8</v>
      </c>
    </row>
    <row r="272" spans="1:3" ht="14.25" customHeight="1">
      <c r="A272" s="2">
        <v>4</v>
      </c>
      <c r="B272" s="2">
        <v>271</v>
      </c>
      <c r="C272" s="2">
        <v>6</v>
      </c>
    </row>
    <row r="273" spans="1:3" ht="14.25" customHeight="1">
      <c r="A273" s="2">
        <v>4</v>
      </c>
      <c r="B273" s="2">
        <v>272</v>
      </c>
      <c r="C273" s="2">
        <v>7</v>
      </c>
    </row>
    <row r="274" spans="1:3" ht="14.25" customHeight="1">
      <c r="A274" s="2">
        <v>4</v>
      </c>
      <c r="B274" s="2">
        <v>273</v>
      </c>
      <c r="C274" s="2">
        <v>3</v>
      </c>
    </row>
    <row r="275" spans="1:3" ht="14.25" customHeight="1">
      <c r="A275" s="2">
        <v>4</v>
      </c>
      <c r="B275" s="2">
        <v>274</v>
      </c>
      <c r="C275" s="2">
        <v>2</v>
      </c>
    </row>
    <row r="276" spans="1:3" ht="14.25" customHeight="1">
      <c r="A276" s="2">
        <v>4</v>
      </c>
      <c r="B276" s="2">
        <v>275</v>
      </c>
      <c r="C276" s="2">
        <v>3</v>
      </c>
    </row>
    <row r="277" spans="1:3" ht="14.25" customHeight="1">
      <c r="A277" s="2">
        <v>4</v>
      </c>
      <c r="B277" s="2">
        <v>276</v>
      </c>
      <c r="C277" s="2">
        <v>2</v>
      </c>
    </row>
    <row r="278" spans="1:3" ht="14.25" customHeight="1">
      <c r="A278" s="2">
        <v>4</v>
      </c>
      <c r="B278" s="2">
        <v>277</v>
      </c>
      <c r="C278" s="2">
        <v>1</v>
      </c>
    </row>
    <row r="279" spans="1:3" ht="14.25" customHeight="1">
      <c r="A279" s="2">
        <v>4</v>
      </c>
      <c r="B279" s="2">
        <v>278</v>
      </c>
      <c r="C279" s="2">
        <v>5</v>
      </c>
    </row>
    <row r="280" spans="1:3" ht="14.25" customHeight="1">
      <c r="A280" s="2">
        <v>4</v>
      </c>
      <c r="B280" s="2">
        <v>279</v>
      </c>
      <c r="C280" s="2">
        <v>2</v>
      </c>
    </row>
    <row r="281" spans="1:3" ht="14.25" customHeight="1">
      <c r="A281" s="2">
        <v>4</v>
      </c>
      <c r="B281" s="2">
        <v>280</v>
      </c>
      <c r="C281" s="2">
        <v>3</v>
      </c>
    </row>
    <row r="282" spans="1:3" ht="14.25" customHeight="1">
      <c r="A282" s="2">
        <v>4</v>
      </c>
      <c r="B282" s="2">
        <v>281</v>
      </c>
      <c r="C282" s="2">
        <v>7</v>
      </c>
    </row>
    <row r="283" spans="1:3" ht="14.25" customHeight="1">
      <c r="A283" s="2">
        <v>4</v>
      </c>
      <c r="B283" s="2">
        <v>282</v>
      </c>
      <c r="C283" s="2">
        <v>5</v>
      </c>
    </row>
    <row r="284" spans="1:3" ht="14.25" customHeight="1">
      <c r="A284" s="2">
        <v>4</v>
      </c>
      <c r="B284" s="2">
        <v>283</v>
      </c>
      <c r="C284" s="2">
        <v>8</v>
      </c>
    </row>
    <row r="285" spans="1:3" ht="14.25" customHeight="1">
      <c r="A285" s="2">
        <v>4</v>
      </c>
      <c r="B285" s="2">
        <v>284</v>
      </c>
      <c r="C285" s="2">
        <v>7</v>
      </c>
    </row>
    <row r="286" spans="1:3" ht="14.25" customHeight="1">
      <c r="A286" s="2">
        <v>4</v>
      </c>
      <c r="B286" s="2">
        <v>285</v>
      </c>
      <c r="C286" s="2">
        <v>2</v>
      </c>
    </row>
    <row r="287" spans="1:3" ht="14.25" customHeight="1">
      <c r="A287" s="2">
        <v>4</v>
      </c>
      <c r="B287" s="2">
        <v>286</v>
      </c>
      <c r="C287" s="2">
        <v>1</v>
      </c>
    </row>
    <row r="288" spans="1:3" ht="14.25" customHeight="1">
      <c r="A288" s="2">
        <v>4</v>
      </c>
      <c r="B288" s="2">
        <v>287</v>
      </c>
      <c r="C288" s="2">
        <v>4</v>
      </c>
    </row>
    <row r="289" spans="1:4" ht="14.25" customHeight="1">
      <c r="A289" s="2">
        <v>4</v>
      </c>
      <c r="B289" s="2">
        <v>288</v>
      </c>
      <c r="C289" s="2">
        <v>1</v>
      </c>
    </row>
    <row r="290" spans="1:4" ht="14.25" customHeight="1">
      <c r="A290" s="2">
        <v>4</v>
      </c>
      <c r="B290" s="2">
        <v>289</v>
      </c>
      <c r="C290" s="2">
        <v>5</v>
      </c>
    </row>
    <row r="291" spans="1:4" ht="14.25" customHeight="1">
      <c r="A291" s="2">
        <v>4</v>
      </c>
      <c r="B291" s="2">
        <v>290</v>
      </c>
      <c r="C291" s="2">
        <v>7</v>
      </c>
    </row>
    <row r="292" spans="1:4" ht="14.25" customHeight="1">
      <c r="A292" s="2">
        <v>4</v>
      </c>
      <c r="B292" s="2">
        <v>291</v>
      </c>
      <c r="C292" s="2">
        <v>6</v>
      </c>
    </row>
    <row r="293" spans="1:4" ht="14.25" customHeight="1">
      <c r="A293" s="2">
        <v>4</v>
      </c>
      <c r="B293" s="2">
        <v>292</v>
      </c>
      <c r="C293" s="2">
        <v>3</v>
      </c>
    </row>
    <row r="294" spans="1:4" ht="14.25" customHeight="1">
      <c r="A294" s="2">
        <v>4</v>
      </c>
      <c r="B294" s="2">
        <v>293</v>
      </c>
      <c r="C294" s="2">
        <v>7</v>
      </c>
    </row>
    <row r="295" spans="1:4" ht="14.25" customHeight="1">
      <c r="A295" s="2">
        <v>4</v>
      </c>
      <c r="B295" s="2">
        <v>294</v>
      </c>
      <c r="C295" s="2">
        <v>5</v>
      </c>
    </row>
    <row r="296" spans="1:4" ht="14.25" customHeight="1">
      <c r="A296" s="2">
        <v>4</v>
      </c>
      <c r="B296" s="2">
        <v>295</v>
      </c>
      <c r="C296" s="2">
        <v>4</v>
      </c>
    </row>
    <row r="297" spans="1:4" ht="14.25" customHeight="1">
      <c r="A297" s="2">
        <v>4</v>
      </c>
      <c r="B297" s="2">
        <v>296</v>
      </c>
      <c r="C297" s="2">
        <v>8</v>
      </c>
    </row>
    <row r="298" spans="1:4" ht="14.25" customHeight="1">
      <c r="A298" s="2">
        <v>4</v>
      </c>
      <c r="B298" s="2">
        <v>297</v>
      </c>
      <c r="C298" s="2">
        <v>3</v>
      </c>
    </row>
    <row r="299" spans="1:4" ht="14.25" customHeight="1">
      <c r="A299" s="2">
        <v>4</v>
      </c>
      <c r="B299" s="2">
        <v>298</v>
      </c>
      <c r="C299" s="2">
        <v>2</v>
      </c>
    </row>
    <row r="300" spans="1:4" ht="14.25" customHeight="1">
      <c r="A300" s="2">
        <v>4</v>
      </c>
      <c r="B300" s="2">
        <v>299</v>
      </c>
      <c r="C300" s="2">
        <v>4</v>
      </c>
    </row>
    <row r="301" spans="1:4" ht="14.25" customHeight="1">
      <c r="A301" s="2">
        <v>4</v>
      </c>
      <c r="B301" s="2">
        <v>300</v>
      </c>
      <c r="C301" s="2">
        <v>6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4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5</v>
      </c>
      <c r="I1" s="2">
        <v>1</v>
      </c>
      <c r="J1" s="2">
        <v>7</v>
      </c>
      <c r="L1" s="2">
        <v>2.0009999999999999</v>
      </c>
    </row>
    <row r="2" spans="1:24" ht="14.25" customHeight="1">
      <c r="A2" s="2">
        <v>5</v>
      </c>
      <c r="B2" s="2">
        <v>1</v>
      </c>
      <c r="C2" s="2">
        <v>7</v>
      </c>
      <c r="E2" s="2">
        <v>2.0009999999999999</v>
      </c>
      <c r="H2" s="2">
        <v>5</v>
      </c>
      <c r="I2" s="2">
        <v>2</v>
      </c>
      <c r="J2" s="2">
        <v>6</v>
      </c>
      <c r="K2" s="2">
        <v>0</v>
      </c>
      <c r="L2" s="2">
        <v>1.7090000000000001</v>
      </c>
      <c r="M2" s="2">
        <v>2</v>
      </c>
    </row>
    <row r="3" spans="1:24" ht="14.25" customHeight="1">
      <c r="A3" s="2">
        <v>5</v>
      </c>
      <c r="B3" s="2">
        <v>2</v>
      </c>
      <c r="C3" s="2">
        <v>6</v>
      </c>
      <c r="D3" s="2">
        <v>0</v>
      </c>
      <c r="E3" s="2">
        <v>1.7090000000000001</v>
      </c>
      <c r="F3" s="2">
        <v>2</v>
      </c>
      <c r="H3" s="2">
        <v>5</v>
      </c>
      <c r="I3" s="2">
        <v>3</v>
      </c>
      <c r="J3" s="2">
        <v>1</v>
      </c>
      <c r="K3" s="2">
        <v>1</v>
      </c>
      <c r="L3" s="2">
        <v>1.46</v>
      </c>
      <c r="M3" s="2">
        <v>1</v>
      </c>
    </row>
    <row r="4" spans="1:24" ht="14.25" customHeight="1">
      <c r="A4" s="2">
        <v>5</v>
      </c>
      <c r="B4" s="2">
        <v>3</v>
      </c>
      <c r="C4" s="2">
        <v>1</v>
      </c>
      <c r="D4" s="2">
        <v>1</v>
      </c>
      <c r="E4" s="2">
        <v>1.46</v>
      </c>
      <c r="F4" s="2">
        <v>1</v>
      </c>
      <c r="H4" s="2">
        <v>5</v>
      </c>
      <c r="I4" s="2">
        <v>4</v>
      </c>
      <c r="J4" s="2">
        <v>5</v>
      </c>
      <c r="K4" s="2">
        <v>1</v>
      </c>
      <c r="L4" s="2">
        <v>1.3169999999999999</v>
      </c>
      <c r="M4" s="2">
        <v>1</v>
      </c>
      <c r="O4" s="2" t="s">
        <v>9</v>
      </c>
    </row>
    <row r="5" spans="1:24" ht="14.25" customHeight="1">
      <c r="A5" s="2">
        <v>5</v>
      </c>
      <c r="B5" s="2">
        <v>4</v>
      </c>
      <c r="C5" s="2">
        <v>5</v>
      </c>
      <c r="D5" s="2">
        <v>1</v>
      </c>
      <c r="E5" s="2">
        <v>1.3169999999999999</v>
      </c>
      <c r="F5" s="2">
        <v>1</v>
      </c>
      <c r="H5" s="2">
        <v>5</v>
      </c>
      <c r="I5" s="2">
        <v>5</v>
      </c>
      <c r="J5" s="2">
        <v>4</v>
      </c>
      <c r="K5" s="2">
        <v>1</v>
      </c>
      <c r="L5" s="2">
        <v>0.85399999999999998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4" ht="14.25" customHeight="1">
      <c r="A6" s="2">
        <v>5</v>
      </c>
      <c r="B6" s="2">
        <v>5</v>
      </c>
      <c r="C6" s="2">
        <v>4</v>
      </c>
      <c r="D6" s="2">
        <v>1</v>
      </c>
      <c r="E6" s="2">
        <v>0.85399999999999998</v>
      </c>
      <c r="F6" s="2">
        <v>2</v>
      </c>
      <c r="H6" s="2">
        <v>5</v>
      </c>
      <c r="I6" s="2">
        <v>6</v>
      </c>
      <c r="J6" s="2">
        <v>3</v>
      </c>
      <c r="K6" s="2">
        <v>0</v>
      </c>
      <c r="L6" s="2">
        <v>0.84</v>
      </c>
      <c r="M6" s="2">
        <v>2</v>
      </c>
      <c r="N6" s="2">
        <v>1</v>
      </c>
      <c r="O6" s="2">
        <v>0.05</v>
      </c>
      <c r="P6" s="2">
        <v>0.95</v>
      </c>
      <c r="Q6" s="2">
        <v>0.1</v>
      </c>
      <c r="R6" s="2">
        <v>0.95</v>
      </c>
      <c r="S6" s="2">
        <v>0.05</v>
      </c>
      <c r="T6" s="2">
        <v>0.05</v>
      </c>
      <c r="U6" s="2">
        <v>0.95</v>
      </c>
      <c r="V6" s="2">
        <v>0.95</v>
      </c>
    </row>
    <row r="7" spans="1:24" ht="14.25" customHeight="1">
      <c r="A7" s="2">
        <v>5</v>
      </c>
      <c r="B7" s="2">
        <v>6</v>
      </c>
      <c r="C7" s="2">
        <v>3</v>
      </c>
      <c r="D7" s="2">
        <v>0</v>
      </c>
      <c r="E7" s="2">
        <v>0.84</v>
      </c>
      <c r="F7" s="2">
        <v>2</v>
      </c>
      <c r="H7" s="2">
        <v>5</v>
      </c>
      <c r="I7" s="2">
        <v>7</v>
      </c>
      <c r="J7" s="2">
        <v>1</v>
      </c>
      <c r="K7" s="2">
        <v>1</v>
      </c>
      <c r="L7" s="2">
        <v>1.49</v>
      </c>
      <c r="M7" s="2">
        <v>1</v>
      </c>
      <c r="N7" s="2">
        <v>2</v>
      </c>
      <c r="O7" s="2">
        <v>0.05</v>
      </c>
      <c r="P7" s="2">
        <v>0.05</v>
      </c>
      <c r="Q7" s="2">
        <v>1</v>
      </c>
      <c r="R7" s="2">
        <v>0.95</v>
      </c>
      <c r="S7" s="2">
        <v>0.05</v>
      </c>
      <c r="T7" s="2">
        <v>0.05</v>
      </c>
      <c r="U7" s="2">
        <v>0.95</v>
      </c>
      <c r="V7" s="2">
        <v>0.95</v>
      </c>
    </row>
    <row r="8" spans="1:24" ht="14.25" customHeight="1">
      <c r="A8" s="2">
        <v>5</v>
      </c>
      <c r="B8" s="2">
        <v>7</v>
      </c>
      <c r="C8" s="2">
        <v>1</v>
      </c>
      <c r="D8" s="2">
        <v>1</v>
      </c>
      <c r="E8" s="2">
        <v>1.49</v>
      </c>
      <c r="F8" s="2">
        <v>1</v>
      </c>
      <c r="H8" s="2">
        <v>5</v>
      </c>
      <c r="I8" s="2">
        <v>8</v>
      </c>
      <c r="J8" s="2">
        <v>4</v>
      </c>
      <c r="K8" s="2">
        <v>0</v>
      </c>
      <c r="L8" s="2">
        <v>1.2509999999999999</v>
      </c>
      <c r="M8" s="2">
        <v>1</v>
      </c>
      <c r="N8" s="2">
        <v>3</v>
      </c>
      <c r="O8" s="2">
        <v>0.05</v>
      </c>
      <c r="P8" s="2">
        <v>0.95</v>
      </c>
      <c r="Q8" s="2">
        <v>0.1</v>
      </c>
      <c r="R8" s="2">
        <v>0.95</v>
      </c>
      <c r="S8" s="2">
        <v>0.05</v>
      </c>
      <c r="T8" s="2">
        <v>0.95</v>
      </c>
      <c r="U8" s="2">
        <v>0.05</v>
      </c>
      <c r="V8" s="2">
        <v>0.95</v>
      </c>
    </row>
    <row r="9" spans="1:24" ht="14.25" customHeight="1">
      <c r="A9" s="2">
        <v>5</v>
      </c>
      <c r="B9" s="2">
        <v>8</v>
      </c>
      <c r="C9" s="2">
        <v>4</v>
      </c>
      <c r="D9" s="2">
        <v>0</v>
      </c>
      <c r="E9" s="2">
        <v>1.2509999999999999</v>
      </c>
      <c r="F9" s="2">
        <v>1</v>
      </c>
      <c r="H9" s="2">
        <v>5</v>
      </c>
      <c r="I9" s="2">
        <v>9</v>
      </c>
      <c r="J9" s="2">
        <v>7</v>
      </c>
      <c r="K9" s="2">
        <v>1</v>
      </c>
      <c r="L9" s="2">
        <v>1.254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0.05</v>
      </c>
      <c r="T9" s="2">
        <v>0.05</v>
      </c>
      <c r="U9" s="2">
        <v>0.95</v>
      </c>
      <c r="V9" s="2">
        <v>0.95</v>
      </c>
    </row>
    <row r="10" spans="1:24" ht="14.25" customHeight="1">
      <c r="A10" s="2">
        <v>5</v>
      </c>
      <c r="B10" s="2">
        <v>9</v>
      </c>
      <c r="C10" s="2">
        <v>7</v>
      </c>
      <c r="D10" s="2">
        <v>1</v>
      </c>
      <c r="E10" s="2">
        <v>1.254</v>
      </c>
      <c r="F10" s="2">
        <v>2</v>
      </c>
      <c r="H10" s="2">
        <v>5</v>
      </c>
      <c r="I10" s="2">
        <v>10</v>
      </c>
      <c r="J10" s="2">
        <v>1</v>
      </c>
      <c r="K10" s="2">
        <v>1</v>
      </c>
      <c r="L10" s="2">
        <v>1.5920000000000001</v>
      </c>
      <c r="M10" s="2">
        <v>1</v>
      </c>
      <c r="N10" s="2">
        <v>5</v>
      </c>
      <c r="O10" s="2">
        <v>0.05</v>
      </c>
      <c r="P10" s="2">
        <v>0.95</v>
      </c>
      <c r="Q10" s="2">
        <v>0.1</v>
      </c>
      <c r="R10" s="2">
        <v>0.95</v>
      </c>
      <c r="S10" s="2">
        <v>0.5</v>
      </c>
      <c r="T10" s="2">
        <v>0.5</v>
      </c>
      <c r="U10" s="2">
        <v>0.5</v>
      </c>
      <c r="V10" s="2">
        <v>0.5</v>
      </c>
    </row>
    <row r="11" spans="1:24" ht="14.25" customHeight="1">
      <c r="A11" s="2">
        <v>5</v>
      </c>
      <c r="B11" s="2">
        <v>10</v>
      </c>
      <c r="C11" s="2">
        <v>1</v>
      </c>
      <c r="D11" s="2">
        <v>1</v>
      </c>
      <c r="E11" s="2">
        <v>1.5920000000000001</v>
      </c>
      <c r="F11" s="2">
        <v>1</v>
      </c>
      <c r="H11" s="2">
        <v>5</v>
      </c>
      <c r="I11" s="2">
        <v>11</v>
      </c>
      <c r="J11" s="2">
        <v>5</v>
      </c>
      <c r="K11" s="2">
        <v>1</v>
      </c>
      <c r="L11" s="2">
        <v>1.9139999999999999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4" ht="14.25" customHeight="1">
      <c r="A12" s="2">
        <v>5</v>
      </c>
      <c r="B12" s="2">
        <v>11</v>
      </c>
      <c r="C12" s="2">
        <v>5</v>
      </c>
      <c r="D12" s="2">
        <v>1</v>
      </c>
      <c r="E12" s="2">
        <v>1.9139999999999999</v>
      </c>
      <c r="F12" s="2">
        <v>1</v>
      </c>
      <c r="H12" s="2">
        <v>5</v>
      </c>
      <c r="I12" s="2">
        <v>12</v>
      </c>
      <c r="J12" s="2">
        <v>8</v>
      </c>
      <c r="K12" s="2">
        <v>1</v>
      </c>
      <c r="L12" s="2">
        <v>1.9059999999999999</v>
      </c>
      <c r="M12" s="2">
        <v>2</v>
      </c>
    </row>
    <row r="13" spans="1:24" ht="14.25" customHeight="1">
      <c r="A13" s="2">
        <v>5</v>
      </c>
      <c r="B13" s="2">
        <v>12</v>
      </c>
      <c r="C13" s="2">
        <v>8</v>
      </c>
      <c r="D13" s="2">
        <v>1</v>
      </c>
      <c r="E13" s="2">
        <v>1.9059999999999999</v>
      </c>
      <c r="F13" s="2">
        <v>2</v>
      </c>
      <c r="H13" s="2">
        <v>5</v>
      </c>
      <c r="I13" s="2">
        <v>13</v>
      </c>
      <c r="J13" s="2">
        <v>1</v>
      </c>
      <c r="K13" s="2">
        <v>1</v>
      </c>
      <c r="L13" s="2">
        <v>0.91300000000000003</v>
      </c>
      <c r="M13" s="2">
        <v>1</v>
      </c>
    </row>
    <row r="14" spans="1:24" ht="14.25" customHeight="1">
      <c r="A14" s="2">
        <v>5</v>
      </c>
      <c r="B14" s="2">
        <v>13</v>
      </c>
      <c r="C14" s="2">
        <v>1</v>
      </c>
      <c r="D14" s="2">
        <v>1</v>
      </c>
      <c r="E14" s="2">
        <v>0.91300000000000003</v>
      </c>
      <c r="F14" s="2">
        <v>1</v>
      </c>
      <c r="H14" s="2">
        <v>5</v>
      </c>
      <c r="I14" s="2">
        <v>14</v>
      </c>
      <c r="J14" s="2">
        <v>8</v>
      </c>
      <c r="K14" s="2">
        <v>1</v>
      </c>
      <c r="L14" s="2">
        <v>1.5209999999999999</v>
      </c>
      <c r="M14" s="2">
        <v>2</v>
      </c>
      <c r="O14" s="2" t="s">
        <v>8</v>
      </c>
      <c r="P14" s="2" t="s">
        <v>7</v>
      </c>
      <c r="Q14" s="2" t="s">
        <v>8</v>
      </c>
      <c r="R14" s="2" t="s">
        <v>7</v>
      </c>
      <c r="S14" s="2" t="s">
        <v>8</v>
      </c>
      <c r="T14" s="2" t="s">
        <v>8</v>
      </c>
      <c r="U14" s="2" t="s">
        <v>7</v>
      </c>
      <c r="V14" s="2" t="s">
        <v>7</v>
      </c>
    </row>
    <row r="15" spans="1:24" ht="14.25" customHeight="1">
      <c r="A15" s="2">
        <v>5</v>
      </c>
      <c r="B15" s="2">
        <v>14</v>
      </c>
      <c r="C15" s="2">
        <v>8</v>
      </c>
      <c r="D15" s="2">
        <v>1</v>
      </c>
      <c r="E15" s="2">
        <v>1.5209999999999999</v>
      </c>
      <c r="F15" s="2">
        <v>2</v>
      </c>
      <c r="H15" s="2">
        <v>5</v>
      </c>
      <c r="I15" s="2">
        <v>15</v>
      </c>
      <c r="J15" s="2">
        <v>6</v>
      </c>
      <c r="K15" s="2">
        <v>1</v>
      </c>
      <c r="L15" s="2">
        <v>1.1759999999999999</v>
      </c>
      <c r="M15" s="2">
        <v>1</v>
      </c>
      <c r="O15" s="2" t="s">
        <v>9</v>
      </c>
    </row>
    <row r="16" spans="1:24" ht="14.25" customHeight="1">
      <c r="A16" s="2">
        <v>5</v>
      </c>
      <c r="B16" s="2">
        <v>15</v>
      </c>
      <c r="C16" s="2">
        <v>6</v>
      </c>
      <c r="D16" s="2">
        <v>1</v>
      </c>
      <c r="E16" s="2">
        <v>1.1759999999999999</v>
      </c>
      <c r="F16" s="2">
        <v>1</v>
      </c>
      <c r="H16" s="2">
        <v>5</v>
      </c>
      <c r="I16" s="2">
        <v>16</v>
      </c>
      <c r="J16" s="2">
        <v>4</v>
      </c>
      <c r="K16" s="2">
        <v>1</v>
      </c>
      <c r="L16" s="2">
        <v>1.7729999999999999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  <c r="X16" s="2" t="s">
        <v>15</v>
      </c>
    </row>
    <row r="17" spans="1:24" ht="14.25" customHeight="1">
      <c r="A17" s="2">
        <v>5</v>
      </c>
      <c r="B17" s="2">
        <v>16</v>
      </c>
      <c r="C17" s="2">
        <v>4</v>
      </c>
      <c r="D17" s="2">
        <v>1</v>
      </c>
      <c r="E17" s="2">
        <v>1.7729999999999999</v>
      </c>
      <c r="F17" s="2">
        <v>2</v>
      </c>
      <c r="H17" s="2">
        <v>5</v>
      </c>
      <c r="I17" s="2">
        <v>17</v>
      </c>
      <c r="J17" s="2">
        <v>3</v>
      </c>
      <c r="K17" s="2">
        <v>0</v>
      </c>
      <c r="L17" s="2">
        <v>1.9870000000000001</v>
      </c>
      <c r="M17" s="2">
        <v>2</v>
      </c>
      <c r="N17" s="2">
        <v>1</v>
      </c>
      <c r="O17" s="2">
        <f t="shared" ref="O17:O22" si="0">(O6*COUNTIF($J$1:$J$101,O$16) - COUNTIFS($J$1:$J$101,O$16,$K$1:$K$101,"=0"))^2</f>
        <v>9.0000000000000024E-2</v>
      </c>
      <c r="P17" s="2">
        <f t="shared" ref="P17:P22" si="1">(P6*COUNTIF($J$1:$J$101,P$16) - COUNTIFS($J$1:$J$101,P$16,$K$1:$K$101,"=1"))^2</f>
        <v>7.2899999999999965</v>
      </c>
      <c r="Q17" s="2">
        <f t="shared" ref="Q17:Q22" si="2">(Q6*COUNTIF($J$1:$J$101,Q$16) - COUNTIFS($J$1:$J$101,Q$16,$K$1:$K$101,"=0"))^2</f>
        <v>1.9599999999999997</v>
      </c>
      <c r="R17" s="2">
        <f t="shared" ref="R17:R22" si="3">(R6*COUNTIF($J$1:$J$101,R$16) - COUNTIFS($J$1:$J$101,R$16,$K$1:$K$101,"=1"))^2</f>
        <v>0.3599999999999996</v>
      </c>
      <c r="S17" s="2">
        <f t="shared" ref="S17:T17" si="4">(S6*COUNTIF($J$1:$J$101,S$16) - COUNTIFS($J$1:$J$101,S$16,$K$1:$K$101,"=0"))^2</f>
        <v>9.0000000000000024E-2</v>
      </c>
      <c r="T17" s="2">
        <f t="shared" si="4"/>
        <v>0.48999999999999994</v>
      </c>
      <c r="U17" s="2">
        <f t="shared" ref="U17:V17" si="5">(U6*COUNTIF($J$1:$J$101,U$16) - COUNTIFS($J$1:$J$101,U$16,$K$1:$K$101,"=1"))^2</f>
        <v>7.2899999999999965</v>
      </c>
      <c r="V17" s="2">
        <f t="shared" si="5"/>
        <v>9.0000000000000427E-2</v>
      </c>
    </row>
    <row r="18" spans="1:24" ht="14.25" customHeight="1">
      <c r="A18" s="2">
        <v>5</v>
      </c>
      <c r="B18" s="2">
        <v>17</v>
      </c>
      <c r="C18" s="2">
        <v>3</v>
      </c>
      <c r="D18" s="2">
        <v>0</v>
      </c>
      <c r="E18" s="2">
        <v>1.9870000000000001</v>
      </c>
      <c r="F18" s="2">
        <v>2</v>
      </c>
      <c r="H18" s="2">
        <v>5</v>
      </c>
      <c r="I18" s="2">
        <v>18</v>
      </c>
      <c r="J18" s="2">
        <v>4</v>
      </c>
      <c r="K18" s="2">
        <v>1</v>
      </c>
      <c r="L18" s="2">
        <v>0.84799999999999998</v>
      </c>
      <c r="M18" s="2">
        <v>2</v>
      </c>
      <c r="N18" s="2">
        <v>2</v>
      </c>
      <c r="O18" s="2">
        <f t="shared" si="0"/>
        <v>9.0000000000000024E-2</v>
      </c>
      <c r="P18" s="2">
        <f t="shared" si="1"/>
        <v>7.2900000000000009</v>
      </c>
      <c r="Q18" s="2">
        <f t="shared" si="2"/>
        <v>16</v>
      </c>
      <c r="R18" s="2">
        <f t="shared" si="3"/>
        <v>0.3599999999999996</v>
      </c>
      <c r="S18" s="2">
        <f t="shared" ref="S18:T18" si="6">(S7*COUNTIF($J$1:$J$101,S$16) - COUNTIFS($J$1:$J$101,S$16,$K$1:$K$101,"=0"))^2</f>
        <v>9.0000000000000024E-2</v>
      </c>
      <c r="T18" s="2">
        <f t="shared" si="6"/>
        <v>0.48999999999999994</v>
      </c>
      <c r="U18" s="2">
        <f t="shared" ref="U18:V18" si="7">(U7*COUNTIF($J$1:$J$101,U$16) - COUNTIFS($J$1:$J$101,U$16,$K$1:$K$101,"=1"))^2</f>
        <v>7.2899999999999965</v>
      </c>
      <c r="V18" s="2">
        <f t="shared" si="7"/>
        <v>9.0000000000000427E-2</v>
      </c>
    </row>
    <row r="19" spans="1:24" ht="14.25" customHeight="1">
      <c r="A19" s="2">
        <v>5</v>
      </c>
      <c r="B19" s="2">
        <v>18</v>
      </c>
      <c r="C19" s="2">
        <v>4</v>
      </c>
      <c r="D19" s="2">
        <v>1</v>
      </c>
      <c r="E19" s="2">
        <v>0.84799999999999998</v>
      </c>
      <c r="F19" s="2">
        <v>2</v>
      </c>
      <c r="H19" s="2">
        <v>5</v>
      </c>
      <c r="I19" s="2">
        <v>19</v>
      </c>
      <c r="J19" s="2">
        <v>6</v>
      </c>
      <c r="K19" s="2">
        <v>1</v>
      </c>
      <c r="L19" s="2">
        <v>0.89900000000000002</v>
      </c>
      <c r="M19" s="2">
        <v>1</v>
      </c>
      <c r="N19" s="2">
        <v>3</v>
      </c>
      <c r="O19" s="2">
        <f t="shared" si="0"/>
        <v>9.0000000000000024E-2</v>
      </c>
      <c r="P19" s="2">
        <f t="shared" si="1"/>
        <v>7.2899999999999965</v>
      </c>
      <c r="Q19" s="2">
        <f t="shared" si="2"/>
        <v>1.9599999999999997</v>
      </c>
      <c r="R19" s="2">
        <f t="shared" si="3"/>
        <v>0.3599999999999996</v>
      </c>
      <c r="S19" s="2">
        <f t="shared" ref="S19:T19" si="8">(S8*COUNTIF($J$1:$J$101,S$16) - COUNTIFS($J$1:$J$101,S$16,$K$1:$K$101,"=0"))^2</f>
        <v>9.0000000000000024E-2</v>
      </c>
      <c r="T19" s="2">
        <f t="shared" si="8"/>
        <v>22.089999999999993</v>
      </c>
      <c r="U19" s="2">
        <f t="shared" ref="U19:V19" si="9">(U8*COUNTIF($J$1:$J$101,U$16) - COUNTIFS($J$1:$J$101,U$16,$K$1:$K$101,"=1"))^2</f>
        <v>7.2900000000000009</v>
      </c>
      <c r="V19" s="2">
        <f t="shared" si="9"/>
        <v>9.0000000000000427E-2</v>
      </c>
    </row>
    <row r="20" spans="1:24" ht="14.25" customHeight="1">
      <c r="A20" s="2">
        <v>5</v>
      </c>
      <c r="B20" s="2">
        <v>19</v>
      </c>
      <c r="C20" s="2">
        <v>6</v>
      </c>
      <c r="D20" s="2">
        <v>1</v>
      </c>
      <c r="E20" s="2">
        <v>0.89900000000000002</v>
      </c>
      <c r="F20" s="2">
        <v>1</v>
      </c>
      <c r="H20" s="2">
        <v>5</v>
      </c>
      <c r="I20" s="2">
        <v>20</v>
      </c>
      <c r="J20" s="2">
        <v>8</v>
      </c>
      <c r="K20" s="2">
        <v>1</v>
      </c>
      <c r="L20" s="2">
        <v>1.0109999999999999</v>
      </c>
      <c r="M20" s="2">
        <v>2</v>
      </c>
      <c r="N20" s="2">
        <v>4</v>
      </c>
      <c r="O20" s="2">
        <f t="shared" si="0"/>
        <v>9</v>
      </c>
      <c r="P20" s="2">
        <f t="shared" si="1"/>
        <v>0</v>
      </c>
      <c r="Q20" s="2">
        <f t="shared" si="2"/>
        <v>1</v>
      </c>
      <c r="R20" s="2">
        <f t="shared" si="3"/>
        <v>9</v>
      </c>
      <c r="S20" s="2">
        <f t="shared" ref="S20:T20" si="10">(S9*COUNTIF($J$1:$J$101,S$16) - COUNTIFS($J$1:$J$101,S$16,$K$1:$K$101,"=0"))^2</f>
        <v>9.0000000000000024E-2</v>
      </c>
      <c r="T20" s="2">
        <f t="shared" si="10"/>
        <v>0.48999999999999994</v>
      </c>
      <c r="U20" s="2">
        <f t="shared" ref="U20:V20" si="11">(U9*COUNTIF($J$1:$J$101,U$16) - COUNTIFS($J$1:$J$101,U$16,$K$1:$K$101,"=1"))^2</f>
        <v>7.2899999999999965</v>
      </c>
      <c r="V20" s="2">
        <f t="shared" si="11"/>
        <v>9.0000000000000427E-2</v>
      </c>
    </row>
    <row r="21" spans="1:24" ht="14.25" customHeight="1">
      <c r="A21" s="2">
        <v>5</v>
      </c>
      <c r="B21" s="2">
        <v>20</v>
      </c>
      <c r="C21" s="2">
        <v>8</v>
      </c>
      <c r="D21" s="2">
        <v>1</v>
      </c>
      <c r="E21" s="2">
        <v>1.0109999999999999</v>
      </c>
      <c r="F21" s="2">
        <v>2</v>
      </c>
      <c r="H21" s="2">
        <v>5</v>
      </c>
      <c r="I21" s="2">
        <v>21</v>
      </c>
      <c r="J21" s="2">
        <v>2</v>
      </c>
      <c r="K21" s="2">
        <v>0</v>
      </c>
      <c r="L21" s="2">
        <v>0.76700000000000002</v>
      </c>
      <c r="M21" s="2">
        <v>1</v>
      </c>
      <c r="N21" s="2">
        <v>5</v>
      </c>
      <c r="O21" s="2">
        <f t="shared" si="0"/>
        <v>9.0000000000000024E-2</v>
      </c>
      <c r="P21" s="2">
        <f t="shared" si="1"/>
        <v>7.2899999999999965</v>
      </c>
      <c r="Q21" s="2">
        <f t="shared" si="2"/>
        <v>1.9599999999999997</v>
      </c>
      <c r="R21" s="2">
        <f t="shared" si="3"/>
        <v>0.3599999999999996</v>
      </c>
      <c r="S21" s="2">
        <f t="shared" ref="S21:T21" si="12">(S10*COUNTIF($J$1:$J$101,S$16) - COUNTIFS($J$1:$J$101,S$16,$K$1:$K$101,"=0"))^2</f>
        <v>9</v>
      </c>
      <c r="T21" s="2">
        <f t="shared" si="12"/>
        <v>4</v>
      </c>
      <c r="U21" s="2">
        <f t="shared" ref="U21:V21" si="13">(U10*COUNTIF($J$1:$J$101,U$16) - COUNTIFS($J$1:$J$101,U$16,$K$1:$K$101,"=1"))^2</f>
        <v>0</v>
      </c>
      <c r="V21" s="2">
        <f t="shared" si="13"/>
        <v>9</v>
      </c>
    </row>
    <row r="22" spans="1:24" ht="14.25" customHeight="1">
      <c r="A22" s="2">
        <v>5</v>
      </c>
      <c r="B22" s="2">
        <v>21</v>
      </c>
      <c r="C22" s="2">
        <v>2</v>
      </c>
      <c r="D22" s="2">
        <v>0</v>
      </c>
      <c r="E22" s="2">
        <v>0.76700000000000002</v>
      </c>
      <c r="F22" s="2">
        <v>1</v>
      </c>
      <c r="H22" s="2">
        <v>5</v>
      </c>
      <c r="I22" s="2">
        <v>22</v>
      </c>
      <c r="J22" s="2">
        <v>4</v>
      </c>
      <c r="K22" s="2">
        <v>1</v>
      </c>
      <c r="L22" s="2">
        <v>0.92500000000000004</v>
      </c>
      <c r="M22" s="2">
        <v>2</v>
      </c>
      <c r="N22" s="2">
        <v>6</v>
      </c>
      <c r="O22" s="2">
        <f t="shared" si="0"/>
        <v>9</v>
      </c>
      <c r="P22" s="2">
        <f t="shared" si="1"/>
        <v>0</v>
      </c>
      <c r="Q22" s="2">
        <f t="shared" si="2"/>
        <v>1</v>
      </c>
      <c r="R22" s="2">
        <f t="shared" si="3"/>
        <v>9</v>
      </c>
      <c r="S22" s="2">
        <f t="shared" ref="S22:T22" si="14">(S11*COUNTIF($J$1:$J$101,S$16) - COUNTIFS($J$1:$J$101,S$16,$K$1:$K$101,"=0"))^2</f>
        <v>9</v>
      </c>
      <c r="T22" s="2">
        <f t="shared" si="14"/>
        <v>4</v>
      </c>
      <c r="U22" s="2">
        <f t="shared" ref="U22:V22" si="15">(U11*COUNTIF($J$1:$J$101,U$16) - COUNTIFS($J$1:$J$101,U$16,$K$1:$K$101,"=1"))^2</f>
        <v>0</v>
      </c>
      <c r="V22" s="2">
        <f t="shared" si="15"/>
        <v>9</v>
      </c>
    </row>
    <row r="23" spans="1:24" ht="14.25" customHeight="1">
      <c r="A23" s="2">
        <v>5</v>
      </c>
      <c r="B23" s="2">
        <v>22</v>
      </c>
      <c r="C23" s="2">
        <v>4</v>
      </c>
      <c r="D23" s="2">
        <v>1</v>
      </c>
      <c r="E23" s="2">
        <v>0.92500000000000004</v>
      </c>
      <c r="F23" s="2">
        <v>2</v>
      </c>
      <c r="H23" s="2">
        <v>5</v>
      </c>
      <c r="I23" s="2">
        <v>23</v>
      </c>
      <c r="J23" s="2">
        <v>2</v>
      </c>
      <c r="K23" s="2">
        <v>0</v>
      </c>
      <c r="L23" s="2">
        <v>0.748</v>
      </c>
      <c r="M23" s="2">
        <v>1</v>
      </c>
    </row>
    <row r="24" spans="1:24" ht="14.25" customHeight="1">
      <c r="A24" s="2">
        <v>5</v>
      </c>
      <c r="B24" s="2">
        <v>23</v>
      </c>
      <c r="C24" s="2">
        <v>2</v>
      </c>
      <c r="D24" s="2">
        <v>0</v>
      </c>
      <c r="E24" s="2">
        <v>0.748</v>
      </c>
      <c r="F24" s="2">
        <v>1</v>
      </c>
      <c r="H24" s="2">
        <v>5</v>
      </c>
      <c r="I24" s="2">
        <v>24</v>
      </c>
      <c r="J24" s="2">
        <v>5</v>
      </c>
      <c r="K24" s="2">
        <v>1</v>
      </c>
      <c r="L24" s="2">
        <v>1.331</v>
      </c>
      <c r="M24" s="2">
        <v>1</v>
      </c>
    </row>
    <row r="25" spans="1:24" ht="14.25" customHeight="1">
      <c r="A25" s="2">
        <v>5</v>
      </c>
      <c r="B25" s="2">
        <v>24</v>
      </c>
      <c r="C25" s="2">
        <v>5</v>
      </c>
      <c r="D25" s="2">
        <v>1</v>
      </c>
      <c r="E25" s="2">
        <v>1.331</v>
      </c>
      <c r="F25" s="2">
        <v>1</v>
      </c>
      <c r="H25" s="2">
        <v>5</v>
      </c>
      <c r="I25" s="2">
        <v>25</v>
      </c>
      <c r="J25" s="2">
        <v>3</v>
      </c>
      <c r="K25" s="2">
        <v>1</v>
      </c>
      <c r="L25" s="2">
        <v>1.091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  <c r="X25" s="2" t="s">
        <v>16</v>
      </c>
    </row>
    <row r="26" spans="1:24" ht="14.25" customHeight="1">
      <c r="A26" s="2">
        <v>5</v>
      </c>
      <c r="B26" s="2">
        <v>25</v>
      </c>
      <c r="C26" s="2">
        <v>3</v>
      </c>
      <c r="D26" s="2">
        <v>1</v>
      </c>
      <c r="E26" s="2">
        <v>1.091</v>
      </c>
      <c r="F26" s="2">
        <v>1</v>
      </c>
      <c r="H26" s="2">
        <v>5</v>
      </c>
      <c r="I26" s="2">
        <v>26</v>
      </c>
      <c r="J26" s="2">
        <v>8</v>
      </c>
      <c r="K26" s="2">
        <v>1</v>
      </c>
      <c r="L26" s="2">
        <v>1.915</v>
      </c>
      <c r="M26" s="2">
        <v>2</v>
      </c>
      <c r="O26" s="2">
        <f t="shared" ref="O26:V26" si="16">COUNTIF($J$1:$J$102,O16)*COUNTIF($J$1:$J$102,O16)</f>
        <v>36</v>
      </c>
      <c r="P26" s="2">
        <f t="shared" si="16"/>
        <v>36</v>
      </c>
      <c r="Q26" s="2">
        <f t="shared" si="16"/>
        <v>36</v>
      </c>
      <c r="R26" s="2">
        <f t="shared" si="16"/>
        <v>64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4" ht="14.25" customHeight="1">
      <c r="A27" s="2">
        <v>5</v>
      </c>
      <c r="B27" s="2">
        <v>26</v>
      </c>
      <c r="C27" s="2">
        <v>8</v>
      </c>
      <c r="D27" s="2">
        <v>1</v>
      </c>
      <c r="E27" s="2">
        <v>1.915</v>
      </c>
      <c r="F27" s="2">
        <v>2</v>
      </c>
      <c r="H27" s="2">
        <v>5</v>
      </c>
      <c r="I27" s="2">
        <v>27</v>
      </c>
      <c r="J27" s="2">
        <v>6</v>
      </c>
      <c r="K27" s="2">
        <v>1</v>
      </c>
      <c r="L27" s="2">
        <v>1.0509999999999999</v>
      </c>
      <c r="M27" s="2">
        <v>1</v>
      </c>
    </row>
    <row r="28" spans="1:24" ht="14.25" customHeight="1">
      <c r="A28" s="2">
        <v>5</v>
      </c>
      <c r="B28" s="2">
        <v>27</v>
      </c>
      <c r="C28" s="2">
        <v>6</v>
      </c>
      <c r="D28" s="2">
        <v>1</v>
      </c>
      <c r="E28" s="2">
        <v>1.0509999999999999</v>
      </c>
      <c r="F28" s="2">
        <v>1</v>
      </c>
      <c r="H28" s="2">
        <v>5</v>
      </c>
      <c r="I28" s="2">
        <v>28</v>
      </c>
      <c r="J28" s="2">
        <v>8</v>
      </c>
      <c r="K28" s="2">
        <v>1</v>
      </c>
      <c r="L28" s="2">
        <v>1.1339999999999999</v>
      </c>
      <c r="M28" s="2">
        <v>2</v>
      </c>
    </row>
    <row r="29" spans="1:24" ht="14.25" customHeight="1">
      <c r="A29" s="2">
        <v>5</v>
      </c>
      <c r="B29" s="2">
        <v>28</v>
      </c>
      <c r="C29" s="2">
        <v>8</v>
      </c>
      <c r="D29" s="2">
        <v>1</v>
      </c>
      <c r="E29" s="2">
        <v>1.1339999999999999</v>
      </c>
      <c r="F29" s="2">
        <v>2</v>
      </c>
      <c r="H29" s="2">
        <v>5</v>
      </c>
      <c r="I29" s="2">
        <v>29</v>
      </c>
      <c r="J29" s="2">
        <v>3</v>
      </c>
      <c r="K29" s="2">
        <v>1</v>
      </c>
      <c r="L29" s="2">
        <v>1.7</v>
      </c>
      <c r="M29" s="2">
        <v>1</v>
      </c>
    </row>
    <row r="30" spans="1:24" ht="14.25" customHeight="1">
      <c r="A30" s="2">
        <v>5</v>
      </c>
      <c r="B30" s="2">
        <v>29</v>
      </c>
      <c r="C30" s="2">
        <v>3</v>
      </c>
      <c r="D30" s="2">
        <v>1</v>
      </c>
      <c r="E30" s="2">
        <v>1.7</v>
      </c>
      <c r="F30" s="2">
        <v>1</v>
      </c>
      <c r="H30" s="2">
        <v>5</v>
      </c>
      <c r="I30" s="2">
        <v>30</v>
      </c>
      <c r="J30" s="2">
        <v>7</v>
      </c>
      <c r="L30" s="2">
        <v>2.0009999999999999</v>
      </c>
    </row>
    <row r="31" spans="1:24" ht="14.25" customHeight="1">
      <c r="A31" s="2">
        <v>5</v>
      </c>
      <c r="B31" s="2">
        <v>30</v>
      </c>
      <c r="C31" s="2">
        <v>7</v>
      </c>
      <c r="E31" s="2">
        <v>2.0009999999999999</v>
      </c>
      <c r="H31" s="2">
        <v>5</v>
      </c>
      <c r="I31" s="2">
        <v>31</v>
      </c>
      <c r="J31" s="2">
        <v>6</v>
      </c>
      <c r="K31" s="2">
        <v>1</v>
      </c>
      <c r="L31" s="2">
        <v>0.81799999999999995</v>
      </c>
      <c r="M31" s="2">
        <v>1</v>
      </c>
      <c r="N31" s="2">
        <v>1</v>
      </c>
      <c r="O31" s="2">
        <f t="shared" ref="O31:O36" si="17">SUM(O17:V17)/SUM(O$26:V$26)</f>
        <v>5.5886075949367064E-2</v>
      </c>
    </row>
    <row r="32" spans="1:24" ht="14.25" customHeight="1">
      <c r="A32" s="2">
        <v>5</v>
      </c>
      <c r="B32" s="2">
        <v>31</v>
      </c>
      <c r="C32" s="2">
        <v>6</v>
      </c>
      <c r="D32" s="2">
        <v>1</v>
      </c>
      <c r="E32" s="2">
        <v>0.81799999999999995</v>
      </c>
      <c r="F32" s="2">
        <v>1</v>
      </c>
      <c r="H32" s="2">
        <v>5</v>
      </c>
      <c r="I32" s="2">
        <v>32</v>
      </c>
      <c r="J32" s="2">
        <v>4</v>
      </c>
      <c r="K32" s="2">
        <v>1</v>
      </c>
      <c r="L32" s="2">
        <v>0.86199999999999999</v>
      </c>
      <c r="M32" s="2">
        <v>2</v>
      </c>
      <c r="N32" s="2">
        <v>2</v>
      </c>
      <c r="O32" s="2">
        <f t="shared" si="17"/>
        <v>0.10031645569620253</v>
      </c>
    </row>
    <row r="33" spans="1:15" ht="14.25" customHeight="1">
      <c r="A33" s="2">
        <v>5</v>
      </c>
      <c r="B33" s="2">
        <v>32</v>
      </c>
      <c r="C33" s="2">
        <v>4</v>
      </c>
      <c r="D33" s="2">
        <v>1</v>
      </c>
      <c r="E33" s="2">
        <v>0.86199999999999999</v>
      </c>
      <c r="F33" s="2">
        <v>2</v>
      </c>
      <c r="H33" s="2">
        <v>5</v>
      </c>
      <c r="I33" s="2">
        <v>33</v>
      </c>
      <c r="J33" s="2">
        <v>5</v>
      </c>
      <c r="K33" s="2">
        <v>1</v>
      </c>
      <c r="L33" s="2">
        <v>1.1759999999999999</v>
      </c>
      <c r="M33" s="2">
        <v>1</v>
      </c>
      <c r="N33" s="2">
        <v>3</v>
      </c>
      <c r="O33" s="2">
        <f t="shared" si="17"/>
        <v>0.12424050632911389</v>
      </c>
    </row>
    <row r="34" spans="1:15" ht="14.25" customHeight="1">
      <c r="A34" s="2">
        <v>5</v>
      </c>
      <c r="B34" s="2">
        <v>33</v>
      </c>
      <c r="C34" s="2">
        <v>5</v>
      </c>
      <c r="D34" s="2">
        <v>1</v>
      </c>
      <c r="E34" s="2">
        <v>1.1759999999999999</v>
      </c>
      <c r="F34" s="2">
        <v>1</v>
      </c>
      <c r="H34" s="2">
        <v>5</v>
      </c>
      <c r="I34" s="2">
        <v>34</v>
      </c>
      <c r="J34" s="2">
        <v>8</v>
      </c>
      <c r="K34" s="2">
        <v>1</v>
      </c>
      <c r="L34" s="2">
        <v>1.2529999999999999</v>
      </c>
      <c r="M34" s="2">
        <v>2</v>
      </c>
      <c r="N34" s="2">
        <v>4</v>
      </c>
      <c r="O34" s="2">
        <f t="shared" si="17"/>
        <v>8.5316455696202512E-2</v>
      </c>
    </row>
    <row r="35" spans="1:15" ht="14.25" customHeight="1">
      <c r="A35" s="2">
        <v>5</v>
      </c>
      <c r="B35" s="2">
        <v>34</v>
      </c>
      <c r="C35" s="2">
        <v>8</v>
      </c>
      <c r="D35" s="2">
        <v>1</v>
      </c>
      <c r="E35" s="2">
        <v>1.2529999999999999</v>
      </c>
      <c r="F35" s="2">
        <v>2</v>
      </c>
      <c r="H35" s="2">
        <v>5</v>
      </c>
      <c r="I35" s="2">
        <v>35</v>
      </c>
      <c r="J35" s="2">
        <v>5</v>
      </c>
      <c r="K35" s="2">
        <v>1</v>
      </c>
      <c r="L35" s="2">
        <v>0.91900000000000004</v>
      </c>
      <c r="M35" s="2">
        <v>1</v>
      </c>
      <c r="N35" s="2">
        <v>5</v>
      </c>
      <c r="O35" s="2">
        <f t="shared" si="17"/>
        <v>0.10031645569620253</v>
      </c>
    </row>
    <row r="36" spans="1:15" ht="14.25" customHeight="1">
      <c r="A36" s="2">
        <v>5</v>
      </c>
      <c r="B36" s="2">
        <v>35</v>
      </c>
      <c r="C36" s="2">
        <v>5</v>
      </c>
      <c r="D36" s="2">
        <v>1</v>
      </c>
      <c r="E36" s="2">
        <v>0.91900000000000004</v>
      </c>
      <c r="F36" s="2">
        <v>1</v>
      </c>
      <c r="H36" s="2">
        <v>5</v>
      </c>
      <c r="I36" s="2">
        <v>36</v>
      </c>
      <c r="J36" s="2">
        <v>2</v>
      </c>
      <c r="K36" s="2">
        <v>0</v>
      </c>
      <c r="L36" s="2">
        <v>0.75</v>
      </c>
      <c r="M36" s="2">
        <v>1</v>
      </c>
      <c r="N36" s="2">
        <v>6</v>
      </c>
      <c r="O36" s="2">
        <f t="shared" si="17"/>
        <v>0.12974683544303797</v>
      </c>
    </row>
    <row r="37" spans="1:15" ht="14.25" customHeight="1">
      <c r="A37" s="2">
        <v>5</v>
      </c>
      <c r="B37" s="2">
        <v>36</v>
      </c>
      <c r="C37" s="2">
        <v>2</v>
      </c>
      <c r="D37" s="2">
        <v>0</v>
      </c>
      <c r="E37" s="2">
        <v>0.75</v>
      </c>
      <c r="F37" s="2">
        <v>1</v>
      </c>
      <c r="H37" s="2">
        <v>5</v>
      </c>
      <c r="I37" s="2">
        <v>37</v>
      </c>
      <c r="J37" s="2">
        <v>6</v>
      </c>
      <c r="K37" s="2">
        <v>1</v>
      </c>
      <c r="L37" s="2">
        <v>1.2210000000000001</v>
      </c>
      <c r="M37" s="2">
        <v>1</v>
      </c>
    </row>
    <row r="38" spans="1:15" ht="14.25" customHeight="1">
      <c r="A38" s="2">
        <v>5</v>
      </c>
      <c r="B38" s="2">
        <v>37</v>
      </c>
      <c r="C38" s="2">
        <v>6</v>
      </c>
      <c r="D38" s="2">
        <v>1</v>
      </c>
      <c r="E38" s="2">
        <v>1.2210000000000001</v>
      </c>
      <c r="F38" s="2">
        <v>1</v>
      </c>
      <c r="H38" s="2">
        <v>5</v>
      </c>
      <c r="I38" s="2">
        <v>38</v>
      </c>
      <c r="J38" s="2">
        <v>3</v>
      </c>
      <c r="K38" s="2">
        <v>1</v>
      </c>
      <c r="L38" s="2">
        <v>1</v>
      </c>
      <c r="M38" s="2">
        <v>1</v>
      </c>
    </row>
    <row r="39" spans="1:15" ht="14.25" customHeight="1">
      <c r="A39" s="2">
        <v>5</v>
      </c>
      <c r="B39" s="2">
        <v>38</v>
      </c>
      <c r="C39" s="2">
        <v>3</v>
      </c>
      <c r="D39" s="2">
        <v>1</v>
      </c>
      <c r="E39" s="2">
        <v>1</v>
      </c>
      <c r="F39" s="2">
        <v>1</v>
      </c>
      <c r="H39" s="2">
        <v>5</v>
      </c>
      <c r="I39" s="2">
        <v>39</v>
      </c>
      <c r="J39" s="2">
        <v>7</v>
      </c>
      <c r="K39" s="2">
        <v>0</v>
      </c>
      <c r="L39" s="2">
        <v>1.669</v>
      </c>
      <c r="M39" s="2">
        <v>1</v>
      </c>
    </row>
    <row r="40" spans="1:15" ht="14.25" customHeight="1">
      <c r="A40" s="2">
        <v>5</v>
      </c>
      <c r="B40" s="2">
        <v>39</v>
      </c>
      <c r="C40" s="2">
        <v>7</v>
      </c>
      <c r="D40" s="2">
        <v>0</v>
      </c>
      <c r="E40" s="2">
        <v>1.669</v>
      </c>
      <c r="F40" s="2">
        <v>1</v>
      </c>
      <c r="H40" s="2">
        <v>5</v>
      </c>
      <c r="I40" s="2">
        <v>40</v>
      </c>
      <c r="J40" s="2">
        <v>5</v>
      </c>
      <c r="K40" s="2">
        <v>1</v>
      </c>
      <c r="L40" s="2">
        <v>1.294</v>
      </c>
      <c r="M40" s="2">
        <v>1</v>
      </c>
    </row>
    <row r="41" spans="1:15" ht="14.25" customHeight="1">
      <c r="A41" s="2">
        <v>5</v>
      </c>
      <c r="B41" s="2">
        <v>40</v>
      </c>
      <c r="C41" s="2">
        <v>5</v>
      </c>
      <c r="D41" s="2">
        <v>1</v>
      </c>
      <c r="E41" s="2">
        <v>1.294</v>
      </c>
      <c r="F41" s="2">
        <v>1</v>
      </c>
      <c r="H41" s="2">
        <v>5</v>
      </c>
      <c r="I41" s="2">
        <v>41</v>
      </c>
      <c r="J41" s="2">
        <v>2</v>
      </c>
      <c r="K41" s="2">
        <v>1</v>
      </c>
      <c r="L41" s="2">
        <v>1.6870000000000001</v>
      </c>
      <c r="M41" s="2">
        <v>2</v>
      </c>
    </row>
    <row r="42" spans="1:15" ht="14.25" customHeight="1">
      <c r="A42" s="2">
        <v>5</v>
      </c>
      <c r="B42" s="2">
        <v>41</v>
      </c>
      <c r="C42" s="2">
        <v>2</v>
      </c>
      <c r="D42" s="2">
        <v>1</v>
      </c>
      <c r="E42" s="2">
        <v>1.6870000000000001</v>
      </c>
      <c r="F42" s="2">
        <v>2</v>
      </c>
      <c r="H42" s="2">
        <v>5</v>
      </c>
      <c r="I42" s="2">
        <v>42</v>
      </c>
      <c r="J42" s="2">
        <v>3</v>
      </c>
      <c r="K42" s="2">
        <v>1</v>
      </c>
      <c r="L42" s="2">
        <v>1.512</v>
      </c>
      <c r="M42" s="2">
        <v>1</v>
      </c>
    </row>
    <row r="43" spans="1:15" ht="14.25" customHeight="1">
      <c r="A43" s="2">
        <v>5</v>
      </c>
      <c r="B43" s="2">
        <v>42</v>
      </c>
      <c r="C43" s="2">
        <v>3</v>
      </c>
      <c r="D43" s="2">
        <v>1</v>
      </c>
      <c r="E43" s="2">
        <v>1.512</v>
      </c>
      <c r="F43" s="2">
        <v>1</v>
      </c>
      <c r="H43" s="2">
        <v>5</v>
      </c>
      <c r="I43" s="2">
        <v>43</v>
      </c>
      <c r="J43" s="2">
        <v>4</v>
      </c>
      <c r="K43" s="2">
        <v>1</v>
      </c>
      <c r="L43" s="2">
        <v>1.696</v>
      </c>
      <c r="M43" s="2">
        <v>2</v>
      </c>
    </row>
    <row r="44" spans="1:15" ht="14.25" customHeight="1">
      <c r="A44" s="2">
        <v>5</v>
      </c>
      <c r="B44" s="2">
        <v>43</v>
      </c>
      <c r="C44" s="2">
        <v>4</v>
      </c>
      <c r="D44" s="2">
        <v>1</v>
      </c>
      <c r="E44" s="2">
        <v>1.696</v>
      </c>
      <c r="F44" s="2">
        <v>2</v>
      </c>
      <c r="H44" s="2">
        <v>5</v>
      </c>
      <c r="I44" s="2">
        <v>44</v>
      </c>
      <c r="J44" s="2">
        <v>2</v>
      </c>
      <c r="K44" s="2">
        <v>1</v>
      </c>
      <c r="L44" s="2">
        <v>1.3680000000000001</v>
      </c>
      <c r="M44" s="2">
        <v>2</v>
      </c>
    </row>
    <row r="45" spans="1:15" ht="14.25" customHeight="1">
      <c r="A45" s="2">
        <v>5</v>
      </c>
      <c r="B45" s="2">
        <v>44</v>
      </c>
      <c r="C45" s="2">
        <v>2</v>
      </c>
      <c r="D45" s="2">
        <v>1</v>
      </c>
      <c r="E45" s="2">
        <v>1.3680000000000001</v>
      </c>
      <c r="F45" s="2">
        <v>2</v>
      </c>
      <c r="H45" s="2">
        <v>5</v>
      </c>
      <c r="I45" s="2">
        <v>45</v>
      </c>
      <c r="J45" s="2">
        <v>4</v>
      </c>
      <c r="K45" s="2">
        <v>1</v>
      </c>
      <c r="L45" s="2">
        <v>1.3109999999999999</v>
      </c>
      <c r="M45" s="2">
        <v>2</v>
      </c>
    </row>
    <row r="46" spans="1:15" ht="14.25" customHeight="1">
      <c r="A46" s="2">
        <v>5</v>
      </c>
      <c r="B46" s="2">
        <v>45</v>
      </c>
      <c r="C46" s="2">
        <v>4</v>
      </c>
      <c r="D46" s="2">
        <v>1</v>
      </c>
      <c r="E46" s="2">
        <v>1.3109999999999999</v>
      </c>
      <c r="F46" s="2">
        <v>2</v>
      </c>
      <c r="H46" s="2">
        <v>5</v>
      </c>
      <c r="I46" s="2">
        <v>46</v>
      </c>
      <c r="J46" s="2">
        <v>2</v>
      </c>
      <c r="K46" s="2">
        <v>1</v>
      </c>
      <c r="L46" s="2">
        <v>1.1419999999999999</v>
      </c>
      <c r="M46" s="2">
        <v>2</v>
      </c>
    </row>
    <row r="47" spans="1:15" ht="14.25" customHeight="1">
      <c r="A47" s="2">
        <v>5</v>
      </c>
      <c r="B47" s="2">
        <v>46</v>
      </c>
      <c r="C47" s="2">
        <v>2</v>
      </c>
      <c r="D47" s="2">
        <v>1</v>
      </c>
      <c r="E47" s="2">
        <v>1.1419999999999999</v>
      </c>
      <c r="F47" s="2">
        <v>2</v>
      </c>
      <c r="H47" s="2">
        <v>5</v>
      </c>
      <c r="I47" s="2">
        <v>47</v>
      </c>
      <c r="J47" s="2">
        <v>1</v>
      </c>
      <c r="K47" s="2">
        <v>1</v>
      </c>
      <c r="L47" s="2">
        <v>1.4530000000000001</v>
      </c>
      <c r="M47" s="2">
        <v>1</v>
      </c>
    </row>
    <row r="48" spans="1:15" ht="14.25" customHeight="1">
      <c r="A48" s="2">
        <v>5</v>
      </c>
      <c r="B48" s="2">
        <v>47</v>
      </c>
      <c r="C48" s="2">
        <v>1</v>
      </c>
      <c r="D48" s="2">
        <v>1</v>
      </c>
      <c r="E48" s="2">
        <v>1.4530000000000001</v>
      </c>
      <c r="F48" s="2">
        <v>1</v>
      </c>
      <c r="H48" s="2">
        <v>5</v>
      </c>
      <c r="I48" s="2">
        <v>48</v>
      </c>
      <c r="J48" s="2">
        <v>7</v>
      </c>
      <c r="K48" s="2">
        <v>1</v>
      </c>
      <c r="L48" s="2">
        <v>1.639</v>
      </c>
      <c r="M48" s="2">
        <v>2</v>
      </c>
    </row>
    <row r="49" spans="1:13" ht="14.25" customHeight="1">
      <c r="A49" s="2">
        <v>5</v>
      </c>
      <c r="B49" s="2">
        <v>48</v>
      </c>
      <c r="C49" s="2">
        <v>7</v>
      </c>
      <c r="D49" s="2">
        <v>1</v>
      </c>
      <c r="E49" s="2">
        <v>1.639</v>
      </c>
      <c r="F49" s="2">
        <v>2</v>
      </c>
      <c r="H49" s="2">
        <v>5</v>
      </c>
      <c r="I49" s="2">
        <v>49</v>
      </c>
      <c r="J49" s="2">
        <v>1</v>
      </c>
      <c r="K49" s="2">
        <v>1</v>
      </c>
      <c r="L49" s="2">
        <v>1.242</v>
      </c>
      <c r="M49" s="2">
        <v>1</v>
      </c>
    </row>
    <row r="50" spans="1:13" ht="14.25" customHeight="1">
      <c r="A50" s="2">
        <v>5</v>
      </c>
      <c r="B50" s="2">
        <v>49</v>
      </c>
      <c r="C50" s="2">
        <v>1</v>
      </c>
      <c r="D50" s="2">
        <v>1</v>
      </c>
      <c r="E50" s="2">
        <v>1.242</v>
      </c>
      <c r="F50" s="2">
        <v>1</v>
      </c>
      <c r="H50" s="2">
        <v>5</v>
      </c>
      <c r="I50" s="2">
        <v>50</v>
      </c>
      <c r="J50" s="2">
        <v>7</v>
      </c>
      <c r="K50" s="2">
        <v>1</v>
      </c>
      <c r="L50" s="2">
        <v>1.972</v>
      </c>
      <c r="M50" s="2">
        <v>2</v>
      </c>
    </row>
    <row r="51" spans="1:13" ht="14.25" customHeight="1">
      <c r="A51" s="2">
        <v>5</v>
      </c>
      <c r="B51" s="2">
        <v>50</v>
      </c>
      <c r="C51" s="2">
        <v>7</v>
      </c>
      <c r="D51" s="2">
        <v>1</v>
      </c>
      <c r="E51" s="2">
        <v>1.972</v>
      </c>
      <c r="F51" s="2">
        <v>2</v>
      </c>
    </row>
    <row r="52" spans="1:13" ht="14.25" customHeight="1">
      <c r="A52" s="2">
        <v>5</v>
      </c>
      <c r="B52" s="2">
        <v>51</v>
      </c>
      <c r="C52" s="2">
        <v>2</v>
      </c>
      <c r="D52" s="2">
        <v>1</v>
      </c>
      <c r="E52" s="2">
        <v>1.071</v>
      </c>
      <c r="F52" s="2">
        <v>2</v>
      </c>
    </row>
    <row r="53" spans="1:13" ht="14.25" customHeight="1">
      <c r="A53" s="2">
        <v>5</v>
      </c>
      <c r="B53" s="2">
        <v>52</v>
      </c>
      <c r="C53" s="2">
        <v>6</v>
      </c>
      <c r="E53" s="2">
        <v>2.0009999999999999</v>
      </c>
    </row>
    <row r="54" spans="1:13" ht="14.25" customHeight="1">
      <c r="A54" s="2">
        <v>5</v>
      </c>
      <c r="B54" s="2">
        <v>53</v>
      </c>
      <c r="C54" s="2">
        <v>5</v>
      </c>
      <c r="D54" s="2">
        <v>1</v>
      </c>
      <c r="E54" s="2">
        <v>1.3320000000000001</v>
      </c>
      <c r="F54" s="2">
        <v>1</v>
      </c>
    </row>
    <row r="55" spans="1:13" ht="14.25" customHeight="1">
      <c r="A55" s="2">
        <v>5</v>
      </c>
      <c r="B55" s="2">
        <v>54</v>
      </c>
      <c r="C55" s="2">
        <v>6</v>
      </c>
      <c r="D55" s="2">
        <v>1</v>
      </c>
      <c r="E55" s="2">
        <v>1.764</v>
      </c>
      <c r="F55" s="2">
        <v>1</v>
      </c>
    </row>
    <row r="56" spans="1:13" ht="14.25" customHeight="1">
      <c r="A56" s="2">
        <v>5</v>
      </c>
      <c r="B56" s="2">
        <v>55</v>
      </c>
      <c r="C56" s="2">
        <v>8</v>
      </c>
      <c r="D56" s="2">
        <v>1</v>
      </c>
      <c r="E56" s="2">
        <v>1.802</v>
      </c>
      <c r="F56" s="2">
        <v>2</v>
      </c>
    </row>
    <row r="57" spans="1:13" ht="14.25" customHeight="1">
      <c r="A57" s="2">
        <v>5</v>
      </c>
      <c r="B57" s="2">
        <v>56</v>
      </c>
      <c r="C57" s="2">
        <v>1</v>
      </c>
      <c r="D57" s="2">
        <v>1</v>
      </c>
      <c r="E57" s="2">
        <v>1.5509999999999999</v>
      </c>
      <c r="F57" s="2">
        <v>1</v>
      </c>
    </row>
    <row r="58" spans="1:13" ht="14.25" customHeight="1">
      <c r="A58" s="2">
        <v>5</v>
      </c>
      <c r="B58" s="2">
        <v>57</v>
      </c>
      <c r="C58" s="2">
        <v>7</v>
      </c>
      <c r="E58" s="2">
        <v>2.0009999999999999</v>
      </c>
    </row>
    <row r="59" spans="1:13" ht="14.25" customHeight="1">
      <c r="A59" s="2">
        <v>5</v>
      </c>
      <c r="B59" s="2">
        <v>58</v>
      </c>
      <c r="C59" s="2">
        <v>4</v>
      </c>
      <c r="D59" s="2">
        <v>1</v>
      </c>
      <c r="E59" s="2">
        <v>0.88200000000000001</v>
      </c>
      <c r="F59" s="2">
        <v>2</v>
      </c>
    </row>
    <row r="60" spans="1:13" ht="14.25" customHeight="1">
      <c r="A60" s="2">
        <v>5</v>
      </c>
      <c r="B60" s="2">
        <v>59</v>
      </c>
      <c r="C60" s="2">
        <v>5</v>
      </c>
      <c r="D60" s="2">
        <v>1</v>
      </c>
      <c r="E60" s="2">
        <v>1.7</v>
      </c>
      <c r="F60" s="2">
        <v>2</v>
      </c>
    </row>
    <row r="61" spans="1:13" ht="14.25" customHeight="1">
      <c r="A61" s="2">
        <v>5</v>
      </c>
      <c r="B61" s="2">
        <v>60</v>
      </c>
      <c r="C61" s="2">
        <v>2</v>
      </c>
      <c r="D61" s="2">
        <v>1</v>
      </c>
      <c r="E61" s="2">
        <v>1.1160000000000001</v>
      </c>
      <c r="F61" s="2">
        <v>1</v>
      </c>
    </row>
    <row r="62" spans="1:13" ht="14.25" customHeight="1">
      <c r="A62" s="2">
        <v>5</v>
      </c>
      <c r="B62" s="2">
        <v>61</v>
      </c>
      <c r="C62" s="2">
        <v>7</v>
      </c>
      <c r="D62" s="2">
        <v>1</v>
      </c>
      <c r="E62" s="2">
        <v>1.2110000000000001</v>
      </c>
      <c r="F62" s="2">
        <v>1</v>
      </c>
    </row>
    <row r="63" spans="1:13" ht="14.25" customHeight="1">
      <c r="A63" s="2">
        <v>5</v>
      </c>
      <c r="B63" s="2">
        <v>62</v>
      </c>
      <c r="C63" s="2">
        <v>3</v>
      </c>
      <c r="D63" s="2">
        <v>1</v>
      </c>
      <c r="E63" s="2">
        <v>1.119</v>
      </c>
      <c r="F63" s="2">
        <v>2</v>
      </c>
    </row>
    <row r="64" spans="1:13" ht="14.25" customHeight="1">
      <c r="A64" s="2">
        <v>5</v>
      </c>
      <c r="B64" s="2">
        <v>63</v>
      </c>
      <c r="C64" s="2">
        <v>8</v>
      </c>
      <c r="D64" s="2">
        <v>1</v>
      </c>
      <c r="E64" s="2">
        <v>1.167</v>
      </c>
      <c r="F64" s="2">
        <v>1</v>
      </c>
    </row>
    <row r="65" spans="1:6" ht="14.25" customHeight="1">
      <c r="A65" s="2">
        <v>5</v>
      </c>
      <c r="B65" s="2">
        <v>64</v>
      </c>
      <c r="C65" s="2">
        <v>4</v>
      </c>
      <c r="D65" s="2">
        <v>1</v>
      </c>
      <c r="E65" s="2">
        <v>1.028</v>
      </c>
      <c r="F65" s="2">
        <v>2</v>
      </c>
    </row>
    <row r="66" spans="1:6" ht="14.25" customHeight="1">
      <c r="A66" s="2">
        <v>5</v>
      </c>
      <c r="B66" s="2">
        <v>65</v>
      </c>
      <c r="C66" s="2">
        <v>3</v>
      </c>
      <c r="D66" s="2">
        <v>0</v>
      </c>
      <c r="E66" s="2">
        <v>1.399</v>
      </c>
      <c r="F66" s="2">
        <v>2</v>
      </c>
    </row>
    <row r="67" spans="1:6" ht="14.25" customHeight="1">
      <c r="A67" s="2">
        <v>5</v>
      </c>
      <c r="B67" s="2">
        <v>66</v>
      </c>
      <c r="C67" s="2">
        <v>5</v>
      </c>
      <c r="D67" s="2">
        <v>1</v>
      </c>
      <c r="E67" s="2">
        <v>1.7170000000000001</v>
      </c>
      <c r="F67" s="2">
        <v>2</v>
      </c>
    </row>
    <row r="68" spans="1:6" ht="14.25" customHeight="1">
      <c r="A68" s="2">
        <v>5</v>
      </c>
      <c r="B68" s="2">
        <v>67</v>
      </c>
      <c r="C68" s="2">
        <v>2</v>
      </c>
      <c r="D68" s="2">
        <v>1</v>
      </c>
      <c r="E68" s="2">
        <v>1.1240000000000001</v>
      </c>
      <c r="F68" s="2">
        <v>1</v>
      </c>
    </row>
    <row r="69" spans="1:6" ht="14.25" customHeight="1">
      <c r="A69" s="2">
        <v>5</v>
      </c>
      <c r="B69" s="2">
        <v>68</v>
      </c>
      <c r="C69" s="2">
        <v>4</v>
      </c>
      <c r="D69" s="2">
        <v>1</v>
      </c>
      <c r="E69" s="2">
        <v>0.84299999999999997</v>
      </c>
      <c r="F69" s="2">
        <v>2</v>
      </c>
    </row>
    <row r="70" spans="1:6" ht="14.25" customHeight="1">
      <c r="A70" s="2">
        <v>5</v>
      </c>
      <c r="B70" s="2">
        <v>69</v>
      </c>
      <c r="C70" s="2">
        <v>1</v>
      </c>
      <c r="D70" s="2">
        <v>1</v>
      </c>
      <c r="E70" s="2">
        <v>1.19</v>
      </c>
      <c r="F70" s="2">
        <v>1</v>
      </c>
    </row>
    <row r="71" spans="1:6" ht="14.25" customHeight="1">
      <c r="A71" s="2">
        <v>5</v>
      </c>
      <c r="B71" s="2">
        <v>70</v>
      </c>
      <c r="C71" s="2">
        <v>4</v>
      </c>
      <c r="D71" s="2">
        <v>1</v>
      </c>
      <c r="E71" s="2">
        <v>0.82599999999999996</v>
      </c>
      <c r="F71" s="2">
        <v>2</v>
      </c>
    </row>
    <row r="72" spans="1:6" ht="14.25" customHeight="1">
      <c r="A72" s="2">
        <v>5</v>
      </c>
      <c r="B72" s="2">
        <v>71</v>
      </c>
      <c r="C72" s="2">
        <v>8</v>
      </c>
      <c r="D72" s="2">
        <v>0</v>
      </c>
      <c r="E72" s="2">
        <v>1.0609999999999999</v>
      </c>
      <c r="F72" s="2">
        <v>1</v>
      </c>
    </row>
    <row r="73" spans="1:6" ht="14.25" customHeight="1">
      <c r="A73" s="2">
        <v>5</v>
      </c>
      <c r="B73" s="2">
        <v>72</v>
      </c>
      <c r="C73" s="2">
        <v>3</v>
      </c>
      <c r="D73" s="2">
        <v>1</v>
      </c>
      <c r="E73" s="2">
        <v>0.78300000000000003</v>
      </c>
      <c r="F73" s="2">
        <v>2</v>
      </c>
    </row>
    <row r="74" spans="1:6" ht="14.25" customHeight="1">
      <c r="A74" s="2">
        <v>5</v>
      </c>
      <c r="B74" s="2">
        <v>73</v>
      </c>
      <c r="C74" s="2">
        <v>1</v>
      </c>
      <c r="D74" s="2">
        <v>0</v>
      </c>
      <c r="E74" s="2">
        <v>0.82899999999999996</v>
      </c>
      <c r="F74" s="2">
        <v>1</v>
      </c>
    </row>
    <row r="75" spans="1:6" ht="14.25" customHeight="1">
      <c r="A75" s="2">
        <v>5</v>
      </c>
      <c r="B75" s="2">
        <v>74</v>
      </c>
      <c r="C75" s="2">
        <v>3</v>
      </c>
      <c r="D75" s="2">
        <v>1</v>
      </c>
      <c r="E75" s="2">
        <v>1.456</v>
      </c>
      <c r="F75" s="2">
        <v>1</v>
      </c>
    </row>
    <row r="76" spans="1:6" ht="14.25" customHeight="1">
      <c r="A76" s="2">
        <v>5</v>
      </c>
      <c r="B76" s="2">
        <v>75</v>
      </c>
      <c r="C76" s="2">
        <v>7</v>
      </c>
      <c r="D76" s="2">
        <v>1</v>
      </c>
      <c r="E76" s="2">
        <v>1.163</v>
      </c>
      <c r="F76" s="2">
        <v>1</v>
      </c>
    </row>
    <row r="77" spans="1:6" ht="14.25" customHeight="1">
      <c r="A77" s="2">
        <v>5</v>
      </c>
      <c r="B77" s="2">
        <v>76</v>
      </c>
      <c r="C77" s="2">
        <v>1</v>
      </c>
      <c r="D77" s="2">
        <v>1</v>
      </c>
      <c r="E77" s="2">
        <v>0.96799999999999997</v>
      </c>
      <c r="F77" s="2">
        <v>2</v>
      </c>
    </row>
    <row r="78" spans="1:6" ht="14.25" customHeight="1">
      <c r="A78" s="2">
        <v>5</v>
      </c>
      <c r="B78" s="2">
        <v>77</v>
      </c>
      <c r="C78" s="2">
        <v>8</v>
      </c>
      <c r="D78" s="2">
        <v>0</v>
      </c>
      <c r="E78" s="2">
        <v>0.72599999999999998</v>
      </c>
      <c r="F78" s="2">
        <v>2</v>
      </c>
    </row>
    <row r="79" spans="1:6" ht="14.25" customHeight="1">
      <c r="A79" s="2">
        <v>5</v>
      </c>
      <c r="B79" s="2">
        <v>78</v>
      </c>
      <c r="C79" s="2">
        <v>4</v>
      </c>
      <c r="D79" s="2">
        <v>1</v>
      </c>
      <c r="E79" s="2">
        <v>0.83799999999999997</v>
      </c>
      <c r="F79" s="2">
        <v>2</v>
      </c>
    </row>
    <row r="80" spans="1:6" ht="14.25" customHeight="1">
      <c r="A80" s="2">
        <v>5</v>
      </c>
      <c r="B80" s="2">
        <v>79</v>
      </c>
      <c r="C80" s="2">
        <v>6</v>
      </c>
      <c r="D80" s="2">
        <v>1</v>
      </c>
      <c r="E80" s="2">
        <v>1.3680000000000001</v>
      </c>
      <c r="F80" s="2">
        <v>1</v>
      </c>
    </row>
    <row r="81" spans="1:6" ht="14.25" customHeight="1">
      <c r="A81" s="2">
        <v>5</v>
      </c>
      <c r="B81" s="2">
        <v>80</v>
      </c>
      <c r="C81" s="2">
        <v>1</v>
      </c>
      <c r="D81" s="2">
        <v>0</v>
      </c>
      <c r="E81" s="2">
        <v>1.55</v>
      </c>
      <c r="F81" s="2">
        <v>1</v>
      </c>
    </row>
    <row r="82" spans="1:6" ht="14.25" customHeight="1">
      <c r="A82" s="2">
        <v>5</v>
      </c>
      <c r="B82" s="2">
        <v>81</v>
      </c>
      <c r="C82" s="2">
        <v>6</v>
      </c>
      <c r="D82" s="2">
        <v>1</v>
      </c>
      <c r="E82" s="2">
        <v>1.5329999999999999</v>
      </c>
      <c r="F82" s="2">
        <v>1</v>
      </c>
    </row>
    <row r="83" spans="1:6" ht="14.25" customHeight="1">
      <c r="A83" s="2">
        <v>5</v>
      </c>
      <c r="B83" s="2">
        <v>82</v>
      </c>
      <c r="C83" s="2">
        <v>7</v>
      </c>
      <c r="D83" s="2">
        <v>1</v>
      </c>
      <c r="E83" s="2">
        <v>0.92500000000000004</v>
      </c>
      <c r="F83" s="2">
        <v>2</v>
      </c>
    </row>
    <row r="84" spans="1:6" ht="14.25" customHeight="1">
      <c r="A84" s="2">
        <v>5</v>
      </c>
      <c r="B84" s="2">
        <v>83</v>
      </c>
      <c r="C84" s="2">
        <v>4</v>
      </c>
      <c r="D84" s="2">
        <v>1</v>
      </c>
      <c r="E84" s="2">
        <v>1.556</v>
      </c>
      <c r="F84" s="2">
        <v>1</v>
      </c>
    </row>
    <row r="85" spans="1:6" ht="14.25" customHeight="1">
      <c r="A85" s="2">
        <v>5</v>
      </c>
      <c r="B85" s="2">
        <v>84</v>
      </c>
      <c r="C85" s="2">
        <v>2</v>
      </c>
      <c r="D85" s="2">
        <v>1</v>
      </c>
      <c r="E85" s="2">
        <v>1.018</v>
      </c>
      <c r="F85" s="2">
        <v>2</v>
      </c>
    </row>
    <row r="86" spans="1:6" ht="14.25" customHeight="1">
      <c r="A86" s="2">
        <v>5</v>
      </c>
      <c r="B86" s="2">
        <v>85</v>
      </c>
      <c r="C86" s="2">
        <v>6</v>
      </c>
      <c r="D86" s="2">
        <v>0</v>
      </c>
      <c r="E86" s="2">
        <v>1.31</v>
      </c>
      <c r="F86" s="2">
        <v>2</v>
      </c>
    </row>
    <row r="87" spans="1:6" ht="14.25" customHeight="1">
      <c r="A87" s="2">
        <v>5</v>
      </c>
      <c r="B87" s="2">
        <v>86</v>
      </c>
      <c r="C87" s="2">
        <v>7</v>
      </c>
      <c r="D87" s="2">
        <v>1</v>
      </c>
      <c r="E87" s="2">
        <v>0.92500000000000004</v>
      </c>
      <c r="F87" s="2">
        <v>2</v>
      </c>
    </row>
    <row r="88" spans="1:6" ht="14.25" customHeight="1">
      <c r="A88" s="2">
        <v>5</v>
      </c>
      <c r="B88" s="2">
        <v>87</v>
      </c>
      <c r="C88" s="2">
        <v>1</v>
      </c>
      <c r="D88" s="2">
        <v>1</v>
      </c>
      <c r="E88" s="2">
        <v>1.597</v>
      </c>
      <c r="F88" s="2">
        <v>1</v>
      </c>
    </row>
    <row r="89" spans="1:6" ht="14.25" customHeight="1">
      <c r="A89" s="2">
        <v>5</v>
      </c>
      <c r="B89" s="2">
        <v>88</v>
      </c>
      <c r="C89" s="2">
        <v>5</v>
      </c>
      <c r="D89" s="2">
        <v>1</v>
      </c>
      <c r="E89" s="2">
        <v>1.29</v>
      </c>
      <c r="F89" s="2">
        <v>1</v>
      </c>
    </row>
    <row r="90" spans="1:6" ht="14.25" customHeight="1">
      <c r="A90" s="2">
        <v>5</v>
      </c>
      <c r="B90" s="2">
        <v>89</v>
      </c>
      <c r="C90" s="2">
        <v>3</v>
      </c>
      <c r="D90" s="2">
        <v>0</v>
      </c>
      <c r="E90" s="2">
        <v>1.1060000000000001</v>
      </c>
      <c r="F90" s="2">
        <v>1</v>
      </c>
    </row>
    <row r="91" spans="1:6" ht="14.25" customHeight="1">
      <c r="A91" s="2">
        <v>5</v>
      </c>
      <c r="B91" s="2">
        <v>90</v>
      </c>
      <c r="C91" s="2">
        <v>5</v>
      </c>
      <c r="D91" s="2">
        <v>1</v>
      </c>
      <c r="E91" s="2">
        <v>1.171</v>
      </c>
      <c r="F91" s="2">
        <v>1</v>
      </c>
    </row>
    <row r="92" spans="1:6" ht="14.25" customHeight="1">
      <c r="A92" s="2">
        <v>5</v>
      </c>
      <c r="B92" s="2">
        <v>91</v>
      </c>
      <c r="C92" s="2">
        <v>2</v>
      </c>
      <c r="D92" s="2">
        <v>1</v>
      </c>
      <c r="E92" s="2">
        <v>0.85499999999999998</v>
      </c>
      <c r="F92" s="2">
        <v>2</v>
      </c>
    </row>
    <row r="93" spans="1:6" ht="14.25" customHeight="1">
      <c r="A93" s="2">
        <v>5</v>
      </c>
      <c r="B93" s="2">
        <v>92</v>
      </c>
      <c r="C93" s="2">
        <v>3</v>
      </c>
      <c r="D93" s="2">
        <v>1</v>
      </c>
      <c r="E93" s="2">
        <v>1.4330000000000001</v>
      </c>
      <c r="F93" s="2">
        <v>1</v>
      </c>
    </row>
    <row r="94" spans="1:6" ht="14.25" customHeight="1">
      <c r="A94" s="2">
        <v>5</v>
      </c>
      <c r="B94" s="2">
        <v>93</v>
      </c>
      <c r="C94" s="2">
        <v>6</v>
      </c>
      <c r="D94" s="2">
        <v>1</v>
      </c>
      <c r="E94" s="2">
        <v>1.125</v>
      </c>
      <c r="F94" s="2">
        <v>2</v>
      </c>
    </row>
    <row r="95" spans="1:6" ht="14.25" customHeight="1">
      <c r="A95" s="2">
        <v>5</v>
      </c>
      <c r="B95" s="2">
        <v>94</v>
      </c>
      <c r="C95" s="2">
        <v>4</v>
      </c>
      <c r="D95" s="2">
        <v>1</v>
      </c>
      <c r="E95" s="2">
        <v>1.3</v>
      </c>
      <c r="F95" s="2">
        <v>2</v>
      </c>
    </row>
    <row r="96" spans="1:6" ht="14.25" customHeight="1">
      <c r="A96" s="2">
        <v>5</v>
      </c>
      <c r="B96" s="2">
        <v>95</v>
      </c>
      <c r="C96" s="2">
        <v>8</v>
      </c>
      <c r="D96" s="2">
        <v>1</v>
      </c>
      <c r="E96" s="2">
        <v>1.1240000000000001</v>
      </c>
      <c r="F96" s="2">
        <v>2</v>
      </c>
    </row>
    <row r="97" spans="1:6" ht="14.25" customHeight="1">
      <c r="A97" s="2">
        <v>5</v>
      </c>
      <c r="B97" s="2">
        <v>96</v>
      </c>
      <c r="C97" s="2">
        <v>4</v>
      </c>
      <c r="D97" s="2">
        <v>1</v>
      </c>
      <c r="E97" s="2">
        <v>1.22</v>
      </c>
      <c r="F97" s="2">
        <v>2</v>
      </c>
    </row>
    <row r="98" spans="1:6" ht="14.25" customHeight="1">
      <c r="A98" s="2">
        <v>5</v>
      </c>
      <c r="B98" s="2">
        <v>97</v>
      </c>
      <c r="C98" s="2">
        <v>2</v>
      </c>
      <c r="D98" s="2">
        <v>0</v>
      </c>
      <c r="E98" s="2">
        <v>1.079</v>
      </c>
      <c r="F98" s="2">
        <v>2</v>
      </c>
    </row>
    <row r="99" spans="1:6" ht="14.25" customHeight="1">
      <c r="A99" s="2">
        <v>5</v>
      </c>
      <c r="B99" s="2">
        <v>98</v>
      </c>
      <c r="C99" s="2">
        <v>8</v>
      </c>
      <c r="D99" s="2">
        <v>1</v>
      </c>
      <c r="E99" s="2">
        <v>1.536</v>
      </c>
      <c r="F99" s="2">
        <v>2</v>
      </c>
    </row>
    <row r="100" spans="1:6" ht="14.25" customHeight="1">
      <c r="A100" s="2">
        <v>5</v>
      </c>
      <c r="B100" s="2">
        <v>99</v>
      </c>
      <c r="C100" s="2">
        <v>5</v>
      </c>
      <c r="D100" s="2">
        <v>0</v>
      </c>
      <c r="E100" s="2">
        <v>0.93500000000000005</v>
      </c>
      <c r="F100" s="2">
        <v>2</v>
      </c>
    </row>
    <row r="101" spans="1:6" ht="14.25" customHeight="1">
      <c r="A101" s="2">
        <v>5</v>
      </c>
      <c r="B101" s="2">
        <v>100</v>
      </c>
      <c r="C101" s="2">
        <v>7</v>
      </c>
      <c r="D101" s="2">
        <v>1</v>
      </c>
      <c r="E101" s="2">
        <v>1.702</v>
      </c>
      <c r="F101" s="2">
        <v>2</v>
      </c>
    </row>
    <row r="102" spans="1:6" ht="14.25" customHeight="1">
      <c r="A102" s="2">
        <v>5</v>
      </c>
      <c r="B102" s="2">
        <v>101</v>
      </c>
      <c r="C102" s="2">
        <v>6</v>
      </c>
      <c r="D102" s="2">
        <v>1</v>
      </c>
      <c r="E102" s="2">
        <v>1.2130000000000001</v>
      </c>
      <c r="F102" s="2">
        <v>2</v>
      </c>
    </row>
    <row r="103" spans="1:6" ht="14.25" customHeight="1">
      <c r="A103" s="2">
        <v>5</v>
      </c>
      <c r="B103" s="2">
        <v>102</v>
      </c>
      <c r="C103" s="2">
        <v>4</v>
      </c>
      <c r="D103" s="2">
        <v>0</v>
      </c>
      <c r="E103" s="2">
        <v>1.3520000000000001</v>
      </c>
      <c r="F103" s="2">
        <v>2</v>
      </c>
    </row>
    <row r="104" spans="1:6" ht="14.25" customHeight="1">
      <c r="A104" s="2">
        <v>5</v>
      </c>
      <c r="B104" s="2">
        <v>103</v>
      </c>
      <c r="C104" s="2">
        <v>8</v>
      </c>
      <c r="D104" s="2">
        <v>0</v>
      </c>
      <c r="E104" s="2">
        <v>1.0609999999999999</v>
      </c>
      <c r="F104" s="2">
        <v>2</v>
      </c>
    </row>
    <row r="105" spans="1:6" ht="14.25" customHeight="1">
      <c r="A105" s="2">
        <v>5</v>
      </c>
      <c r="B105" s="2">
        <v>104</v>
      </c>
      <c r="C105" s="2">
        <v>4</v>
      </c>
      <c r="D105" s="2">
        <v>1</v>
      </c>
      <c r="E105" s="2">
        <v>0.95199999999999996</v>
      </c>
      <c r="F105" s="2">
        <v>1</v>
      </c>
    </row>
    <row r="106" spans="1:6" ht="14.25" customHeight="1">
      <c r="A106" s="2">
        <v>5</v>
      </c>
      <c r="B106" s="2">
        <v>105</v>
      </c>
      <c r="C106" s="2">
        <v>3</v>
      </c>
      <c r="D106" s="2">
        <v>1</v>
      </c>
      <c r="E106" s="2">
        <v>0.83799999999999997</v>
      </c>
      <c r="F106" s="2">
        <v>2</v>
      </c>
    </row>
    <row r="107" spans="1:6" ht="14.25" customHeight="1">
      <c r="A107" s="2">
        <v>5</v>
      </c>
      <c r="B107" s="2">
        <v>106</v>
      </c>
      <c r="C107" s="2">
        <v>1</v>
      </c>
      <c r="D107" s="2">
        <v>1</v>
      </c>
      <c r="E107" s="2">
        <v>1.8160000000000001</v>
      </c>
      <c r="F107" s="2">
        <v>1</v>
      </c>
    </row>
    <row r="108" spans="1:6" ht="14.25" customHeight="1">
      <c r="A108" s="2">
        <v>5</v>
      </c>
      <c r="B108" s="2">
        <v>107</v>
      </c>
      <c r="C108" s="2">
        <v>2</v>
      </c>
      <c r="D108" s="2">
        <v>0</v>
      </c>
      <c r="E108" s="2">
        <v>1.028</v>
      </c>
      <c r="F108" s="2">
        <v>2</v>
      </c>
    </row>
    <row r="109" spans="1:6" ht="14.25" customHeight="1">
      <c r="A109" s="2">
        <v>5</v>
      </c>
      <c r="B109" s="2">
        <v>108</v>
      </c>
      <c r="C109" s="2">
        <v>1</v>
      </c>
      <c r="D109" s="2">
        <v>1</v>
      </c>
      <c r="E109" s="2">
        <v>0.871</v>
      </c>
      <c r="F109" s="2">
        <v>2</v>
      </c>
    </row>
    <row r="110" spans="1:6" ht="14.25" customHeight="1">
      <c r="A110" s="2">
        <v>5</v>
      </c>
      <c r="B110" s="2">
        <v>109</v>
      </c>
      <c r="C110" s="2">
        <v>5</v>
      </c>
      <c r="D110" s="2">
        <v>1</v>
      </c>
      <c r="E110" s="2">
        <v>1.337</v>
      </c>
      <c r="F110" s="2">
        <v>2</v>
      </c>
    </row>
    <row r="111" spans="1:6" ht="14.25" customHeight="1">
      <c r="A111" s="2">
        <v>5</v>
      </c>
      <c r="B111" s="2">
        <v>110</v>
      </c>
      <c r="C111" s="2">
        <v>7</v>
      </c>
      <c r="D111" s="2">
        <v>1</v>
      </c>
      <c r="E111" s="2">
        <v>1.52</v>
      </c>
      <c r="F111" s="2">
        <v>1</v>
      </c>
    </row>
    <row r="112" spans="1:6" ht="14.25" customHeight="1">
      <c r="A112" s="2">
        <v>5</v>
      </c>
      <c r="B112" s="2">
        <v>111</v>
      </c>
      <c r="C112" s="2">
        <v>5</v>
      </c>
      <c r="D112" s="2">
        <v>1</v>
      </c>
      <c r="E112" s="2">
        <v>1.1659999999999999</v>
      </c>
      <c r="F112" s="2">
        <v>1</v>
      </c>
    </row>
    <row r="113" spans="1:6" ht="14.25" customHeight="1">
      <c r="A113" s="2">
        <v>5</v>
      </c>
      <c r="B113" s="2">
        <v>112</v>
      </c>
      <c r="C113" s="2">
        <v>1</v>
      </c>
      <c r="D113" s="2">
        <v>1</v>
      </c>
      <c r="E113" s="2">
        <v>1.02</v>
      </c>
      <c r="F113" s="2">
        <v>2</v>
      </c>
    </row>
    <row r="114" spans="1:6" ht="14.25" customHeight="1">
      <c r="A114" s="2">
        <v>5</v>
      </c>
      <c r="B114" s="2">
        <v>113</v>
      </c>
      <c r="C114" s="2">
        <v>8</v>
      </c>
      <c r="D114" s="2">
        <v>1</v>
      </c>
      <c r="E114" s="2">
        <v>1.3839999999999999</v>
      </c>
      <c r="F114" s="2">
        <v>1</v>
      </c>
    </row>
    <row r="115" spans="1:6" ht="14.25" customHeight="1">
      <c r="A115" s="2">
        <v>5</v>
      </c>
      <c r="B115" s="2">
        <v>114</v>
      </c>
      <c r="C115" s="2">
        <v>5</v>
      </c>
      <c r="D115" s="2">
        <v>1</v>
      </c>
      <c r="E115" s="2">
        <v>0.86899999999999999</v>
      </c>
      <c r="F115" s="2">
        <v>2</v>
      </c>
    </row>
    <row r="116" spans="1:6" ht="14.25" customHeight="1">
      <c r="A116" s="2">
        <v>5</v>
      </c>
      <c r="B116" s="2">
        <v>115</v>
      </c>
      <c r="C116" s="2">
        <v>7</v>
      </c>
      <c r="D116" s="2">
        <v>0</v>
      </c>
      <c r="E116" s="2">
        <v>0.92700000000000005</v>
      </c>
      <c r="F116" s="2">
        <v>2</v>
      </c>
    </row>
    <row r="117" spans="1:6" ht="14.25" customHeight="1">
      <c r="A117" s="2">
        <v>5</v>
      </c>
      <c r="B117" s="2">
        <v>116</v>
      </c>
      <c r="C117" s="2">
        <v>4</v>
      </c>
      <c r="D117" s="2">
        <v>1</v>
      </c>
      <c r="E117" s="2">
        <v>0.87</v>
      </c>
      <c r="F117" s="2">
        <v>2</v>
      </c>
    </row>
    <row r="118" spans="1:6" ht="14.25" customHeight="1">
      <c r="A118" s="2">
        <v>5</v>
      </c>
      <c r="B118" s="2">
        <v>117</v>
      </c>
      <c r="C118" s="2">
        <v>3</v>
      </c>
      <c r="D118" s="2">
        <v>1</v>
      </c>
      <c r="E118" s="2">
        <v>1.319</v>
      </c>
      <c r="F118" s="2">
        <v>1</v>
      </c>
    </row>
    <row r="119" spans="1:6" ht="14.25" customHeight="1">
      <c r="A119" s="2">
        <v>5</v>
      </c>
      <c r="B119" s="2">
        <v>118</v>
      </c>
      <c r="C119" s="2">
        <v>1</v>
      </c>
      <c r="D119" s="2">
        <v>1</v>
      </c>
      <c r="E119" s="2">
        <v>0.79800000000000004</v>
      </c>
      <c r="F119" s="2">
        <v>2</v>
      </c>
    </row>
    <row r="120" spans="1:6" ht="14.25" customHeight="1">
      <c r="A120" s="2">
        <v>5</v>
      </c>
      <c r="B120" s="2">
        <v>119</v>
      </c>
      <c r="C120" s="2">
        <v>6</v>
      </c>
      <c r="D120" s="2">
        <v>1</v>
      </c>
      <c r="E120" s="2">
        <v>1.4350000000000001</v>
      </c>
      <c r="F120" s="2">
        <v>1</v>
      </c>
    </row>
    <row r="121" spans="1:6" ht="14.25" customHeight="1">
      <c r="A121" s="2">
        <v>5</v>
      </c>
      <c r="B121" s="2">
        <v>120</v>
      </c>
      <c r="C121" s="2">
        <v>4</v>
      </c>
      <c r="D121" s="2">
        <v>1</v>
      </c>
      <c r="E121" s="2">
        <v>0.86199999999999999</v>
      </c>
      <c r="F121" s="2">
        <v>2</v>
      </c>
    </row>
    <row r="122" spans="1:6" ht="14.25" customHeight="1">
      <c r="A122" s="2">
        <v>5</v>
      </c>
      <c r="B122" s="2">
        <v>121</v>
      </c>
      <c r="C122" s="2">
        <v>3</v>
      </c>
      <c r="D122" s="2">
        <v>1</v>
      </c>
      <c r="E122" s="2">
        <v>1.0149999999999999</v>
      </c>
      <c r="F122" s="2">
        <v>2</v>
      </c>
    </row>
    <row r="123" spans="1:6" ht="14.25" customHeight="1">
      <c r="A123" s="2">
        <v>5</v>
      </c>
      <c r="B123" s="2">
        <v>122</v>
      </c>
      <c r="C123" s="2">
        <v>7</v>
      </c>
      <c r="D123" s="2">
        <v>1</v>
      </c>
      <c r="E123" s="2">
        <v>0.89100000000000001</v>
      </c>
      <c r="F123" s="2">
        <v>2</v>
      </c>
    </row>
    <row r="124" spans="1:6" ht="14.25" customHeight="1">
      <c r="A124" s="2">
        <v>5</v>
      </c>
      <c r="B124" s="2">
        <v>123</v>
      </c>
      <c r="C124" s="2">
        <v>3</v>
      </c>
      <c r="D124" s="2">
        <v>1</v>
      </c>
      <c r="E124" s="2">
        <v>0.94099999999999995</v>
      </c>
      <c r="F124" s="2">
        <v>2</v>
      </c>
    </row>
    <row r="125" spans="1:6" ht="14.25" customHeight="1">
      <c r="A125" s="2">
        <v>5</v>
      </c>
      <c r="B125" s="2">
        <v>124</v>
      </c>
      <c r="C125" s="2">
        <v>6</v>
      </c>
      <c r="D125" s="2">
        <v>1</v>
      </c>
      <c r="E125" s="2">
        <v>0.68300000000000005</v>
      </c>
      <c r="F125" s="2">
        <v>1</v>
      </c>
    </row>
    <row r="126" spans="1:6" ht="14.25" customHeight="1">
      <c r="A126" s="2">
        <v>5</v>
      </c>
      <c r="B126" s="2">
        <v>125</v>
      </c>
      <c r="C126" s="2">
        <v>7</v>
      </c>
      <c r="D126" s="2">
        <v>1</v>
      </c>
      <c r="E126" s="2">
        <v>1.1080000000000001</v>
      </c>
      <c r="F126" s="2">
        <v>1</v>
      </c>
    </row>
    <row r="127" spans="1:6" ht="14.25" customHeight="1">
      <c r="A127" s="2">
        <v>5</v>
      </c>
      <c r="B127" s="2">
        <v>126</v>
      </c>
      <c r="C127" s="2">
        <v>4</v>
      </c>
      <c r="D127" s="2">
        <v>1</v>
      </c>
      <c r="E127" s="2">
        <v>0.75700000000000001</v>
      </c>
      <c r="F127" s="2">
        <v>2</v>
      </c>
    </row>
    <row r="128" spans="1:6" ht="14.25" customHeight="1">
      <c r="A128" s="2">
        <v>5</v>
      </c>
      <c r="B128" s="2">
        <v>127</v>
      </c>
      <c r="C128" s="2">
        <v>8</v>
      </c>
      <c r="D128" s="2">
        <v>1</v>
      </c>
      <c r="E128" s="2">
        <v>1.1619999999999999</v>
      </c>
      <c r="F128" s="2">
        <v>1</v>
      </c>
    </row>
    <row r="129" spans="1:6" ht="14.25" customHeight="1">
      <c r="A129" s="2">
        <v>5</v>
      </c>
      <c r="B129" s="2">
        <v>128</v>
      </c>
      <c r="C129" s="2">
        <v>2</v>
      </c>
      <c r="D129" s="2">
        <v>1</v>
      </c>
      <c r="E129" s="2">
        <v>0.76800000000000002</v>
      </c>
      <c r="F129" s="2">
        <v>2</v>
      </c>
    </row>
    <row r="130" spans="1:6" ht="14.25" customHeight="1">
      <c r="A130" s="2">
        <v>5</v>
      </c>
      <c r="B130" s="2">
        <v>129</v>
      </c>
      <c r="C130" s="2">
        <v>6</v>
      </c>
      <c r="D130" s="2">
        <v>1</v>
      </c>
      <c r="E130" s="2">
        <v>1.1339999999999999</v>
      </c>
      <c r="F130" s="2">
        <v>1</v>
      </c>
    </row>
    <row r="131" spans="1:6" ht="14.25" customHeight="1">
      <c r="A131" s="2">
        <v>5</v>
      </c>
      <c r="B131" s="2">
        <v>130</v>
      </c>
      <c r="C131" s="2">
        <v>2</v>
      </c>
      <c r="D131" s="2">
        <v>0</v>
      </c>
      <c r="E131" s="2">
        <v>1.381</v>
      </c>
      <c r="F131" s="2">
        <v>1</v>
      </c>
    </row>
    <row r="132" spans="1:6" ht="14.25" customHeight="1">
      <c r="A132" s="2">
        <v>5</v>
      </c>
      <c r="B132" s="2">
        <v>131</v>
      </c>
      <c r="C132" s="2">
        <v>8</v>
      </c>
      <c r="E132" s="2">
        <v>2</v>
      </c>
    </row>
    <row r="133" spans="1:6" ht="14.25" customHeight="1">
      <c r="A133" s="2">
        <v>5</v>
      </c>
      <c r="B133" s="2">
        <v>132</v>
      </c>
      <c r="C133" s="2">
        <v>6</v>
      </c>
      <c r="D133" s="2">
        <v>1</v>
      </c>
      <c r="E133" s="2">
        <v>0.81499999999999995</v>
      </c>
      <c r="F133" s="2">
        <v>2</v>
      </c>
    </row>
    <row r="134" spans="1:6" ht="14.25" customHeight="1">
      <c r="A134" s="2">
        <v>5</v>
      </c>
      <c r="B134" s="2">
        <v>133</v>
      </c>
      <c r="C134" s="2">
        <v>3</v>
      </c>
      <c r="D134" s="2">
        <v>1</v>
      </c>
      <c r="E134" s="2">
        <v>1.3069999999999999</v>
      </c>
      <c r="F134" s="2">
        <v>1</v>
      </c>
    </row>
    <row r="135" spans="1:6" ht="14.25" customHeight="1">
      <c r="A135" s="2">
        <v>5</v>
      </c>
      <c r="B135" s="2">
        <v>134</v>
      </c>
      <c r="C135" s="2">
        <v>7</v>
      </c>
      <c r="D135" s="2">
        <v>1</v>
      </c>
      <c r="E135" s="2">
        <v>0.755</v>
      </c>
      <c r="F135" s="2">
        <v>2</v>
      </c>
    </row>
    <row r="136" spans="1:6" ht="14.25" customHeight="1">
      <c r="A136" s="2">
        <v>5</v>
      </c>
      <c r="B136" s="2">
        <v>135</v>
      </c>
      <c r="C136" s="2">
        <v>3</v>
      </c>
      <c r="D136" s="2">
        <v>1</v>
      </c>
      <c r="E136" s="2">
        <v>1.0329999999999999</v>
      </c>
      <c r="F136" s="2">
        <v>1</v>
      </c>
    </row>
    <row r="137" spans="1:6" ht="14.25" customHeight="1">
      <c r="A137" s="2">
        <v>5</v>
      </c>
      <c r="B137" s="2">
        <v>136</v>
      </c>
      <c r="C137" s="2">
        <v>7</v>
      </c>
      <c r="D137" s="2">
        <v>1</v>
      </c>
      <c r="E137" s="2">
        <v>0.77200000000000002</v>
      </c>
      <c r="F137" s="2">
        <v>2</v>
      </c>
    </row>
    <row r="138" spans="1:6" ht="14.25" customHeight="1">
      <c r="A138" s="2">
        <v>5</v>
      </c>
      <c r="B138" s="2">
        <v>137</v>
      </c>
      <c r="C138" s="2">
        <v>8</v>
      </c>
      <c r="D138" s="2">
        <v>1</v>
      </c>
      <c r="E138" s="2">
        <v>1.0569999999999999</v>
      </c>
      <c r="F138" s="2">
        <v>1</v>
      </c>
    </row>
    <row r="139" spans="1:6" ht="14.25" customHeight="1">
      <c r="A139" s="2">
        <v>5</v>
      </c>
      <c r="B139" s="2">
        <v>138</v>
      </c>
      <c r="C139" s="2">
        <v>5</v>
      </c>
      <c r="D139" s="2">
        <v>1</v>
      </c>
      <c r="E139" s="2">
        <v>1.6910000000000001</v>
      </c>
      <c r="F139" s="2">
        <v>1</v>
      </c>
    </row>
    <row r="140" spans="1:6" ht="14.25" customHeight="1">
      <c r="A140" s="2">
        <v>5</v>
      </c>
      <c r="B140" s="2">
        <v>139</v>
      </c>
      <c r="C140" s="2">
        <v>8</v>
      </c>
      <c r="D140" s="2">
        <v>0</v>
      </c>
      <c r="E140" s="2">
        <v>1.5960000000000001</v>
      </c>
      <c r="F140" s="2">
        <v>1</v>
      </c>
    </row>
    <row r="141" spans="1:6" ht="14.25" customHeight="1">
      <c r="A141" s="2">
        <v>5</v>
      </c>
      <c r="B141" s="2">
        <v>140</v>
      </c>
      <c r="C141" s="2">
        <v>1</v>
      </c>
      <c r="D141" s="2">
        <v>1</v>
      </c>
      <c r="E141" s="2">
        <v>1.105</v>
      </c>
      <c r="F141" s="2">
        <v>1</v>
      </c>
    </row>
    <row r="142" spans="1:6" ht="14.25" customHeight="1">
      <c r="A142" s="2">
        <v>5</v>
      </c>
      <c r="B142" s="2">
        <v>141</v>
      </c>
      <c r="C142" s="2">
        <v>5</v>
      </c>
      <c r="D142" s="2">
        <v>1</v>
      </c>
      <c r="E142" s="2">
        <v>1.2170000000000001</v>
      </c>
      <c r="F142" s="2">
        <v>2</v>
      </c>
    </row>
    <row r="143" spans="1:6" ht="14.25" customHeight="1">
      <c r="A143" s="2">
        <v>5</v>
      </c>
      <c r="B143" s="2">
        <v>142</v>
      </c>
      <c r="C143" s="2">
        <v>4</v>
      </c>
      <c r="D143" s="2">
        <v>1</v>
      </c>
      <c r="E143" s="2">
        <v>1.085</v>
      </c>
      <c r="F143" s="2">
        <v>1</v>
      </c>
    </row>
    <row r="144" spans="1:6" ht="14.25" customHeight="1">
      <c r="A144" s="2">
        <v>5</v>
      </c>
      <c r="B144" s="2">
        <v>143</v>
      </c>
      <c r="C144" s="2">
        <v>5</v>
      </c>
      <c r="D144" s="2">
        <v>1</v>
      </c>
      <c r="E144" s="2">
        <v>0.90100000000000002</v>
      </c>
      <c r="F144" s="2">
        <v>2</v>
      </c>
    </row>
    <row r="145" spans="1:6" ht="14.25" customHeight="1">
      <c r="A145" s="2">
        <v>5</v>
      </c>
      <c r="B145" s="2">
        <v>144</v>
      </c>
      <c r="C145" s="2">
        <v>4</v>
      </c>
      <c r="D145" s="2">
        <v>1</v>
      </c>
      <c r="E145" s="2">
        <v>1.1579999999999999</v>
      </c>
      <c r="F145" s="2">
        <v>2</v>
      </c>
    </row>
    <row r="146" spans="1:6" ht="14.25" customHeight="1">
      <c r="A146" s="2">
        <v>5</v>
      </c>
      <c r="B146" s="2">
        <v>145</v>
      </c>
      <c r="C146" s="2">
        <v>2</v>
      </c>
      <c r="D146" s="2">
        <v>1</v>
      </c>
      <c r="E146" s="2">
        <v>0.75600000000000001</v>
      </c>
      <c r="F146" s="2">
        <v>2</v>
      </c>
    </row>
    <row r="147" spans="1:6" ht="14.25" customHeight="1">
      <c r="A147" s="2">
        <v>5</v>
      </c>
      <c r="B147" s="2">
        <v>146</v>
      </c>
      <c r="C147" s="2">
        <v>6</v>
      </c>
      <c r="D147" s="2">
        <v>1</v>
      </c>
      <c r="E147" s="2">
        <v>0.99299999999999999</v>
      </c>
      <c r="F147" s="2">
        <v>2</v>
      </c>
    </row>
    <row r="148" spans="1:6" ht="14.25" customHeight="1">
      <c r="A148" s="2">
        <v>5</v>
      </c>
      <c r="B148" s="2">
        <v>147</v>
      </c>
      <c r="C148" s="2">
        <v>2</v>
      </c>
      <c r="D148" s="2">
        <v>1</v>
      </c>
      <c r="E148" s="2">
        <v>1.359</v>
      </c>
      <c r="F148" s="2">
        <v>1</v>
      </c>
    </row>
    <row r="149" spans="1:6" ht="14.25" customHeight="1">
      <c r="A149" s="2">
        <v>5</v>
      </c>
      <c r="B149" s="2">
        <v>148</v>
      </c>
      <c r="C149" s="2">
        <v>1</v>
      </c>
      <c r="D149" s="2">
        <v>0</v>
      </c>
      <c r="E149" s="2">
        <v>1.077</v>
      </c>
      <c r="F149" s="2">
        <v>1</v>
      </c>
    </row>
    <row r="150" spans="1:6" ht="14.25" customHeight="1">
      <c r="A150" s="2">
        <v>5</v>
      </c>
      <c r="B150" s="2">
        <v>149</v>
      </c>
      <c r="C150" s="2">
        <v>4</v>
      </c>
      <c r="D150" s="2">
        <v>1</v>
      </c>
      <c r="E150" s="2">
        <v>1.038</v>
      </c>
      <c r="F150" s="2">
        <v>1</v>
      </c>
    </row>
    <row r="151" spans="1:6" ht="14.25" customHeight="1">
      <c r="A151" s="2">
        <v>5</v>
      </c>
      <c r="B151" s="2">
        <v>150</v>
      </c>
      <c r="C151" s="2">
        <v>2</v>
      </c>
      <c r="D151" s="2">
        <v>1</v>
      </c>
      <c r="E151" s="2">
        <v>1.3049999999999999</v>
      </c>
      <c r="F151" s="2">
        <v>2</v>
      </c>
    </row>
    <row r="152" spans="1:6" ht="14.25" customHeight="1">
      <c r="A152" s="2">
        <v>5</v>
      </c>
      <c r="B152" s="2">
        <v>151</v>
      </c>
      <c r="C152" s="2">
        <v>7</v>
      </c>
      <c r="D152" s="2">
        <v>1</v>
      </c>
      <c r="E152" s="2">
        <v>1.2549999999999999</v>
      </c>
    </row>
    <row r="153" spans="1:6" ht="14.25" customHeight="1">
      <c r="A153" s="2">
        <v>5</v>
      </c>
      <c r="B153" s="2">
        <v>152</v>
      </c>
      <c r="C153" s="2">
        <v>5</v>
      </c>
      <c r="D153" s="2">
        <v>1</v>
      </c>
      <c r="E153" s="2">
        <v>1.9850000000000001</v>
      </c>
    </row>
    <row r="154" spans="1:6" ht="14.25" customHeight="1">
      <c r="A154" s="2">
        <v>5</v>
      </c>
      <c r="B154" s="2">
        <v>153</v>
      </c>
      <c r="C154" s="2">
        <v>8</v>
      </c>
      <c r="D154" s="2">
        <v>1</v>
      </c>
      <c r="E154" s="2">
        <v>1.3420000000000001</v>
      </c>
    </row>
    <row r="155" spans="1:6" ht="14.25" customHeight="1">
      <c r="A155" s="2">
        <v>5</v>
      </c>
      <c r="B155" s="2">
        <v>154</v>
      </c>
      <c r="C155" s="2">
        <v>6</v>
      </c>
      <c r="D155" s="2">
        <v>1</v>
      </c>
      <c r="E155" s="2">
        <v>1.413</v>
      </c>
    </row>
    <row r="156" spans="1:6" ht="14.25" customHeight="1">
      <c r="A156" s="2">
        <v>5</v>
      </c>
      <c r="B156" s="2">
        <v>155</v>
      </c>
      <c r="C156" s="2">
        <v>4</v>
      </c>
      <c r="D156" s="2">
        <v>1</v>
      </c>
      <c r="E156" s="2">
        <v>1.5449999999999999</v>
      </c>
    </row>
    <row r="157" spans="1:6" ht="14.25" customHeight="1">
      <c r="A157" s="2">
        <v>5</v>
      </c>
      <c r="B157" s="2">
        <v>156</v>
      </c>
      <c r="C157" s="2">
        <v>7</v>
      </c>
      <c r="D157" s="2">
        <v>1</v>
      </c>
      <c r="E157" s="2">
        <v>1.5429999999999999</v>
      </c>
    </row>
    <row r="158" spans="1:6" ht="14.25" customHeight="1">
      <c r="A158" s="2">
        <v>5</v>
      </c>
      <c r="B158" s="2">
        <v>157</v>
      </c>
      <c r="C158" s="2">
        <v>1</v>
      </c>
      <c r="D158" s="2">
        <v>1</v>
      </c>
      <c r="E158" s="2">
        <v>1.998</v>
      </c>
    </row>
    <row r="159" spans="1:6" ht="14.25" customHeight="1">
      <c r="A159" s="2">
        <v>5</v>
      </c>
      <c r="B159" s="2">
        <v>158</v>
      </c>
      <c r="C159" s="2">
        <v>2</v>
      </c>
      <c r="D159" s="2">
        <v>1</v>
      </c>
      <c r="E159" s="2">
        <v>1.0589999999999999</v>
      </c>
    </row>
    <row r="160" spans="1:6" ht="14.25" customHeight="1">
      <c r="A160" s="2">
        <v>5</v>
      </c>
      <c r="B160" s="2">
        <v>159</v>
      </c>
      <c r="C160" s="2">
        <v>1</v>
      </c>
      <c r="D160" s="2">
        <v>1</v>
      </c>
      <c r="E160" s="2">
        <v>1.581</v>
      </c>
    </row>
    <row r="161" spans="1:5" ht="14.25" customHeight="1">
      <c r="A161" s="2">
        <v>5</v>
      </c>
      <c r="B161" s="2">
        <v>160</v>
      </c>
      <c r="C161" s="2">
        <v>4</v>
      </c>
      <c r="D161" s="2">
        <v>1</v>
      </c>
      <c r="E161" s="2">
        <v>1.883</v>
      </c>
    </row>
    <row r="162" spans="1:5" ht="14.25" customHeight="1">
      <c r="A162" s="2">
        <v>5</v>
      </c>
      <c r="B162" s="2">
        <v>161</v>
      </c>
      <c r="C162" s="2">
        <v>5</v>
      </c>
      <c r="D162" s="2">
        <v>0</v>
      </c>
      <c r="E162" s="2">
        <v>1.627</v>
      </c>
    </row>
    <row r="163" spans="1:5" ht="14.25" customHeight="1">
      <c r="A163" s="2">
        <v>5</v>
      </c>
      <c r="B163" s="2">
        <v>162</v>
      </c>
      <c r="C163" s="2">
        <v>8</v>
      </c>
      <c r="D163" s="2">
        <v>1</v>
      </c>
      <c r="E163" s="2">
        <v>1.1180000000000001</v>
      </c>
    </row>
    <row r="164" spans="1:5" ht="14.25" customHeight="1">
      <c r="A164" s="2">
        <v>5</v>
      </c>
      <c r="B164" s="2">
        <v>163</v>
      </c>
      <c r="C164" s="2">
        <v>4</v>
      </c>
      <c r="D164" s="2">
        <v>1</v>
      </c>
      <c r="E164" s="2">
        <v>1.2769999999999999</v>
      </c>
    </row>
    <row r="165" spans="1:5" ht="14.25" customHeight="1">
      <c r="A165" s="2">
        <v>5</v>
      </c>
      <c r="B165" s="2">
        <v>164</v>
      </c>
      <c r="C165" s="2">
        <v>7</v>
      </c>
      <c r="D165" s="2">
        <v>1</v>
      </c>
      <c r="E165" s="2">
        <v>0.99099999999999999</v>
      </c>
    </row>
    <row r="166" spans="1:5" ht="14.25" customHeight="1">
      <c r="A166" s="2">
        <v>5</v>
      </c>
      <c r="B166" s="2">
        <v>165</v>
      </c>
      <c r="C166" s="2">
        <v>2</v>
      </c>
      <c r="D166" s="2">
        <v>1</v>
      </c>
      <c r="E166" s="2">
        <v>1.411</v>
      </c>
    </row>
    <row r="167" spans="1:5" ht="14.25" customHeight="1">
      <c r="A167" s="2">
        <v>5</v>
      </c>
      <c r="B167" s="2">
        <v>166</v>
      </c>
      <c r="C167" s="2">
        <v>1</v>
      </c>
      <c r="D167" s="2">
        <v>1</v>
      </c>
      <c r="E167" s="2">
        <v>1.335</v>
      </c>
    </row>
    <row r="168" spans="1:5" ht="14.25" customHeight="1">
      <c r="A168" s="2">
        <v>5</v>
      </c>
      <c r="B168" s="2">
        <v>167</v>
      </c>
      <c r="C168" s="2">
        <v>4</v>
      </c>
      <c r="D168" s="2">
        <v>1</v>
      </c>
      <c r="E168" s="2">
        <v>1.127</v>
      </c>
    </row>
    <row r="169" spans="1:5" ht="14.25" customHeight="1">
      <c r="A169" s="2">
        <v>5</v>
      </c>
      <c r="B169" s="2">
        <v>168</v>
      </c>
      <c r="C169" s="2">
        <v>7</v>
      </c>
      <c r="D169" s="2">
        <v>1</v>
      </c>
      <c r="E169" s="2">
        <v>1.117</v>
      </c>
    </row>
    <row r="170" spans="1:5" ht="14.25" customHeight="1">
      <c r="A170" s="2">
        <v>5</v>
      </c>
      <c r="B170" s="2">
        <v>169</v>
      </c>
      <c r="C170" s="2">
        <v>2</v>
      </c>
      <c r="D170" s="2">
        <v>1</v>
      </c>
      <c r="E170" s="2">
        <v>1.31</v>
      </c>
    </row>
    <row r="171" spans="1:5" ht="14.25" customHeight="1">
      <c r="A171" s="2">
        <v>5</v>
      </c>
      <c r="B171" s="2">
        <v>170</v>
      </c>
      <c r="C171" s="2">
        <v>3</v>
      </c>
      <c r="D171" s="2">
        <v>1</v>
      </c>
      <c r="E171" s="2">
        <v>0.75800000000000001</v>
      </c>
    </row>
    <row r="172" spans="1:5" ht="14.25" customHeight="1">
      <c r="A172" s="2">
        <v>5</v>
      </c>
      <c r="B172" s="2">
        <v>171</v>
      </c>
      <c r="C172" s="2">
        <v>8</v>
      </c>
      <c r="D172" s="2">
        <v>1</v>
      </c>
      <c r="E172" s="2">
        <v>1.2509999999999999</v>
      </c>
    </row>
    <row r="173" spans="1:5" ht="14.25" customHeight="1">
      <c r="A173" s="2">
        <v>5</v>
      </c>
      <c r="B173" s="2">
        <v>172</v>
      </c>
      <c r="C173" s="2">
        <v>2</v>
      </c>
      <c r="D173" s="2">
        <v>1</v>
      </c>
      <c r="E173" s="2">
        <v>1.55</v>
      </c>
    </row>
    <row r="174" spans="1:5" ht="14.25" customHeight="1">
      <c r="A174" s="2">
        <v>5</v>
      </c>
      <c r="B174" s="2">
        <v>173</v>
      </c>
      <c r="C174" s="2">
        <v>7</v>
      </c>
      <c r="D174" s="2">
        <v>1</v>
      </c>
      <c r="E174" s="2">
        <v>1.149</v>
      </c>
    </row>
    <row r="175" spans="1:5" ht="14.25" customHeight="1">
      <c r="A175" s="2">
        <v>5</v>
      </c>
      <c r="B175" s="2">
        <v>174</v>
      </c>
      <c r="C175" s="2">
        <v>5</v>
      </c>
      <c r="D175" s="2">
        <v>1</v>
      </c>
      <c r="E175" s="2">
        <v>1.012</v>
      </c>
    </row>
    <row r="176" spans="1:5" ht="14.25" customHeight="1">
      <c r="A176" s="2">
        <v>5</v>
      </c>
      <c r="B176" s="2">
        <v>175</v>
      </c>
      <c r="C176" s="2">
        <v>6</v>
      </c>
      <c r="D176" s="2">
        <v>1</v>
      </c>
      <c r="E176" s="2">
        <v>1.4319999999999999</v>
      </c>
    </row>
    <row r="177" spans="1:5" ht="14.25" customHeight="1">
      <c r="A177" s="2">
        <v>5</v>
      </c>
      <c r="B177" s="2">
        <v>176</v>
      </c>
      <c r="C177" s="2">
        <v>3</v>
      </c>
      <c r="D177" s="2">
        <v>1</v>
      </c>
      <c r="E177" s="2">
        <v>0.92300000000000004</v>
      </c>
    </row>
    <row r="178" spans="1:5" ht="14.25" customHeight="1">
      <c r="A178" s="2">
        <v>5</v>
      </c>
      <c r="B178" s="2">
        <v>177</v>
      </c>
      <c r="C178" s="2">
        <v>6</v>
      </c>
      <c r="D178" s="2">
        <v>1</v>
      </c>
      <c r="E178" s="2">
        <v>1.3620000000000001</v>
      </c>
    </row>
    <row r="179" spans="1:5" ht="14.25" customHeight="1">
      <c r="A179" s="2">
        <v>5</v>
      </c>
      <c r="B179" s="2">
        <v>178</v>
      </c>
      <c r="C179" s="2">
        <v>2</v>
      </c>
      <c r="D179" s="2">
        <v>1</v>
      </c>
      <c r="E179" s="2">
        <v>1.121</v>
      </c>
    </row>
    <row r="180" spans="1:5" ht="14.25" customHeight="1">
      <c r="A180" s="2">
        <v>5</v>
      </c>
      <c r="B180" s="2">
        <v>179</v>
      </c>
      <c r="C180" s="2">
        <v>8</v>
      </c>
      <c r="D180" s="2">
        <v>1</v>
      </c>
      <c r="E180" s="2">
        <v>0.99099999999999999</v>
      </c>
    </row>
    <row r="181" spans="1:5" ht="14.25" customHeight="1">
      <c r="A181" s="2">
        <v>5</v>
      </c>
      <c r="B181" s="2">
        <v>180</v>
      </c>
      <c r="C181" s="2">
        <v>4</v>
      </c>
      <c r="D181" s="2">
        <v>1</v>
      </c>
      <c r="E181" s="2">
        <v>1.2290000000000001</v>
      </c>
    </row>
    <row r="182" spans="1:5" ht="14.25" customHeight="1">
      <c r="A182" s="2">
        <v>5</v>
      </c>
      <c r="B182" s="2">
        <v>181</v>
      </c>
      <c r="C182" s="2">
        <v>3</v>
      </c>
      <c r="D182" s="2">
        <v>1</v>
      </c>
      <c r="E182" s="2">
        <v>1.24</v>
      </c>
    </row>
    <row r="183" spans="1:5" ht="14.25" customHeight="1">
      <c r="A183" s="2">
        <v>5</v>
      </c>
      <c r="B183" s="2">
        <v>182</v>
      </c>
      <c r="C183" s="2">
        <v>1</v>
      </c>
      <c r="D183" s="2">
        <v>1</v>
      </c>
      <c r="E183" s="2">
        <v>0.81799999999999995</v>
      </c>
    </row>
    <row r="184" spans="1:5" ht="14.25" customHeight="1">
      <c r="A184" s="2">
        <v>5</v>
      </c>
      <c r="B184" s="2">
        <v>183</v>
      </c>
      <c r="C184" s="2">
        <v>3</v>
      </c>
      <c r="D184" s="2">
        <v>1</v>
      </c>
      <c r="E184" s="2">
        <v>1.014</v>
      </c>
    </row>
    <row r="185" spans="1:5" ht="14.25" customHeight="1">
      <c r="A185" s="2">
        <v>5</v>
      </c>
      <c r="B185" s="2">
        <v>184</v>
      </c>
      <c r="C185" s="2">
        <v>5</v>
      </c>
      <c r="D185" s="2">
        <v>1</v>
      </c>
      <c r="E185" s="2">
        <v>0.81</v>
      </c>
    </row>
    <row r="186" spans="1:5" ht="14.25" customHeight="1">
      <c r="A186" s="2">
        <v>5</v>
      </c>
      <c r="B186" s="2">
        <v>185</v>
      </c>
      <c r="C186" s="2">
        <v>7</v>
      </c>
      <c r="D186" s="2">
        <v>1</v>
      </c>
      <c r="E186" s="2">
        <v>1.198</v>
      </c>
    </row>
    <row r="187" spans="1:5" ht="14.25" customHeight="1">
      <c r="A187" s="2">
        <v>5</v>
      </c>
      <c r="B187" s="2">
        <v>186</v>
      </c>
      <c r="C187" s="2">
        <v>6</v>
      </c>
      <c r="D187" s="2">
        <v>1</v>
      </c>
      <c r="E187" s="2">
        <v>0.78700000000000003</v>
      </c>
    </row>
    <row r="188" spans="1:5" ht="14.25" customHeight="1">
      <c r="A188" s="2">
        <v>5</v>
      </c>
      <c r="B188" s="2">
        <v>187</v>
      </c>
      <c r="C188" s="2">
        <v>8</v>
      </c>
      <c r="D188" s="2">
        <v>1</v>
      </c>
      <c r="E188" s="2">
        <v>1.0309999999999999</v>
      </c>
    </row>
    <row r="189" spans="1:5" ht="14.25" customHeight="1">
      <c r="A189" s="2">
        <v>5</v>
      </c>
      <c r="B189" s="2">
        <v>188</v>
      </c>
      <c r="C189" s="2">
        <v>4</v>
      </c>
      <c r="D189" s="2">
        <v>1</v>
      </c>
      <c r="E189" s="2">
        <v>1.3779999999999999</v>
      </c>
    </row>
    <row r="190" spans="1:5" ht="14.25" customHeight="1">
      <c r="A190" s="2">
        <v>5</v>
      </c>
      <c r="B190" s="2">
        <v>189</v>
      </c>
      <c r="C190" s="2">
        <v>5</v>
      </c>
      <c r="D190" s="2">
        <v>1</v>
      </c>
      <c r="E190" s="2">
        <v>1.44</v>
      </c>
    </row>
    <row r="191" spans="1:5" ht="14.25" customHeight="1">
      <c r="A191" s="2">
        <v>5</v>
      </c>
      <c r="B191" s="2">
        <v>190</v>
      </c>
      <c r="C191" s="2">
        <v>4</v>
      </c>
      <c r="D191" s="2">
        <v>1</v>
      </c>
      <c r="E191" s="2">
        <v>1.49</v>
      </c>
    </row>
    <row r="192" spans="1:5" ht="14.25" customHeight="1">
      <c r="A192" s="2">
        <v>5</v>
      </c>
      <c r="B192" s="2">
        <v>191</v>
      </c>
      <c r="C192" s="2">
        <v>1</v>
      </c>
      <c r="D192" s="2">
        <v>1</v>
      </c>
      <c r="E192" s="2">
        <v>0.82699999999999996</v>
      </c>
    </row>
    <row r="193" spans="1:5" ht="14.25" customHeight="1">
      <c r="A193" s="2">
        <v>5</v>
      </c>
      <c r="B193" s="2">
        <v>192</v>
      </c>
      <c r="C193" s="2">
        <v>6</v>
      </c>
      <c r="D193" s="2">
        <v>1</v>
      </c>
      <c r="E193" s="2">
        <v>0.78200000000000003</v>
      </c>
    </row>
    <row r="194" spans="1:5" ht="14.25" customHeight="1">
      <c r="A194" s="2">
        <v>5</v>
      </c>
      <c r="B194" s="2">
        <v>193</v>
      </c>
      <c r="C194" s="2">
        <v>2</v>
      </c>
      <c r="D194" s="2">
        <v>1</v>
      </c>
      <c r="E194" s="2">
        <v>1.0840000000000001</v>
      </c>
    </row>
    <row r="195" spans="1:5" ht="14.25" customHeight="1">
      <c r="A195" s="2">
        <v>5</v>
      </c>
      <c r="B195" s="2">
        <v>194</v>
      </c>
      <c r="C195" s="2">
        <v>3</v>
      </c>
      <c r="D195" s="2">
        <v>1</v>
      </c>
      <c r="E195" s="2">
        <v>0.96499999999999997</v>
      </c>
    </row>
    <row r="196" spans="1:5" ht="14.25" customHeight="1">
      <c r="A196" s="2">
        <v>5</v>
      </c>
      <c r="B196" s="2">
        <v>195</v>
      </c>
      <c r="C196" s="2">
        <v>1</v>
      </c>
      <c r="D196" s="2">
        <v>1</v>
      </c>
      <c r="E196" s="2">
        <v>1.603</v>
      </c>
    </row>
    <row r="197" spans="1:5" ht="14.25" customHeight="1">
      <c r="A197" s="2">
        <v>5</v>
      </c>
      <c r="B197" s="2">
        <v>196</v>
      </c>
      <c r="C197" s="2">
        <v>4</v>
      </c>
      <c r="D197" s="2">
        <v>1</v>
      </c>
      <c r="E197" s="2">
        <v>0.86299999999999999</v>
      </c>
    </row>
    <row r="198" spans="1:5" ht="14.25" customHeight="1">
      <c r="A198" s="2">
        <v>5</v>
      </c>
      <c r="B198" s="2">
        <v>197</v>
      </c>
      <c r="C198" s="2">
        <v>3</v>
      </c>
      <c r="D198" s="2">
        <v>1</v>
      </c>
      <c r="E198" s="2">
        <v>1.0569999999999999</v>
      </c>
    </row>
    <row r="199" spans="1:5" ht="14.25" customHeight="1">
      <c r="A199" s="2">
        <v>5</v>
      </c>
      <c r="B199" s="2">
        <v>198</v>
      </c>
      <c r="C199" s="2">
        <v>6</v>
      </c>
      <c r="D199" s="2">
        <v>1</v>
      </c>
      <c r="E199" s="2">
        <v>1.4670000000000001</v>
      </c>
    </row>
    <row r="200" spans="1:5" ht="14.25" customHeight="1">
      <c r="A200" s="2">
        <v>5</v>
      </c>
      <c r="B200" s="2">
        <v>199</v>
      </c>
      <c r="C200" s="2">
        <v>8</v>
      </c>
      <c r="D200" s="2">
        <v>1</v>
      </c>
      <c r="E200" s="2">
        <v>1.117</v>
      </c>
    </row>
    <row r="201" spans="1:5" ht="14.25" customHeight="1">
      <c r="A201" s="2">
        <v>5</v>
      </c>
      <c r="B201" s="2">
        <v>200</v>
      </c>
      <c r="C201" s="2">
        <v>5</v>
      </c>
      <c r="D201" s="2">
        <v>1</v>
      </c>
      <c r="E201" s="2">
        <v>0.86899999999999999</v>
      </c>
    </row>
    <row r="202" spans="1:5" ht="14.25" customHeight="1">
      <c r="A202" s="2">
        <v>5</v>
      </c>
      <c r="B202" s="2">
        <v>201</v>
      </c>
      <c r="C202" s="2">
        <v>6</v>
      </c>
    </row>
    <row r="203" spans="1:5" ht="14.25" customHeight="1">
      <c r="A203" s="2">
        <v>5</v>
      </c>
      <c r="B203" s="2">
        <v>202</v>
      </c>
      <c r="C203" s="2">
        <v>5</v>
      </c>
    </row>
    <row r="204" spans="1:5" ht="14.25" customHeight="1">
      <c r="A204" s="2">
        <v>5</v>
      </c>
      <c r="B204" s="2">
        <v>203</v>
      </c>
      <c r="C204" s="2">
        <v>8</v>
      </c>
    </row>
    <row r="205" spans="1:5" ht="14.25" customHeight="1">
      <c r="A205" s="2">
        <v>5</v>
      </c>
      <c r="B205" s="2">
        <v>204</v>
      </c>
      <c r="C205" s="2">
        <v>4</v>
      </c>
    </row>
    <row r="206" spans="1:5" ht="14.25" customHeight="1">
      <c r="A206" s="2">
        <v>5</v>
      </c>
      <c r="B206" s="2">
        <v>205</v>
      </c>
      <c r="C206" s="2">
        <v>3</v>
      </c>
    </row>
    <row r="207" spans="1:5" ht="14.25" customHeight="1">
      <c r="A207" s="2">
        <v>5</v>
      </c>
      <c r="B207" s="2">
        <v>206</v>
      </c>
      <c r="C207" s="2">
        <v>2</v>
      </c>
    </row>
    <row r="208" spans="1:5" ht="14.25" customHeight="1">
      <c r="A208" s="2">
        <v>5</v>
      </c>
      <c r="B208" s="2">
        <v>207</v>
      </c>
      <c r="C208" s="2">
        <v>4</v>
      </c>
    </row>
    <row r="209" spans="1:3" ht="14.25" customHeight="1">
      <c r="A209" s="2">
        <v>5</v>
      </c>
      <c r="B209" s="2">
        <v>208</v>
      </c>
      <c r="C209" s="2">
        <v>6</v>
      </c>
    </row>
    <row r="210" spans="1:3" ht="14.25" customHeight="1">
      <c r="A210" s="2">
        <v>5</v>
      </c>
      <c r="B210" s="2">
        <v>209</v>
      </c>
      <c r="C210" s="2">
        <v>1</v>
      </c>
    </row>
    <row r="211" spans="1:3" ht="14.25" customHeight="1">
      <c r="A211" s="2">
        <v>5</v>
      </c>
      <c r="B211" s="2">
        <v>210</v>
      </c>
      <c r="C211" s="2">
        <v>4</v>
      </c>
    </row>
    <row r="212" spans="1:3" ht="14.25" customHeight="1">
      <c r="A212" s="2">
        <v>5</v>
      </c>
      <c r="B212" s="2">
        <v>211</v>
      </c>
      <c r="C212" s="2">
        <v>7</v>
      </c>
    </row>
    <row r="213" spans="1:3" ht="14.25" customHeight="1">
      <c r="A213" s="2">
        <v>5</v>
      </c>
      <c r="B213" s="2">
        <v>212</v>
      </c>
      <c r="C213" s="2">
        <v>4</v>
      </c>
    </row>
    <row r="214" spans="1:3" ht="14.25" customHeight="1">
      <c r="A214" s="2">
        <v>5</v>
      </c>
      <c r="B214" s="2">
        <v>213</v>
      </c>
      <c r="C214" s="2">
        <v>8</v>
      </c>
    </row>
    <row r="215" spans="1:3" ht="14.25" customHeight="1">
      <c r="A215" s="2">
        <v>5</v>
      </c>
      <c r="B215" s="2">
        <v>214</v>
      </c>
      <c r="C215" s="2">
        <v>6</v>
      </c>
    </row>
    <row r="216" spans="1:3" ht="14.25" customHeight="1">
      <c r="A216" s="2">
        <v>5</v>
      </c>
      <c r="B216" s="2">
        <v>215</v>
      </c>
      <c r="C216" s="2">
        <v>7</v>
      </c>
    </row>
    <row r="217" spans="1:3" ht="14.25" customHeight="1">
      <c r="A217" s="2">
        <v>5</v>
      </c>
      <c r="B217" s="2">
        <v>216</v>
      </c>
      <c r="C217" s="2">
        <v>4</v>
      </c>
    </row>
    <row r="218" spans="1:3" ht="14.25" customHeight="1">
      <c r="A218" s="2">
        <v>5</v>
      </c>
      <c r="B218" s="2">
        <v>217</v>
      </c>
      <c r="C218" s="2">
        <v>3</v>
      </c>
    </row>
    <row r="219" spans="1:3" ht="14.25" customHeight="1">
      <c r="A219" s="2">
        <v>5</v>
      </c>
      <c r="B219" s="2">
        <v>218</v>
      </c>
      <c r="C219" s="2">
        <v>7</v>
      </c>
    </row>
    <row r="220" spans="1:3" ht="14.25" customHeight="1">
      <c r="A220" s="2">
        <v>5</v>
      </c>
      <c r="B220" s="2">
        <v>219</v>
      </c>
      <c r="C220" s="2">
        <v>4</v>
      </c>
    </row>
    <row r="221" spans="1:3" ht="14.25" customHeight="1">
      <c r="A221" s="2">
        <v>5</v>
      </c>
      <c r="B221" s="2">
        <v>220</v>
      </c>
      <c r="C221" s="2">
        <v>8</v>
      </c>
    </row>
    <row r="222" spans="1:3" ht="14.25" customHeight="1">
      <c r="A222" s="2">
        <v>5</v>
      </c>
      <c r="B222" s="2">
        <v>221</v>
      </c>
      <c r="C222" s="2">
        <v>2</v>
      </c>
    </row>
    <row r="223" spans="1:3" ht="14.25" customHeight="1">
      <c r="A223" s="2">
        <v>5</v>
      </c>
      <c r="B223" s="2">
        <v>222</v>
      </c>
      <c r="C223" s="2">
        <v>4</v>
      </c>
    </row>
    <row r="224" spans="1:3" ht="14.25" customHeight="1">
      <c r="A224" s="2">
        <v>5</v>
      </c>
      <c r="B224" s="2">
        <v>223</v>
      </c>
      <c r="C224" s="2">
        <v>5</v>
      </c>
    </row>
    <row r="225" spans="1:3" ht="14.25" customHeight="1">
      <c r="A225" s="2">
        <v>5</v>
      </c>
      <c r="B225" s="2">
        <v>224</v>
      </c>
      <c r="C225" s="2">
        <v>3</v>
      </c>
    </row>
    <row r="226" spans="1:3" ht="14.25" customHeight="1">
      <c r="A226" s="2">
        <v>5</v>
      </c>
      <c r="B226" s="2">
        <v>225</v>
      </c>
      <c r="C226" s="2">
        <v>8</v>
      </c>
    </row>
    <row r="227" spans="1:3" ht="14.25" customHeight="1">
      <c r="A227" s="2">
        <v>5</v>
      </c>
      <c r="B227" s="2">
        <v>226</v>
      </c>
      <c r="C227" s="2">
        <v>7</v>
      </c>
    </row>
    <row r="228" spans="1:3" ht="14.25" customHeight="1">
      <c r="A228" s="2">
        <v>5</v>
      </c>
      <c r="B228" s="2">
        <v>227</v>
      </c>
      <c r="C228" s="2">
        <v>8</v>
      </c>
    </row>
    <row r="229" spans="1:3" ht="14.25" customHeight="1">
      <c r="A229" s="2">
        <v>5</v>
      </c>
      <c r="B229" s="2">
        <v>228</v>
      </c>
      <c r="C229" s="2">
        <v>1</v>
      </c>
    </row>
    <row r="230" spans="1:3" ht="14.25" customHeight="1">
      <c r="A230" s="2">
        <v>5</v>
      </c>
      <c r="B230" s="2">
        <v>229</v>
      </c>
      <c r="C230" s="2">
        <v>2</v>
      </c>
    </row>
    <row r="231" spans="1:3" ht="14.25" customHeight="1">
      <c r="A231" s="2">
        <v>5</v>
      </c>
      <c r="B231" s="2">
        <v>230</v>
      </c>
      <c r="C231" s="2">
        <v>3</v>
      </c>
    </row>
    <row r="232" spans="1:3" ht="14.25" customHeight="1">
      <c r="A232" s="2">
        <v>5</v>
      </c>
      <c r="B232" s="2">
        <v>231</v>
      </c>
      <c r="C232" s="2">
        <v>6</v>
      </c>
    </row>
    <row r="233" spans="1:3" ht="14.25" customHeight="1">
      <c r="A233" s="2">
        <v>5</v>
      </c>
      <c r="B233" s="2">
        <v>232</v>
      </c>
      <c r="C233" s="2">
        <v>5</v>
      </c>
    </row>
    <row r="234" spans="1:3" ht="14.25" customHeight="1">
      <c r="A234" s="2">
        <v>5</v>
      </c>
      <c r="B234" s="2">
        <v>233</v>
      </c>
      <c r="C234" s="2">
        <v>1</v>
      </c>
    </row>
    <row r="235" spans="1:3" ht="14.25" customHeight="1">
      <c r="A235" s="2">
        <v>5</v>
      </c>
      <c r="B235" s="2">
        <v>234</v>
      </c>
      <c r="C235" s="2">
        <v>6</v>
      </c>
    </row>
    <row r="236" spans="1:3" ht="14.25" customHeight="1">
      <c r="A236" s="2">
        <v>5</v>
      </c>
      <c r="B236" s="2">
        <v>235</v>
      </c>
      <c r="C236" s="2">
        <v>5</v>
      </c>
    </row>
    <row r="237" spans="1:3" ht="14.25" customHeight="1">
      <c r="A237" s="2">
        <v>5</v>
      </c>
      <c r="B237" s="2">
        <v>236</v>
      </c>
      <c r="C237" s="2">
        <v>1</v>
      </c>
    </row>
    <row r="238" spans="1:3" ht="14.25" customHeight="1">
      <c r="A238" s="2">
        <v>5</v>
      </c>
      <c r="B238" s="2">
        <v>237</v>
      </c>
      <c r="C238" s="2">
        <v>3</v>
      </c>
    </row>
    <row r="239" spans="1:3" ht="14.25" customHeight="1">
      <c r="A239" s="2">
        <v>5</v>
      </c>
      <c r="B239" s="2">
        <v>238</v>
      </c>
      <c r="C239" s="2">
        <v>2</v>
      </c>
    </row>
    <row r="240" spans="1:3" ht="14.25" customHeight="1">
      <c r="A240" s="2">
        <v>5</v>
      </c>
      <c r="B240" s="2">
        <v>239</v>
      </c>
      <c r="C240" s="2">
        <v>1</v>
      </c>
    </row>
    <row r="241" spans="1:3" ht="14.25" customHeight="1">
      <c r="A241" s="2">
        <v>5</v>
      </c>
      <c r="B241" s="2">
        <v>240</v>
      </c>
      <c r="C241" s="2">
        <v>2</v>
      </c>
    </row>
    <row r="242" spans="1:3" ht="14.25" customHeight="1">
      <c r="A242" s="2">
        <v>5</v>
      </c>
      <c r="B242" s="2">
        <v>241</v>
      </c>
      <c r="C242" s="2">
        <v>4</v>
      </c>
    </row>
    <row r="243" spans="1:3" ht="14.25" customHeight="1">
      <c r="A243" s="2">
        <v>5</v>
      </c>
      <c r="B243" s="2">
        <v>242</v>
      </c>
      <c r="C243" s="2">
        <v>6</v>
      </c>
    </row>
    <row r="244" spans="1:3" ht="14.25" customHeight="1">
      <c r="A244" s="2">
        <v>5</v>
      </c>
      <c r="B244" s="2">
        <v>243</v>
      </c>
      <c r="C244" s="2">
        <v>3</v>
      </c>
    </row>
    <row r="245" spans="1:3" ht="14.25" customHeight="1">
      <c r="A245" s="2">
        <v>5</v>
      </c>
      <c r="B245" s="2">
        <v>244</v>
      </c>
      <c r="C245" s="2">
        <v>7</v>
      </c>
    </row>
    <row r="246" spans="1:3" ht="14.25" customHeight="1">
      <c r="A246" s="2">
        <v>5</v>
      </c>
      <c r="B246" s="2">
        <v>245</v>
      </c>
      <c r="C246" s="2">
        <v>1</v>
      </c>
    </row>
    <row r="247" spans="1:3" ht="14.25" customHeight="1">
      <c r="A247" s="2">
        <v>5</v>
      </c>
      <c r="B247" s="2">
        <v>246</v>
      </c>
      <c r="C247" s="2">
        <v>5</v>
      </c>
    </row>
    <row r="248" spans="1:3" ht="14.25" customHeight="1">
      <c r="A248" s="2">
        <v>5</v>
      </c>
      <c r="B248" s="2">
        <v>247</v>
      </c>
      <c r="C248" s="2">
        <v>2</v>
      </c>
    </row>
    <row r="249" spans="1:3" ht="14.25" customHeight="1">
      <c r="A249" s="2">
        <v>5</v>
      </c>
      <c r="B249" s="2">
        <v>248</v>
      </c>
      <c r="C249" s="2">
        <v>5</v>
      </c>
    </row>
    <row r="250" spans="1:3" ht="14.25" customHeight="1">
      <c r="A250" s="2">
        <v>5</v>
      </c>
      <c r="B250" s="2">
        <v>249</v>
      </c>
      <c r="C250" s="2">
        <v>7</v>
      </c>
    </row>
    <row r="251" spans="1:3" ht="14.25" customHeight="1">
      <c r="A251" s="2">
        <v>5</v>
      </c>
      <c r="B251" s="2">
        <v>250</v>
      </c>
      <c r="C251" s="2">
        <v>8</v>
      </c>
    </row>
    <row r="252" spans="1:3" ht="14.25" customHeight="1">
      <c r="A252" s="2">
        <v>5</v>
      </c>
      <c r="B252" s="2">
        <v>251</v>
      </c>
      <c r="C252" s="2">
        <v>4</v>
      </c>
    </row>
    <row r="253" spans="1:3" ht="14.25" customHeight="1">
      <c r="A253" s="2">
        <v>5</v>
      </c>
      <c r="B253" s="2">
        <v>252</v>
      </c>
      <c r="C253" s="2">
        <v>2</v>
      </c>
    </row>
    <row r="254" spans="1:3" ht="14.25" customHeight="1">
      <c r="A254" s="2">
        <v>5</v>
      </c>
      <c r="B254" s="2">
        <v>253</v>
      </c>
      <c r="C254" s="2">
        <v>1</v>
      </c>
    </row>
    <row r="255" spans="1:3" ht="14.25" customHeight="1">
      <c r="A255" s="2">
        <v>5</v>
      </c>
      <c r="B255" s="2">
        <v>254</v>
      </c>
      <c r="C255" s="2">
        <v>5</v>
      </c>
    </row>
    <row r="256" spans="1:3" ht="14.25" customHeight="1">
      <c r="A256" s="2">
        <v>5</v>
      </c>
      <c r="B256" s="2">
        <v>255</v>
      </c>
      <c r="C256" s="2">
        <v>6</v>
      </c>
    </row>
    <row r="257" spans="1:3" ht="14.25" customHeight="1">
      <c r="A257" s="2">
        <v>5</v>
      </c>
      <c r="B257" s="2">
        <v>256</v>
      </c>
      <c r="C257" s="2">
        <v>1</v>
      </c>
    </row>
    <row r="258" spans="1:3" ht="14.25" customHeight="1">
      <c r="A258" s="2">
        <v>5</v>
      </c>
      <c r="B258" s="2">
        <v>257</v>
      </c>
      <c r="C258" s="2">
        <v>6</v>
      </c>
    </row>
    <row r="259" spans="1:3" ht="14.25" customHeight="1">
      <c r="A259" s="2">
        <v>5</v>
      </c>
      <c r="B259" s="2">
        <v>258</v>
      </c>
      <c r="C259" s="2">
        <v>2</v>
      </c>
    </row>
    <row r="260" spans="1:3" ht="14.25" customHeight="1">
      <c r="A260" s="2">
        <v>5</v>
      </c>
      <c r="B260" s="2">
        <v>259</v>
      </c>
      <c r="C260" s="2">
        <v>8</v>
      </c>
    </row>
    <row r="261" spans="1:3" ht="14.25" customHeight="1">
      <c r="A261" s="2">
        <v>5</v>
      </c>
      <c r="B261" s="2">
        <v>260</v>
      </c>
      <c r="C261" s="2">
        <v>3</v>
      </c>
    </row>
    <row r="262" spans="1:3" ht="14.25" customHeight="1">
      <c r="A262" s="2">
        <v>5</v>
      </c>
      <c r="B262" s="2">
        <v>261</v>
      </c>
      <c r="C262" s="2">
        <v>1</v>
      </c>
    </row>
    <row r="263" spans="1:3" ht="14.25" customHeight="1">
      <c r="A263" s="2">
        <v>5</v>
      </c>
      <c r="B263" s="2">
        <v>262</v>
      </c>
      <c r="C263" s="2">
        <v>5</v>
      </c>
    </row>
    <row r="264" spans="1:3" ht="14.25" customHeight="1">
      <c r="A264" s="2">
        <v>5</v>
      </c>
      <c r="B264" s="2">
        <v>263</v>
      </c>
      <c r="C264" s="2">
        <v>3</v>
      </c>
    </row>
    <row r="265" spans="1:3" ht="14.25" customHeight="1">
      <c r="A265" s="2">
        <v>5</v>
      </c>
      <c r="B265" s="2">
        <v>264</v>
      </c>
      <c r="C265" s="2">
        <v>1</v>
      </c>
    </row>
    <row r="266" spans="1:3" ht="14.25" customHeight="1">
      <c r="A266" s="2">
        <v>5</v>
      </c>
      <c r="B266" s="2">
        <v>265</v>
      </c>
      <c r="C266" s="2">
        <v>8</v>
      </c>
    </row>
    <row r="267" spans="1:3" ht="14.25" customHeight="1">
      <c r="A267" s="2">
        <v>5</v>
      </c>
      <c r="B267" s="2">
        <v>266</v>
      </c>
      <c r="C267" s="2">
        <v>7</v>
      </c>
    </row>
    <row r="268" spans="1:3" ht="14.25" customHeight="1">
      <c r="A268" s="2">
        <v>5</v>
      </c>
      <c r="B268" s="2">
        <v>267</v>
      </c>
      <c r="C268" s="2">
        <v>6</v>
      </c>
    </row>
    <row r="269" spans="1:3" ht="14.25" customHeight="1">
      <c r="A269" s="2">
        <v>5</v>
      </c>
      <c r="B269" s="2">
        <v>268</v>
      </c>
      <c r="C269" s="2">
        <v>4</v>
      </c>
    </row>
    <row r="270" spans="1:3" ht="14.25" customHeight="1">
      <c r="A270" s="2">
        <v>5</v>
      </c>
      <c r="B270" s="2">
        <v>269</v>
      </c>
      <c r="C270" s="2">
        <v>7</v>
      </c>
    </row>
    <row r="271" spans="1:3" ht="14.25" customHeight="1">
      <c r="A271" s="2">
        <v>5</v>
      </c>
      <c r="B271" s="2">
        <v>270</v>
      </c>
      <c r="C271" s="2">
        <v>3</v>
      </c>
    </row>
    <row r="272" spans="1:3" ht="14.25" customHeight="1">
      <c r="A272" s="2">
        <v>5</v>
      </c>
      <c r="B272" s="2">
        <v>271</v>
      </c>
      <c r="C272" s="2">
        <v>8</v>
      </c>
    </row>
    <row r="273" spans="1:3" ht="14.25" customHeight="1">
      <c r="A273" s="2">
        <v>5</v>
      </c>
      <c r="B273" s="2">
        <v>272</v>
      </c>
      <c r="C273" s="2">
        <v>5</v>
      </c>
    </row>
    <row r="274" spans="1:3" ht="14.25" customHeight="1">
      <c r="A274" s="2">
        <v>5</v>
      </c>
      <c r="B274" s="2">
        <v>273</v>
      </c>
      <c r="C274" s="2">
        <v>6</v>
      </c>
    </row>
    <row r="275" spans="1:3" ht="14.25" customHeight="1">
      <c r="A275" s="2">
        <v>5</v>
      </c>
      <c r="B275" s="2">
        <v>274</v>
      </c>
      <c r="C275" s="2">
        <v>4</v>
      </c>
    </row>
    <row r="276" spans="1:3" ht="14.25" customHeight="1">
      <c r="A276" s="2">
        <v>5</v>
      </c>
      <c r="B276" s="2">
        <v>275</v>
      </c>
      <c r="C276" s="2">
        <v>6</v>
      </c>
    </row>
    <row r="277" spans="1:3" ht="14.25" customHeight="1">
      <c r="A277" s="2">
        <v>5</v>
      </c>
      <c r="B277" s="2">
        <v>276</v>
      </c>
      <c r="C277" s="2">
        <v>8</v>
      </c>
    </row>
    <row r="278" spans="1:3" ht="14.25" customHeight="1">
      <c r="A278" s="2">
        <v>5</v>
      </c>
      <c r="B278" s="2">
        <v>277</v>
      </c>
      <c r="C278" s="2">
        <v>5</v>
      </c>
    </row>
    <row r="279" spans="1:3" ht="14.25" customHeight="1">
      <c r="A279" s="2">
        <v>5</v>
      </c>
      <c r="B279" s="2">
        <v>278</v>
      </c>
      <c r="C279" s="2">
        <v>2</v>
      </c>
    </row>
    <row r="280" spans="1:3" ht="14.25" customHeight="1">
      <c r="A280" s="2">
        <v>5</v>
      </c>
      <c r="B280" s="2">
        <v>279</v>
      </c>
      <c r="C280" s="2">
        <v>1</v>
      </c>
    </row>
    <row r="281" spans="1:3" ht="14.25" customHeight="1">
      <c r="A281" s="2">
        <v>5</v>
      </c>
      <c r="B281" s="2">
        <v>280</v>
      </c>
      <c r="C281" s="2">
        <v>5</v>
      </c>
    </row>
    <row r="282" spans="1:3" ht="14.25" customHeight="1">
      <c r="A282" s="2">
        <v>5</v>
      </c>
      <c r="B282" s="2">
        <v>281</v>
      </c>
      <c r="C282" s="2">
        <v>8</v>
      </c>
    </row>
    <row r="283" spans="1:3" ht="14.25" customHeight="1">
      <c r="A283" s="2">
        <v>5</v>
      </c>
      <c r="B283" s="2">
        <v>282</v>
      </c>
      <c r="C283" s="2">
        <v>3</v>
      </c>
    </row>
    <row r="284" spans="1:3" ht="14.25" customHeight="1">
      <c r="A284" s="2">
        <v>5</v>
      </c>
      <c r="B284" s="2">
        <v>283</v>
      </c>
      <c r="C284" s="2">
        <v>4</v>
      </c>
    </row>
    <row r="285" spans="1:3" ht="14.25" customHeight="1">
      <c r="A285" s="2">
        <v>5</v>
      </c>
      <c r="B285" s="2">
        <v>284</v>
      </c>
      <c r="C285" s="2">
        <v>7</v>
      </c>
    </row>
    <row r="286" spans="1:3" ht="14.25" customHeight="1">
      <c r="A286" s="2">
        <v>5</v>
      </c>
      <c r="B286" s="2">
        <v>285</v>
      </c>
      <c r="C286" s="2">
        <v>4</v>
      </c>
    </row>
    <row r="287" spans="1:3" ht="14.25" customHeight="1">
      <c r="A287" s="2">
        <v>5</v>
      </c>
      <c r="B287" s="2">
        <v>286</v>
      </c>
      <c r="C287" s="2">
        <v>5</v>
      </c>
    </row>
    <row r="288" spans="1:3" ht="14.25" customHeight="1">
      <c r="A288" s="2">
        <v>5</v>
      </c>
      <c r="B288" s="2">
        <v>287</v>
      </c>
      <c r="C288" s="2">
        <v>4</v>
      </c>
    </row>
    <row r="289" spans="1:4" ht="14.25" customHeight="1">
      <c r="A289" s="2">
        <v>5</v>
      </c>
      <c r="B289" s="2">
        <v>288</v>
      </c>
      <c r="C289" s="2">
        <v>7</v>
      </c>
    </row>
    <row r="290" spans="1:4" ht="14.25" customHeight="1">
      <c r="A290" s="2">
        <v>5</v>
      </c>
      <c r="B290" s="2">
        <v>289</v>
      </c>
      <c r="C290" s="2">
        <v>2</v>
      </c>
    </row>
    <row r="291" spans="1:4" ht="14.25" customHeight="1">
      <c r="A291" s="2">
        <v>5</v>
      </c>
      <c r="B291" s="2">
        <v>290</v>
      </c>
      <c r="C291" s="2">
        <v>7</v>
      </c>
    </row>
    <row r="292" spans="1:4" ht="14.25" customHeight="1">
      <c r="A292" s="2">
        <v>5</v>
      </c>
      <c r="B292" s="2">
        <v>291</v>
      </c>
      <c r="C292" s="2">
        <v>4</v>
      </c>
    </row>
    <row r="293" spans="1:4" ht="14.25" customHeight="1">
      <c r="A293" s="2">
        <v>5</v>
      </c>
      <c r="B293" s="2">
        <v>292</v>
      </c>
      <c r="C293" s="2">
        <v>2</v>
      </c>
    </row>
    <row r="294" spans="1:4" ht="14.25" customHeight="1">
      <c r="A294" s="2">
        <v>5</v>
      </c>
      <c r="B294" s="2">
        <v>293</v>
      </c>
      <c r="C294" s="2">
        <v>8</v>
      </c>
    </row>
    <row r="295" spans="1:4" ht="14.25" customHeight="1">
      <c r="A295" s="2">
        <v>5</v>
      </c>
      <c r="B295" s="2">
        <v>294</v>
      </c>
      <c r="C295" s="2">
        <v>7</v>
      </c>
    </row>
    <row r="296" spans="1:4" ht="14.25" customHeight="1">
      <c r="A296" s="2">
        <v>5</v>
      </c>
      <c r="B296" s="2">
        <v>295</v>
      </c>
      <c r="C296" s="2">
        <v>1</v>
      </c>
    </row>
    <row r="297" spans="1:4" ht="14.25" customHeight="1">
      <c r="A297" s="2">
        <v>5</v>
      </c>
      <c r="B297" s="2">
        <v>296</v>
      </c>
      <c r="C297" s="2">
        <v>3</v>
      </c>
    </row>
    <row r="298" spans="1:4" ht="14.25" customHeight="1">
      <c r="A298" s="2">
        <v>5</v>
      </c>
      <c r="B298" s="2">
        <v>297</v>
      </c>
      <c r="C298" s="2">
        <v>6</v>
      </c>
    </row>
    <row r="299" spans="1:4" ht="14.25" customHeight="1">
      <c r="A299" s="2">
        <v>5</v>
      </c>
      <c r="B299" s="2">
        <v>298</v>
      </c>
      <c r="C299" s="2">
        <v>4</v>
      </c>
    </row>
    <row r="300" spans="1:4" ht="14.25" customHeight="1">
      <c r="A300" s="2">
        <v>5</v>
      </c>
      <c r="B300" s="2">
        <v>299</v>
      </c>
      <c r="C300" s="2">
        <v>3</v>
      </c>
    </row>
    <row r="301" spans="1:4" ht="14.25" customHeight="1">
      <c r="A301" s="2">
        <v>5</v>
      </c>
      <c r="B301" s="2">
        <v>300</v>
      </c>
      <c r="C301" s="2">
        <v>2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6</v>
      </c>
      <c r="I1" s="2">
        <v>201</v>
      </c>
      <c r="J1" s="2">
        <v>8</v>
      </c>
      <c r="L1" s="2">
        <v>2</v>
      </c>
    </row>
    <row r="2" spans="1:25" ht="14.25" customHeight="1">
      <c r="A2" s="2">
        <v>6</v>
      </c>
      <c r="B2" s="2">
        <v>1</v>
      </c>
      <c r="C2" s="2">
        <v>5</v>
      </c>
      <c r="E2" s="2">
        <v>2.0019999999999998</v>
      </c>
      <c r="H2" s="2">
        <v>6</v>
      </c>
      <c r="I2" s="2">
        <v>202</v>
      </c>
      <c r="J2" s="2">
        <v>4</v>
      </c>
      <c r="K2" s="2">
        <v>1</v>
      </c>
      <c r="L2" s="2">
        <v>0.89400000000000002</v>
      </c>
      <c r="M2" s="2">
        <v>2</v>
      </c>
    </row>
    <row r="3" spans="1:25" ht="14.25" customHeight="1">
      <c r="A3" s="2">
        <v>6</v>
      </c>
      <c r="B3" s="2">
        <v>2</v>
      </c>
      <c r="C3" s="2">
        <v>4</v>
      </c>
      <c r="D3" s="2">
        <v>0</v>
      </c>
      <c r="E3" s="2">
        <v>1.4650000000000001</v>
      </c>
      <c r="F3" s="2">
        <v>1</v>
      </c>
      <c r="H3" s="2">
        <v>6</v>
      </c>
      <c r="I3" s="2">
        <v>203</v>
      </c>
      <c r="J3" s="2">
        <v>3</v>
      </c>
      <c r="K3" s="2">
        <v>1</v>
      </c>
      <c r="L3" s="2">
        <v>1.0149999999999999</v>
      </c>
      <c r="M3" s="2">
        <v>2</v>
      </c>
    </row>
    <row r="4" spans="1:25" ht="14.25" customHeight="1">
      <c r="A4" s="2">
        <v>6</v>
      </c>
      <c r="B4" s="2">
        <v>3</v>
      </c>
      <c r="C4" s="2">
        <v>7</v>
      </c>
      <c r="D4" s="2">
        <v>1</v>
      </c>
      <c r="E4" s="2">
        <v>1.546</v>
      </c>
      <c r="F4" s="2">
        <v>2</v>
      </c>
      <c r="H4" s="2">
        <v>6</v>
      </c>
      <c r="I4" s="2">
        <v>204</v>
      </c>
      <c r="J4" s="2">
        <v>4</v>
      </c>
      <c r="K4" s="2">
        <v>0</v>
      </c>
      <c r="L4" s="2">
        <v>1.163</v>
      </c>
      <c r="M4" s="2">
        <v>2</v>
      </c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6</v>
      </c>
      <c r="B5" s="2">
        <v>4</v>
      </c>
      <c r="C5" s="2">
        <v>3</v>
      </c>
      <c r="D5" s="2">
        <v>1</v>
      </c>
      <c r="E5" s="2">
        <v>1.752</v>
      </c>
      <c r="F5" s="2">
        <v>1</v>
      </c>
      <c r="H5" s="2">
        <v>6</v>
      </c>
      <c r="I5" s="2">
        <v>205</v>
      </c>
      <c r="J5" s="2">
        <v>5</v>
      </c>
      <c r="K5" s="2">
        <v>1</v>
      </c>
      <c r="L5" s="2">
        <v>1.337</v>
      </c>
      <c r="M5" s="2">
        <v>1</v>
      </c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6</v>
      </c>
      <c r="B6" s="2">
        <v>5</v>
      </c>
      <c r="C6" s="2">
        <v>6</v>
      </c>
      <c r="D6" s="2">
        <v>1</v>
      </c>
      <c r="E6" s="2">
        <v>1.982</v>
      </c>
      <c r="F6" s="2">
        <v>1</v>
      </c>
      <c r="H6" s="2">
        <v>6</v>
      </c>
      <c r="I6" s="2">
        <v>206</v>
      </c>
      <c r="J6" s="2">
        <v>3</v>
      </c>
      <c r="K6" s="2">
        <v>0</v>
      </c>
      <c r="L6" s="2">
        <v>1.48</v>
      </c>
      <c r="M6" s="2">
        <v>2</v>
      </c>
      <c r="N6" s="2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6</v>
      </c>
      <c r="B7" s="2">
        <v>6</v>
      </c>
      <c r="C7" s="2">
        <v>1</v>
      </c>
      <c r="D7" s="2">
        <v>1</v>
      </c>
      <c r="E7" s="2">
        <v>0.97199999999999998</v>
      </c>
      <c r="F7" s="2">
        <v>1</v>
      </c>
      <c r="H7" s="2">
        <v>6</v>
      </c>
      <c r="I7" s="2">
        <v>207</v>
      </c>
      <c r="J7" s="2">
        <v>4</v>
      </c>
      <c r="K7" s="2">
        <v>1</v>
      </c>
      <c r="L7" s="2">
        <v>1.0249999999999999</v>
      </c>
      <c r="M7" s="2">
        <v>2</v>
      </c>
      <c r="N7" s="2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6</v>
      </c>
      <c r="B8" s="2">
        <v>7</v>
      </c>
      <c r="C8" s="2">
        <v>7</v>
      </c>
      <c r="D8" s="2">
        <v>1</v>
      </c>
      <c r="E8" s="2">
        <v>1.552</v>
      </c>
      <c r="F8" s="2">
        <v>2</v>
      </c>
      <c r="H8" s="2">
        <v>6</v>
      </c>
      <c r="I8" s="2">
        <v>208</v>
      </c>
      <c r="J8" s="2">
        <v>6</v>
      </c>
      <c r="K8" s="2">
        <v>1</v>
      </c>
      <c r="L8" s="2">
        <v>1.044</v>
      </c>
      <c r="M8" s="2">
        <v>2</v>
      </c>
      <c r="N8" s="2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6</v>
      </c>
      <c r="B9" s="2">
        <v>8</v>
      </c>
      <c r="C9" s="2">
        <v>4</v>
      </c>
      <c r="E9" s="2">
        <v>2.0009999999999999</v>
      </c>
      <c r="H9" s="2">
        <v>6</v>
      </c>
      <c r="I9" s="2">
        <v>209</v>
      </c>
      <c r="J9" s="2">
        <v>8</v>
      </c>
      <c r="K9" s="2">
        <v>1</v>
      </c>
      <c r="L9" s="2">
        <v>0.71</v>
      </c>
      <c r="M9" s="2">
        <v>2</v>
      </c>
      <c r="N9" s="2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6</v>
      </c>
      <c r="B10" s="2">
        <v>9</v>
      </c>
      <c r="C10" s="2">
        <v>8</v>
      </c>
      <c r="D10" s="2">
        <v>1</v>
      </c>
      <c r="E10" s="2">
        <v>0.83599999999999997</v>
      </c>
      <c r="F10" s="2">
        <v>2</v>
      </c>
      <c r="H10" s="2">
        <v>6</v>
      </c>
      <c r="I10" s="2">
        <v>210</v>
      </c>
      <c r="J10" s="2">
        <v>6</v>
      </c>
      <c r="K10" s="2">
        <v>1</v>
      </c>
      <c r="L10" s="2">
        <v>1.7509999999999999</v>
      </c>
      <c r="M10" s="2">
        <v>1</v>
      </c>
      <c r="N10" s="2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6</v>
      </c>
      <c r="B11" s="2">
        <v>10</v>
      </c>
      <c r="C11" s="2">
        <v>6</v>
      </c>
      <c r="D11" s="2">
        <v>1</v>
      </c>
      <c r="E11" s="2">
        <v>0.71899999999999997</v>
      </c>
      <c r="F11" s="2">
        <v>1</v>
      </c>
      <c r="H11" s="2">
        <v>6</v>
      </c>
      <c r="I11" s="2">
        <v>211</v>
      </c>
      <c r="J11" s="2">
        <v>4</v>
      </c>
      <c r="K11" s="2">
        <v>1</v>
      </c>
      <c r="L11" s="2">
        <v>1.653</v>
      </c>
      <c r="M11" s="2">
        <v>1</v>
      </c>
      <c r="N11" s="2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6</v>
      </c>
      <c r="B12" s="2">
        <v>11</v>
      </c>
      <c r="C12" s="2">
        <v>5</v>
      </c>
      <c r="D12" s="2">
        <v>1</v>
      </c>
      <c r="E12" s="2">
        <v>0.623</v>
      </c>
      <c r="F12" s="2">
        <v>1</v>
      </c>
      <c r="H12" s="2">
        <v>6</v>
      </c>
      <c r="I12" s="2">
        <v>212</v>
      </c>
      <c r="J12" s="2">
        <v>7</v>
      </c>
      <c r="K12" s="2">
        <v>0</v>
      </c>
      <c r="L12" s="2">
        <v>0.88700000000000001</v>
      </c>
      <c r="M12" s="2"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6</v>
      </c>
      <c r="B13" s="2">
        <v>12</v>
      </c>
      <c r="C13" s="2">
        <v>2</v>
      </c>
      <c r="D13" s="2">
        <v>0</v>
      </c>
      <c r="E13" s="2">
        <v>0.80200000000000005</v>
      </c>
      <c r="F13" s="2">
        <v>1</v>
      </c>
      <c r="H13" s="2">
        <v>6</v>
      </c>
      <c r="I13" s="2">
        <v>213</v>
      </c>
      <c r="J13" s="2">
        <v>1</v>
      </c>
      <c r="K13" s="2">
        <v>1</v>
      </c>
      <c r="L13" s="2">
        <v>1.0960000000000001</v>
      </c>
      <c r="M13" s="2">
        <v>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6</v>
      </c>
      <c r="B14" s="2">
        <v>13</v>
      </c>
      <c r="C14" s="2">
        <v>4</v>
      </c>
      <c r="D14" s="2">
        <v>1</v>
      </c>
      <c r="E14" s="2">
        <v>0.878</v>
      </c>
      <c r="F14" s="2">
        <v>2</v>
      </c>
      <c r="H14" s="2">
        <v>6</v>
      </c>
      <c r="I14" s="2">
        <v>214</v>
      </c>
      <c r="J14" s="2">
        <v>2</v>
      </c>
      <c r="K14" s="2">
        <v>1</v>
      </c>
      <c r="L14" s="2">
        <v>1.256</v>
      </c>
      <c r="M14" s="2">
        <v>2</v>
      </c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6</v>
      </c>
      <c r="B15" s="2">
        <v>14</v>
      </c>
      <c r="C15" s="2">
        <v>7</v>
      </c>
      <c r="D15" s="2">
        <v>1</v>
      </c>
      <c r="E15" s="2">
        <v>0.94399999999999995</v>
      </c>
      <c r="F15" s="2">
        <v>2</v>
      </c>
      <c r="H15" s="2">
        <v>6</v>
      </c>
      <c r="I15" s="2">
        <v>215</v>
      </c>
      <c r="J15" s="2">
        <v>7</v>
      </c>
      <c r="K15" s="2">
        <v>0</v>
      </c>
      <c r="L15" s="2">
        <v>0.66700000000000004</v>
      </c>
      <c r="M15" s="2">
        <v>2</v>
      </c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6</v>
      </c>
      <c r="B16" s="2">
        <v>15</v>
      </c>
      <c r="C16" s="2">
        <v>3</v>
      </c>
      <c r="D16" s="2">
        <v>0</v>
      </c>
      <c r="E16" s="2">
        <v>0.68700000000000006</v>
      </c>
      <c r="F16" s="2">
        <v>2</v>
      </c>
      <c r="H16" s="2">
        <v>6</v>
      </c>
      <c r="I16" s="2">
        <v>216</v>
      </c>
      <c r="J16" s="2">
        <v>8</v>
      </c>
      <c r="K16" s="2">
        <v>0</v>
      </c>
      <c r="L16" s="2">
        <v>0.78800000000000003</v>
      </c>
      <c r="M16" s="2">
        <v>1</v>
      </c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6</v>
      </c>
      <c r="B17" s="2">
        <v>16</v>
      </c>
      <c r="C17" s="2">
        <v>2</v>
      </c>
      <c r="D17" s="2">
        <v>0</v>
      </c>
      <c r="E17" s="2">
        <v>0.90400000000000003</v>
      </c>
      <c r="F17" s="2">
        <v>1</v>
      </c>
      <c r="H17" s="2">
        <v>6</v>
      </c>
      <c r="I17" s="2">
        <v>217</v>
      </c>
      <c r="J17" s="2">
        <v>7</v>
      </c>
      <c r="L17" s="2">
        <v>2</v>
      </c>
      <c r="N17" s="2">
        <v>1</v>
      </c>
      <c r="O17" s="3">
        <f t="shared" ref="O17:O22" si="0">(O6*COUNTIF($J$1:$J$101,O$16) - COUNTIFS($J$1:$J$101,O$16,$K$1:$K$101,"=0"))^2</f>
        <v>9.0000000000000024E-2</v>
      </c>
      <c r="P17" s="3">
        <f t="shared" ref="P17:P22" si="1">(P6*COUNTIF($J$1:$J$101,P$16) - COUNTIFS($J$1:$J$101,P$16,$K$1:$K$101,"=1"))^2</f>
        <v>0.48999999999999899</v>
      </c>
      <c r="Q17" s="3">
        <f t="shared" ref="Q17:Q22" si="2">(Q6*COUNTIF($J$1:$J$101,Q$16) - COUNTIFS($J$1:$J$101,Q$16,$K$1:$K$101,"=0"))^2</f>
        <v>1.6899999999999995</v>
      </c>
      <c r="R17" s="3">
        <f t="shared" ref="R17:R22" si="3">(R6*COUNTIF($J$1:$J$101,R$16) - COUNTIFS($J$1:$J$101,R$16,$K$1:$K$101,"=1"))^2</f>
        <v>2.7224999999999984</v>
      </c>
      <c r="S17" s="3">
        <f t="shared" ref="S17:T17" si="4">(S6*COUNTIF($J$1:$J$101,S$16) - COUNTIFS($J$1:$J$101,S$16,$K$1:$K$101,"=0"))^2</f>
        <v>2.8899999999999997</v>
      </c>
      <c r="T17" s="3">
        <f t="shared" si="4"/>
        <v>9.0000000000000024E-2</v>
      </c>
      <c r="U17" s="3">
        <f t="shared" ref="U17:V17" si="5">(U6*COUNTIF($J$1:$J$101,U$16) - COUNTIFS($J$1:$J$101,U$16,$K$1:$K$101,"=1"))^2</f>
        <v>7.2899999999999965</v>
      </c>
      <c r="V17" s="3">
        <f t="shared" si="5"/>
        <v>2.8899999999999975</v>
      </c>
      <c r="W17" s="4"/>
      <c r="X17" s="4"/>
      <c r="Y17" s="4"/>
    </row>
    <row r="18" spans="1:25" ht="14.25" customHeight="1">
      <c r="A18" s="2">
        <v>6</v>
      </c>
      <c r="B18" s="2">
        <v>17</v>
      </c>
      <c r="C18" s="2">
        <v>3</v>
      </c>
      <c r="D18" s="2">
        <v>0</v>
      </c>
      <c r="E18" s="2">
        <v>1.4950000000000001</v>
      </c>
      <c r="F18" s="2">
        <v>2</v>
      </c>
      <c r="H18" s="2">
        <v>6</v>
      </c>
      <c r="I18" s="2">
        <v>218</v>
      </c>
      <c r="J18" s="2">
        <v>4</v>
      </c>
      <c r="K18" s="2">
        <v>1</v>
      </c>
      <c r="L18" s="2">
        <v>1.381</v>
      </c>
      <c r="M18" s="2">
        <v>2</v>
      </c>
      <c r="N18" s="2">
        <v>2</v>
      </c>
      <c r="O18" s="3">
        <f t="shared" si="0"/>
        <v>9.0000000000000024E-2</v>
      </c>
      <c r="P18" s="3">
        <f t="shared" si="1"/>
        <v>22.090000000000003</v>
      </c>
      <c r="Q18" s="6">
        <f t="shared" si="2"/>
        <v>25</v>
      </c>
      <c r="R18" s="3">
        <f t="shared" si="3"/>
        <v>2.7224999999999984</v>
      </c>
      <c r="S18" s="6">
        <f t="shared" ref="S18:T18" si="6">(S7*COUNTIF($J$1:$J$101,S$16) - COUNTIFS($J$1:$J$101,S$16,$K$1:$K$101,"=0"))^2</f>
        <v>2.8899999999999997</v>
      </c>
      <c r="T18" s="6">
        <f t="shared" si="6"/>
        <v>9.0000000000000024E-2</v>
      </c>
      <c r="U18" s="6">
        <f t="shared" ref="U18:V18" si="7">(U7*COUNTIF($J$1:$J$101,U$16) - COUNTIFS($J$1:$J$101,U$16,$K$1:$K$101,"=1"))^2</f>
        <v>7.2899999999999965</v>
      </c>
      <c r="V18" s="6">
        <f t="shared" si="7"/>
        <v>2.8899999999999975</v>
      </c>
      <c r="W18" s="4"/>
      <c r="X18" s="4"/>
      <c r="Y18" s="4"/>
    </row>
    <row r="19" spans="1:25" ht="14.25" customHeight="1">
      <c r="A19" s="2">
        <v>6</v>
      </c>
      <c r="B19" s="2">
        <v>18</v>
      </c>
      <c r="C19" s="2">
        <v>2</v>
      </c>
      <c r="E19" s="2">
        <v>2</v>
      </c>
      <c r="H19" s="2">
        <v>6</v>
      </c>
      <c r="I19" s="2">
        <v>219</v>
      </c>
      <c r="J19" s="2">
        <v>7</v>
      </c>
      <c r="K19" s="2">
        <v>1</v>
      </c>
      <c r="L19" s="2">
        <v>1.179</v>
      </c>
      <c r="M19" s="2">
        <v>2</v>
      </c>
      <c r="N19" s="2">
        <v>3</v>
      </c>
      <c r="O19" s="3">
        <f t="shared" si="0"/>
        <v>9.0000000000000024E-2</v>
      </c>
      <c r="P19" s="3">
        <f t="shared" si="1"/>
        <v>0.48999999999999899</v>
      </c>
      <c r="Q19" s="3">
        <f t="shared" si="2"/>
        <v>1.6899999999999995</v>
      </c>
      <c r="R19" s="3">
        <f t="shared" si="3"/>
        <v>2.7224999999999984</v>
      </c>
      <c r="S19" s="6">
        <f t="shared" ref="S19:T19" si="8">(S8*COUNTIF($J$1:$J$101,S$16) - COUNTIFS($J$1:$J$101,S$16,$K$1:$K$101,"=0"))^2</f>
        <v>2.8899999999999997</v>
      </c>
      <c r="T19" s="6">
        <f t="shared" si="8"/>
        <v>32.489999999999995</v>
      </c>
      <c r="U19" s="3">
        <f t="shared" ref="U19:V19" si="9">(U8*COUNTIF($J$1:$J$101,U$16) - COUNTIFS($J$1:$J$101,U$16,$K$1:$K$101,"=1"))^2</f>
        <v>7.2900000000000009</v>
      </c>
      <c r="V19" s="6">
        <f t="shared" si="9"/>
        <v>2.8899999999999975</v>
      </c>
      <c r="W19" s="4"/>
      <c r="X19" s="4"/>
      <c r="Y19" s="4"/>
    </row>
    <row r="20" spans="1:25" ht="14.25" customHeight="1">
      <c r="A20" s="2">
        <v>6</v>
      </c>
      <c r="B20" s="2">
        <v>19</v>
      </c>
      <c r="C20" s="2">
        <v>4</v>
      </c>
      <c r="D20" s="2">
        <v>1</v>
      </c>
      <c r="E20" s="2">
        <v>0.55700000000000005</v>
      </c>
      <c r="F20" s="2">
        <v>2</v>
      </c>
      <c r="H20" s="2">
        <v>6</v>
      </c>
      <c r="I20" s="2">
        <v>220</v>
      </c>
      <c r="J20" s="2">
        <v>6</v>
      </c>
      <c r="K20" s="2">
        <v>1</v>
      </c>
      <c r="L20" s="2">
        <v>1.776</v>
      </c>
      <c r="M20" s="2">
        <v>1</v>
      </c>
      <c r="N20" s="2">
        <v>4</v>
      </c>
      <c r="O20" s="3">
        <f t="shared" si="0"/>
        <v>9</v>
      </c>
      <c r="P20" s="3">
        <f t="shared" si="1"/>
        <v>4</v>
      </c>
      <c r="Q20" s="3">
        <f t="shared" si="2"/>
        <v>2.25</v>
      </c>
      <c r="R20" s="3">
        <f t="shared" si="3"/>
        <v>2.25</v>
      </c>
      <c r="S20" s="6">
        <f t="shared" ref="S20:T20" si="10">(S9*COUNTIF($J$1:$J$101,S$16) - COUNTIFS($J$1:$J$101,S$16,$K$1:$K$101,"=0"))^2</f>
        <v>2.8899999999999997</v>
      </c>
      <c r="T20" s="6">
        <f t="shared" si="10"/>
        <v>9.0000000000000024E-2</v>
      </c>
      <c r="U20" s="6">
        <f t="shared" ref="U20:V20" si="11">(U9*COUNTIF($J$1:$J$101,U$16) - COUNTIFS($J$1:$J$101,U$16,$K$1:$K$101,"=1"))^2</f>
        <v>7.2899999999999965</v>
      </c>
      <c r="V20" s="6">
        <f t="shared" si="11"/>
        <v>2.8899999999999975</v>
      </c>
      <c r="W20" s="4"/>
      <c r="X20" s="4"/>
      <c r="Y20" s="4"/>
    </row>
    <row r="21" spans="1:25" ht="14.25" customHeight="1">
      <c r="A21" s="2">
        <v>6</v>
      </c>
      <c r="B21" s="2">
        <v>20</v>
      </c>
      <c r="C21" s="2">
        <v>5</v>
      </c>
      <c r="D21" s="2">
        <v>1</v>
      </c>
      <c r="E21" s="2">
        <v>1.171</v>
      </c>
      <c r="F21" s="2">
        <v>1</v>
      </c>
      <c r="H21" s="2">
        <v>6</v>
      </c>
      <c r="I21" s="2">
        <v>221</v>
      </c>
      <c r="J21" s="2">
        <v>7</v>
      </c>
      <c r="K21" s="2">
        <v>1</v>
      </c>
      <c r="L21" s="2">
        <v>1.621</v>
      </c>
      <c r="M21" s="2">
        <v>2</v>
      </c>
      <c r="N21" s="2">
        <v>5</v>
      </c>
      <c r="O21" s="3">
        <f t="shared" si="0"/>
        <v>9.0000000000000024E-2</v>
      </c>
      <c r="P21" s="3">
        <f t="shared" si="1"/>
        <v>0.48999999999999899</v>
      </c>
      <c r="Q21" s="3">
        <f t="shared" si="2"/>
        <v>1.6899999999999995</v>
      </c>
      <c r="R21" s="3">
        <f t="shared" si="3"/>
        <v>2.7224999999999984</v>
      </c>
      <c r="S21" s="6">
        <f t="shared" ref="S21:T21" si="12">(S10*COUNTIF($J$1:$J$101,S$16) - COUNTIFS($J$1:$J$101,S$16,$K$1:$K$101,"=0"))^2</f>
        <v>1</v>
      </c>
      <c r="T21" s="6">
        <f t="shared" si="12"/>
        <v>9</v>
      </c>
      <c r="U21" s="6">
        <f t="shared" ref="U21:V21" si="13">(U10*COUNTIF($J$1:$J$101,U$16) - COUNTIFS($J$1:$J$101,U$16,$K$1:$K$101,"=1"))^2</f>
        <v>0</v>
      </c>
      <c r="V21" s="6">
        <f t="shared" si="13"/>
        <v>1</v>
      </c>
      <c r="W21" s="4"/>
      <c r="X21" s="4"/>
      <c r="Y21" s="4"/>
    </row>
    <row r="22" spans="1:25" ht="14.25" customHeight="1">
      <c r="A22" s="2">
        <v>6</v>
      </c>
      <c r="B22" s="2">
        <v>21</v>
      </c>
      <c r="C22" s="2">
        <v>2</v>
      </c>
      <c r="D22" s="2">
        <v>0</v>
      </c>
      <c r="E22" s="2">
        <v>1.8</v>
      </c>
      <c r="F22" s="2">
        <v>1</v>
      </c>
      <c r="H22" s="2">
        <v>6</v>
      </c>
      <c r="I22" s="2">
        <v>222</v>
      </c>
      <c r="J22" s="2">
        <v>2</v>
      </c>
      <c r="K22" s="2">
        <v>1</v>
      </c>
      <c r="L22" s="2">
        <v>1.137</v>
      </c>
      <c r="M22" s="2">
        <v>2</v>
      </c>
      <c r="N22" s="2">
        <v>6</v>
      </c>
      <c r="O22" s="3">
        <f t="shared" si="0"/>
        <v>9</v>
      </c>
      <c r="P22" s="3">
        <f t="shared" si="1"/>
        <v>4</v>
      </c>
      <c r="Q22" s="3">
        <f t="shared" si="2"/>
        <v>2.25</v>
      </c>
      <c r="R22" s="3">
        <f t="shared" si="3"/>
        <v>2.25</v>
      </c>
      <c r="S22" s="6">
        <f t="shared" ref="S22:T22" si="14">(S11*COUNTIF($J$1:$J$101,S$16) - COUNTIFS($J$1:$J$101,S$16,$K$1:$K$101,"=0"))^2</f>
        <v>1</v>
      </c>
      <c r="T22" s="6">
        <f t="shared" si="14"/>
        <v>9</v>
      </c>
      <c r="U22" s="6">
        <f t="shared" ref="U22:V22" si="15">(U11*COUNTIF($J$1:$J$101,U$16) - COUNTIFS($J$1:$J$101,U$16,$K$1:$K$101,"=1"))^2</f>
        <v>0</v>
      </c>
      <c r="V22" s="6">
        <f t="shared" si="15"/>
        <v>1</v>
      </c>
      <c r="W22" s="4"/>
      <c r="X22" s="4"/>
      <c r="Y22" s="4"/>
    </row>
    <row r="23" spans="1:25" ht="14.25" customHeight="1">
      <c r="A23" s="2">
        <v>6</v>
      </c>
      <c r="B23" s="2">
        <v>22</v>
      </c>
      <c r="C23" s="2">
        <v>7</v>
      </c>
      <c r="D23" s="2">
        <v>1</v>
      </c>
      <c r="E23" s="2">
        <v>1.038</v>
      </c>
      <c r="F23" s="2">
        <v>2</v>
      </c>
      <c r="H23" s="2">
        <v>6</v>
      </c>
      <c r="I23" s="2">
        <v>223</v>
      </c>
      <c r="J23" s="2">
        <v>6</v>
      </c>
      <c r="L23" s="2">
        <v>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6</v>
      </c>
      <c r="B24" s="2">
        <v>23</v>
      </c>
      <c r="C24" s="2">
        <v>3</v>
      </c>
      <c r="E24" s="2">
        <v>2</v>
      </c>
      <c r="H24" s="2">
        <v>6</v>
      </c>
      <c r="I24" s="2">
        <v>224</v>
      </c>
      <c r="J24" s="2">
        <v>5</v>
      </c>
      <c r="K24" s="2">
        <v>1</v>
      </c>
      <c r="L24" s="2">
        <v>1.365</v>
      </c>
      <c r="M24" s="2"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6</v>
      </c>
      <c r="B25" s="2">
        <v>24</v>
      </c>
      <c r="C25" s="2">
        <v>6</v>
      </c>
      <c r="D25" s="2">
        <v>1</v>
      </c>
      <c r="E25" s="2">
        <v>0.96399999999999997</v>
      </c>
      <c r="F25" s="2">
        <v>1</v>
      </c>
      <c r="H25" s="2">
        <v>6</v>
      </c>
      <c r="I25" s="2">
        <v>225</v>
      </c>
      <c r="J25" s="2">
        <v>8</v>
      </c>
      <c r="K25" s="2">
        <v>1</v>
      </c>
      <c r="L25" s="2">
        <v>0.93100000000000005</v>
      </c>
      <c r="M25" s="2">
        <v>1</v>
      </c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6</v>
      </c>
      <c r="B26" s="2">
        <v>25</v>
      </c>
      <c r="C26" s="2">
        <v>1</v>
      </c>
      <c r="D26" s="2">
        <v>1</v>
      </c>
      <c r="E26" s="2">
        <v>0.77</v>
      </c>
      <c r="F26" s="2">
        <v>1</v>
      </c>
      <c r="H26" s="2">
        <v>6</v>
      </c>
      <c r="I26" s="2">
        <v>226</v>
      </c>
      <c r="J26" s="2">
        <v>2</v>
      </c>
      <c r="K26" s="2">
        <v>1</v>
      </c>
      <c r="L26" s="2">
        <v>1.05</v>
      </c>
      <c r="M26" s="2">
        <v>2</v>
      </c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49</v>
      </c>
      <c r="R26" s="3">
        <f t="shared" si="16"/>
        <v>49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6</v>
      </c>
      <c r="B27" s="2">
        <v>26</v>
      </c>
      <c r="C27" s="2">
        <v>7</v>
      </c>
      <c r="D27" s="2">
        <v>1</v>
      </c>
      <c r="E27" s="2">
        <v>0.64800000000000002</v>
      </c>
      <c r="F27" s="2">
        <v>2</v>
      </c>
      <c r="H27" s="2">
        <v>6</v>
      </c>
      <c r="I27" s="2">
        <v>227</v>
      </c>
      <c r="J27" s="2">
        <v>3</v>
      </c>
      <c r="K27" s="2">
        <v>0</v>
      </c>
      <c r="L27" s="2">
        <v>1.925</v>
      </c>
      <c r="M27" s="2">
        <v>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6</v>
      </c>
      <c r="B28" s="2">
        <v>27</v>
      </c>
      <c r="C28" s="2">
        <v>1</v>
      </c>
      <c r="D28" s="2">
        <v>1</v>
      </c>
      <c r="E28" s="2">
        <v>1.0669999999999999</v>
      </c>
      <c r="F28" s="2">
        <v>1</v>
      </c>
      <c r="H28" s="2">
        <v>6</v>
      </c>
      <c r="I28" s="2">
        <v>228</v>
      </c>
      <c r="J28" s="2">
        <v>1</v>
      </c>
      <c r="K28" s="2">
        <v>1</v>
      </c>
      <c r="L28" s="2">
        <v>1.9650000000000001</v>
      </c>
      <c r="M28" s="2">
        <v>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6</v>
      </c>
      <c r="B29" s="2">
        <v>28</v>
      </c>
      <c r="C29" s="2">
        <v>2</v>
      </c>
      <c r="D29" s="2">
        <v>1</v>
      </c>
      <c r="E29" s="2">
        <v>1.621</v>
      </c>
      <c r="F29" s="2">
        <v>2</v>
      </c>
      <c r="H29" s="2">
        <v>6</v>
      </c>
      <c r="I29" s="2">
        <v>229</v>
      </c>
      <c r="J29" s="2">
        <v>5</v>
      </c>
      <c r="K29" s="2">
        <v>1</v>
      </c>
      <c r="L29" s="2">
        <v>1.8740000000000001</v>
      </c>
      <c r="M29" s="2">
        <v>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6</v>
      </c>
      <c r="B30" s="2">
        <v>29</v>
      </c>
      <c r="C30" s="2">
        <v>3</v>
      </c>
      <c r="D30" s="2">
        <v>0</v>
      </c>
      <c r="E30" s="2">
        <v>0.73599999999999999</v>
      </c>
      <c r="F30" s="2">
        <v>2</v>
      </c>
      <c r="H30" s="2">
        <v>6</v>
      </c>
      <c r="I30" s="2">
        <v>230</v>
      </c>
      <c r="J30" s="2">
        <v>2</v>
      </c>
      <c r="K30" s="2">
        <v>0</v>
      </c>
      <c r="L30" s="2">
        <v>1.6759999999999999</v>
      </c>
      <c r="M30" s="2">
        <v>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6</v>
      </c>
      <c r="B31" s="2">
        <v>30</v>
      </c>
      <c r="C31" s="2">
        <v>1</v>
      </c>
      <c r="E31" s="2">
        <v>2</v>
      </c>
      <c r="H31" s="2">
        <v>6</v>
      </c>
      <c r="I31" s="2">
        <v>231</v>
      </c>
      <c r="J31" s="2">
        <v>1</v>
      </c>
      <c r="K31" s="2">
        <v>1</v>
      </c>
      <c r="L31" s="2">
        <v>1.357</v>
      </c>
      <c r="M31" s="2">
        <v>2</v>
      </c>
      <c r="N31" s="2">
        <v>1</v>
      </c>
      <c r="O31" s="3">
        <f t="shared" ref="O31:O36" si="17">SUM(O17:V17)/SUM(O$26:V$26)</f>
        <v>5.7810509554140091E-2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6</v>
      </c>
      <c r="B32" s="2">
        <v>31</v>
      </c>
      <c r="C32" s="2">
        <v>4</v>
      </c>
      <c r="D32" s="2">
        <v>0</v>
      </c>
      <c r="E32" s="2">
        <v>0.83499999999999996</v>
      </c>
      <c r="F32" s="2">
        <v>1</v>
      </c>
      <c r="H32" s="2">
        <v>6</v>
      </c>
      <c r="I32" s="2">
        <v>232</v>
      </c>
      <c r="J32" s="2">
        <v>6</v>
      </c>
      <c r="K32" s="2">
        <v>1</v>
      </c>
      <c r="L32" s="2">
        <v>1.698</v>
      </c>
      <c r="M32" s="2">
        <v>1</v>
      </c>
      <c r="N32" s="2">
        <v>2</v>
      </c>
      <c r="O32" s="3">
        <f t="shared" si="17"/>
        <v>0.20083598726114651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6</v>
      </c>
      <c r="B33" s="2">
        <v>32</v>
      </c>
      <c r="C33" s="2">
        <v>3</v>
      </c>
      <c r="D33" s="2">
        <v>0</v>
      </c>
      <c r="E33" s="2">
        <v>0.55900000000000005</v>
      </c>
      <c r="F33" s="2">
        <v>2</v>
      </c>
      <c r="H33" s="2">
        <v>6</v>
      </c>
      <c r="I33" s="2">
        <v>233</v>
      </c>
      <c r="J33" s="2">
        <v>3</v>
      </c>
      <c r="K33" s="2">
        <v>1</v>
      </c>
      <c r="L33" s="2">
        <v>1.2509999999999999</v>
      </c>
      <c r="M33" s="2">
        <v>1</v>
      </c>
      <c r="N33" s="2">
        <v>3</v>
      </c>
      <c r="O33" s="3">
        <f t="shared" si="17"/>
        <v>0.16099522292993626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6</v>
      </c>
      <c r="B34" s="2">
        <v>33</v>
      </c>
      <c r="C34" s="2">
        <v>6</v>
      </c>
      <c r="D34" s="2">
        <v>0</v>
      </c>
      <c r="E34" s="2">
        <v>1.605</v>
      </c>
      <c r="F34" s="2">
        <v>2</v>
      </c>
      <c r="H34" s="2">
        <v>6</v>
      </c>
      <c r="I34" s="2">
        <v>234</v>
      </c>
      <c r="J34" s="2">
        <v>8</v>
      </c>
      <c r="K34" s="2">
        <v>1</v>
      </c>
      <c r="L34" s="2">
        <v>1.3089999999999999</v>
      </c>
      <c r="M34" s="2">
        <v>2</v>
      </c>
      <c r="N34" s="2">
        <v>4</v>
      </c>
      <c r="O34" s="3">
        <f t="shared" si="17"/>
        <v>9.7643312101910809E-2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6</v>
      </c>
      <c r="B35" s="2">
        <v>34</v>
      </c>
      <c r="C35" s="2">
        <v>8</v>
      </c>
      <c r="D35" s="2">
        <v>1</v>
      </c>
      <c r="E35" s="2">
        <v>0.64</v>
      </c>
      <c r="F35" s="2">
        <v>2</v>
      </c>
      <c r="H35" s="2">
        <v>6</v>
      </c>
      <c r="I35" s="2">
        <v>235</v>
      </c>
      <c r="J35" s="2">
        <v>4</v>
      </c>
      <c r="L35" s="2">
        <v>2</v>
      </c>
      <c r="N35" s="2">
        <v>5</v>
      </c>
      <c r="O35" s="3">
        <f t="shared" si="17"/>
        <v>5.0931528662420372E-2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6</v>
      </c>
      <c r="B36" s="2">
        <v>35</v>
      </c>
      <c r="C36" s="2">
        <v>5</v>
      </c>
      <c r="D36" s="2">
        <v>1</v>
      </c>
      <c r="E36" s="2">
        <v>1.9159999999999999</v>
      </c>
      <c r="F36" s="2">
        <v>1</v>
      </c>
      <c r="H36" s="2">
        <v>6</v>
      </c>
      <c r="I36" s="2">
        <v>236</v>
      </c>
      <c r="J36" s="2">
        <v>5</v>
      </c>
      <c r="K36" s="2">
        <v>0</v>
      </c>
      <c r="L36" s="2">
        <v>1.706</v>
      </c>
      <c r="M36" s="2">
        <v>2</v>
      </c>
      <c r="N36" s="2">
        <v>6</v>
      </c>
      <c r="O36" s="3">
        <f t="shared" si="17"/>
        <v>9.0764331210191077E-2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6</v>
      </c>
      <c r="B37" s="2">
        <v>36</v>
      </c>
      <c r="C37" s="2">
        <v>1</v>
      </c>
      <c r="D37" s="2">
        <v>1</v>
      </c>
      <c r="E37" s="2">
        <v>0.7</v>
      </c>
      <c r="F37" s="2">
        <v>1</v>
      </c>
      <c r="H37" s="2">
        <v>6</v>
      </c>
      <c r="I37" s="2">
        <v>237</v>
      </c>
      <c r="J37" s="2">
        <v>3</v>
      </c>
      <c r="K37" s="2">
        <v>1</v>
      </c>
      <c r="L37" s="2">
        <v>1.3380000000000001</v>
      </c>
      <c r="M37" s="2">
        <v>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6</v>
      </c>
      <c r="B38" s="2">
        <v>37</v>
      </c>
      <c r="C38" s="2">
        <v>6</v>
      </c>
      <c r="D38" s="2">
        <v>1</v>
      </c>
      <c r="E38" s="2">
        <v>1.212</v>
      </c>
      <c r="F38" s="2">
        <v>1</v>
      </c>
      <c r="H38" s="2">
        <v>6</v>
      </c>
      <c r="I38" s="2">
        <v>238</v>
      </c>
      <c r="J38" s="2">
        <v>1</v>
      </c>
      <c r="K38" s="2">
        <v>1</v>
      </c>
      <c r="L38" s="2">
        <v>1.425</v>
      </c>
      <c r="M38" s="2">
        <v>2</v>
      </c>
    </row>
    <row r="39" spans="1:25" ht="14.25" customHeight="1">
      <c r="A39" s="2">
        <v>6</v>
      </c>
      <c r="B39" s="2">
        <v>38</v>
      </c>
      <c r="C39" s="2">
        <v>2</v>
      </c>
      <c r="D39" s="2">
        <v>0</v>
      </c>
      <c r="E39" s="2">
        <v>0.752</v>
      </c>
      <c r="F39" s="2">
        <v>1</v>
      </c>
      <c r="H39" s="2">
        <v>6</v>
      </c>
      <c r="I39" s="2">
        <v>239</v>
      </c>
      <c r="J39" s="2">
        <v>8</v>
      </c>
      <c r="K39" s="2">
        <v>1</v>
      </c>
      <c r="L39" s="2">
        <v>0.67600000000000005</v>
      </c>
      <c r="M39" s="2">
        <v>1</v>
      </c>
    </row>
    <row r="40" spans="1:25" ht="14.25" customHeight="1">
      <c r="A40" s="2">
        <v>6</v>
      </c>
      <c r="B40" s="2">
        <v>39</v>
      </c>
      <c r="C40" s="2">
        <v>5</v>
      </c>
      <c r="D40" s="2">
        <v>1</v>
      </c>
      <c r="E40" s="2">
        <v>1.2470000000000001</v>
      </c>
      <c r="F40" s="2">
        <v>1</v>
      </c>
      <c r="H40" s="2">
        <v>6</v>
      </c>
      <c r="I40" s="2">
        <v>240</v>
      </c>
      <c r="J40" s="2">
        <v>2</v>
      </c>
      <c r="K40" s="2">
        <v>1</v>
      </c>
      <c r="L40" s="2">
        <v>1.629</v>
      </c>
      <c r="M40" s="2">
        <v>1</v>
      </c>
    </row>
    <row r="41" spans="1:25" ht="14.25" customHeight="1">
      <c r="A41" s="2">
        <v>6</v>
      </c>
      <c r="B41" s="2">
        <v>40</v>
      </c>
      <c r="C41" s="2">
        <v>6</v>
      </c>
      <c r="D41" s="2">
        <v>0</v>
      </c>
      <c r="E41" s="2">
        <v>1.802</v>
      </c>
      <c r="F41" s="2">
        <v>2</v>
      </c>
      <c r="H41" s="2">
        <v>6</v>
      </c>
      <c r="I41" s="2">
        <v>241</v>
      </c>
      <c r="J41" s="2">
        <v>3</v>
      </c>
      <c r="K41" s="2">
        <v>1</v>
      </c>
      <c r="L41" s="2">
        <v>0.85699999999999998</v>
      </c>
      <c r="M41" s="2">
        <v>2</v>
      </c>
    </row>
    <row r="42" spans="1:25" ht="14.25" customHeight="1">
      <c r="A42" s="2">
        <v>6</v>
      </c>
      <c r="B42" s="2">
        <v>41</v>
      </c>
      <c r="C42" s="2">
        <v>8</v>
      </c>
      <c r="D42" s="2">
        <v>1</v>
      </c>
      <c r="E42" s="2">
        <v>0.76600000000000001</v>
      </c>
      <c r="F42" s="2">
        <v>2</v>
      </c>
      <c r="H42" s="2">
        <v>6</v>
      </c>
      <c r="I42" s="2">
        <v>242</v>
      </c>
      <c r="J42" s="2">
        <v>5</v>
      </c>
      <c r="K42" s="2">
        <v>1</v>
      </c>
      <c r="L42" s="2">
        <v>0.86699999999999999</v>
      </c>
      <c r="M42" s="2">
        <v>2</v>
      </c>
    </row>
    <row r="43" spans="1:25" ht="14.25" customHeight="1">
      <c r="A43" s="2">
        <v>6</v>
      </c>
      <c r="B43" s="2">
        <v>42</v>
      </c>
      <c r="C43" s="2">
        <v>4</v>
      </c>
      <c r="D43" s="2">
        <v>1</v>
      </c>
      <c r="E43" s="2">
        <v>0.68400000000000005</v>
      </c>
      <c r="F43" s="2">
        <v>2</v>
      </c>
      <c r="H43" s="2">
        <v>6</v>
      </c>
      <c r="I43" s="2">
        <v>243</v>
      </c>
      <c r="J43" s="2">
        <v>1</v>
      </c>
      <c r="K43" s="2">
        <v>1</v>
      </c>
      <c r="L43" s="2">
        <v>1.2210000000000001</v>
      </c>
      <c r="M43" s="2">
        <v>2</v>
      </c>
    </row>
    <row r="44" spans="1:25" ht="14.25" customHeight="1">
      <c r="A44" s="2">
        <v>6</v>
      </c>
      <c r="B44" s="2">
        <v>43</v>
      </c>
      <c r="C44" s="2">
        <v>8</v>
      </c>
      <c r="D44" s="2">
        <v>1</v>
      </c>
      <c r="E44" s="2">
        <v>0.76500000000000001</v>
      </c>
      <c r="F44" s="2">
        <v>2</v>
      </c>
      <c r="H44" s="2">
        <v>6</v>
      </c>
      <c r="I44" s="2">
        <v>244</v>
      </c>
      <c r="J44" s="2">
        <v>4</v>
      </c>
      <c r="K44" s="2">
        <v>1</v>
      </c>
      <c r="L44" s="2">
        <v>0.8</v>
      </c>
      <c r="M44" s="2">
        <v>2</v>
      </c>
    </row>
    <row r="45" spans="1:25" ht="14.25" customHeight="1">
      <c r="A45" s="2">
        <v>6</v>
      </c>
      <c r="B45" s="2">
        <v>44</v>
      </c>
      <c r="C45" s="2">
        <v>7</v>
      </c>
      <c r="D45" s="2">
        <v>1</v>
      </c>
      <c r="E45" s="2">
        <v>0.79600000000000004</v>
      </c>
      <c r="F45" s="2">
        <v>2</v>
      </c>
      <c r="H45" s="2">
        <v>6</v>
      </c>
      <c r="I45" s="2">
        <v>245</v>
      </c>
      <c r="J45" s="2">
        <v>6</v>
      </c>
      <c r="K45" s="2">
        <v>1</v>
      </c>
      <c r="L45" s="2">
        <v>0.92500000000000004</v>
      </c>
      <c r="M45" s="2">
        <v>2</v>
      </c>
    </row>
    <row r="46" spans="1:25" ht="14.25" customHeight="1">
      <c r="A46" s="2">
        <v>6</v>
      </c>
      <c r="B46" s="2">
        <v>45</v>
      </c>
      <c r="C46" s="2">
        <v>8</v>
      </c>
      <c r="D46" s="2">
        <v>1</v>
      </c>
      <c r="E46" s="2">
        <v>0.65600000000000003</v>
      </c>
      <c r="F46" s="2">
        <v>2</v>
      </c>
      <c r="H46" s="2">
        <v>6</v>
      </c>
      <c r="I46" s="2">
        <v>246</v>
      </c>
      <c r="J46" s="2">
        <v>2</v>
      </c>
      <c r="K46" s="2">
        <v>1</v>
      </c>
      <c r="L46" s="2">
        <v>1.788</v>
      </c>
      <c r="M46" s="2">
        <v>1</v>
      </c>
    </row>
    <row r="47" spans="1:25" ht="14.25" customHeight="1">
      <c r="A47" s="2">
        <v>6</v>
      </c>
      <c r="B47" s="2">
        <v>46</v>
      </c>
      <c r="C47" s="2">
        <v>3</v>
      </c>
      <c r="D47" s="2">
        <v>0</v>
      </c>
      <c r="E47" s="2">
        <v>0.66600000000000004</v>
      </c>
      <c r="F47" s="2">
        <v>2</v>
      </c>
      <c r="H47" s="2">
        <v>6</v>
      </c>
      <c r="I47" s="2">
        <v>247</v>
      </c>
      <c r="J47" s="2">
        <v>3</v>
      </c>
      <c r="K47" s="2">
        <v>1</v>
      </c>
      <c r="L47" s="2">
        <v>1.577</v>
      </c>
      <c r="M47" s="2">
        <v>1</v>
      </c>
    </row>
    <row r="48" spans="1:25" ht="14.25" customHeight="1">
      <c r="A48" s="2">
        <v>6</v>
      </c>
      <c r="B48" s="2">
        <v>47</v>
      </c>
      <c r="C48" s="2">
        <v>5</v>
      </c>
      <c r="D48" s="2">
        <v>1</v>
      </c>
      <c r="E48" s="2">
        <v>0.94799999999999995</v>
      </c>
      <c r="F48" s="2">
        <v>1</v>
      </c>
      <c r="H48" s="2">
        <v>6</v>
      </c>
      <c r="I48" s="2">
        <v>248</v>
      </c>
      <c r="J48" s="2">
        <v>1</v>
      </c>
      <c r="K48" s="2">
        <v>1</v>
      </c>
      <c r="L48" s="2">
        <v>0.69499999999999995</v>
      </c>
      <c r="M48" s="2">
        <v>2</v>
      </c>
    </row>
    <row r="49" spans="1:13" ht="14.25" customHeight="1">
      <c r="A49" s="2">
        <v>6</v>
      </c>
      <c r="B49" s="2">
        <v>48</v>
      </c>
      <c r="C49" s="2">
        <v>8</v>
      </c>
      <c r="D49" s="2">
        <v>1</v>
      </c>
      <c r="E49" s="2">
        <v>0.89100000000000001</v>
      </c>
      <c r="F49" s="2">
        <v>2</v>
      </c>
      <c r="H49" s="2">
        <v>6</v>
      </c>
      <c r="I49" s="2">
        <v>249</v>
      </c>
      <c r="J49" s="2">
        <v>7</v>
      </c>
      <c r="K49" s="2">
        <v>1</v>
      </c>
      <c r="L49" s="2">
        <v>1.03</v>
      </c>
      <c r="M49" s="2">
        <v>2</v>
      </c>
    </row>
    <row r="50" spans="1:13" ht="14.25" customHeight="1">
      <c r="A50" s="2">
        <v>6</v>
      </c>
      <c r="B50" s="2">
        <v>49</v>
      </c>
      <c r="C50" s="2">
        <v>4</v>
      </c>
      <c r="D50" s="2">
        <v>1</v>
      </c>
      <c r="E50" s="2">
        <v>0.77100000000000002</v>
      </c>
      <c r="F50" s="2">
        <v>2</v>
      </c>
      <c r="H50" s="2">
        <v>6</v>
      </c>
      <c r="I50" s="2">
        <v>250</v>
      </c>
      <c r="J50" s="2">
        <v>5</v>
      </c>
      <c r="K50" s="2">
        <v>0</v>
      </c>
      <c r="L50" s="2">
        <v>1.8340000000000001</v>
      </c>
      <c r="M50" s="2">
        <v>2</v>
      </c>
    </row>
    <row r="51" spans="1:13" ht="14.25" customHeight="1">
      <c r="A51" s="2">
        <v>6</v>
      </c>
      <c r="B51" s="2">
        <v>50</v>
      </c>
      <c r="C51" s="2">
        <v>1</v>
      </c>
      <c r="D51" s="2">
        <v>1</v>
      </c>
      <c r="E51" s="2">
        <v>1.393</v>
      </c>
      <c r="F51" s="2">
        <v>1</v>
      </c>
    </row>
    <row r="52" spans="1:13" ht="14.25" customHeight="1">
      <c r="A52" s="2">
        <v>6</v>
      </c>
      <c r="B52" s="2">
        <v>51</v>
      </c>
      <c r="C52" s="2">
        <v>7</v>
      </c>
      <c r="D52" s="2">
        <v>1</v>
      </c>
      <c r="E52" s="2">
        <v>1.9950000000000001</v>
      </c>
      <c r="F52" s="2">
        <v>1</v>
      </c>
    </row>
    <row r="53" spans="1:13" ht="14.25" customHeight="1">
      <c r="A53" s="2">
        <v>6</v>
      </c>
      <c r="B53" s="2">
        <v>52</v>
      </c>
      <c r="C53" s="2">
        <v>6</v>
      </c>
      <c r="D53" s="2">
        <v>1</v>
      </c>
      <c r="E53" s="2">
        <v>0.83099999999999996</v>
      </c>
      <c r="F53" s="2">
        <v>2</v>
      </c>
    </row>
    <row r="54" spans="1:13" ht="14.25" customHeight="1">
      <c r="A54" s="2">
        <v>6</v>
      </c>
      <c r="B54" s="2">
        <v>53</v>
      </c>
      <c r="C54" s="2">
        <v>3</v>
      </c>
      <c r="D54" s="2">
        <v>1</v>
      </c>
      <c r="E54" s="2">
        <v>1.2110000000000001</v>
      </c>
      <c r="F54" s="2">
        <v>2</v>
      </c>
    </row>
    <row r="55" spans="1:13" ht="14.25" customHeight="1">
      <c r="A55" s="2">
        <v>6</v>
      </c>
      <c r="B55" s="2">
        <v>54</v>
      </c>
      <c r="C55" s="2">
        <v>4</v>
      </c>
      <c r="D55" s="2">
        <v>1</v>
      </c>
      <c r="E55" s="2">
        <v>1.7110000000000001</v>
      </c>
      <c r="F55" s="2">
        <v>1</v>
      </c>
    </row>
    <row r="56" spans="1:13" ht="14.25" customHeight="1">
      <c r="A56" s="2">
        <v>6</v>
      </c>
      <c r="B56" s="2">
        <v>55</v>
      </c>
      <c r="C56" s="2">
        <v>2</v>
      </c>
      <c r="D56" s="2">
        <v>1</v>
      </c>
      <c r="E56" s="2">
        <v>0.96699999999999997</v>
      </c>
      <c r="F56" s="2">
        <v>1</v>
      </c>
    </row>
    <row r="57" spans="1:13" ht="14.25" customHeight="1">
      <c r="A57" s="2">
        <v>6</v>
      </c>
      <c r="B57" s="2">
        <v>56</v>
      </c>
      <c r="C57" s="2">
        <v>7</v>
      </c>
      <c r="D57" s="2">
        <v>0</v>
      </c>
      <c r="E57" s="2">
        <v>1.0289999999999999</v>
      </c>
      <c r="F57" s="2">
        <v>2</v>
      </c>
    </row>
    <row r="58" spans="1:13" ht="14.25" customHeight="1">
      <c r="A58" s="2">
        <v>6</v>
      </c>
      <c r="B58" s="2">
        <v>57</v>
      </c>
      <c r="C58" s="2">
        <v>4</v>
      </c>
      <c r="D58" s="2">
        <v>1</v>
      </c>
      <c r="E58" s="2">
        <v>0.92800000000000005</v>
      </c>
      <c r="F58" s="2">
        <v>2</v>
      </c>
    </row>
    <row r="59" spans="1:13" ht="14.25" customHeight="1">
      <c r="A59" s="2">
        <v>6</v>
      </c>
      <c r="B59" s="2">
        <v>58</v>
      </c>
      <c r="C59" s="2">
        <v>6</v>
      </c>
      <c r="D59" s="2">
        <v>1</v>
      </c>
      <c r="E59" s="2">
        <v>1.6479999999999999</v>
      </c>
      <c r="F59" s="2">
        <v>2</v>
      </c>
    </row>
    <row r="60" spans="1:13" ht="14.25" customHeight="1">
      <c r="A60" s="2">
        <v>6</v>
      </c>
      <c r="B60" s="2">
        <v>59</v>
      </c>
      <c r="C60" s="2">
        <v>3</v>
      </c>
      <c r="D60" s="2">
        <v>1</v>
      </c>
      <c r="E60" s="2">
        <v>0.65800000000000003</v>
      </c>
      <c r="F60" s="2">
        <v>2</v>
      </c>
    </row>
    <row r="61" spans="1:13" ht="14.25" customHeight="1">
      <c r="A61" s="2">
        <v>6</v>
      </c>
      <c r="B61" s="2">
        <v>60</v>
      </c>
      <c r="C61" s="2">
        <v>5</v>
      </c>
      <c r="D61" s="2">
        <v>1</v>
      </c>
      <c r="E61" s="2">
        <v>0.7</v>
      </c>
      <c r="F61" s="2">
        <v>1</v>
      </c>
    </row>
    <row r="62" spans="1:13" ht="14.25" customHeight="1">
      <c r="A62" s="2">
        <v>6</v>
      </c>
      <c r="B62" s="2">
        <v>61</v>
      </c>
      <c r="C62" s="2">
        <v>4</v>
      </c>
      <c r="D62" s="2">
        <v>0</v>
      </c>
      <c r="E62" s="2">
        <v>0.82899999999999996</v>
      </c>
      <c r="F62" s="2">
        <v>2</v>
      </c>
    </row>
    <row r="63" spans="1:13" ht="14.25" customHeight="1">
      <c r="A63" s="2">
        <v>6</v>
      </c>
      <c r="B63" s="2">
        <v>62</v>
      </c>
      <c r="C63" s="2">
        <v>7</v>
      </c>
      <c r="D63" s="2">
        <v>0</v>
      </c>
      <c r="E63" s="2">
        <v>0.82299999999999995</v>
      </c>
      <c r="F63" s="2">
        <v>1</v>
      </c>
    </row>
    <row r="64" spans="1:13" ht="14.25" customHeight="1">
      <c r="A64" s="2">
        <v>6</v>
      </c>
      <c r="B64" s="2">
        <v>63</v>
      </c>
      <c r="C64" s="2">
        <v>4</v>
      </c>
      <c r="D64" s="2">
        <v>1</v>
      </c>
      <c r="E64" s="2">
        <v>0.78700000000000003</v>
      </c>
      <c r="F64" s="2">
        <v>2</v>
      </c>
    </row>
    <row r="65" spans="1:6" ht="14.25" customHeight="1">
      <c r="A65" s="2">
        <v>6</v>
      </c>
      <c r="B65" s="2">
        <v>64</v>
      </c>
      <c r="C65" s="2">
        <v>2</v>
      </c>
      <c r="D65" s="2">
        <v>1</v>
      </c>
      <c r="E65" s="2">
        <v>1.417</v>
      </c>
      <c r="F65" s="2">
        <v>2</v>
      </c>
    </row>
    <row r="66" spans="1:6" ht="14.25" customHeight="1">
      <c r="A66" s="2">
        <v>6</v>
      </c>
      <c r="B66" s="2">
        <v>65</v>
      </c>
      <c r="C66" s="2">
        <v>6</v>
      </c>
      <c r="D66" s="2">
        <v>0</v>
      </c>
      <c r="E66" s="2">
        <v>1.38</v>
      </c>
      <c r="F66" s="2">
        <v>2</v>
      </c>
    </row>
    <row r="67" spans="1:6" ht="14.25" customHeight="1">
      <c r="A67" s="2">
        <v>6</v>
      </c>
      <c r="B67" s="2">
        <v>66</v>
      </c>
      <c r="C67" s="2">
        <v>4</v>
      </c>
      <c r="D67" s="2">
        <v>0</v>
      </c>
      <c r="E67" s="2">
        <v>0.59299999999999997</v>
      </c>
      <c r="F67" s="2">
        <v>1</v>
      </c>
    </row>
    <row r="68" spans="1:6" ht="14.25" customHeight="1">
      <c r="A68" s="2">
        <v>6</v>
      </c>
      <c r="B68" s="2">
        <v>67</v>
      </c>
      <c r="C68" s="2">
        <v>6</v>
      </c>
      <c r="E68" s="2">
        <v>2</v>
      </c>
    </row>
    <row r="69" spans="1:6" ht="14.25" customHeight="1">
      <c r="A69" s="2">
        <v>6</v>
      </c>
      <c r="B69" s="2">
        <v>68</v>
      </c>
      <c r="C69" s="2">
        <v>4</v>
      </c>
      <c r="D69" s="2">
        <v>0</v>
      </c>
      <c r="E69" s="2">
        <v>0.73099999999999998</v>
      </c>
      <c r="F69" s="2">
        <v>1</v>
      </c>
    </row>
    <row r="70" spans="1:6" ht="14.25" customHeight="1">
      <c r="A70" s="2">
        <v>6</v>
      </c>
      <c r="B70" s="2">
        <v>69</v>
      </c>
      <c r="C70" s="2">
        <v>7</v>
      </c>
      <c r="D70" s="2">
        <v>1</v>
      </c>
      <c r="E70" s="2">
        <v>0.46600000000000003</v>
      </c>
      <c r="F70" s="2">
        <v>2</v>
      </c>
    </row>
    <row r="71" spans="1:6" ht="14.25" customHeight="1">
      <c r="A71" s="2">
        <v>6</v>
      </c>
      <c r="B71" s="2">
        <v>70</v>
      </c>
      <c r="C71" s="2">
        <v>8</v>
      </c>
      <c r="D71" s="2">
        <v>1</v>
      </c>
      <c r="E71" s="2">
        <v>1.764</v>
      </c>
      <c r="F71" s="2">
        <v>1</v>
      </c>
    </row>
    <row r="72" spans="1:6" ht="14.25" customHeight="1">
      <c r="A72" s="2">
        <v>6</v>
      </c>
      <c r="B72" s="2">
        <v>71</v>
      </c>
      <c r="C72" s="2">
        <v>3</v>
      </c>
      <c r="D72" s="2">
        <v>0</v>
      </c>
      <c r="E72" s="2">
        <v>0.69</v>
      </c>
      <c r="F72" s="2">
        <v>1</v>
      </c>
    </row>
    <row r="73" spans="1:6" ht="14.25" customHeight="1">
      <c r="A73" s="2">
        <v>6</v>
      </c>
      <c r="B73" s="2">
        <v>72</v>
      </c>
      <c r="C73" s="2">
        <v>1</v>
      </c>
      <c r="D73" s="2">
        <v>1</v>
      </c>
      <c r="E73" s="2">
        <v>0.57099999999999995</v>
      </c>
      <c r="F73" s="2">
        <v>2</v>
      </c>
    </row>
    <row r="74" spans="1:6" ht="14.25" customHeight="1">
      <c r="A74" s="2">
        <v>6</v>
      </c>
      <c r="B74" s="2">
        <v>73</v>
      </c>
      <c r="C74" s="2">
        <v>2</v>
      </c>
      <c r="D74" s="2">
        <v>0</v>
      </c>
      <c r="E74" s="2">
        <v>0.88900000000000001</v>
      </c>
      <c r="F74" s="2">
        <v>2</v>
      </c>
    </row>
    <row r="75" spans="1:6" ht="14.25" customHeight="1">
      <c r="A75" s="2">
        <v>6</v>
      </c>
      <c r="B75" s="2">
        <v>74</v>
      </c>
      <c r="C75" s="2">
        <v>7</v>
      </c>
      <c r="D75" s="2">
        <v>1</v>
      </c>
      <c r="E75" s="2">
        <v>0.69</v>
      </c>
      <c r="F75" s="2">
        <v>1</v>
      </c>
    </row>
    <row r="76" spans="1:6" ht="14.25" customHeight="1">
      <c r="A76" s="2">
        <v>6</v>
      </c>
      <c r="B76" s="2">
        <v>75</v>
      </c>
      <c r="C76" s="2">
        <v>2</v>
      </c>
      <c r="D76" s="2">
        <v>1</v>
      </c>
      <c r="E76" s="2">
        <v>1.498</v>
      </c>
      <c r="F76" s="2">
        <v>1</v>
      </c>
    </row>
    <row r="77" spans="1:6" ht="14.25" customHeight="1">
      <c r="A77" s="2">
        <v>6</v>
      </c>
      <c r="B77" s="2">
        <v>76</v>
      </c>
      <c r="C77" s="2">
        <v>7</v>
      </c>
      <c r="D77" s="2">
        <v>1</v>
      </c>
      <c r="E77" s="2">
        <v>1.3620000000000001</v>
      </c>
      <c r="F77" s="2">
        <v>2</v>
      </c>
    </row>
    <row r="78" spans="1:6" ht="14.25" customHeight="1">
      <c r="A78" s="2">
        <v>6</v>
      </c>
      <c r="B78" s="2">
        <v>77</v>
      </c>
      <c r="C78" s="2">
        <v>5</v>
      </c>
      <c r="D78" s="2">
        <v>1</v>
      </c>
      <c r="E78" s="2">
        <v>0.873</v>
      </c>
      <c r="F78" s="2">
        <v>1</v>
      </c>
    </row>
    <row r="79" spans="1:6" ht="14.25" customHeight="1">
      <c r="A79" s="2">
        <v>6</v>
      </c>
      <c r="B79" s="2">
        <v>78</v>
      </c>
      <c r="C79" s="2">
        <v>2</v>
      </c>
      <c r="D79" s="2">
        <v>0</v>
      </c>
      <c r="E79" s="2">
        <v>0.81</v>
      </c>
      <c r="F79" s="2">
        <v>1</v>
      </c>
    </row>
    <row r="80" spans="1:6" ht="14.25" customHeight="1">
      <c r="A80" s="2">
        <v>6</v>
      </c>
      <c r="B80" s="2">
        <v>79</v>
      </c>
      <c r="C80" s="2">
        <v>4</v>
      </c>
      <c r="D80" s="2">
        <v>0</v>
      </c>
      <c r="E80" s="2">
        <v>0.79800000000000004</v>
      </c>
      <c r="F80" s="2">
        <v>2</v>
      </c>
    </row>
    <row r="81" spans="1:6" ht="14.25" customHeight="1">
      <c r="A81" s="2">
        <v>6</v>
      </c>
      <c r="B81" s="2">
        <v>80</v>
      </c>
      <c r="C81" s="2">
        <v>1</v>
      </c>
      <c r="D81" s="2">
        <v>1</v>
      </c>
      <c r="E81" s="2">
        <v>0.627</v>
      </c>
      <c r="F81" s="2">
        <v>1</v>
      </c>
    </row>
    <row r="82" spans="1:6" ht="14.25" customHeight="1">
      <c r="A82" s="2">
        <v>6</v>
      </c>
      <c r="B82" s="2">
        <v>81</v>
      </c>
      <c r="C82" s="2">
        <v>8</v>
      </c>
      <c r="D82" s="2">
        <v>1</v>
      </c>
      <c r="E82" s="2">
        <v>0.70199999999999996</v>
      </c>
      <c r="F82" s="2">
        <v>2</v>
      </c>
    </row>
    <row r="83" spans="1:6" ht="14.25" customHeight="1">
      <c r="A83" s="2">
        <v>6</v>
      </c>
      <c r="B83" s="2">
        <v>82</v>
      </c>
      <c r="C83" s="2">
        <v>2</v>
      </c>
      <c r="D83" s="2">
        <v>0</v>
      </c>
      <c r="E83" s="2">
        <v>1.6459999999999999</v>
      </c>
      <c r="F83" s="2">
        <v>2</v>
      </c>
    </row>
    <row r="84" spans="1:6" ht="14.25" customHeight="1">
      <c r="A84" s="2">
        <v>6</v>
      </c>
      <c r="B84" s="2">
        <v>83</v>
      </c>
      <c r="C84" s="2">
        <v>8</v>
      </c>
      <c r="D84" s="2">
        <v>1</v>
      </c>
      <c r="E84" s="2">
        <v>0.66500000000000004</v>
      </c>
      <c r="F84" s="2">
        <v>1</v>
      </c>
    </row>
    <row r="85" spans="1:6" ht="14.25" customHeight="1">
      <c r="A85" s="2">
        <v>6</v>
      </c>
      <c r="B85" s="2">
        <v>84</v>
      </c>
      <c r="C85" s="2">
        <v>1</v>
      </c>
      <c r="D85" s="2">
        <v>1</v>
      </c>
      <c r="E85" s="2">
        <v>0.77200000000000002</v>
      </c>
      <c r="F85" s="2">
        <v>2</v>
      </c>
    </row>
    <row r="86" spans="1:6" ht="14.25" customHeight="1">
      <c r="A86" s="2">
        <v>6</v>
      </c>
      <c r="B86" s="2">
        <v>85</v>
      </c>
      <c r="C86" s="2">
        <v>5</v>
      </c>
      <c r="D86" s="2">
        <v>0</v>
      </c>
      <c r="E86" s="2">
        <v>1.2969999999999999</v>
      </c>
      <c r="F86" s="2">
        <v>2</v>
      </c>
    </row>
    <row r="87" spans="1:6" ht="14.25" customHeight="1">
      <c r="A87" s="2">
        <v>6</v>
      </c>
      <c r="B87" s="2">
        <v>86</v>
      </c>
      <c r="C87" s="2">
        <v>1</v>
      </c>
      <c r="D87" s="2">
        <v>1</v>
      </c>
      <c r="E87" s="2">
        <v>1.585</v>
      </c>
      <c r="F87" s="2">
        <v>1</v>
      </c>
    </row>
    <row r="88" spans="1:6" ht="14.25" customHeight="1">
      <c r="A88" s="2">
        <v>6</v>
      </c>
      <c r="B88" s="2">
        <v>87</v>
      </c>
      <c r="C88" s="2">
        <v>5</v>
      </c>
      <c r="D88" s="2">
        <v>0</v>
      </c>
      <c r="E88" s="2">
        <v>1.4390000000000001</v>
      </c>
      <c r="F88" s="2">
        <v>2</v>
      </c>
    </row>
    <row r="89" spans="1:6" ht="14.25" customHeight="1">
      <c r="A89" s="2">
        <v>6</v>
      </c>
      <c r="B89" s="2">
        <v>88</v>
      </c>
      <c r="C89" s="2">
        <v>3</v>
      </c>
      <c r="E89" s="2">
        <v>2.0009999999999999</v>
      </c>
    </row>
    <row r="90" spans="1:6" ht="14.25" customHeight="1">
      <c r="A90" s="2">
        <v>6</v>
      </c>
      <c r="B90" s="2">
        <v>89</v>
      </c>
      <c r="C90" s="2">
        <v>5</v>
      </c>
      <c r="D90" s="2">
        <v>1</v>
      </c>
      <c r="E90" s="2">
        <v>1.103</v>
      </c>
      <c r="F90" s="2">
        <v>1</v>
      </c>
    </row>
    <row r="91" spans="1:6" ht="14.25" customHeight="1">
      <c r="A91" s="2">
        <v>6</v>
      </c>
      <c r="B91" s="2">
        <v>90</v>
      </c>
      <c r="C91" s="2">
        <v>3</v>
      </c>
      <c r="D91" s="2">
        <v>0</v>
      </c>
      <c r="E91" s="2">
        <v>0.41399999999999998</v>
      </c>
      <c r="F91" s="2">
        <v>2</v>
      </c>
    </row>
    <row r="92" spans="1:6" ht="14.25" customHeight="1">
      <c r="A92" s="2">
        <v>6</v>
      </c>
      <c r="B92" s="2">
        <v>91</v>
      </c>
      <c r="C92" s="2">
        <v>8</v>
      </c>
      <c r="D92" s="2">
        <v>0</v>
      </c>
      <c r="E92" s="2">
        <v>0.66600000000000004</v>
      </c>
      <c r="F92" s="2">
        <v>1</v>
      </c>
    </row>
    <row r="93" spans="1:6" ht="14.25" customHeight="1">
      <c r="A93" s="2">
        <v>6</v>
      </c>
      <c r="B93" s="2">
        <v>92</v>
      </c>
      <c r="C93" s="2">
        <v>3</v>
      </c>
      <c r="D93" s="2">
        <v>0</v>
      </c>
      <c r="E93" s="2">
        <v>0.5</v>
      </c>
      <c r="F93" s="2">
        <v>1</v>
      </c>
    </row>
    <row r="94" spans="1:6" ht="14.25" customHeight="1">
      <c r="A94" s="2">
        <v>6</v>
      </c>
      <c r="B94" s="2">
        <v>93</v>
      </c>
      <c r="C94" s="2">
        <v>8</v>
      </c>
      <c r="D94" s="2">
        <v>1</v>
      </c>
      <c r="E94" s="2">
        <v>0.46899999999999997</v>
      </c>
      <c r="F94" s="2">
        <v>2</v>
      </c>
    </row>
    <row r="95" spans="1:6" ht="14.25" customHeight="1">
      <c r="A95" s="2">
        <v>6</v>
      </c>
      <c r="B95" s="2">
        <v>94</v>
      </c>
      <c r="C95" s="2">
        <v>6</v>
      </c>
      <c r="D95" s="2">
        <v>1</v>
      </c>
      <c r="E95" s="2">
        <v>0.53400000000000003</v>
      </c>
      <c r="F95" s="2">
        <v>2</v>
      </c>
    </row>
    <row r="96" spans="1:6" ht="14.25" customHeight="1">
      <c r="A96" s="2">
        <v>6</v>
      </c>
      <c r="B96" s="2">
        <v>95</v>
      </c>
      <c r="C96" s="2">
        <v>1</v>
      </c>
      <c r="D96" s="2">
        <v>1</v>
      </c>
      <c r="E96" s="2">
        <v>0.58099999999999996</v>
      </c>
      <c r="F96" s="2">
        <v>2</v>
      </c>
    </row>
    <row r="97" spans="1:6" ht="14.25" customHeight="1">
      <c r="A97" s="2">
        <v>6</v>
      </c>
      <c r="B97" s="2">
        <v>96</v>
      </c>
      <c r="C97" s="2">
        <v>8</v>
      </c>
      <c r="D97" s="2">
        <v>1</v>
      </c>
      <c r="E97" s="2">
        <v>1.4990000000000001</v>
      </c>
      <c r="F97" s="2">
        <v>1</v>
      </c>
    </row>
    <row r="98" spans="1:6" ht="14.25" customHeight="1">
      <c r="A98" s="2">
        <v>6</v>
      </c>
      <c r="B98" s="2">
        <v>97</v>
      </c>
      <c r="C98" s="2">
        <v>1</v>
      </c>
      <c r="D98" s="2">
        <v>1</v>
      </c>
      <c r="E98" s="2">
        <v>0.68400000000000005</v>
      </c>
      <c r="F98" s="2">
        <v>1</v>
      </c>
    </row>
    <row r="99" spans="1:6" ht="14.25" customHeight="1">
      <c r="A99" s="2">
        <v>6</v>
      </c>
      <c r="B99" s="2">
        <v>98</v>
      </c>
      <c r="C99" s="2">
        <v>3</v>
      </c>
      <c r="D99" s="2">
        <v>1</v>
      </c>
      <c r="E99" s="2">
        <v>1.036</v>
      </c>
      <c r="F99" s="2">
        <v>2</v>
      </c>
    </row>
    <row r="100" spans="1:6" ht="14.25" customHeight="1">
      <c r="A100" s="2">
        <v>6</v>
      </c>
      <c r="B100" s="2">
        <v>99</v>
      </c>
      <c r="C100" s="2">
        <v>6</v>
      </c>
      <c r="D100" s="2">
        <v>1</v>
      </c>
      <c r="E100" s="2">
        <v>0.93600000000000005</v>
      </c>
      <c r="F100" s="2">
        <v>2</v>
      </c>
    </row>
    <row r="101" spans="1:6" ht="14.25" customHeight="1">
      <c r="A101" s="2">
        <v>6</v>
      </c>
      <c r="B101" s="2">
        <v>100</v>
      </c>
      <c r="C101" s="2">
        <v>5</v>
      </c>
      <c r="D101" s="2">
        <v>1</v>
      </c>
      <c r="E101" s="2">
        <v>0.93600000000000005</v>
      </c>
      <c r="F101" s="2">
        <v>1</v>
      </c>
    </row>
    <row r="102" spans="1:6" ht="14.25" customHeight="1">
      <c r="A102" s="2">
        <v>6</v>
      </c>
      <c r="B102" s="2">
        <v>101</v>
      </c>
      <c r="C102" s="2">
        <v>7</v>
      </c>
      <c r="E102" s="2">
        <v>2</v>
      </c>
    </row>
    <row r="103" spans="1:6" ht="14.25" customHeight="1">
      <c r="A103" s="2">
        <v>6</v>
      </c>
      <c r="B103" s="2">
        <v>102</v>
      </c>
      <c r="C103" s="2">
        <v>4</v>
      </c>
      <c r="D103" s="2">
        <v>1</v>
      </c>
      <c r="E103" s="2">
        <v>1.202</v>
      </c>
      <c r="F103" s="2">
        <v>2</v>
      </c>
    </row>
    <row r="104" spans="1:6" ht="14.25" customHeight="1">
      <c r="A104" s="2">
        <v>6</v>
      </c>
      <c r="B104" s="2">
        <v>103</v>
      </c>
      <c r="C104" s="2">
        <v>6</v>
      </c>
      <c r="D104" s="2">
        <v>1</v>
      </c>
      <c r="E104" s="2">
        <v>1.3029999999999999</v>
      </c>
      <c r="F104" s="2">
        <v>2</v>
      </c>
    </row>
    <row r="105" spans="1:6" ht="14.25" customHeight="1">
      <c r="A105" s="2">
        <v>6</v>
      </c>
      <c r="B105" s="2">
        <v>104</v>
      </c>
      <c r="C105" s="2">
        <v>5</v>
      </c>
      <c r="D105" s="2">
        <v>0</v>
      </c>
      <c r="E105" s="2">
        <v>1.343</v>
      </c>
      <c r="F105" s="2">
        <v>2</v>
      </c>
    </row>
    <row r="106" spans="1:6" ht="14.25" customHeight="1">
      <c r="A106" s="2">
        <v>6</v>
      </c>
      <c r="B106" s="2">
        <v>105</v>
      </c>
      <c r="C106" s="2">
        <v>6</v>
      </c>
      <c r="D106" s="2">
        <v>1</v>
      </c>
      <c r="E106" s="2">
        <v>0.53400000000000003</v>
      </c>
      <c r="F106" s="2">
        <v>1</v>
      </c>
    </row>
    <row r="107" spans="1:6" ht="14.25" customHeight="1">
      <c r="A107" s="2">
        <v>6</v>
      </c>
      <c r="B107" s="2">
        <v>106</v>
      </c>
      <c r="C107" s="2">
        <v>2</v>
      </c>
      <c r="D107" s="2">
        <v>0</v>
      </c>
      <c r="E107" s="2">
        <v>0.46100000000000002</v>
      </c>
      <c r="F107" s="2">
        <v>2</v>
      </c>
    </row>
    <row r="108" spans="1:6" ht="14.25" customHeight="1">
      <c r="A108" s="2">
        <v>6</v>
      </c>
      <c r="B108" s="2">
        <v>107</v>
      </c>
      <c r="C108" s="2">
        <v>4</v>
      </c>
      <c r="D108" s="2">
        <v>0</v>
      </c>
      <c r="E108" s="2">
        <v>0.432</v>
      </c>
      <c r="F108" s="2">
        <v>1</v>
      </c>
    </row>
    <row r="109" spans="1:6" ht="14.25" customHeight="1">
      <c r="A109" s="2">
        <v>6</v>
      </c>
      <c r="B109" s="2">
        <v>108</v>
      </c>
      <c r="C109" s="2">
        <v>7</v>
      </c>
      <c r="D109" s="2">
        <v>1</v>
      </c>
      <c r="E109" s="2">
        <v>0.40300000000000002</v>
      </c>
      <c r="F109" s="2">
        <v>2</v>
      </c>
    </row>
    <row r="110" spans="1:6" ht="14.25" customHeight="1">
      <c r="A110" s="2">
        <v>6</v>
      </c>
      <c r="B110" s="2">
        <v>109</v>
      </c>
      <c r="C110" s="2">
        <v>5</v>
      </c>
      <c r="D110" s="2">
        <v>1</v>
      </c>
      <c r="E110" s="2">
        <v>0.61599999999999999</v>
      </c>
      <c r="F110" s="2">
        <v>2</v>
      </c>
    </row>
    <row r="111" spans="1:6" ht="14.25" customHeight="1">
      <c r="A111" s="2">
        <v>6</v>
      </c>
      <c r="B111" s="2">
        <v>110</v>
      </c>
      <c r="C111" s="2">
        <v>3</v>
      </c>
      <c r="D111" s="2">
        <v>1</v>
      </c>
      <c r="E111" s="2">
        <v>0.77900000000000003</v>
      </c>
      <c r="F111" s="2">
        <v>1</v>
      </c>
    </row>
    <row r="112" spans="1:6" ht="14.25" customHeight="1">
      <c r="A112" s="2">
        <v>6</v>
      </c>
      <c r="B112" s="2">
        <v>111</v>
      </c>
      <c r="C112" s="2">
        <v>4</v>
      </c>
      <c r="D112" s="2">
        <v>1</v>
      </c>
      <c r="E112" s="2">
        <v>1.048</v>
      </c>
      <c r="F112" s="2">
        <v>1</v>
      </c>
    </row>
    <row r="113" spans="1:6" ht="14.25" customHeight="1">
      <c r="A113" s="2">
        <v>6</v>
      </c>
      <c r="B113" s="2">
        <v>112</v>
      </c>
      <c r="C113" s="2">
        <v>2</v>
      </c>
      <c r="D113" s="2">
        <v>0</v>
      </c>
      <c r="E113" s="2">
        <v>1.1950000000000001</v>
      </c>
      <c r="F113" s="2">
        <v>1</v>
      </c>
    </row>
    <row r="114" spans="1:6" ht="14.25" customHeight="1">
      <c r="A114" s="2">
        <v>6</v>
      </c>
      <c r="B114" s="2">
        <v>113</v>
      </c>
      <c r="C114" s="2">
        <v>1</v>
      </c>
      <c r="D114" s="2">
        <v>1</v>
      </c>
      <c r="E114" s="2">
        <v>0.72799999999999998</v>
      </c>
      <c r="F114" s="2">
        <v>2</v>
      </c>
    </row>
    <row r="115" spans="1:6" ht="14.25" customHeight="1">
      <c r="A115" s="2">
        <v>6</v>
      </c>
      <c r="B115" s="2">
        <v>114</v>
      </c>
      <c r="C115" s="2">
        <v>5</v>
      </c>
      <c r="D115" s="2">
        <v>1</v>
      </c>
      <c r="E115" s="2">
        <v>0.71899999999999997</v>
      </c>
      <c r="F115" s="2">
        <v>2</v>
      </c>
    </row>
    <row r="116" spans="1:6" ht="14.25" customHeight="1">
      <c r="A116" s="2">
        <v>6</v>
      </c>
      <c r="B116" s="2">
        <v>115</v>
      </c>
      <c r="C116" s="2">
        <v>8</v>
      </c>
      <c r="D116" s="2">
        <v>1</v>
      </c>
      <c r="E116" s="2">
        <v>1.2549999999999999</v>
      </c>
      <c r="F116" s="2">
        <v>1</v>
      </c>
    </row>
    <row r="117" spans="1:6" ht="14.25" customHeight="1">
      <c r="A117" s="2">
        <v>6</v>
      </c>
      <c r="B117" s="2">
        <v>116</v>
      </c>
      <c r="C117" s="2">
        <v>6</v>
      </c>
      <c r="D117" s="2">
        <v>0</v>
      </c>
      <c r="E117" s="2">
        <v>1.2729999999999999</v>
      </c>
      <c r="F117" s="2">
        <v>1</v>
      </c>
    </row>
    <row r="118" spans="1:6" ht="14.25" customHeight="1">
      <c r="A118" s="2">
        <v>6</v>
      </c>
      <c r="B118" s="2">
        <v>117</v>
      </c>
      <c r="C118" s="2">
        <v>3</v>
      </c>
      <c r="D118" s="2">
        <v>0</v>
      </c>
      <c r="E118" s="2">
        <v>0.50700000000000001</v>
      </c>
      <c r="F118" s="2">
        <v>2</v>
      </c>
    </row>
    <row r="119" spans="1:6" ht="14.25" customHeight="1">
      <c r="A119" s="2">
        <v>6</v>
      </c>
      <c r="B119" s="2">
        <v>118</v>
      </c>
      <c r="C119" s="2">
        <v>8</v>
      </c>
      <c r="D119" s="2">
        <v>0</v>
      </c>
      <c r="E119" s="2">
        <v>0.73</v>
      </c>
      <c r="F119" s="2">
        <v>1</v>
      </c>
    </row>
    <row r="120" spans="1:6" ht="14.25" customHeight="1">
      <c r="A120" s="2">
        <v>6</v>
      </c>
      <c r="B120" s="2">
        <v>119</v>
      </c>
      <c r="C120" s="2">
        <v>3</v>
      </c>
      <c r="D120" s="2">
        <v>1</v>
      </c>
      <c r="E120" s="2">
        <v>0.66500000000000004</v>
      </c>
      <c r="F120" s="2">
        <v>2</v>
      </c>
    </row>
    <row r="121" spans="1:6" ht="14.25" customHeight="1">
      <c r="A121" s="2">
        <v>6</v>
      </c>
      <c r="B121" s="2">
        <v>120</v>
      </c>
      <c r="C121" s="2">
        <v>7</v>
      </c>
      <c r="D121" s="2">
        <v>1</v>
      </c>
      <c r="E121" s="2">
        <v>0.9</v>
      </c>
      <c r="F121" s="2">
        <v>1</v>
      </c>
    </row>
    <row r="122" spans="1:6" ht="14.25" customHeight="1">
      <c r="A122" s="2">
        <v>6</v>
      </c>
      <c r="B122" s="2">
        <v>121</v>
      </c>
      <c r="C122" s="2">
        <v>2</v>
      </c>
      <c r="D122" s="2">
        <v>0</v>
      </c>
      <c r="E122" s="2">
        <v>0.97299999999999998</v>
      </c>
      <c r="F122" s="2">
        <v>1</v>
      </c>
    </row>
    <row r="123" spans="1:6" ht="14.25" customHeight="1">
      <c r="A123" s="2">
        <v>6</v>
      </c>
      <c r="B123" s="2">
        <v>122</v>
      </c>
      <c r="C123" s="2">
        <v>6</v>
      </c>
      <c r="D123" s="2">
        <v>1</v>
      </c>
      <c r="E123" s="2">
        <v>0.70499999999999996</v>
      </c>
      <c r="F123" s="2">
        <v>2</v>
      </c>
    </row>
    <row r="124" spans="1:6" ht="14.25" customHeight="1">
      <c r="A124" s="2">
        <v>6</v>
      </c>
      <c r="B124" s="2">
        <v>123</v>
      </c>
      <c r="C124" s="2">
        <v>3</v>
      </c>
      <c r="D124" s="2">
        <v>0</v>
      </c>
      <c r="E124" s="2">
        <v>0.84099999999999997</v>
      </c>
      <c r="F124" s="2">
        <v>2</v>
      </c>
    </row>
    <row r="125" spans="1:6" ht="14.25" customHeight="1">
      <c r="A125" s="2">
        <v>6</v>
      </c>
      <c r="B125" s="2">
        <v>124</v>
      </c>
      <c r="C125" s="2">
        <v>2</v>
      </c>
      <c r="D125" s="2">
        <v>1</v>
      </c>
      <c r="E125" s="2">
        <v>0.70099999999999996</v>
      </c>
      <c r="F125" s="2">
        <v>1</v>
      </c>
    </row>
    <row r="126" spans="1:6" ht="14.25" customHeight="1">
      <c r="A126" s="2">
        <v>6</v>
      </c>
      <c r="B126" s="2">
        <v>125</v>
      </c>
      <c r="C126" s="2">
        <v>8</v>
      </c>
      <c r="D126" s="2">
        <v>1</v>
      </c>
      <c r="E126" s="2">
        <v>0.61199999999999999</v>
      </c>
      <c r="F126" s="2">
        <v>1</v>
      </c>
    </row>
    <row r="127" spans="1:6" ht="14.25" customHeight="1">
      <c r="A127" s="2">
        <v>6</v>
      </c>
      <c r="B127" s="2">
        <v>126</v>
      </c>
      <c r="C127" s="2">
        <v>4</v>
      </c>
      <c r="D127" s="2">
        <v>1</v>
      </c>
      <c r="E127" s="2">
        <v>0.69699999999999995</v>
      </c>
      <c r="F127" s="2">
        <v>2</v>
      </c>
    </row>
    <row r="128" spans="1:6" ht="14.25" customHeight="1">
      <c r="A128" s="2">
        <v>6</v>
      </c>
      <c r="B128" s="2">
        <v>127</v>
      </c>
      <c r="C128" s="2">
        <v>6</v>
      </c>
      <c r="D128" s="2">
        <v>1</v>
      </c>
      <c r="E128" s="2">
        <v>0.60899999999999999</v>
      </c>
      <c r="F128" s="2">
        <v>1</v>
      </c>
    </row>
    <row r="129" spans="1:6" ht="14.25" customHeight="1">
      <c r="A129" s="2">
        <v>6</v>
      </c>
      <c r="B129" s="2">
        <v>128</v>
      </c>
      <c r="C129" s="2">
        <v>1</v>
      </c>
      <c r="D129" s="2">
        <v>0</v>
      </c>
      <c r="E129" s="2">
        <v>0.75800000000000001</v>
      </c>
      <c r="F129" s="2">
        <v>1</v>
      </c>
    </row>
    <row r="130" spans="1:6" ht="14.25" customHeight="1">
      <c r="A130" s="2">
        <v>6</v>
      </c>
      <c r="B130" s="2">
        <v>129</v>
      </c>
      <c r="C130" s="2">
        <v>6</v>
      </c>
      <c r="D130" s="2">
        <v>0</v>
      </c>
      <c r="E130" s="2">
        <v>0.61099999999999999</v>
      </c>
      <c r="F130" s="2">
        <v>2</v>
      </c>
    </row>
    <row r="131" spans="1:6" ht="14.25" customHeight="1">
      <c r="A131" s="2">
        <v>6</v>
      </c>
      <c r="B131" s="2">
        <v>130</v>
      </c>
      <c r="C131" s="2">
        <v>4</v>
      </c>
      <c r="D131" s="2">
        <v>1</v>
      </c>
      <c r="E131" s="2">
        <v>0.98299999999999998</v>
      </c>
      <c r="F131" s="2">
        <v>1</v>
      </c>
    </row>
    <row r="132" spans="1:6" ht="14.25" customHeight="1">
      <c r="A132" s="2">
        <v>6</v>
      </c>
      <c r="B132" s="2">
        <v>131</v>
      </c>
      <c r="C132" s="2">
        <v>3</v>
      </c>
      <c r="D132" s="2">
        <v>1</v>
      </c>
      <c r="E132" s="2">
        <v>0.82099999999999995</v>
      </c>
      <c r="F132" s="2">
        <v>2</v>
      </c>
    </row>
    <row r="133" spans="1:6" ht="14.25" customHeight="1">
      <c r="A133" s="2">
        <v>6</v>
      </c>
      <c r="B133" s="2">
        <v>132</v>
      </c>
      <c r="C133" s="2">
        <v>5</v>
      </c>
      <c r="D133" s="2">
        <v>0</v>
      </c>
      <c r="E133" s="2">
        <v>0.80900000000000005</v>
      </c>
      <c r="F133" s="2">
        <v>2</v>
      </c>
    </row>
    <row r="134" spans="1:6" ht="14.25" customHeight="1">
      <c r="A134" s="2">
        <v>6</v>
      </c>
      <c r="B134" s="2">
        <v>133</v>
      </c>
      <c r="C134" s="2">
        <v>3</v>
      </c>
      <c r="D134" s="2">
        <v>1</v>
      </c>
      <c r="E134" s="2">
        <v>0.66900000000000004</v>
      </c>
      <c r="F134" s="2">
        <v>1</v>
      </c>
    </row>
    <row r="135" spans="1:6" ht="14.25" customHeight="1">
      <c r="A135" s="2">
        <v>6</v>
      </c>
      <c r="B135" s="2">
        <v>134</v>
      </c>
      <c r="C135" s="2">
        <v>4</v>
      </c>
      <c r="D135" s="2">
        <v>1</v>
      </c>
      <c r="E135" s="2">
        <v>0.91100000000000003</v>
      </c>
      <c r="F135" s="2">
        <v>2</v>
      </c>
    </row>
    <row r="136" spans="1:6" ht="14.25" customHeight="1">
      <c r="A136" s="2">
        <v>6</v>
      </c>
      <c r="B136" s="2">
        <v>135</v>
      </c>
      <c r="C136" s="2">
        <v>7</v>
      </c>
      <c r="D136" s="2">
        <v>0</v>
      </c>
      <c r="E136" s="2">
        <v>0.97499999999999998</v>
      </c>
      <c r="F136" s="2">
        <v>2</v>
      </c>
    </row>
    <row r="137" spans="1:6" ht="14.25" customHeight="1">
      <c r="A137" s="2">
        <v>6</v>
      </c>
      <c r="B137" s="2">
        <v>136</v>
      </c>
      <c r="C137" s="2">
        <v>1</v>
      </c>
      <c r="D137" s="2">
        <v>1</v>
      </c>
      <c r="E137" s="2">
        <v>1.3</v>
      </c>
      <c r="F137" s="2">
        <v>1</v>
      </c>
    </row>
    <row r="138" spans="1:6" ht="14.25" customHeight="1">
      <c r="A138" s="2">
        <v>6</v>
      </c>
      <c r="B138" s="2">
        <v>137</v>
      </c>
      <c r="C138" s="2">
        <v>2</v>
      </c>
      <c r="D138" s="2">
        <v>1</v>
      </c>
      <c r="E138" s="2">
        <v>1.0289999999999999</v>
      </c>
      <c r="F138" s="2">
        <v>1</v>
      </c>
    </row>
    <row r="139" spans="1:6" ht="14.25" customHeight="1">
      <c r="A139" s="2">
        <v>6</v>
      </c>
      <c r="B139" s="2">
        <v>138</v>
      </c>
      <c r="C139" s="2">
        <v>3</v>
      </c>
      <c r="D139" s="2">
        <v>0</v>
      </c>
      <c r="E139" s="2">
        <v>1.496</v>
      </c>
      <c r="F139" s="2">
        <v>1</v>
      </c>
    </row>
    <row r="140" spans="1:6" ht="14.25" customHeight="1">
      <c r="A140" s="2">
        <v>6</v>
      </c>
      <c r="B140" s="2">
        <v>139</v>
      </c>
      <c r="C140" s="2">
        <v>7</v>
      </c>
      <c r="D140" s="2">
        <v>0</v>
      </c>
      <c r="E140" s="2">
        <v>1.409</v>
      </c>
      <c r="F140" s="2">
        <v>2</v>
      </c>
    </row>
    <row r="141" spans="1:6" ht="14.25" customHeight="1">
      <c r="A141" s="2">
        <v>6</v>
      </c>
      <c r="B141" s="2">
        <v>140</v>
      </c>
      <c r="C141" s="2">
        <v>4</v>
      </c>
      <c r="D141" s="2">
        <v>1</v>
      </c>
      <c r="E141" s="2">
        <v>0.79700000000000004</v>
      </c>
      <c r="F141" s="2">
        <v>1</v>
      </c>
    </row>
    <row r="142" spans="1:6" ht="14.25" customHeight="1">
      <c r="A142" s="2">
        <v>6</v>
      </c>
      <c r="B142" s="2">
        <v>141</v>
      </c>
      <c r="C142" s="2">
        <v>8</v>
      </c>
      <c r="D142" s="2">
        <v>1</v>
      </c>
      <c r="E142" s="2">
        <v>0.79400000000000004</v>
      </c>
      <c r="F142" s="2">
        <v>2</v>
      </c>
    </row>
    <row r="143" spans="1:6" ht="14.25" customHeight="1">
      <c r="A143" s="2">
        <v>6</v>
      </c>
      <c r="B143" s="2">
        <v>142</v>
      </c>
      <c r="C143" s="2">
        <v>5</v>
      </c>
      <c r="D143" s="2">
        <v>1</v>
      </c>
      <c r="E143" s="2">
        <v>1.302</v>
      </c>
      <c r="F143" s="2">
        <v>2</v>
      </c>
    </row>
    <row r="144" spans="1:6" ht="14.25" customHeight="1">
      <c r="A144" s="2">
        <v>6</v>
      </c>
      <c r="B144" s="2">
        <v>143</v>
      </c>
      <c r="C144" s="2">
        <v>7</v>
      </c>
      <c r="D144" s="2">
        <v>1</v>
      </c>
      <c r="E144" s="2">
        <v>0.63900000000000001</v>
      </c>
      <c r="F144" s="2">
        <v>2</v>
      </c>
    </row>
    <row r="145" spans="1:6" ht="14.25" customHeight="1">
      <c r="A145" s="2">
        <v>6</v>
      </c>
      <c r="B145" s="2">
        <v>144</v>
      </c>
      <c r="C145" s="2">
        <v>2</v>
      </c>
      <c r="D145" s="2">
        <v>1</v>
      </c>
      <c r="E145" s="2">
        <v>1.345</v>
      </c>
      <c r="F145" s="2">
        <v>2</v>
      </c>
    </row>
    <row r="146" spans="1:6" ht="14.25" customHeight="1">
      <c r="A146" s="2">
        <v>6</v>
      </c>
      <c r="B146" s="2">
        <v>145</v>
      </c>
      <c r="C146" s="2">
        <v>1</v>
      </c>
      <c r="D146" s="2">
        <v>1</v>
      </c>
      <c r="E146" s="2">
        <v>0.72799999999999998</v>
      </c>
      <c r="F146" s="2">
        <v>2</v>
      </c>
    </row>
    <row r="147" spans="1:6" ht="14.25" customHeight="1">
      <c r="A147" s="2">
        <v>6</v>
      </c>
      <c r="B147" s="2">
        <v>146</v>
      </c>
      <c r="C147" s="2">
        <v>8</v>
      </c>
      <c r="D147" s="2">
        <v>1</v>
      </c>
      <c r="E147" s="2">
        <v>1.0309999999999999</v>
      </c>
      <c r="F147" s="2">
        <v>1</v>
      </c>
    </row>
    <row r="148" spans="1:6" ht="14.25" customHeight="1">
      <c r="A148" s="2">
        <v>6</v>
      </c>
      <c r="B148" s="2">
        <v>147</v>
      </c>
      <c r="C148" s="2">
        <v>1</v>
      </c>
      <c r="D148" s="2">
        <v>1</v>
      </c>
      <c r="E148" s="2">
        <v>1.2430000000000001</v>
      </c>
      <c r="F148" s="2">
        <v>1</v>
      </c>
    </row>
    <row r="149" spans="1:6" ht="14.25" customHeight="1">
      <c r="A149" s="2">
        <v>6</v>
      </c>
      <c r="B149" s="2">
        <v>148</v>
      </c>
      <c r="C149" s="2">
        <v>8</v>
      </c>
      <c r="D149" s="2">
        <v>1</v>
      </c>
      <c r="E149" s="2">
        <v>0.72499999999999998</v>
      </c>
      <c r="F149" s="2">
        <v>2</v>
      </c>
    </row>
    <row r="150" spans="1:6" ht="14.25" customHeight="1">
      <c r="A150" s="2">
        <v>6</v>
      </c>
      <c r="B150" s="2">
        <v>149</v>
      </c>
      <c r="C150" s="2">
        <v>1</v>
      </c>
      <c r="D150" s="2">
        <v>1</v>
      </c>
      <c r="E150" s="2">
        <v>1.3959999999999999</v>
      </c>
      <c r="F150" s="2">
        <v>2</v>
      </c>
    </row>
    <row r="151" spans="1:6" ht="14.25" customHeight="1">
      <c r="A151" s="2">
        <v>6</v>
      </c>
      <c r="B151" s="2">
        <v>150</v>
      </c>
      <c r="C151" s="2">
        <v>5</v>
      </c>
      <c r="D151" s="2">
        <v>0</v>
      </c>
      <c r="E151" s="2">
        <v>1.681</v>
      </c>
      <c r="F151" s="2">
        <v>2</v>
      </c>
    </row>
    <row r="152" spans="1:6" ht="14.25" customHeight="1">
      <c r="A152" s="2">
        <v>6</v>
      </c>
      <c r="B152" s="2">
        <v>151</v>
      </c>
      <c r="C152" s="2">
        <v>8</v>
      </c>
      <c r="D152" s="2">
        <v>0</v>
      </c>
      <c r="E152" s="2">
        <v>1.498</v>
      </c>
      <c r="F152" s="2">
        <v>2</v>
      </c>
    </row>
    <row r="153" spans="1:6" ht="14.25" customHeight="1">
      <c r="A153" s="2">
        <v>6</v>
      </c>
      <c r="B153" s="2">
        <v>152</v>
      </c>
      <c r="C153" s="2">
        <v>2</v>
      </c>
      <c r="D153" s="2">
        <v>1</v>
      </c>
      <c r="E153" s="2">
        <v>1.1060000000000001</v>
      </c>
      <c r="F153" s="2">
        <v>2</v>
      </c>
    </row>
    <row r="154" spans="1:6" ht="14.25" customHeight="1">
      <c r="A154" s="2">
        <v>6</v>
      </c>
      <c r="B154" s="2">
        <v>153</v>
      </c>
      <c r="C154" s="2">
        <v>1</v>
      </c>
      <c r="D154" s="2">
        <v>1</v>
      </c>
      <c r="E154" s="2">
        <v>0.754</v>
      </c>
      <c r="F154" s="2">
        <v>2</v>
      </c>
    </row>
    <row r="155" spans="1:6" ht="14.25" customHeight="1">
      <c r="A155" s="2">
        <v>6</v>
      </c>
      <c r="B155" s="2">
        <v>154</v>
      </c>
      <c r="C155" s="2">
        <v>5</v>
      </c>
      <c r="E155" s="2">
        <v>2</v>
      </c>
    </row>
    <row r="156" spans="1:6" ht="14.25" customHeight="1">
      <c r="A156" s="2">
        <v>6</v>
      </c>
      <c r="B156" s="2">
        <v>155</v>
      </c>
      <c r="C156" s="2">
        <v>2</v>
      </c>
      <c r="E156" s="2">
        <v>2.0009999999999999</v>
      </c>
    </row>
    <row r="157" spans="1:6" ht="14.25" customHeight="1">
      <c r="A157" s="2">
        <v>6</v>
      </c>
      <c r="B157" s="2">
        <v>156</v>
      </c>
      <c r="C157" s="2">
        <v>3</v>
      </c>
      <c r="D157" s="2">
        <v>1</v>
      </c>
      <c r="E157" s="2">
        <v>0.61799999999999999</v>
      </c>
      <c r="F157" s="2">
        <v>1</v>
      </c>
    </row>
    <row r="158" spans="1:6" ht="14.25" customHeight="1">
      <c r="A158" s="2">
        <v>6</v>
      </c>
      <c r="B158" s="2">
        <v>157</v>
      </c>
      <c r="C158" s="2">
        <v>5</v>
      </c>
      <c r="D158" s="2">
        <v>1</v>
      </c>
      <c r="E158" s="2">
        <v>0.79</v>
      </c>
      <c r="F158" s="2">
        <v>2</v>
      </c>
    </row>
    <row r="159" spans="1:6" ht="14.25" customHeight="1">
      <c r="A159" s="2">
        <v>6</v>
      </c>
      <c r="B159" s="2">
        <v>158</v>
      </c>
      <c r="C159" s="2">
        <v>4</v>
      </c>
      <c r="D159" s="2">
        <v>1</v>
      </c>
      <c r="E159" s="2">
        <v>0.65</v>
      </c>
      <c r="F159" s="2">
        <v>2</v>
      </c>
    </row>
    <row r="160" spans="1:6" ht="14.25" customHeight="1">
      <c r="A160" s="2">
        <v>6</v>
      </c>
      <c r="B160" s="2">
        <v>159</v>
      </c>
      <c r="C160" s="2">
        <v>7</v>
      </c>
      <c r="D160" s="2">
        <v>0</v>
      </c>
      <c r="E160" s="2">
        <v>0.877</v>
      </c>
      <c r="F160" s="2">
        <v>1</v>
      </c>
    </row>
    <row r="161" spans="1:6" ht="14.25" customHeight="1">
      <c r="A161" s="2">
        <v>6</v>
      </c>
      <c r="B161" s="2">
        <v>160</v>
      </c>
      <c r="C161" s="2">
        <v>8</v>
      </c>
      <c r="D161" s="2">
        <v>1</v>
      </c>
      <c r="E161" s="2">
        <v>0.751</v>
      </c>
      <c r="F161" s="2">
        <v>1</v>
      </c>
    </row>
    <row r="162" spans="1:6" ht="14.25" customHeight="1">
      <c r="A162" s="2">
        <v>6</v>
      </c>
      <c r="B162" s="2">
        <v>161</v>
      </c>
      <c r="C162" s="2">
        <v>2</v>
      </c>
      <c r="D162" s="2">
        <v>0</v>
      </c>
      <c r="E162" s="2">
        <v>0.46100000000000002</v>
      </c>
      <c r="F162" s="2">
        <v>2</v>
      </c>
    </row>
    <row r="163" spans="1:6" ht="14.25" customHeight="1">
      <c r="A163" s="2">
        <v>6</v>
      </c>
      <c r="B163" s="2">
        <v>162</v>
      </c>
      <c r="C163" s="2">
        <v>7</v>
      </c>
      <c r="D163" s="2">
        <v>0</v>
      </c>
      <c r="E163" s="2">
        <v>1.032</v>
      </c>
      <c r="F163" s="2">
        <v>1</v>
      </c>
    </row>
    <row r="164" spans="1:6" ht="14.25" customHeight="1">
      <c r="A164" s="2">
        <v>6</v>
      </c>
      <c r="B164" s="2">
        <v>163</v>
      </c>
      <c r="C164" s="2">
        <v>4</v>
      </c>
      <c r="D164" s="2">
        <v>1</v>
      </c>
      <c r="E164" s="2">
        <v>0.63500000000000001</v>
      </c>
      <c r="F164" s="2">
        <v>2</v>
      </c>
    </row>
    <row r="165" spans="1:6" ht="14.25" customHeight="1">
      <c r="A165" s="2">
        <v>6</v>
      </c>
      <c r="B165" s="2">
        <v>164</v>
      </c>
      <c r="C165" s="2">
        <v>8</v>
      </c>
      <c r="D165" s="2">
        <v>1</v>
      </c>
      <c r="E165" s="2">
        <v>0.88600000000000001</v>
      </c>
      <c r="F165" s="2">
        <v>2</v>
      </c>
    </row>
    <row r="166" spans="1:6" ht="14.25" customHeight="1">
      <c r="A166" s="2">
        <v>6</v>
      </c>
      <c r="B166" s="2">
        <v>165</v>
      </c>
      <c r="C166" s="2">
        <v>1</v>
      </c>
      <c r="D166" s="2">
        <v>1</v>
      </c>
      <c r="E166" s="2">
        <v>0.998</v>
      </c>
      <c r="F166" s="2">
        <v>1</v>
      </c>
    </row>
    <row r="167" spans="1:6" ht="14.25" customHeight="1">
      <c r="A167" s="2">
        <v>6</v>
      </c>
      <c r="B167" s="2">
        <v>166</v>
      </c>
      <c r="C167" s="2">
        <v>4</v>
      </c>
      <c r="D167" s="2">
        <v>1</v>
      </c>
      <c r="E167" s="2">
        <v>1.659</v>
      </c>
      <c r="F167" s="2">
        <v>2</v>
      </c>
    </row>
    <row r="168" spans="1:6" ht="14.25" customHeight="1">
      <c r="A168" s="2">
        <v>6</v>
      </c>
      <c r="B168" s="2">
        <v>167</v>
      </c>
      <c r="C168" s="2">
        <v>2</v>
      </c>
      <c r="D168" s="2">
        <v>1</v>
      </c>
      <c r="E168" s="2">
        <v>1.357</v>
      </c>
      <c r="F168" s="2">
        <v>1</v>
      </c>
    </row>
    <row r="169" spans="1:6" ht="14.25" customHeight="1">
      <c r="A169" s="2">
        <v>6</v>
      </c>
      <c r="B169" s="2">
        <v>168</v>
      </c>
      <c r="C169" s="2">
        <v>3</v>
      </c>
      <c r="D169" s="2">
        <v>1</v>
      </c>
      <c r="E169" s="2">
        <v>1.556</v>
      </c>
      <c r="F169" s="2">
        <v>2</v>
      </c>
    </row>
    <row r="170" spans="1:6" ht="14.25" customHeight="1">
      <c r="A170" s="2">
        <v>6</v>
      </c>
      <c r="B170" s="2">
        <v>169</v>
      </c>
      <c r="C170" s="2">
        <v>4</v>
      </c>
      <c r="D170" s="2">
        <v>1</v>
      </c>
      <c r="E170" s="2">
        <v>1.105</v>
      </c>
      <c r="F170" s="2">
        <v>2</v>
      </c>
    </row>
    <row r="171" spans="1:6" ht="14.25" customHeight="1">
      <c r="A171" s="2">
        <v>6</v>
      </c>
      <c r="B171" s="2">
        <v>170</v>
      </c>
      <c r="C171" s="2">
        <v>6</v>
      </c>
      <c r="D171" s="2">
        <v>0</v>
      </c>
      <c r="E171" s="2">
        <v>1.2010000000000001</v>
      </c>
      <c r="F171" s="2">
        <v>2</v>
      </c>
    </row>
    <row r="172" spans="1:6" ht="14.25" customHeight="1">
      <c r="A172" s="2">
        <v>6</v>
      </c>
      <c r="B172" s="2">
        <v>171</v>
      </c>
      <c r="C172" s="2">
        <v>2</v>
      </c>
      <c r="D172" s="2">
        <v>1</v>
      </c>
      <c r="E172" s="2">
        <v>1.254</v>
      </c>
      <c r="F172" s="2">
        <v>2</v>
      </c>
    </row>
    <row r="173" spans="1:6" ht="14.25" customHeight="1">
      <c r="A173" s="2">
        <v>6</v>
      </c>
      <c r="B173" s="2">
        <v>172</v>
      </c>
      <c r="C173" s="2">
        <v>7</v>
      </c>
      <c r="D173" s="2">
        <v>1</v>
      </c>
      <c r="E173" s="2">
        <v>1.2729999999999999</v>
      </c>
      <c r="F173" s="2">
        <v>2</v>
      </c>
    </row>
    <row r="174" spans="1:6" ht="14.25" customHeight="1">
      <c r="A174" s="2">
        <v>6</v>
      </c>
      <c r="B174" s="2">
        <v>173</v>
      </c>
      <c r="C174" s="2">
        <v>3</v>
      </c>
      <c r="D174" s="2">
        <v>1</v>
      </c>
      <c r="E174" s="2">
        <v>1.458</v>
      </c>
      <c r="F174" s="2">
        <v>1</v>
      </c>
    </row>
    <row r="175" spans="1:6" ht="14.25" customHeight="1">
      <c r="A175" s="2">
        <v>6</v>
      </c>
      <c r="B175" s="2">
        <v>174</v>
      </c>
      <c r="C175" s="2">
        <v>4</v>
      </c>
      <c r="D175" s="2">
        <v>1</v>
      </c>
      <c r="E175" s="2">
        <v>1.6519999999999999</v>
      </c>
      <c r="F175" s="2">
        <v>1</v>
      </c>
    </row>
    <row r="176" spans="1:6" ht="14.25" customHeight="1">
      <c r="A176" s="2">
        <v>6</v>
      </c>
      <c r="B176" s="2">
        <v>175</v>
      </c>
      <c r="C176" s="2">
        <v>8</v>
      </c>
      <c r="D176" s="2">
        <v>0</v>
      </c>
      <c r="E176" s="2">
        <v>1.575</v>
      </c>
      <c r="F176" s="2">
        <v>2</v>
      </c>
    </row>
    <row r="177" spans="1:6" ht="14.25" customHeight="1">
      <c r="A177" s="2">
        <v>6</v>
      </c>
      <c r="B177" s="2">
        <v>176</v>
      </c>
      <c r="C177" s="2">
        <v>3</v>
      </c>
      <c r="D177" s="2">
        <v>1</v>
      </c>
      <c r="E177" s="2">
        <v>1.556</v>
      </c>
      <c r="F177" s="2">
        <v>2</v>
      </c>
    </row>
    <row r="178" spans="1:6" ht="14.25" customHeight="1">
      <c r="A178" s="2">
        <v>6</v>
      </c>
      <c r="B178" s="2">
        <v>177</v>
      </c>
      <c r="C178" s="2">
        <v>6</v>
      </c>
      <c r="E178" s="2">
        <v>2.0009999999999999</v>
      </c>
    </row>
    <row r="179" spans="1:6" ht="14.25" customHeight="1">
      <c r="A179" s="2">
        <v>6</v>
      </c>
      <c r="B179" s="2">
        <v>178</v>
      </c>
      <c r="C179" s="2">
        <v>5</v>
      </c>
      <c r="D179" s="2">
        <v>1</v>
      </c>
      <c r="E179" s="2">
        <v>1.4470000000000001</v>
      </c>
      <c r="F179" s="2">
        <v>2</v>
      </c>
    </row>
    <row r="180" spans="1:6" ht="14.25" customHeight="1">
      <c r="A180" s="2">
        <v>6</v>
      </c>
      <c r="B180" s="2">
        <v>179</v>
      </c>
      <c r="C180" s="2">
        <v>3</v>
      </c>
      <c r="D180" s="2">
        <v>0</v>
      </c>
      <c r="E180" s="2">
        <v>0.67400000000000004</v>
      </c>
      <c r="F180" s="2">
        <v>2</v>
      </c>
    </row>
    <row r="181" spans="1:6" ht="14.25" customHeight="1">
      <c r="A181" s="2">
        <v>6</v>
      </c>
      <c r="B181" s="2">
        <v>180</v>
      </c>
      <c r="C181" s="2">
        <v>4</v>
      </c>
      <c r="D181" s="2">
        <v>1</v>
      </c>
      <c r="E181" s="2">
        <v>1.387</v>
      </c>
      <c r="F181" s="2">
        <v>1</v>
      </c>
    </row>
    <row r="182" spans="1:6" ht="14.25" customHeight="1">
      <c r="A182" s="2">
        <v>6</v>
      </c>
      <c r="B182" s="2">
        <v>181</v>
      </c>
      <c r="C182" s="2">
        <v>1</v>
      </c>
      <c r="D182" s="2">
        <v>1</v>
      </c>
      <c r="E182" s="2">
        <v>1.8879999999999999</v>
      </c>
      <c r="F182" s="2">
        <v>2</v>
      </c>
    </row>
    <row r="183" spans="1:6" ht="14.25" customHeight="1">
      <c r="A183" s="2">
        <v>6</v>
      </c>
      <c r="B183" s="2">
        <v>182</v>
      </c>
      <c r="C183" s="2">
        <v>5</v>
      </c>
      <c r="D183" s="2">
        <v>1</v>
      </c>
      <c r="E183" s="2">
        <v>1.8480000000000001</v>
      </c>
      <c r="F183" s="2">
        <v>1</v>
      </c>
    </row>
    <row r="184" spans="1:6" ht="14.25" customHeight="1">
      <c r="A184" s="2">
        <v>6</v>
      </c>
      <c r="B184" s="2">
        <v>183</v>
      </c>
      <c r="C184" s="2">
        <v>6</v>
      </c>
      <c r="D184" s="2">
        <v>0</v>
      </c>
      <c r="E184" s="2">
        <v>1.115</v>
      </c>
      <c r="F184" s="2">
        <v>2</v>
      </c>
    </row>
    <row r="185" spans="1:6" ht="14.25" customHeight="1">
      <c r="A185" s="2">
        <v>6</v>
      </c>
      <c r="B185" s="2">
        <v>184</v>
      </c>
      <c r="C185" s="2">
        <v>3</v>
      </c>
      <c r="D185" s="2">
        <v>1</v>
      </c>
      <c r="E185" s="2">
        <v>1.1719999999999999</v>
      </c>
      <c r="F185" s="2">
        <v>2</v>
      </c>
    </row>
    <row r="186" spans="1:6" ht="14.25" customHeight="1">
      <c r="A186" s="2">
        <v>6</v>
      </c>
      <c r="B186" s="2">
        <v>185</v>
      </c>
      <c r="C186" s="2">
        <v>6</v>
      </c>
      <c r="D186" s="2">
        <v>0</v>
      </c>
      <c r="E186" s="2">
        <v>0.80900000000000005</v>
      </c>
      <c r="F186" s="2">
        <v>2</v>
      </c>
    </row>
    <row r="187" spans="1:6" ht="14.25" customHeight="1">
      <c r="A187" s="2">
        <v>6</v>
      </c>
      <c r="B187" s="2">
        <v>186</v>
      </c>
      <c r="C187" s="2">
        <v>7</v>
      </c>
      <c r="D187" s="2">
        <v>0</v>
      </c>
      <c r="E187" s="2">
        <v>1.389</v>
      </c>
      <c r="F187" s="2">
        <v>2</v>
      </c>
    </row>
    <row r="188" spans="1:6" ht="14.25" customHeight="1">
      <c r="A188" s="2">
        <v>6</v>
      </c>
      <c r="B188" s="2">
        <v>187</v>
      </c>
      <c r="C188" s="2">
        <v>5</v>
      </c>
      <c r="D188" s="2">
        <v>0</v>
      </c>
      <c r="E188" s="2">
        <v>1.169</v>
      </c>
      <c r="F188" s="2">
        <v>2</v>
      </c>
    </row>
    <row r="189" spans="1:6" ht="14.25" customHeight="1">
      <c r="A189" s="2">
        <v>6</v>
      </c>
      <c r="B189" s="2">
        <v>188</v>
      </c>
      <c r="C189" s="2">
        <v>7</v>
      </c>
      <c r="D189" s="2">
        <v>0</v>
      </c>
      <c r="E189" s="2">
        <v>0.55900000000000005</v>
      </c>
      <c r="F189" s="2">
        <v>1</v>
      </c>
    </row>
    <row r="190" spans="1:6" ht="14.25" customHeight="1">
      <c r="A190" s="2">
        <v>6</v>
      </c>
      <c r="B190" s="2">
        <v>189</v>
      </c>
      <c r="C190" s="2">
        <v>1</v>
      </c>
      <c r="E190" s="2">
        <v>2.0009999999999999</v>
      </c>
    </row>
    <row r="191" spans="1:6" ht="14.25" customHeight="1">
      <c r="A191" s="2">
        <v>6</v>
      </c>
      <c r="B191" s="2">
        <v>190</v>
      </c>
      <c r="C191" s="2">
        <v>6</v>
      </c>
      <c r="D191" s="2">
        <v>1</v>
      </c>
      <c r="E191" s="2">
        <v>0.875</v>
      </c>
      <c r="F191" s="2">
        <v>1</v>
      </c>
    </row>
    <row r="192" spans="1:6" ht="14.25" customHeight="1">
      <c r="A192" s="2">
        <v>6</v>
      </c>
      <c r="B192" s="2">
        <v>191</v>
      </c>
      <c r="C192" s="2">
        <v>7</v>
      </c>
      <c r="D192" s="2">
        <v>1</v>
      </c>
      <c r="E192" s="2">
        <v>1.044</v>
      </c>
      <c r="F192" s="2">
        <v>2</v>
      </c>
    </row>
    <row r="193" spans="1:6" ht="14.25" customHeight="1">
      <c r="A193" s="2">
        <v>6</v>
      </c>
      <c r="B193" s="2">
        <v>192</v>
      </c>
      <c r="C193" s="2">
        <v>6</v>
      </c>
      <c r="D193" s="2">
        <v>1</v>
      </c>
      <c r="E193" s="2">
        <v>1.23</v>
      </c>
      <c r="F193" s="2">
        <v>2</v>
      </c>
    </row>
    <row r="194" spans="1:6" ht="14.25" customHeight="1">
      <c r="A194" s="2">
        <v>6</v>
      </c>
      <c r="B194" s="2">
        <v>193</v>
      </c>
      <c r="C194" s="2">
        <v>4</v>
      </c>
      <c r="D194" s="2">
        <v>1</v>
      </c>
      <c r="E194" s="2">
        <v>0.57699999999999996</v>
      </c>
      <c r="F194" s="2">
        <v>2</v>
      </c>
    </row>
    <row r="195" spans="1:6" ht="14.25" customHeight="1">
      <c r="A195" s="2">
        <v>6</v>
      </c>
      <c r="B195" s="2">
        <v>194</v>
      </c>
      <c r="C195" s="2">
        <v>5</v>
      </c>
      <c r="D195" s="2">
        <v>1</v>
      </c>
      <c r="E195" s="2">
        <v>0.879</v>
      </c>
      <c r="F195" s="2">
        <v>2</v>
      </c>
    </row>
    <row r="196" spans="1:6" ht="14.25" customHeight="1">
      <c r="A196" s="2">
        <v>6</v>
      </c>
      <c r="B196" s="2">
        <v>195</v>
      </c>
      <c r="C196" s="2">
        <v>8</v>
      </c>
      <c r="D196" s="2">
        <v>1</v>
      </c>
      <c r="E196" s="2">
        <v>0.71199999999999997</v>
      </c>
      <c r="F196" s="2">
        <v>2</v>
      </c>
    </row>
    <row r="197" spans="1:6" ht="14.25" customHeight="1">
      <c r="A197" s="2">
        <v>6</v>
      </c>
      <c r="B197" s="2">
        <v>196</v>
      </c>
      <c r="C197" s="2">
        <v>1</v>
      </c>
      <c r="D197" s="2">
        <v>1</v>
      </c>
      <c r="E197" s="2">
        <v>1.1519999999999999</v>
      </c>
      <c r="F197" s="2">
        <v>1</v>
      </c>
    </row>
    <row r="198" spans="1:6" ht="14.25" customHeight="1">
      <c r="A198" s="2">
        <v>6</v>
      </c>
      <c r="B198" s="2">
        <v>197</v>
      </c>
      <c r="C198" s="2">
        <v>2</v>
      </c>
      <c r="D198" s="2">
        <v>1</v>
      </c>
      <c r="E198" s="2">
        <v>1.3109999999999999</v>
      </c>
      <c r="F198" s="2">
        <v>1</v>
      </c>
    </row>
    <row r="199" spans="1:6" ht="14.25" customHeight="1">
      <c r="A199" s="2">
        <v>6</v>
      </c>
      <c r="B199" s="2">
        <v>198</v>
      </c>
      <c r="C199" s="2">
        <v>1</v>
      </c>
      <c r="D199" s="2">
        <v>1</v>
      </c>
      <c r="E199" s="2">
        <v>0.83099999999999996</v>
      </c>
      <c r="F199" s="2">
        <v>2</v>
      </c>
    </row>
    <row r="200" spans="1:6" ht="14.25" customHeight="1">
      <c r="A200" s="2">
        <v>6</v>
      </c>
      <c r="B200" s="2">
        <v>199</v>
      </c>
      <c r="C200" s="2">
        <v>3</v>
      </c>
      <c r="D200" s="2">
        <v>1</v>
      </c>
      <c r="E200" s="2">
        <v>1.1379999999999999</v>
      </c>
      <c r="F200" s="2">
        <v>2</v>
      </c>
    </row>
    <row r="201" spans="1:6" ht="14.25" customHeight="1">
      <c r="A201" s="2">
        <v>6</v>
      </c>
      <c r="B201" s="2">
        <v>200</v>
      </c>
      <c r="C201" s="2">
        <v>8</v>
      </c>
      <c r="D201" s="2">
        <v>1</v>
      </c>
      <c r="E201" s="2">
        <v>1.6819999999999999</v>
      </c>
      <c r="F201" s="2">
        <v>1</v>
      </c>
    </row>
    <row r="202" spans="1:6" ht="14.25" customHeight="1">
      <c r="A202" s="2">
        <v>6</v>
      </c>
      <c r="B202" s="2">
        <v>201</v>
      </c>
      <c r="C202" s="2">
        <v>8</v>
      </c>
      <c r="E202" s="2">
        <v>2</v>
      </c>
    </row>
    <row r="203" spans="1:6" ht="14.25" customHeight="1">
      <c r="A203" s="2">
        <v>6</v>
      </c>
      <c r="B203" s="2">
        <v>202</v>
      </c>
      <c r="C203" s="2">
        <v>4</v>
      </c>
      <c r="D203" s="2">
        <v>1</v>
      </c>
      <c r="E203" s="2">
        <v>0.89400000000000002</v>
      </c>
      <c r="F203" s="2">
        <v>2</v>
      </c>
    </row>
    <row r="204" spans="1:6" ht="14.25" customHeight="1">
      <c r="A204" s="2">
        <v>6</v>
      </c>
      <c r="B204" s="2">
        <v>203</v>
      </c>
      <c r="C204" s="2">
        <v>3</v>
      </c>
      <c r="D204" s="2">
        <v>1</v>
      </c>
      <c r="E204" s="2">
        <v>1.0149999999999999</v>
      </c>
      <c r="F204" s="2">
        <v>2</v>
      </c>
    </row>
    <row r="205" spans="1:6" ht="14.25" customHeight="1">
      <c r="A205" s="2">
        <v>6</v>
      </c>
      <c r="B205" s="2">
        <v>204</v>
      </c>
      <c r="C205" s="2">
        <v>4</v>
      </c>
      <c r="D205" s="2">
        <v>0</v>
      </c>
      <c r="E205" s="2">
        <v>1.163</v>
      </c>
      <c r="F205" s="2">
        <v>2</v>
      </c>
    </row>
    <row r="206" spans="1:6" ht="14.25" customHeight="1">
      <c r="A206" s="2">
        <v>6</v>
      </c>
      <c r="B206" s="2">
        <v>205</v>
      </c>
      <c r="C206" s="2">
        <v>5</v>
      </c>
      <c r="D206" s="2">
        <v>1</v>
      </c>
      <c r="E206" s="2">
        <v>1.337</v>
      </c>
      <c r="F206" s="2">
        <v>1</v>
      </c>
    </row>
    <row r="207" spans="1:6" ht="14.25" customHeight="1">
      <c r="A207" s="2">
        <v>6</v>
      </c>
      <c r="B207" s="2">
        <v>206</v>
      </c>
      <c r="C207" s="2">
        <v>3</v>
      </c>
      <c r="D207" s="2">
        <v>0</v>
      </c>
      <c r="E207" s="2">
        <v>1.48</v>
      </c>
      <c r="F207" s="2">
        <v>2</v>
      </c>
    </row>
    <row r="208" spans="1:6" ht="14.25" customHeight="1">
      <c r="A208" s="2">
        <v>6</v>
      </c>
      <c r="B208" s="2">
        <v>207</v>
      </c>
      <c r="C208" s="2">
        <v>4</v>
      </c>
      <c r="D208" s="2">
        <v>1</v>
      </c>
      <c r="E208" s="2">
        <v>1.0249999999999999</v>
      </c>
      <c r="F208" s="2">
        <v>2</v>
      </c>
    </row>
    <row r="209" spans="1:6" ht="14.25" customHeight="1">
      <c r="A209" s="2">
        <v>6</v>
      </c>
      <c r="B209" s="2">
        <v>208</v>
      </c>
      <c r="C209" s="2">
        <v>6</v>
      </c>
      <c r="D209" s="2">
        <v>1</v>
      </c>
      <c r="E209" s="2">
        <v>1.044</v>
      </c>
      <c r="F209" s="2">
        <v>2</v>
      </c>
    </row>
    <row r="210" spans="1:6" ht="14.25" customHeight="1">
      <c r="A210" s="2">
        <v>6</v>
      </c>
      <c r="B210" s="2">
        <v>209</v>
      </c>
      <c r="C210" s="2">
        <v>8</v>
      </c>
      <c r="D210" s="2">
        <v>1</v>
      </c>
      <c r="E210" s="2">
        <v>0.71</v>
      </c>
      <c r="F210" s="2">
        <v>2</v>
      </c>
    </row>
    <row r="211" spans="1:6" ht="14.25" customHeight="1">
      <c r="A211" s="2">
        <v>6</v>
      </c>
      <c r="B211" s="2">
        <v>210</v>
      </c>
      <c r="C211" s="2">
        <v>6</v>
      </c>
      <c r="D211" s="2">
        <v>1</v>
      </c>
      <c r="E211" s="2">
        <v>1.7509999999999999</v>
      </c>
      <c r="F211" s="2">
        <v>1</v>
      </c>
    </row>
    <row r="212" spans="1:6" ht="14.25" customHeight="1">
      <c r="A212" s="2">
        <v>6</v>
      </c>
      <c r="B212" s="2">
        <v>211</v>
      </c>
      <c r="C212" s="2">
        <v>4</v>
      </c>
      <c r="D212" s="2">
        <v>1</v>
      </c>
      <c r="E212" s="2">
        <v>1.653</v>
      </c>
      <c r="F212" s="2">
        <v>1</v>
      </c>
    </row>
    <row r="213" spans="1:6" ht="14.25" customHeight="1">
      <c r="A213" s="2">
        <v>6</v>
      </c>
      <c r="B213" s="2">
        <v>212</v>
      </c>
      <c r="C213" s="2">
        <v>7</v>
      </c>
      <c r="D213" s="2">
        <v>0</v>
      </c>
      <c r="E213" s="2">
        <v>0.88700000000000001</v>
      </c>
      <c r="F213" s="2">
        <v>1</v>
      </c>
    </row>
    <row r="214" spans="1:6" ht="14.25" customHeight="1">
      <c r="A214" s="2">
        <v>6</v>
      </c>
      <c r="B214" s="2">
        <v>213</v>
      </c>
      <c r="C214" s="2">
        <v>1</v>
      </c>
      <c r="D214" s="2">
        <v>1</v>
      </c>
      <c r="E214" s="2">
        <v>1.0960000000000001</v>
      </c>
      <c r="F214" s="2">
        <v>2</v>
      </c>
    </row>
    <row r="215" spans="1:6" ht="14.25" customHeight="1">
      <c r="A215" s="2">
        <v>6</v>
      </c>
      <c r="B215" s="2">
        <v>214</v>
      </c>
      <c r="C215" s="2">
        <v>2</v>
      </c>
      <c r="D215" s="2">
        <v>1</v>
      </c>
      <c r="E215" s="2">
        <v>1.256</v>
      </c>
      <c r="F215" s="2">
        <v>2</v>
      </c>
    </row>
    <row r="216" spans="1:6" ht="14.25" customHeight="1">
      <c r="A216" s="2">
        <v>6</v>
      </c>
      <c r="B216" s="2">
        <v>215</v>
      </c>
      <c r="C216" s="2">
        <v>7</v>
      </c>
      <c r="D216" s="2">
        <v>0</v>
      </c>
      <c r="E216" s="2">
        <v>0.66700000000000004</v>
      </c>
      <c r="F216" s="2">
        <v>2</v>
      </c>
    </row>
    <row r="217" spans="1:6" ht="14.25" customHeight="1">
      <c r="A217" s="2">
        <v>6</v>
      </c>
      <c r="B217" s="2">
        <v>216</v>
      </c>
      <c r="C217" s="2">
        <v>8</v>
      </c>
      <c r="D217" s="2">
        <v>0</v>
      </c>
      <c r="E217" s="2">
        <v>0.78800000000000003</v>
      </c>
      <c r="F217" s="2">
        <v>1</v>
      </c>
    </row>
    <row r="218" spans="1:6" ht="14.25" customHeight="1">
      <c r="A218" s="2">
        <v>6</v>
      </c>
      <c r="B218" s="2">
        <v>217</v>
      </c>
      <c r="C218" s="2">
        <v>7</v>
      </c>
      <c r="E218" s="2">
        <v>2</v>
      </c>
    </row>
    <row r="219" spans="1:6" ht="14.25" customHeight="1">
      <c r="A219" s="2">
        <v>6</v>
      </c>
      <c r="B219" s="2">
        <v>218</v>
      </c>
      <c r="C219" s="2">
        <v>4</v>
      </c>
      <c r="D219" s="2">
        <v>1</v>
      </c>
      <c r="E219" s="2">
        <v>1.381</v>
      </c>
      <c r="F219" s="2">
        <v>2</v>
      </c>
    </row>
    <row r="220" spans="1:6" ht="14.25" customHeight="1">
      <c r="A220" s="2">
        <v>6</v>
      </c>
      <c r="B220" s="2">
        <v>219</v>
      </c>
      <c r="C220" s="2">
        <v>7</v>
      </c>
      <c r="D220" s="2">
        <v>1</v>
      </c>
      <c r="E220" s="2">
        <v>1.179</v>
      </c>
      <c r="F220" s="2">
        <v>2</v>
      </c>
    </row>
    <row r="221" spans="1:6" ht="14.25" customHeight="1">
      <c r="A221" s="2">
        <v>6</v>
      </c>
      <c r="B221" s="2">
        <v>220</v>
      </c>
      <c r="C221" s="2">
        <v>6</v>
      </c>
      <c r="D221" s="2">
        <v>1</v>
      </c>
      <c r="E221" s="2">
        <v>1.776</v>
      </c>
      <c r="F221" s="2">
        <v>1</v>
      </c>
    </row>
    <row r="222" spans="1:6" ht="14.25" customHeight="1">
      <c r="A222" s="2">
        <v>6</v>
      </c>
      <c r="B222" s="2">
        <v>221</v>
      </c>
      <c r="C222" s="2">
        <v>7</v>
      </c>
      <c r="D222" s="2">
        <v>1</v>
      </c>
      <c r="E222" s="2">
        <v>1.621</v>
      </c>
      <c r="F222" s="2">
        <v>2</v>
      </c>
    </row>
    <row r="223" spans="1:6" ht="14.25" customHeight="1">
      <c r="A223" s="2">
        <v>6</v>
      </c>
      <c r="B223" s="2">
        <v>222</v>
      </c>
      <c r="C223" s="2">
        <v>2</v>
      </c>
      <c r="D223" s="2">
        <v>1</v>
      </c>
      <c r="E223" s="2">
        <v>1.137</v>
      </c>
      <c r="F223" s="2">
        <v>2</v>
      </c>
    </row>
    <row r="224" spans="1:6" ht="14.25" customHeight="1">
      <c r="A224" s="2">
        <v>6</v>
      </c>
      <c r="B224" s="2">
        <v>223</v>
      </c>
      <c r="C224" s="2">
        <v>6</v>
      </c>
      <c r="E224" s="2">
        <v>2</v>
      </c>
    </row>
    <row r="225" spans="1:6" ht="14.25" customHeight="1">
      <c r="A225" s="2">
        <v>6</v>
      </c>
      <c r="B225" s="2">
        <v>224</v>
      </c>
      <c r="C225" s="2">
        <v>5</v>
      </c>
      <c r="D225" s="2">
        <v>1</v>
      </c>
      <c r="E225" s="2">
        <v>1.365</v>
      </c>
      <c r="F225" s="2">
        <v>1</v>
      </c>
    </row>
    <row r="226" spans="1:6" ht="14.25" customHeight="1">
      <c r="A226" s="2">
        <v>6</v>
      </c>
      <c r="B226" s="2">
        <v>225</v>
      </c>
      <c r="C226" s="2">
        <v>8</v>
      </c>
      <c r="D226" s="2">
        <v>1</v>
      </c>
      <c r="E226" s="2">
        <v>0.93100000000000005</v>
      </c>
      <c r="F226" s="2">
        <v>1</v>
      </c>
    </row>
    <row r="227" spans="1:6" ht="14.25" customHeight="1">
      <c r="A227" s="2">
        <v>6</v>
      </c>
      <c r="B227" s="2">
        <v>226</v>
      </c>
      <c r="C227" s="2">
        <v>2</v>
      </c>
      <c r="D227" s="2">
        <v>1</v>
      </c>
      <c r="E227" s="2">
        <v>1.05</v>
      </c>
      <c r="F227" s="2">
        <v>2</v>
      </c>
    </row>
    <row r="228" spans="1:6" ht="14.25" customHeight="1">
      <c r="A228" s="2">
        <v>6</v>
      </c>
      <c r="B228" s="2">
        <v>227</v>
      </c>
      <c r="C228" s="2">
        <v>3</v>
      </c>
      <c r="D228" s="2">
        <v>0</v>
      </c>
      <c r="E228" s="2">
        <v>1.925</v>
      </c>
      <c r="F228" s="2">
        <v>2</v>
      </c>
    </row>
    <row r="229" spans="1:6" ht="14.25" customHeight="1">
      <c r="A229" s="2">
        <v>6</v>
      </c>
      <c r="B229" s="2">
        <v>228</v>
      </c>
      <c r="C229" s="2">
        <v>1</v>
      </c>
      <c r="D229" s="2">
        <v>1</v>
      </c>
      <c r="E229" s="2">
        <v>1.9650000000000001</v>
      </c>
      <c r="F229" s="2">
        <v>2</v>
      </c>
    </row>
    <row r="230" spans="1:6" ht="14.25" customHeight="1">
      <c r="A230" s="2">
        <v>6</v>
      </c>
      <c r="B230" s="2">
        <v>229</v>
      </c>
      <c r="C230" s="2">
        <v>5</v>
      </c>
      <c r="D230" s="2">
        <v>1</v>
      </c>
      <c r="E230" s="2">
        <v>1.8740000000000001</v>
      </c>
      <c r="F230" s="2">
        <v>1</v>
      </c>
    </row>
    <row r="231" spans="1:6" ht="14.25" customHeight="1">
      <c r="A231" s="2">
        <v>6</v>
      </c>
      <c r="B231" s="2">
        <v>230</v>
      </c>
      <c r="C231" s="2">
        <v>2</v>
      </c>
      <c r="D231" s="2">
        <v>0</v>
      </c>
      <c r="E231" s="2">
        <v>1.6759999999999999</v>
      </c>
      <c r="F231" s="2">
        <v>2</v>
      </c>
    </row>
    <row r="232" spans="1:6" ht="14.25" customHeight="1">
      <c r="A232" s="2">
        <v>6</v>
      </c>
      <c r="B232" s="2">
        <v>231</v>
      </c>
      <c r="C232" s="2">
        <v>1</v>
      </c>
      <c r="D232" s="2">
        <v>1</v>
      </c>
      <c r="E232" s="2">
        <v>1.357</v>
      </c>
      <c r="F232" s="2">
        <v>2</v>
      </c>
    </row>
    <row r="233" spans="1:6" ht="14.25" customHeight="1">
      <c r="A233" s="2">
        <v>6</v>
      </c>
      <c r="B233" s="2">
        <v>232</v>
      </c>
      <c r="C233" s="2">
        <v>6</v>
      </c>
      <c r="D233" s="2">
        <v>1</v>
      </c>
      <c r="E233" s="2">
        <v>1.698</v>
      </c>
      <c r="F233" s="2">
        <v>1</v>
      </c>
    </row>
    <row r="234" spans="1:6" ht="14.25" customHeight="1">
      <c r="A234" s="2">
        <v>6</v>
      </c>
      <c r="B234" s="2">
        <v>233</v>
      </c>
      <c r="C234" s="2">
        <v>3</v>
      </c>
      <c r="D234" s="2">
        <v>1</v>
      </c>
      <c r="E234" s="2">
        <v>1.2509999999999999</v>
      </c>
      <c r="F234" s="2">
        <v>1</v>
      </c>
    </row>
    <row r="235" spans="1:6" ht="14.25" customHeight="1">
      <c r="A235" s="2">
        <v>6</v>
      </c>
      <c r="B235" s="2">
        <v>234</v>
      </c>
      <c r="C235" s="2">
        <v>8</v>
      </c>
      <c r="D235" s="2">
        <v>1</v>
      </c>
      <c r="E235" s="2">
        <v>1.3089999999999999</v>
      </c>
      <c r="F235" s="2">
        <v>2</v>
      </c>
    </row>
    <row r="236" spans="1:6" ht="14.25" customHeight="1">
      <c r="A236" s="2">
        <v>6</v>
      </c>
      <c r="B236" s="2">
        <v>235</v>
      </c>
      <c r="C236" s="2">
        <v>4</v>
      </c>
      <c r="E236" s="2">
        <v>2</v>
      </c>
    </row>
    <row r="237" spans="1:6" ht="14.25" customHeight="1">
      <c r="A237" s="2">
        <v>6</v>
      </c>
      <c r="B237" s="2">
        <v>236</v>
      </c>
      <c r="C237" s="2">
        <v>5</v>
      </c>
      <c r="D237" s="2">
        <v>0</v>
      </c>
      <c r="E237" s="2">
        <v>1.706</v>
      </c>
      <c r="F237" s="2">
        <v>2</v>
      </c>
    </row>
    <row r="238" spans="1:6" ht="14.25" customHeight="1">
      <c r="A238" s="2">
        <v>6</v>
      </c>
      <c r="B238" s="2">
        <v>237</v>
      </c>
      <c r="C238" s="2">
        <v>3</v>
      </c>
      <c r="D238" s="2">
        <v>1</v>
      </c>
      <c r="E238" s="2">
        <v>1.3380000000000001</v>
      </c>
      <c r="F238" s="2">
        <v>1</v>
      </c>
    </row>
    <row r="239" spans="1:6" ht="14.25" customHeight="1">
      <c r="A239" s="2">
        <v>6</v>
      </c>
      <c r="B239" s="2">
        <v>238</v>
      </c>
      <c r="C239" s="2">
        <v>1</v>
      </c>
      <c r="D239" s="2">
        <v>1</v>
      </c>
      <c r="E239" s="2">
        <v>1.425</v>
      </c>
      <c r="F239" s="2">
        <v>2</v>
      </c>
    </row>
    <row r="240" spans="1:6" ht="14.25" customHeight="1">
      <c r="A240" s="2">
        <v>6</v>
      </c>
      <c r="B240" s="2">
        <v>239</v>
      </c>
      <c r="C240" s="2">
        <v>8</v>
      </c>
      <c r="D240" s="2">
        <v>1</v>
      </c>
      <c r="E240" s="2">
        <v>0.67600000000000005</v>
      </c>
      <c r="F240" s="2">
        <v>1</v>
      </c>
    </row>
    <row r="241" spans="1:6" ht="14.25" customHeight="1">
      <c r="A241" s="2">
        <v>6</v>
      </c>
      <c r="B241" s="2">
        <v>240</v>
      </c>
      <c r="C241" s="2">
        <v>2</v>
      </c>
      <c r="D241" s="2">
        <v>1</v>
      </c>
      <c r="E241" s="2">
        <v>1.629</v>
      </c>
      <c r="F241" s="2">
        <v>1</v>
      </c>
    </row>
    <row r="242" spans="1:6" ht="14.25" customHeight="1">
      <c r="A242" s="2">
        <v>6</v>
      </c>
      <c r="B242" s="2">
        <v>241</v>
      </c>
      <c r="C242" s="2">
        <v>3</v>
      </c>
      <c r="D242" s="2">
        <v>1</v>
      </c>
      <c r="E242" s="2">
        <v>0.85699999999999998</v>
      </c>
      <c r="F242" s="2">
        <v>2</v>
      </c>
    </row>
    <row r="243" spans="1:6" ht="14.25" customHeight="1">
      <c r="A243" s="2">
        <v>6</v>
      </c>
      <c r="B243" s="2">
        <v>242</v>
      </c>
      <c r="C243" s="2">
        <v>5</v>
      </c>
      <c r="D243" s="2">
        <v>1</v>
      </c>
      <c r="E243" s="2">
        <v>0.86699999999999999</v>
      </c>
      <c r="F243" s="2">
        <v>2</v>
      </c>
    </row>
    <row r="244" spans="1:6" ht="14.25" customHeight="1">
      <c r="A244" s="2">
        <v>6</v>
      </c>
      <c r="B244" s="2">
        <v>243</v>
      </c>
      <c r="C244" s="2">
        <v>1</v>
      </c>
      <c r="D244" s="2">
        <v>1</v>
      </c>
      <c r="E244" s="2">
        <v>1.2210000000000001</v>
      </c>
      <c r="F244" s="2">
        <v>2</v>
      </c>
    </row>
    <row r="245" spans="1:6" ht="14.25" customHeight="1">
      <c r="A245" s="2">
        <v>6</v>
      </c>
      <c r="B245" s="2">
        <v>244</v>
      </c>
      <c r="C245" s="2">
        <v>4</v>
      </c>
      <c r="D245" s="2">
        <v>1</v>
      </c>
      <c r="E245" s="2">
        <v>0.8</v>
      </c>
      <c r="F245" s="2">
        <v>2</v>
      </c>
    </row>
    <row r="246" spans="1:6" ht="14.25" customHeight="1">
      <c r="A246" s="2">
        <v>6</v>
      </c>
      <c r="B246" s="2">
        <v>245</v>
      </c>
      <c r="C246" s="2">
        <v>6</v>
      </c>
      <c r="D246" s="2">
        <v>1</v>
      </c>
      <c r="E246" s="2">
        <v>0.92500000000000004</v>
      </c>
      <c r="F246" s="2">
        <v>2</v>
      </c>
    </row>
    <row r="247" spans="1:6" ht="14.25" customHeight="1">
      <c r="A247" s="2">
        <v>6</v>
      </c>
      <c r="B247" s="2">
        <v>246</v>
      </c>
      <c r="C247" s="2">
        <v>2</v>
      </c>
      <c r="D247" s="2">
        <v>1</v>
      </c>
      <c r="E247" s="2">
        <v>1.788</v>
      </c>
      <c r="F247" s="2">
        <v>1</v>
      </c>
    </row>
    <row r="248" spans="1:6" ht="14.25" customHeight="1">
      <c r="A248" s="2">
        <v>6</v>
      </c>
      <c r="B248" s="2">
        <v>247</v>
      </c>
      <c r="C248" s="2">
        <v>3</v>
      </c>
      <c r="D248" s="2">
        <v>1</v>
      </c>
      <c r="E248" s="2">
        <v>1.577</v>
      </c>
      <c r="F248" s="2">
        <v>1</v>
      </c>
    </row>
    <row r="249" spans="1:6" ht="14.25" customHeight="1">
      <c r="A249" s="2">
        <v>6</v>
      </c>
      <c r="B249" s="2">
        <v>248</v>
      </c>
      <c r="C249" s="2">
        <v>1</v>
      </c>
      <c r="D249" s="2">
        <v>1</v>
      </c>
      <c r="E249" s="2">
        <v>0.69499999999999995</v>
      </c>
      <c r="F249" s="2">
        <v>2</v>
      </c>
    </row>
    <row r="250" spans="1:6" ht="14.25" customHeight="1">
      <c r="A250" s="2">
        <v>6</v>
      </c>
      <c r="B250" s="2">
        <v>249</v>
      </c>
      <c r="C250" s="2">
        <v>7</v>
      </c>
      <c r="D250" s="2">
        <v>1</v>
      </c>
      <c r="E250" s="2">
        <v>1.03</v>
      </c>
      <c r="F250" s="2">
        <v>2</v>
      </c>
    </row>
    <row r="251" spans="1:6" ht="14.25" customHeight="1">
      <c r="A251" s="2">
        <v>6</v>
      </c>
      <c r="B251" s="2">
        <v>250</v>
      </c>
      <c r="C251" s="2">
        <v>5</v>
      </c>
      <c r="D251" s="2">
        <v>0</v>
      </c>
      <c r="E251" s="2">
        <v>1.8340000000000001</v>
      </c>
      <c r="F251" s="2">
        <v>2</v>
      </c>
    </row>
    <row r="252" spans="1:6" ht="14.25" customHeight="1">
      <c r="A252" s="2">
        <v>6</v>
      </c>
      <c r="B252" s="2">
        <v>251</v>
      </c>
      <c r="C252" s="2">
        <v>1</v>
      </c>
      <c r="E252" s="2">
        <v>2</v>
      </c>
    </row>
    <row r="253" spans="1:6" ht="14.25" customHeight="1">
      <c r="A253" s="2">
        <v>6</v>
      </c>
      <c r="B253" s="2">
        <v>252</v>
      </c>
      <c r="C253" s="2">
        <v>3</v>
      </c>
      <c r="D253" s="2">
        <v>1</v>
      </c>
      <c r="E253" s="2">
        <v>0.76900000000000002</v>
      </c>
      <c r="F253" s="2">
        <v>2</v>
      </c>
    </row>
    <row r="254" spans="1:6" ht="14.25" customHeight="1">
      <c r="A254" s="2">
        <v>6</v>
      </c>
      <c r="B254" s="2">
        <v>253</v>
      </c>
      <c r="C254" s="2">
        <v>4</v>
      </c>
      <c r="D254" s="2">
        <v>1</v>
      </c>
      <c r="E254" s="2">
        <v>1.2070000000000001</v>
      </c>
      <c r="F254" s="2">
        <v>2</v>
      </c>
    </row>
    <row r="255" spans="1:6" ht="14.25" customHeight="1">
      <c r="A255" s="2">
        <v>6</v>
      </c>
      <c r="B255" s="2">
        <v>254</v>
      </c>
      <c r="C255" s="2">
        <v>8</v>
      </c>
      <c r="D255" s="2">
        <v>0</v>
      </c>
      <c r="E255" s="2">
        <v>0.67500000000000004</v>
      </c>
      <c r="F255" s="2">
        <v>2</v>
      </c>
    </row>
    <row r="256" spans="1:6" ht="14.25" customHeight="1">
      <c r="A256" s="2">
        <v>6</v>
      </c>
      <c r="B256" s="2">
        <v>255</v>
      </c>
      <c r="C256" s="2">
        <v>2</v>
      </c>
      <c r="D256" s="2">
        <v>1</v>
      </c>
      <c r="E256" s="2">
        <v>1.1639999999999999</v>
      </c>
      <c r="F256" s="2">
        <v>1</v>
      </c>
    </row>
    <row r="257" spans="1:6" ht="14.25" customHeight="1">
      <c r="A257" s="2">
        <v>6</v>
      </c>
      <c r="B257" s="2">
        <v>256</v>
      </c>
      <c r="C257" s="2">
        <v>7</v>
      </c>
      <c r="D257" s="2">
        <v>0</v>
      </c>
      <c r="E257" s="2">
        <v>1.1140000000000001</v>
      </c>
      <c r="F257" s="2">
        <v>2</v>
      </c>
    </row>
    <row r="258" spans="1:6" ht="14.25" customHeight="1">
      <c r="A258" s="2">
        <v>6</v>
      </c>
      <c r="B258" s="2">
        <v>257</v>
      </c>
      <c r="C258" s="2">
        <v>5</v>
      </c>
      <c r="D258" s="2">
        <v>1</v>
      </c>
      <c r="E258" s="2">
        <v>0.874</v>
      </c>
      <c r="F258" s="2">
        <v>2</v>
      </c>
    </row>
    <row r="259" spans="1:6" ht="14.25" customHeight="1">
      <c r="A259" s="2">
        <v>6</v>
      </c>
      <c r="B259" s="2">
        <v>258</v>
      </c>
      <c r="C259" s="2">
        <v>3</v>
      </c>
      <c r="D259" s="2">
        <v>1</v>
      </c>
      <c r="E259" s="2">
        <v>1.4830000000000001</v>
      </c>
      <c r="F259" s="2">
        <v>2</v>
      </c>
    </row>
    <row r="260" spans="1:6" ht="14.25" customHeight="1">
      <c r="A260" s="2">
        <v>6</v>
      </c>
      <c r="B260" s="2">
        <v>259</v>
      </c>
      <c r="C260" s="2">
        <v>6</v>
      </c>
      <c r="D260" s="2">
        <v>1</v>
      </c>
      <c r="E260" s="2">
        <v>0.73299999999999998</v>
      </c>
      <c r="F260" s="2">
        <v>2</v>
      </c>
    </row>
    <row r="261" spans="1:6" ht="14.25" customHeight="1">
      <c r="A261" s="2">
        <v>6</v>
      </c>
      <c r="B261" s="2">
        <v>260</v>
      </c>
      <c r="C261" s="2">
        <v>7</v>
      </c>
      <c r="D261" s="2">
        <v>1</v>
      </c>
      <c r="E261" s="2">
        <v>0.98099999999999998</v>
      </c>
      <c r="F261" s="2">
        <v>1</v>
      </c>
    </row>
    <row r="262" spans="1:6" ht="14.25" customHeight="1">
      <c r="A262" s="2">
        <v>6</v>
      </c>
      <c r="B262" s="2">
        <v>261</v>
      </c>
      <c r="C262" s="2">
        <v>2</v>
      </c>
      <c r="D262" s="2">
        <v>1</v>
      </c>
      <c r="E262" s="2">
        <v>1.4650000000000001</v>
      </c>
      <c r="F262" s="2">
        <v>1</v>
      </c>
    </row>
    <row r="263" spans="1:6" ht="14.25" customHeight="1">
      <c r="A263" s="2">
        <v>6</v>
      </c>
      <c r="B263" s="2">
        <v>262</v>
      </c>
      <c r="C263" s="2">
        <v>8</v>
      </c>
      <c r="D263" s="2">
        <v>0</v>
      </c>
      <c r="E263" s="2">
        <v>1.915</v>
      </c>
      <c r="F263" s="2">
        <v>1</v>
      </c>
    </row>
    <row r="264" spans="1:6" ht="14.25" customHeight="1">
      <c r="A264" s="2">
        <v>6</v>
      </c>
      <c r="B264" s="2">
        <v>263</v>
      </c>
      <c r="C264" s="2">
        <v>5</v>
      </c>
      <c r="D264" s="2">
        <v>1</v>
      </c>
      <c r="E264" s="2">
        <v>0.82699999999999996</v>
      </c>
      <c r="F264" s="2">
        <v>2</v>
      </c>
    </row>
    <row r="265" spans="1:6" ht="14.25" customHeight="1">
      <c r="A265" s="2">
        <v>6</v>
      </c>
      <c r="B265" s="2">
        <v>264</v>
      </c>
      <c r="C265" s="2">
        <v>6</v>
      </c>
      <c r="D265" s="2">
        <v>1</v>
      </c>
      <c r="E265" s="2">
        <v>1.0860000000000001</v>
      </c>
      <c r="F265" s="2">
        <v>2</v>
      </c>
    </row>
    <row r="266" spans="1:6" ht="14.25" customHeight="1">
      <c r="A266" s="2">
        <v>6</v>
      </c>
      <c r="B266" s="2">
        <v>265</v>
      </c>
      <c r="C266" s="2">
        <v>4</v>
      </c>
      <c r="D266" s="2">
        <v>0</v>
      </c>
      <c r="E266" s="2">
        <v>1.7669999999999999</v>
      </c>
      <c r="F266" s="2">
        <v>2</v>
      </c>
    </row>
    <row r="267" spans="1:6" ht="14.25" customHeight="1">
      <c r="A267" s="2">
        <v>6</v>
      </c>
      <c r="B267" s="2">
        <v>266</v>
      </c>
      <c r="C267" s="2">
        <v>8</v>
      </c>
      <c r="D267" s="2">
        <v>1</v>
      </c>
      <c r="E267" s="2">
        <v>0.54200000000000004</v>
      </c>
      <c r="F267" s="2">
        <v>2</v>
      </c>
    </row>
    <row r="268" spans="1:6" ht="14.25" customHeight="1">
      <c r="A268" s="2">
        <v>6</v>
      </c>
      <c r="B268" s="2">
        <v>267</v>
      </c>
      <c r="C268" s="2">
        <v>1</v>
      </c>
      <c r="D268" s="2">
        <v>0</v>
      </c>
      <c r="E268" s="2">
        <v>0.65200000000000002</v>
      </c>
      <c r="F268" s="2">
        <v>2</v>
      </c>
    </row>
    <row r="269" spans="1:6" ht="14.25" customHeight="1">
      <c r="A269" s="2">
        <v>6</v>
      </c>
      <c r="B269" s="2">
        <v>268</v>
      </c>
      <c r="C269" s="2">
        <v>2</v>
      </c>
      <c r="D269" s="2">
        <v>0</v>
      </c>
      <c r="E269" s="2">
        <v>1.1419999999999999</v>
      </c>
      <c r="F269" s="2">
        <v>1</v>
      </c>
    </row>
    <row r="270" spans="1:6" ht="14.25" customHeight="1">
      <c r="A270" s="2">
        <v>6</v>
      </c>
      <c r="B270" s="2">
        <v>269</v>
      </c>
      <c r="C270" s="2">
        <v>5</v>
      </c>
      <c r="D270" s="2">
        <v>1</v>
      </c>
      <c r="E270" s="2">
        <v>1.2929999999999999</v>
      </c>
      <c r="F270" s="2">
        <v>2</v>
      </c>
    </row>
    <row r="271" spans="1:6" ht="14.25" customHeight="1">
      <c r="A271" s="2">
        <v>6</v>
      </c>
      <c r="B271" s="2">
        <v>270</v>
      </c>
      <c r="C271" s="2">
        <v>2</v>
      </c>
      <c r="D271" s="2">
        <v>1</v>
      </c>
      <c r="E271" s="2">
        <v>1.91</v>
      </c>
      <c r="F271" s="2">
        <v>1</v>
      </c>
    </row>
    <row r="272" spans="1:6" ht="14.25" customHeight="1">
      <c r="A272" s="2">
        <v>6</v>
      </c>
      <c r="B272" s="2">
        <v>271</v>
      </c>
      <c r="C272" s="2">
        <v>6</v>
      </c>
      <c r="D272" s="2">
        <v>0</v>
      </c>
      <c r="E272" s="2">
        <v>0.63</v>
      </c>
      <c r="F272" s="2">
        <v>1</v>
      </c>
    </row>
    <row r="273" spans="1:6" ht="14.25" customHeight="1">
      <c r="A273" s="2">
        <v>6</v>
      </c>
      <c r="B273" s="2">
        <v>272</v>
      </c>
      <c r="C273" s="2">
        <v>4</v>
      </c>
      <c r="D273" s="2">
        <v>1</v>
      </c>
      <c r="E273" s="2">
        <v>1.2330000000000001</v>
      </c>
      <c r="F273" s="2">
        <v>2</v>
      </c>
    </row>
    <row r="274" spans="1:6" ht="14.25" customHeight="1">
      <c r="A274" s="2">
        <v>6</v>
      </c>
      <c r="B274" s="2">
        <v>273</v>
      </c>
      <c r="C274" s="2">
        <v>3</v>
      </c>
      <c r="E274" s="2">
        <v>2</v>
      </c>
    </row>
    <row r="275" spans="1:6" ht="14.25" customHeight="1">
      <c r="A275" s="2">
        <v>6</v>
      </c>
      <c r="B275" s="2">
        <v>274</v>
      </c>
      <c r="C275" s="2">
        <v>5</v>
      </c>
      <c r="D275" s="2">
        <v>1</v>
      </c>
      <c r="E275" s="2">
        <v>1.129</v>
      </c>
      <c r="F275" s="2">
        <v>1</v>
      </c>
    </row>
    <row r="276" spans="1:6" ht="14.25" customHeight="1">
      <c r="A276" s="2">
        <v>6</v>
      </c>
      <c r="B276" s="2">
        <v>275</v>
      </c>
      <c r="C276" s="2">
        <v>4</v>
      </c>
      <c r="D276" s="2">
        <v>0</v>
      </c>
      <c r="E276" s="2">
        <v>1.4</v>
      </c>
      <c r="F276" s="2">
        <v>2</v>
      </c>
    </row>
    <row r="277" spans="1:6" ht="14.25" customHeight="1">
      <c r="A277" s="2">
        <v>6</v>
      </c>
      <c r="B277" s="2">
        <v>276</v>
      </c>
      <c r="C277" s="2">
        <v>5</v>
      </c>
      <c r="D277" s="2">
        <v>1</v>
      </c>
      <c r="E277" s="2">
        <v>0.73399999999999999</v>
      </c>
      <c r="F277" s="2">
        <v>2</v>
      </c>
    </row>
    <row r="278" spans="1:6" ht="14.25" customHeight="1">
      <c r="A278" s="2">
        <v>6</v>
      </c>
      <c r="B278" s="2">
        <v>277</v>
      </c>
      <c r="C278" s="2">
        <v>1</v>
      </c>
      <c r="D278" s="2">
        <v>0</v>
      </c>
      <c r="E278" s="2">
        <v>1.869</v>
      </c>
      <c r="F278" s="2">
        <v>2</v>
      </c>
    </row>
    <row r="279" spans="1:6" ht="14.25" customHeight="1">
      <c r="A279" s="2">
        <v>6</v>
      </c>
      <c r="B279" s="2">
        <v>278</v>
      </c>
      <c r="C279" s="2">
        <v>7</v>
      </c>
      <c r="D279" s="2">
        <v>0</v>
      </c>
      <c r="E279" s="2">
        <v>0.79100000000000004</v>
      </c>
      <c r="F279" s="2">
        <v>1</v>
      </c>
    </row>
    <row r="280" spans="1:6" ht="14.25" customHeight="1">
      <c r="A280" s="2">
        <v>6</v>
      </c>
      <c r="B280" s="2">
        <v>279</v>
      </c>
      <c r="C280" s="2">
        <v>3</v>
      </c>
      <c r="D280" s="2">
        <v>1</v>
      </c>
      <c r="E280" s="2">
        <v>1.675</v>
      </c>
      <c r="F280" s="2">
        <v>1</v>
      </c>
    </row>
    <row r="281" spans="1:6" ht="14.25" customHeight="1">
      <c r="A281" s="2">
        <v>6</v>
      </c>
      <c r="B281" s="2">
        <v>280</v>
      </c>
      <c r="C281" s="2">
        <v>2</v>
      </c>
      <c r="E281" s="2">
        <v>2.0009999999999999</v>
      </c>
    </row>
    <row r="282" spans="1:6" ht="14.25" customHeight="1">
      <c r="A282" s="2">
        <v>6</v>
      </c>
      <c r="B282" s="2">
        <v>281</v>
      </c>
      <c r="C282" s="2">
        <v>6</v>
      </c>
      <c r="D282" s="2">
        <v>1</v>
      </c>
      <c r="E282" s="2">
        <v>1.202</v>
      </c>
      <c r="F282" s="2">
        <v>2</v>
      </c>
    </row>
    <row r="283" spans="1:6" ht="14.25" customHeight="1">
      <c r="A283" s="2">
        <v>6</v>
      </c>
      <c r="B283" s="2">
        <v>282</v>
      </c>
      <c r="C283" s="2">
        <v>8</v>
      </c>
      <c r="E283" s="2">
        <v>2</v>
      </c>
    </row>
    <row r="284" spans="1:6" ht="14.25" customHeight="1">
      <c r="A284" s="2">
        <v>6</v>
      </c>
      <c r="B284" s="2">
        <v>283</v>
      </c>
      <c r="C284" s="2">
        <v>7</v>
      </c>
      <c r="D284" s="2">
        <v>1</v>
      </c>
      <c r="E284" s="2">
        <v>1.5940000000000001</v>
      </c>
      <c r="F284" s="2">
        <v>1</v>
      </c>
    </row>
    <row r="285" spans="1:6" ht="14.25" customHeight="1">
      <c r="A285" s="2">
        <v>6</v>
      </c>
      <c r="B285" s="2">
        <v>284</v>
      </c>
      <c r="C285" s="2">
        <v>3</v>
      </c>
      <c r="D285" s="2">
        <v>1</v>
      </c>
      <c r="E285" s="2">
        <v>1.3360000000000001</v>
      </c>
      <c r="F285" s="2">
        <v>2</v>
      </c>
    </row>
    <row r="286" spans="1:6" ht="14.25" customHeight="1">
      <c r="A286" s="2">
        <v>6</v>
      </c>
      <c r="B286" s="2">
        <v>285</v>
      </c>
      <c r="C286" s="2">
        <v>1</v>
      </c>
      <c r="D286" s="2">
        <v>1</v>
      </c>
      <c r="E286" s="2">
        <v>1.0149999999999999</v>
      </c>
      <c r="F286" s="2">
        <v>1</v>
      </c>
    </row>
    <row r="287" spans="1:6" ht="14.25" customHeight="1">
      <c r="A287" s="2">
        <v>6</v>
      </c>
      <c r="B287" s="2">
        <v>286</v>
      </c>
      <c r="C287" s="2">
        <v>5</v>
      </c>
      <c r="D287" s="2">
        <v>1</v>
      </c>
      <c r="E287" s="2">
        <v>1.379</v>
      </c>
      <c r="F287" s="2">
        <v>1</v>
      </c>
    </row>
    <row r="288" spans="1:6" ht="14.25" customHeight="1">
      <c r="A288" s="2">
        <v>6</v>
      </c>
      <c r="B288" s="2">
        <v>287</v>
      </c>
      <c r="C288" s="2">
        <v>4</v>
      </c>
      <c r="D288" s="2">
        <v>1</v>
      </c>
      <c r="E288" s="2">
        <v>1.1359999999999999</v>
      </c>
      <c r="F288" s="2">
        <v>1</v>
      </c>
    </row>
    <row r="289" spans="1:6" ht="14.25" customHeight="1">
      <c r="A289" s="2">
        <v>6</v>
      </c>
      <c r="B289" s="2">
        <v>288</v>
      </c>
      <c r="C289" s="2">
        <v>6</v>
      </c>
      <c r="D289" s="2">
        <v>0</v>
      </c>
      <c r="E289" s="2">
        <v>1.7350000000000001</v>
      </c>
      <c r="F289" s="2">
        <v>1</v>
      </c>
    </row>
    <row r="290" spans="1:6" ht="14.25" customHeight="1">
      <c r="A290" s="2">
        <v>6</v>
      </c>
      <c r="B290" s="2">
        <v>289</v>
      </c>
      <c r="C290" s="2">
        <v>2</v>
      </c>
      <c r="D290" s="2">
        <v>1</v>
      </c>
      <c r="E290" s="2">
        <v>0.92700000000000005</v>
      </c>
      <c r="F290" s="2">
        <v>1</v>
      </c>
    </row>
    <row r="291" spans="1:6" ht="14.25" customHeight="1">
      <c r="A291" s="2">
        <v>6</v>
      </c>
      <c r="B291" s="2">
        <v>290</v>
      </c>
      <c r="C291" s="2">
        <v>4</v>
      </c>
      <c r="D291" s="2">
        <v>1</v>
      </c>
      <c r="E291" s="2">
        <v>0.89400000000000002</v>
      </c>
      <c r="F291" s="2">
        <v>1</v>
      </c>
    </row>
    <row r="292" spans="1:6" ht="14.25" customHeight="1">
      <c r="A292" s="2">
        <v>6</v>
      </c>
      <c r="B292" s="2">
        <v>291</v>
      </c>
      <c r="C292" s="2">
        <v>7</v>
      </c>
      <c r="D292" s="2">
        <v>1</v>
      </c>
      <c r="E292" s="2">
        <v>1.7909999999999999</v>
      </c>
      <c r="F292" s="2">
        <v>2</v>
      </c>
    </row>
    <row r="293" spans="1:6" ht="14.25" customHeight="1">
      <c r="A293" s="2">
        <v>6</v>
      </c>
      <c r="B293" s="2">
        <v>292</v>
      </c>
      <c r="C293" s="2">
        <v>4</v>
      </c>
      <c r="D293" s="2">
        <v>1</v>
      </c>
      <c r="E293" s="2">
        <v>0.63500000000000001</v>
      </c>
      <c r="F293" s="2">
        <v>2</v>
      </c>
    </row>
    <row r="294" spans="1:6" ht="14.25" customHeight="1">
      <c r="A294" s="2">
        <v>6</v>
      </c>
      <c r="B294" s="2">
        <v>293</v>
      </c>
      <c r="C294" s="2">
        <v>8</v>
      </c>
      <c r="E294" s="2">
        <v>2</v>
      </c>
    </row>
    <row r="295" spans="1:6" ht="14.25" customHeight="1">
      <c r="A295" s="2">
        <v>6</v>
      </c>
      <c r="B295" s="2">
        <v>294</v>
      </c>
      <c r="C295" s="2">
        <v>6</v>
      </c>
      <c r="D295" s="2">
        <v>1</v>
      </c>
      <c r="E295" s="2">
        <v>1.2669999999999999</v>
      </c>
      <c r="F295" s="2">
        <v>2</v>
      </c>
    </row>
    <row r="296" spans="1:6" ht="14.25" customHeight="1">
      <c r="A296" s="2">
        <v>6</v>
      </c>
      <c r="B296" s="2">
        <v>295</v>
      </c>
      <c r="C296" s="2">
        <v>1</v>
      </c>
      <c r="D296" s="2">
        <v>1</v>
      </c>
      <c r="E296" s="2">
        <v>0.78900000000000003</v>
      </c>
      <c r="F296" s="2">
        <v>2</v>
      </c>
    </row>
    <row r="297" spans="1:6" ht="14.25" customHeight="1">
      <c r="A297" s="2">
        <v>6</v>
      </c>
      <c r="B297" s="2">
        <v>296</v>
      </c>
      <c r="C297" s="2">
        <v>3</v>
      </c>
      <c r="D297" s="2">
        <v>1</v>
      </c>
      <c r="E297" s="2">
        <v>1.6180000000000001</v>
      </c>
      <c r="F297" s="2">
        <v>1</v>
      </c>
    </row>
    <row r="298" spans="1:6" ht="14.25" customHeight="1">
      <c r="A298" s="2">
        <v>6</v>
      </c>
      <c r="B298" s="2">
        <v>297</v>
      </c>
      <c r="C298" s="2">
        <v>1</v>
      </c>
      <c r="D298" s="2">
        <v>1</v>
      </c>
      <c r="E298" s="2">
        <v>1.3580000000000001</v>
      </c>
      <c r="F298" s="2">
        <v>1</v>
      </c>
    </row>
    <row r="299" spans="1:6" ht="14.25" customHeight="1">
      <c r="A299" s="2">
        <v>6</v>
      </c>
      <c r="B299" s="2">
        <v>298</v>
      </c>
      <c r="C299" s="2">
        <v>3</v>
      </c>
      <c r="D299" s="2">
        <v>1</v>
      </c>
      <c r="E299" s="2">
        <v>0.70099999999999996</v>
      </c>
      <c r="F299" s="2">
        <v>2</v>
      </c>
    </row>
    <row r="300" spans="1:6" ht="14.25" customHeight="1">
      <c r="A300" s="2">
        <v>6</v>
      </c>
      <c r="B300" s="2">
        <v>299</v>
      </c>
      <c r="C300" s="2">
        <v>7</v>
      </c>
      <c r="D300" s="2">
        <v>1</v>
      </c>
      <c r="E300" s="2">
        <v>1.4370000000000001</v>
      </c>
      <c r="F300" s="2">
        <v>2</v>
      </c>
    </row>
    <row r="301" spans="1:6" ht="14.25" customHeight="1">
      <c r="A301" s="2">
        <v>6</v>
      </c>
      <c r="B301" s="2">
        <v>300</v>
      </c>
      <c r="C301" s="2">
        <v>8</v>
      </c>
      <c r="E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7</v>
      </c>
      <c r="I1" s="2">
        <v>101</v>
      </c>
      <c r="J1" s="2">
        <v>7</v>
      </c>
      <c r="K1" s="2">
        <v>0</v>
      </c>
      <c r="L1" s="2">
        <v>0.625</v>
      </c>
      <c r="M1" s="2">
        <v>1</v>
      </c>
    </row>
    <row r="2" spans="1:25" ht="14.25" customHeight="1">
      <c r="A2" s="2">
        <v>7</v>
      </c>
      <c r="B2" s="2">
        <v>1</v>
      </c>
      <c r="C2" s="2">
        <v>4</v>
      </c>
      <c r="D2" s="2">
        <v>1</v>
      </c>
      <c r="E2" s="2">
        <v>0.71899999999999997</v>
      </c>
      <c r="F2" s="2">
        <v>2</v>
      </c>
      <c r="H2" s="2">
        <v>7</v>
      </c>
      <c r="I2" s="2">
        <v>102</v>
      </c>
      <c r="J2" s="2">
        <v>5</v>
      </c>
      <c r="K2" s="2">
        <v>1</v>
      </c>
      <c r="L2" s="2">
        <v>0.876</v>
      </c>
      <c r="M2" s="2">
        <v>1</v>
      </c>
    </row>
    <row r="3" spans="1:25" ht="14.25" customHeight="1">
      <c r="A3" s="2">
        <v>7</v>
      </c>
      <c r="B3" s="2">
        <v>2</v>
      </c>
      <c r="C3" s="2">
        <v>1</v>
      </c>
      <c r="D3" s="2">
        <v>1</v>
      </c>
      <c r="E3" s="2">
        <v>0.65900000000000003</v>
      </c>
      <c r="F3" s="2">
        <v>1</v>
      </c>
      <c r="H3" s="2">
        <v>7</v>
      </c>
      <c r="I3" s="2">
        <v>103</v>
      </c>
      <c r="J3" s="2">
        <v>4</v>
      </c>
      <c r="K3" s="2">
        <v>1</v>
      </c>
      <c r="L3" s="2">
        <v>0.68500000000000005</v>
      </c>
      <c r="M3" s="2">
        <v>2</v>
      </c>
    </row>
    <row r="4" spans="1:25" ht="14.25" customHeight="1">
      <c r="A4" s="2">
        <v>7</v>
      </c>
      <c r="B4" s="2">
        <v>3</v>
      </c>
      <c r="C4" s="2">
        <v>8</v>
      </c>
      <c r="D4" s="2">
        <v>1</v>
      </c>
      <c r="E4" s="2">
        <v>0.64500000000000002</v>
      </c>
      <c r="F4" s="2">
        <v>2</v>
      </c>
      <c r="H4" s="2">
        <v>7</v>
      </c>
      <c r="I4" s="2">
        <v>104</v>
      </c>
      <c r="J4" s="2">
        <v>8</v>
      </c>
      <c r="K4" s="2">
        <v>1</v>
      </c>
      <c r="L4" s="2">
        <v>0.90300000000000002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7</v>
      </c>
      <c r="B5" s="2">
        <v>4</v>
      </c>
      <c r="C5" s="2">
        <v>6</v>
      </c>
      <c r="D5" s="2">
        <v>1</v>
      </c>
      <c r="E5" s="2">
        <v>0.55100000000000005</v>
      </c>
      <c r="F5" s="2">
        <v>1</v>
      </c>
      <c r="H5" s="2">
        <v>7</v>
      </c>
      <c r="I5" s="2">
        <v>105</v>
      </c>
      <c r="J5" s="2">
        <v>3</v>
      </c>
      <c r="K5" s="2">
        <v>0</v>
      </c>
      <c r="L5" s="2">
        <v>1.407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7</v>
      </c>
      <c r="B6" s="2">
        <v>5</v>
      </c>
      <c r="C6" s="2">
        <v>7</v>
      </c>
      <c r="D6" s="2">
        <v>1</v>
      </c>
      <c r="E6" s="2">
        <v>0.70299999999999996</v>
      </c>
      <c r="F6" s="2">
        <v>2</v>
      </c>
      <c r="H6" s="2">
        <v>7</v>
      </c>
      <c r="I6" s="2">
        <v>106</v>
      </c>
      <c r="J6" s="2">
        <v>8</v>
      </c>
      <c r="K6" s="2">
        <v>0</v>
      </c>
      <c r="L6" s="2">
        <v>0.72299999999999998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7</v>
      </c>
      <c r="B7" s="2">
        <v>6</v>
      </c>
      <c r="C7" s="2">
        <v>2</v>
      </c>
      <c r="D7" s="2">
        <v>0</v>
      </c>
      <c r="E7" s="2">
        <v>0.63900000000000001</v>
      </c>
      <c r="F7" s="2">
        <v>1</v>
      </c>
      <c r="H7" s="2">
        <v>7</v>
      </c>
      <c r="I7" s="2">
        <v>107</v>
      </c>
      <c r="J7" s="2">
        <v>1</v>
      </c>
      <c r="K7" s="2">
        <v>1</v>
      </c>
      <c r="L7" s="2">
        <v>1.587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7</v>
      </c>
      <c r="B8" s="2">
        <v>7</v>
      </c>
      <c r="C8" s="2">
        <v>3</v>
      </c>
      <c r="D8" s="2">
        <v>1</v>
      </c>
      <c r="E8" s="2">
        <v>1.2969999999999999</v>
      </c>
      <c r="F8" s="2">
        <v>1</v>
      </c>
      <c r="H8" s="2">
        <v>7</v>
      </c>
      <c r="I8" s="2">
        <v>108</v>
      </c>
      <c r="J8" s="2">
        <v>2</v>
      </c>
      <c r="K8" s="2">
        <v>1</v>
      </c>
      <c r="L8" s="2">
        <v>0.68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7</v>
      </c>
      <c r="B9" s="2">
        <v>8</v>
      </c>
      <c r="C9" s="2">
        <v>8</v>
      </c>
      <c r="D9" s="2">
        <v>1</v>
      </c>
      <c r="E9" s="2">
        <v>1.179</v>
      </c>
      <c r="F9" s="2">
        <v>2</v>
      </c>
      <c r="H9" s="2">
        <v>7</v>
      </c>
      <c r="I9" s="2">
        <v>109</v>
      </c>
      <c r="J9" s="2">
        <v>8</v>
      </c>
      <c r="K9" s="2">
        <v>1</v>
      </c>
      <c r="L9" s="2">
        <v>0.77700000000000002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7</v>
      </c>
      <c r="B10" s="2">
        <v>9</v>
      </c>
      <c r="C10" s="2">
        <v>7</v>
      </c>
      <c r="D10" s="2">
        <v>1</v>
      </c>
      <c r="E10" s="2">
        <v>0.871</v>
      </c>
      <c r="F10" s="2">
        <v>2</v>
      </c>
      <c r="H10" s="2">
        <v>7</v>
      </c>
      <c r="I10" s="2">
        <v>110</v>
      </c>
      <c r="J10" s="2">
        <v>3</v>
      </c>
      <c r="K10" s="2">
        <v>1</v>
      </c>
      <c r="L10" s="2">
        <v>0.61499999999999999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7</v>
      </c>
      <c r="B11" s="2">
        <v>10</v>
      </c>
      <c r="C11" s="2">
        <v>8</v>
      </c>
      <c r="D11" s="2">
        <v>0</v>
      </c>
      <c r="E11" s="2">
        <v>0.39300000000000002</v>
      </c>
      <c r="F11" s="2">
        <v>1</v>
      </c>
      <c r="H11" s="2">
        <v>7</v>
      </c>
      <c r="I11" s="2">
        <v>111</v>
      </c>
      <c r="J11" s="2">
        <v>5</v>
      </c>
      <c r="K11" s="2">
        <v>1</v>
      </c>
      <c r="L11" s="2">
        <v>0.71399999999999997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7</v>
      </c>
      <c r="B12" s="2">
        <v>11</v>
      </c>
      <c r="C12" s="2">
        <v>1</v>
      </c>
      <c r="D12" s="2">
        <v>1</v>
      </c>
      <c r="E12" s="2">
        <v>0.82899999999999996</v>
      </c>
      <c r="F12" s="2">
        <v>1</v>
      </c>
      <c r="H12" s="2">
        <v>7</v>
      </c>
      <c r="I12" s="2">
        <v>112</v>
      </c>
      <c r="J12" s="2">
        <v>1</v>
      </c>
      <c r="K12" s="2">
        <v>0</v>
      </c>
      <c r="L12" s="2">
        <v>0.76200000000000001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7</v>
      </c>
      <c r="B13" s="2">
        <v>12</v>
      </c>
      <c r="C13" s="2">
        <v>2</v>
      </c>
      <c r="D13" s="2">
        <v>1</v>
      </c>
      <c r="E13" s="2">
        <v>1.0409999999999999</v>
      </c>
      <c r="F13" s="2">
        <v>2</v>
      </c>
      <c r="H13" s="2">
        <v>7</v>
      </c>
      <c r="I13" s="2">
        <v>113</v>
      </c>
      <c r="J13" s="2">
        <v>2</v>
      </c>
      <c r="K13" s="2">
        <v>0</v>
      </c>
      <c r="L13" s="2">
        <v>1.1759999999999999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7</v>
      </c>
      <c r="B14" s="2">
        <v>13</v>
      </c>
      <c r="C14" s="2">
        <v>5</v>
      </c>
      <c r="D14" s="2">
        <v>1</v>
      </c>
      <c r="E14" s="2">
        <v>0.83499999999999996</v>
      </c>
      <c r="F14" s="2">
        <v>1</v>
      </c>
      <c r="H14" s="2">
        <v>7</v>
      </c>
      <c r="I14" s="2">
        <v>114</v>
      </c>
      <c r="J14" s="2">
        <v>3</v>
      </c>
      <c r="K14" s="2">
        <v>1</v>
      </c>
      <c r="L14" s="2">
        <v>1.5489999999999999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7</v>
      </c>
      <c r="B15" s="2">
        <v>14</v>
      </c>
      <c r="C15" s="2">
        <v>6</v>
      </c>
      <c r="D15" s="2">
        <v>1</v>
      </c>
      <c r="E15" s="2">
        <v>0.92600000000000005</v>
      </c>
      <c r="F15" s="2">
        <v>1</v>
      </c>
      <c r="H15" s="2">
        <v>7</v>
      </c>
      <c r="I15" s="2">
        <v>115</v>
      </c>
      <c r="J15" s="2">
        <v>7</v>
      </c>
      <c r="K15" s="2">
        <v>1</v>
      </c>
      <c r="L15" s="2">
        <v>0.82099999999999995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7</v>
      </c>
      <c r="B16" s="2">
        <v>15</v>
      </c>
      <c r="C16" s="2">
        <v>7</v>
      </c>
      <c r="D16" s="2">
        <v>1</v>
      </c>
      <c r="E16" s="2">
        <v>1.1970000000000001</v>
      </c>
      <c r="F16" s="2">
        <v>2</v>
      </c>
      <c r="H16" s="2">
        <v>7</v>
      </c>
      <c r="I16" s="2">
        <v>116</v>
      </c>
      <c r="J16" s="2">
        <v>5</v>
      </c>
      <c r="K16" s="2">
        <v>1</v>
      </c>
      <c r="L16" s="2">
        <v>0.82399999999999995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7</v>
      </c>
      <c r="B17" s="2">
        <v>16</v>
      </c>
      <c r="C17" s="2">
        <v>6</v>
      </c>
      <c r="D17" s="2">
        <v>0</v>
      </c>
      <c r="E17" s="2">
        <v>0.99399999999999999</v>
      </c>
      <c r="F17" s="2">
        <v>2</v>
      </c>
      <c r="H17" s="2">
        <v>7</v>
      </c>
      <c r="I17" s="2">
        <v>117</v>
      </c>
      <c r="J17" s="2">
        <v>4</v>
      </c>
      <c r="K17" s="2">
        <v>1</v>
      </c>
      <c r="L17" s="2">
        <v>1.115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13.690000000000001</v>
      </c>
      <c r="P17" s="3">
        <f t="shared" ref="P17:P22" si="1">(P6*COUNTIF($J$1:$J$101,P$16) - COUNTIFS($J$1:$J$101,P$16,$K$1:$K$101,"=1"))^2</f>
        <v>2.7224999999999984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2.8899999999999975</v>
      </c>
      <c r="S17" s="3">
        <f t="shared" ref="S17:T17" si="4">(S6*COUNTIF($J$1:$J$101,S$16) - COUNTIFS($J$1:$J$101,S$16,$K$1:$K$101,"=0"))^2</f>
        <v>0.48999999999999994</v>
      </c>
      <c r="T17" s="3">
        <f t="shared" si="4"/>
        <v>0.48999999999999994</v>
      </c>
      <c r="U17" s="3">
        <f t="shared" ref="U17:V17" si="5">(U6*COUNTIF($J$1:$J$101,U$16) - COUNTIFS($J$1:$J$101,U$16,$K$1:$K$101,"=1"))^2</f>
        <v>21.622499999999995</v>
      </c>
      <c r="V17" s="3">
        <f t="shared" si="5"/>
        <v>0.48999999999999899</v>
      </c>
      <c r="W17" s="4"/>
      <c r="X17" s="4"/>
      <c r="Y17" s="4"/>
    </row>
    <row r="18" spans="1:25" ht="14.25" customHeight="1">
      <c r="A18" s="2">
        <v>7</v>
      </c>
      <c r="B18" s="2">
        <v>17</v>
      </c>
      <c r="C18" s="2">
        <v>5</v>
      </c>
      <c r="D18" s="2">
        <v>0</v>
      </c>
      <c r="E18" s="2">
        <v>1.0549999999999999</v>
      </c>
      <c r="F18" s="2">
        <v>2</v>
      </c>
      <c r="H18" s="2">
        <v>7</v>
      </c>
      <c r="I18" s="2">
        <v>118</v>
      </c>
      <c r="J18" s="2">
        <v>2</v>
      </c>
      <c r="K18" s="2">
        <v>1</v>
      </c>
      <c r="L18" s="2">
        <v>1.0589999999999999</v>
      </c>
      <c r="M18" s="2">
        <v>2</v>
      </c>
      <c r="N18" s="3">
        <v>2</v>
      </c>
      <c r="O18" s="3">
        <f t="shared" si="0"/>
        <v>13.690000000000001</v>
      </c>
      <c r="P18" s="3">
        <f t="shared" si="1"/>
        <v>21.622500000000002</v>
      </c>
      <c r="Q18" s="6">
        <f t="shared" si="2"/>
        <v>25</v>
      </c>
      <c r="R18" s="3">
        <f t="shared" si="3"/>
        <v>2.8899999999999975</v>
      </c>
      <c r="S18" s="6">
        <f t="shared" ref="S18:T18" si="6">(S7*COUNTIF($J$1:$J$101,S$16) - COUNTIFS($J$1:$J$101,S$16,$K$1:$K$101,"=0"))^2</f>
        <v>0.48999999999999994</v>
      </c>
      <c r="T18" s="6">
        <f t="shared" si="6"/>
        <v>0.48999999999999994</v>
      </c>
      <c r="U18" s="6">
        <f t="shared" ref="U18:V18" si="7">(U7*COUNTIF($J$1:$J$101,U$16) - COUNTIFS($J$1:$J$101,U$16,$K$1:$K$101,"=1"))^2</f>
        <v>21.622499999999995</v>
      </c>
      <c r="V18" s="6">
        <f t="shared" si="7"/>
        <v>0.48999999999999899</v>
      </c>
      <c r="W18" s="4"/>
      <c r="X18" s="4"/>
      <c r="Y18" s="4"/>
    </row>
    <row r="19" spans="1:25" ht="14.25" customHeight="1">
      <c r="A19" s="2">
        <v>7</v>
      </c>
      <c r="B19" s="2">
        <v>18</v>
      </c>
      <c r="C19" s="2">
        <v>7</v>
      </c>
      <c r="D19" s="2">
        <v>1</v>
      </c>
      <c r="E19" s="2">
        <v>0.72899999999999998</v>
      </c>
      <c r="F19" s="2">
        <v>2</v>
      </c>
      <c r="H19" s="2">
        <v>7</v>
      </c>
      <c r="I19" s="2">
        <v>119</v>
      </c>
      <c r="J19" s="2">
        <v>6</v>
      </c>
      <c r="K19" s="2">
        <v>1</v>
      </c>
      <c r="L19" s="2">
        <v>1.325</v>
      </c>
      <c r="M19" s="2">
        <v>1</v>
      </c>
      <c r="N19" s="3">
        <v>3</v>
      </c>
      <c r="O19" s="3">
        <f t="shared" si="0"/>
        <v>13.690000000000001</v>
      </c>
      <c r="P19" s="3">
        <f t="shared" si="1"/>
        <v>2.7224999999999984</v>
      </c>
      <c r="Q19" s="3">
        <f t="shared" si="2"/>
        <v>0.15999999999999992</v>
      </c>
      <c r="R19" s="3">
        <f t="shared" si="3"/>
        <v>2.8899999999999975</v>
      </c>
      <c r="S19" s="6">
        <f t="shared" ref="S19:T19" si="8">(S8*COUNTIF($J$1:$J$101,S$16) - COUNTIFS($J$1:$J$101,S$16,$K$1:$K$101,"=0"))^2</f>
        <v>0.48999999999999994</v>
      </c>
      <c r="T19" s="6">
        <f t="shared" si="8"/>
        <v>22.089999999999993</v>
      </c>
      <c r="U19" s="3">
        <f t="shared" ref="U19:V19" si="9">(U8*COUNTIF($J$1:$J$101,U$16) - COUNTIFS($J$1:$J$101,U$16,$K$1:$K$101,"=1"))^2</f>
        <v>2.7224999999999997</v>
      </c>
      <c r="V19" s="6">
        <f t="shared" si="9"/>
        <v>0.48999999999999899</v>
      </c>
      <c r="W19" s="4"/>
      <c r="X19" s="4"/>
      <c r="Y19" s="4"/>
    </row>
    <row r="20" spans="1:25" ht="14.25" customHeight="1">
      <c r="A20" s="2">
        <v>7</v>
      </c>
      <c r="B20" s="2">
        <v>19</v>
      </c>
      <c r="C20" s="2">
        <v>1</v>
      </c>
      <c r="D20" s="2">
        <v>1</v>
      </c>
      <c r="E20" s="2">
        <v>0.59299999999999997</v>
      </c>
      <c r="F20" s="2">
        <v>1</v>
      </c>
      <c r="H20" s="2">
        <v>7</v>
      </c>
      <c r="I20" s="2">
        <v>120</v>
      </c>
      <c r="J20" s="2">
        <v>5</v>
      </c>
      <c r="K20" s="2">
        <v>0</v>
      </c>
      <c r="L20" s="2">
        <v>0.78900000000000003</v>
      </c>
      <c r="M20" s="2">
        <v>2</v>
      </c>
      <c r="N20" s="3">
        <v>4</v>
      </c>
      <c r="O20" s="3">
        <f t="shared" si="0"/>
        <v>1</v>
      </c>
      <c r="P20" s="3">
        <f t="shared" si="1"/>
        <v>2.25</v>
      </c>
      <c r="Q20" s="3">
        <f t="shared" si="2"/>
        <v>4</v>
      </c>
      <c r="R20" s="3">
        <f t="shared" si="3"/>
        <v>1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21.622499999999995</v>
      </c>
      <c r="V20" s="6">
        <f t="shared" si="11"/>
        <v>0.48999999999999899</v>
      </c>
      <c r="W20" s="4"/>
      <c r="X20" s="4"/>
      <c r="Y20" s="4"/>
    </row>
    <row r="21" spans="1:25" ht="14.25" customHeight="1">
      <c r="A21" s="2">
        <v>7</v>
      </c>
      <c r="B21" s="2">
        <v>20</v>
      </c>
      <c r="C21" s="2">
        <v>3</v>
      </c>
      <c r="D21" s="2">
        <v>0</v>
      </c>
      <c r="E21" s="2">
        <v>1.421</v>
      </c>
      <c r="F21" s="2">
        <v>2</v>
      </c>
      <c r="H21" s="2">
        <v>7</v>
      </c>
      <c r="I21" s="2">
        <v>121</v>
      </c>
      <c r="J21" s="2">
        <v>7</v>
      </c>
      <c r="K21" s="2">
        <v>0</v>
      </c>
      <c r="L21" s="2">
        <v>1.61</v>
      </c>
      <c r="M21" s="2">
        <v>2</v>
      </c>
      <c r="N21" s="3">
        <v>5</v>
      </c>
      <c r="O21" s="3">
        <f t="shared" si="0"/>
        <v>13.690000000000001</v>
      </c>
      <c r="P21" s="3">
        <f t="shared" si="1"/>
        <v>2.7224999999999984</v>
      </c>
      <c r="Q21" s="3">
        <f t="shared" si="2"/>
        <v>0.15999999999999992</v>
      </c>
      <c r="R21" s="3">
        <f t="shared" si="3"/>
        <v>2.8899999999999975</v>
      </c>
      <c r="S21" s="6">
        <f t="shared" ref="S21:T21" si="12">(S10*COUNTIF($J$1:$J$101,S$16) - COUNTIFS($J$1:$J$101,S$16,$K$1:$K$101,"=0"))^2</f>
        <v>4</v>
      </c>
      <c r="T21" s="6">
        <f t="shared" si="12"/>
        <v>4</v>
      </c>
      <c r="U21" s="6">
        <f t="shared" ref="U21:V21" si="13">(U10*COUNTIF($J$1:$J$101,U$16) - COUNTIFS($J$1:$J$101,U$16,$K$1:$K$101,"=1"))^2</f>
        <v>2.25</v>
      </c>
      <c r="V21" s="6">
        <f t="shared" si="13"/>
        <v>4</v>
      </c>
      <c r="W21" s="4"/>
      <c r="X21" s="4"/>
      <c r="Y21" s="4"/>
    </row>
    <row r="22" spans="1:25" ht="14.25" customHeight="1">
      <c r="A22" s="2">
        <v>7</v>
      </c>
      <c r="B22" s="2">
        <v>21</v>
      </c>
      <c r="C22" s="2">
        <v>6</v>
      </c>
      <c r="D22" s="2">
        <v>0</v>
      </c>
      <c r="E22" s="2">
        <v>1.024</v>
      </c>
      <c r="F22" s="2">
        <v>2</v>
      </c>
      <c r="H22" s="2">
        <v>7</v>
      </c>
      <c r="I22" s="2">
        <v>122</v>
      </c>
      <c r="J22" s="2">
        <v>6</v>
      </c>
      <c r="K22" s="2">
        <v>1</v>
      </c>
      <c r="L22" s="2">
        <v>1.1890000000000001</v>
      </c>
      <c r="M22" s="2">
        <v>2</v>
      </c>
      <c r="N22" s="3">
        <v>6</v>
      </c>
      <c r="O22" s="3">
        <f t="shared" si="0"/>
        <v>1</v>
      </c>
      <c r="P22" s="3">
        <f t="shared" si="1"/>
        <v>2.25</v>
      </c>
      <c r="Q22" s="3">
        <f t="shared" si="2"/>
        <v>4</v>
      </c>
      <c r="R22" s="3">
        <f t="shared" si="3"/>
        <v>1</v>
      </c>
      <c r="S22" s="6">
        <f t="shared" ref="S22:T22" si="14">(S11*COUNTIF($J$1:$J$101,S$16) - COUNTIFS($J$1:$J$101,S$16,$K$1:$K$101,"=0"))^2</f>
        <v>4</v>
      </c>
      <c r="T22" s="6">
        <f t="shared" si="14"/>
        <v>4</v>
      </c>
      <c r="U22" s="6">
        <f t="shared" ref="U22:V22" si="15">(U11*COUNTIF($J$1:$J$101,U$16) - COUNTIFS($J$1:$J$101,U$16,$K$1:$K$101,"=1"))^2</f>
        <v>2.25</v>
      </c>
      <c r="V22" s="6">
        <f t="shared" si="15"/>
        <v>4</v>
      </c>
      <c r="W22" s="4"/>
      <c r="X22" s="4"/>
      <c r="Y22" s="4"/>
    </row>
    <row r="23" spans="1:25" ht="14.25" customHeight="1">
      <c r="A23" s="2">
        <v>7</v>
      </c>
      <c r="B23" s="2">
        <v>22</v>
      </c>
      <c r="C23" s="2">
        <v>2</v>
      </c>
      <c r="D23" s="2">
        <v>0</v>
      </c>
      <c r="E23" s="2">
        <v>1.4750000000000001</v>
      </c>
      <c r="F23" s="2">
        <v>1</v>
      </c>
      <c r="H23" s="2">
        <v>7</v>
      </c>
      <c r="I23" s="2">
        <v>123</v>
      </c>
      <c r="J23" s="2">
        <v>5</v>
      </c>
      <c r="K23" s="2">
        <v>1</v>
      </c>
      <c r="L23" s="2">
        <v>0.874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7</v>
      </c>
      <c r="B24" s="2">
        <v>23</v>
      </c>
      <c r="C24" s="2">
        <v>7</v>
      </c>
      <c r="D24" s="2">
        <v>1</v>
      </c>
      <c r="E24" s="2">
        <v>0.96499999999999997</v>
      </c>
      <c r="F24" s="2">
        <v>2</v>
      </c>
      <c r="H24" s="2">
        <v>7</v>
      </c>
      <c r="I24" s="2">
        <v>124</v>
      </c>
      <c r="J24" s="2">
        <v>7</v>
      </c>
      <c r="K24" s="2">
        <v>1</v>
      </c>
      <c r="L24" s="2">
        <v>1.2030000000000001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7</v>
      </c>
      <c r="B25" s="2">
        <v>24</v>
      </c>
      <c r="C25" s="2">
        <v>3</v>
      </c>
      <c r="D25" s="2">
        <v>0</v>
      </c>
      <c r="E25" s="2">
        <v>0.78700000000000003</v>
      </c>
      <c r="F25" s="2">
        <v>2</v>
      </c>
      <c r="H25" s="2">
        <v>7</v>
      </c>
      <c r="I25" s="2">
        <v>125</v>
      </c>
      <c r="J25" s="2">
        <v>8</v>
      </c>
      <c r="K25" s="2">
        <v>1</v>
      </c>
      <c r="L25" s="2">
        <v>1.24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7</v>
      </c>
      <c r="B26" s="2">
        <v>25</v>
      </c>
      <c r="C26" s="2">
        <v>6</v>
      </c>
      <c r="D26" s="2">
        <v>1</v>
      </c>
      <c r="E26" s="2">
        <v>0.745</v>
      </c>
      <c r="F26" s="2">
        <v>1</v>
      </c>
      <c r="H26" s="2">
        <v>7</v>
      </c>
      <c r="I26" s="2">
        <v>126</v>
      </c>
      <c r="J26" s="2">
        <v>7</v>
      </c>
      <c r="K26" s="2">
        <v>0</v>
      </c>
      <c r="L26" s="2">
        <v>1.3069999999999999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49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7</v>
      </c>
      <c r="B27" s="2">
        <v>26</v>
      </c>
      <c r="C27" s="2">
        <v>1</v>
      </c>
      <c r="D27" s="2">
        <v>1</v>
      </c>
      <c r="E27" s="2">
        <v>0.66300000000000003</v>
      </c>
      <c r="F27" s="2">
        <v>1</v>
      </c>
      <c r="H27" s="2">
        <v>7</v>
      </c>
      <c r="I27" s="2">
        <v>127</v>
      </c>
      <c r="J27" s="2">
        <v>6</v>
      </c>
      <c r="K27" s="2">
        <v>1</v>
      </c>
      <c r="L27" s="2">
        <v>1.0429999999999999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7</v>
      </c>
      <c r="B28" s="2">
        <v>27</v>
      </c>
      <c r="C28" s="2">
        <v>2</v>
      </c>
      <c r="D28" s="2">
        <v>0</v>
      </c>
      <c r="E28" s="2">
        <v>0.83299999999999996</v>
      </c>
      <c r="F28" s="2">
        <v>1</v>
      </c>
      <c r="H28" s="2">
        <v>7</v>
      </c>
      <c r="I28" s="2">
        <v>128</v>
      </c>
      <c r="J28" s="2">
        <v>3</v>
      </c>
      <c r="K28" s="2">
        <v>1</v>
      </c>
      <c r="L28" s="2">
        <v>1.302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7</v>
      </c>
      <c r="B29" s="2">
        <v>28</v>
      </c>
      <c r="C29" s="2">
        <v>5</v>
      </c>
      <c r="D29" s="2">
        <v>1</v>
      </c>
      <c r="E29" s="2">
        <v>0.72399999999999998</v>
      </c>
      <c r="F29" s="2">
        <v>1</v>
      </c>
      <c r="H29" s="2">
        <v>7</v>
      </c>
      <c r="I29" s="2">
        <v>129</v>
      </c>
      <c r="J29" s="2">
        <v>1</v>
      </c>
      <c r="K29" s="2">
        <v>0</v>
      </c>
      <c r="L29" s="2">
        <v>1.1659999999999999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7</v>
      </c>
      <c r="B30" s="2">
        <v>29</v>
      </c>
      <c r="C30" s="2">
        <v>3</v>
      </c>
      <c r="D30" s="2">
        <v>0</v>
      </c>
      <c r="E30" s="2">
        <v>0.41899999999999998</v>
      </c>
      <c r="F30" s="2">
        <v>2</v>
      </c>
      <c r="H30" s="2">
        <v>7</v>
      </c>
      <c r="I30" s="2">
        <v>130</v>
      </c>
      <c r="J30" s="2">
        <v>3</v>
      </c>
      <c r="K30" s="2">
        <v>1</v>
      </c>
      <c r="L30" s="2">
        <v>1.3640000000000001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7</v>
      </c>
      <c r="B31" s="2">
        <v>30</v>
      </c>
      <c r="C31" s="2">
        <v>4</v>
      </c>
      <c r="D31" s="2">
        <v>1</v>
      </c>
      <c r="E31" s="2">
        <v>0.66300000000000003</v>
      </c>
      <c r="F31" s="2">
        <v>2</v>
      </c>
      <c r="H31" s="2">
        <v>7</v>
      </c>
      <c r="I31" s="2">
        <v>131</v>
      </c>
      <c r="J31" s="2">
        <v>2</v>
      </c>
      <c r="K31" s="2">
        <v>1</v>
      </c>
      <c r="L31" s="2">
        <v>1.274</v>
      </c>
      <c r="M31" s="2">
        <v>1</v>
      </c>
      <c r="N31" s="3">
        <v>1</v>
      </c>
      <c r="O31" s="3">
        <f t="shared" ref="O31:O36" si="17">SUM(O17:V17)/SUM(O$26:V$26)</f>
        <v>0.13552547770700635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7</v>
      </c>
      <c r="B32" s="2">
        <v>31</v>
      </c>
      <c r="C32" s="2">
        <v>6</v>
      </c>
      <c r="D32" s="2">
        <v>1</v>
      </c>
      <c r="E32" s="2">
        <v>0.73799999999999999</v>
      </c>
      <c r="F32" s="2">
        <v>1</v>
      </c>
      <c r="H32" s="2">
        <v>7</v>
      </c>
      <c r="I32" s="2">
        <v>132</v>
      </c>
      <c r="J32" s="2">
        <v>3</v>
      </c>
      <c r="K32" s="2">
        <v>1</v>
      </c>
      <c r="L32" s="2">
        <v>0.86799999999999999</v>
      </c>
      <c r="M32" s="2">
        <v>1</v>
      </c>
      <c r="N32" s="3">
        <v>2</v>
      </c>
      <c r="O32" s="3">
        <f t="shared" si="17"/>
        <v>0.27482484076433122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7</v>
      </c>
      <c r="B33" s="2">
        <v>32</v>
      </c>
      <c r="C33" s="2">
        <v>3</v>
      </c>
      <c r="D33" s="2">
        <v>0</v>
      </c>
      <c r="E33" s="2">
        <v>0.34399999999999997</v>
      </c>
      <c r="F33" s="2">
        <v>2</v>
      </c>
      <c r="H33" s="2">
        <v>7</v>
      </c>
      <c r="I33" s="2">
        <v>133</v>
      </c>
      <c r="J33" s="2">
        <v>4</v>
      </c>
      <c r="K33" s="2">
        <v>0</v>
      </c>
      <c r="L33" s="2">
        <v>1.246</v>
      </c>
      <c r="M33" s="2">
        <v>2</v>
      </c>
      <c r="N33" s="3">
        <v>3</v>
      </c>
      <c r="O33" s="3">
        <f t="shared" si="17"/>
        <v>0.14412420382165603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7</v>
      </c>
      <c r="B34" s="2">
        <v>33</v>
      </c>
      <c r="C34" s="2">
        <v>1</v>
      </c>
      <c r="D34" s="2">
        <v>1</v>
      </c>
      <c r="E34" s="2">
        <v>0.53500000000000003</v>
      </c>
      <c r="F34" s="2">
        <v>1</v>
      </c>
      <c r="H34" s="2">
        <v>7</v>
      </c>
      <c r="I34" s="2">
        <v>134</v>
      </c>
      <c r="J34" s="2">
        <v>2</v>
      </c>
      <c r="K34" s="2">
        <v>0</v>
      </c>
      <c r="L34" s="2">
        <v>0.72</v>
      </c>
      <c r="M34" s="2">
        <v>1</v>
      </c>
      <c r="N34" s="3">
        <v>4</v>
      </c>
      <c r="O34" s="3">
        <f t="shared" si="17"/>
        <v>9.9816878980891699E-2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7</v>
      </c>
      <c r="B35" s="2">
        <v>34</v>
      </c>
      <c r="C35" s="2">
        <v>8</v>
      </c>
      <c r="D35" s="2">
        <v>1</v>
      </c>
      <c r="E35" s="2">
        <v>0.622</v>
      </c>
      <c r="F35" s="2">
        <v>2</v>
      </c>
      <c r="H35" s="2">
        <v>7</v>
      </c>
      <c r="I35" s="2">
        <v>135</v>
      </c>
      <c r="J35" s="2">
        <v>4</v>
      </c>
      <c r="K35" s="2">
        <v>1</v>
      </c>
      <c r="L35" s="2">
        <v>1.08</v>
      </c>
      <c r="M35" s="2">
        <v>1</v>
      </c>
      <c r="N35" s="3">
        <v>5</v>
      </c>
      <c r="O35" s="3">
        <f t="shared" si="17"/>
        <v>0.10736464968152866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7</v>
      </c>
      <c r="B36" s="2">
        <v>35</v>
      </c>
      <c r="C36" s="2">
        <v>1</v>
      </c>
      <c r="D36" s="2">
        <v>1</v>
      </c>
      <c r="E36" s="2">
        <v>0.52100000000000002</v>
      </c>
      <c r="F36" s="2">
        <v>1</v>
      </c>
      <c r="H36" s="2">
        <v>7</v>
      </c>
      <c r="I36" s="2">
        <v>136</v>
      </c>
      <c r="J36" s="2">
        <v>7</v>
      </c>
      <c r="K36" s="2">
        <v>0</v>
      </c>
      <c r="L36" s="2">
        <v>1.081</v>
      </c>
      <c r="M36" s="2">
        <v>1</v>
      </c>
      <c r="N36" s="3">
        <v>6</v>
      </c>
      <c r="O36" s="3">
        <f t="shared" si="17"/>
        <v>7.1656050955414011E-2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7</v>
      </c>
      <c r="B37" s="2">
        <v>36</v>
      </c>
      <c r="C37" s="2">
        <v>7</v>
      </c>
      <c r="D37" s="2">
        <v>0</v>
      </c>
      <c r="E37" s="2">
        <v>1.7050000000000001</v>
      </c>
      <c r="F37" s="2">
        <v>1</v>
      </c>
      <c r="H37" s="2">
        <v>7</v>
      </c>
      <c r="I37" s="2">
        <v>137</v>
      </c>
      <c r="J37" s="2">
        <v>2</v>
      </c>
      <c r="K37" s="2">
        <v>1</v>
      </c>
      <c r="L37" s="2">
        <v>1.2110000000000001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7</v>
      </c>
      <c r="B38" s="2">
        <v>37</v>
      </c>
      <c r="C38" s="2">
        <v>3</v>
      </c>
      <c r="D38" s="2">
        <v>0</v>
      </c>
      <c r="E38" s="2">
        <v>0.313</v>
      </c>
      <c r="F38" s="2">
        <v>2</v>
      </c>
      <c r="H38" s="2">
        <v>7</v>
      </c>
      <c r="I38" s="2">
        <v>138</v>
      </c>
      <c r="J38" s="2">
        <v>6</v>
      </c>
      <c r="K38" s="2">
        <v>1</v>
      </c>
      <c r="L38" s="2">
        <v>1.1739999999999999</v>
      </c>
      <c r="M38" s="2">
        <v>2</v>
      </c>
    </row>
    <row r="39" spans="1:25" ht="14.25" customHeight="1">
      <c r="A39" s="2">
        <v>7</v>
      </c>
      <c r="B39" s="2">
        <v>38</v>
      </c>
      <c r="C39" s="2">
        <v>4</v>
      </c>
      <c r="D39" s="2">
        <v>1</v>
      </c>
      <c r="E39" s="2">
        <v>0.95299999999999996</v>
      </c>
      <c r="F39" s="2">
        <v>2</v>
      </c>
      <c r="H39" s="2">
        <v>7</v>
      </c>
      <c r="I39" s="2">
        <v>139</v>
      </c>
      <c r="J39" s="2">
        <v>7</v>
      </c>
      <c r="K39" s="2">
        <v>0</v>
      </c>
      <c r="L39" s="2">
        <v>0.89200000000000002</v>
      </c>
      <c r="M39" s="2">
        <v>2</v>
      </c>
    </row>
    <row r="40" spans="1:25" ht="14.25" customHeight="1">
      <c r="A40" s="2">
        <v>7</v>
      </c>
      <c r="B40" s="2">
        <v>39</v>
      </c>
      <c r="C40" s="2">
        <v>5</v>
      </c>
      <c r="D40" s="2">
        <v>1</v>
      </c>
      <c r="E40" s="2">
        <v>0.54400000000000004</v>
      </c>
      <c r="F40" s="2">
        <v>1</v>
      </c>
      <c r="H40" s="2">
        <v>7</v>
      </c>
      <c r="I40" s="2">
        <v>140</v>
      </c>
      <c r="J40" s="2">
        <v>8</v>
      </c>
      <c r="K40" s="2">
        <v>1</v>
      </c>
      <c r="L40" s="2">
        <v>1.605</v>
      </c>
      <c r="M40" s="2">
        <v>2</v>
      </c>
    </row>
    <row r="41" spans="1:25" ht="14.25" customHeight="1">
      <c r="A41" s="2">
        <v>7</v>
      </c>
      <c r="B41" s="2">
        <v>40</v>
      </c>
      <c r="C41" s="2">
        <v>4</v>
      </c>
      <c r="D41" s="2">
        <v>0</v>
      </c>
      <c r="E41" s="2">
        <v>0.91100000000000003</v>
      </c>
      <c r="F41" s="2">
        <v>1</v>
      </c>
      <c r="H41" s="2">
        <v>7</v>
      </c>
      <c r="I41" s="2">
        <v>141</v>
      </c>
      <c r="J41" s="2">
        <v>5</v>
      </c>
      <c r="K41" s="2">
        <v>1</v>
      </c>
      <c r="L41" s="2">
        <v>0.97699999999999998</v>
      </c>
      <c r="M41" s="2">
        <v>2</v>
      </c>
    </row>
    <row r="42" spans="1:25" ht="14.25" customHeight="1">
      <c r="A42" s="2">
        <v>7</v>
      </c>
      <c r="B42" s="2">
        <v>41</v>
      </c>
      <c r="C42" s="2">
        <v>8</v>
      </c>
      <c r="D42" s="2">
        <v>1</v>
      </c>
      <c r="E42" s="2">
        <v>0.46300000000000002</v>
      </c>
      <c r="F42" s="2">
        <v>2</v>
      </c>
      <c r="H42" s="2">
        <v>7</v>
      </c>
      <c r="I42" s="2">
        <v>142</v>
      </c>
      <c r="J42" s="2">
        <v>2</v>
      </c>
      <c r="K42" s="2">
        <v>1</v>
      </c>
      <c r="L42" s="2">
        <v>0.71799999999999997</v>
      </c>
      <c r="M42" s="2">
        <v>2</v>
      </c>
    </row>
    <row r="43" spans="1:25" ht="14.25" customHeight="1">
      <c r="A43" s="2">
        <v>7</v>
      </c>
      <c r="B43" s="2">
        <v>42</v>
      </c>
      <c r="C43" s="2">
        <v>7</v>
      </c>
      <c r="D43" s="2">
        <v>0</v>
      </c>
      <c r="E43" s="2">
        <v>0.8</v>
      </c>
      <c r="F43" s="2">
        <v>1</v>
      </c>
      <c r="H43" s="2">
        <v>7</v>
      </c>
      <c r="I43" s="2">
        <v>143</v>
      </c>
      <c r="J43" s="2">
        <v>4</v>
      </c>
      <c r="K43" s="2">
        <v>0</v>
      </c>
      <c r="L43" s="2">
        <v>1.238</v>
      </c>
      <c r="M43" s="2">
        <v>1</v>
      </c>
    </row>
    <row r="44" spans="1:25" ht="14.25" customHeight="1">
      <c r="A44" s="2">
        <v>7</v>
      </c>
      <c r="B44" s="2">
        <v>43</v>
      </c>
      <c r="C44" s="2">
        <v>2</v>
      </c>
      <c r="D44" s="2">
        <v>1</v>
      </c>
      <c r="E44" s="2">
        <v>1.085</v>
      </c>
      <c r="F44" s="2">
        <v>2</v>
      </c>
      <c r="H44" s="2">
        <v>7</v>
      </c>
      <c r="I44" s="2">
        <v>144</v>
      </c>
      <c r="J44" s="2">
        <v>1</v>
      </c>
      <c r="K44" s="2">
        <v>0</v>
      </c>
      <c r="L44" s="2">
        <v>1.345</v>
      </c>
      <c r="M44" s="2">
        <v>1</v>
      </c>
    </row>
    <row r="45" spans="1:25" ht="14.25" customHeight="1">
      <c r="A45" s="2">
        <v>7</v>
      </c>
      <c r="B45" s="2">
        <v>44</v>
      </c>
      <c r="C45" s="2">
        <v>4</v>
      </c>
      <c r="D45" s="2">
        <v>1</v>
      </c>
      <c r="E45" s="2">
        <v>0.94299999999999995</v>
      </c>
      <c r="F45" s="2">
        <v>2</v>
      </c>
      <c r="H45" s="2">
        <v>7</v>
      </c>
      <c r="I45" s="2">
        <v>145</v>
      </c>
      <c r="J45" s="2">
        <v>6</v>
      </c>
      <c r="K45" s="2">
        <v>0</v>
      </c>
      <c r="L45" s="2">
        <v>1.248</v>
      </c>
      <c r="M45" s="2">
        <v>1</v>
      </c>
    </row>
    <row r="46" spans="1:25" ht="14.25" customHeight="1">
      <c r="A46" s="2">
        <v>7</v>
      </c>
      <c r="B46" s="2">
        <v>45</v>
      </c>
      <c r="C46" s="2">
        <v>2</v>
      </c>
      <c r="D46" s="2">
        <v>0</v>
      </c>
      <c r="E46" s="2">
        <v>0.85299999999999998</v>
      </c>
      <c r="F46" s="2">
        <v>1</v>
      </c>
      <c r="H46" s="2">
        <v>7</v>
      </c>
      <c r="I46" s="2">
        <v>146</v>
      </c>
      <c r="J46" s="2">
        <v>1</v>
      </c>
      <c r="K46" s="2">
        <v>0</v>
      </c>
      <c r="L46" s="2">
        <v>0.80200000000000005</v>
      </c>
      <c r="M46" s="2">
        <v>2</v>
      </c>
    </row>
    <row r="47" spans="1:25" ht="14.25" customHeight="1">
      <c r="A47" s="2">
        <v>7</v>
      </c>
      <c r="B47" s="2">
        <v>46</v>
      </c>
      <c r="C47" s="2">
        <v>5</v>
      </c>
      <c r="D47" s="2">
        <v>1</v>
      </c>
      <c r="E47" s="2">
        <v>0.61499999999999999</v>
      </c>
      <c r="F47" s="2">
        <v>1</v>
      </c>
      <c r="H47" s="2">
        <v>7</v>
      </c>
      <c r="I47" s="2">
        <v>147</v>
      </c>
      <c r="J47" s="2">
        <v>8</v>
      </c>
      <c r="K47" s="2">
        <v>1</v>
      </c>
      <c r="L47" s="2">
        <v>1.5660000000000001</v>
      </c>
      <c r="M47" s="2">
        <v>2</v>
      </c>
    </row>
    <row r="48" spans="1:25" ht="14.25" customHeight="1">
      <c r="A48" s="2">
        <v>7</v>
      </c>
      <c r="B48" s="2">
        <v>47</v>
      </c>
      <c r="C48" s="2">
        <v>2</v>
      </c>
      <c r="D48" s="2">
        <v>1</v>
      </c>
      <c r="E48" s="2">
        <v>0.90800000000000003</v>
      </c>
      <c r="F48" s="2">
        <v>2</v>
      </c>
      <c r="H48" s="2">
        <v>7</v>
      </c>
      <c r="I48" s="2">
        <v>148</v>
      </c>
      <c r="J48" s="2">
        <v>4</v>
      </c>
      <c r="K48" s="2">
        <v>1</v>
      </c>
      <c r="L48" s="2">
        <v>1.341</v>
      </c>
      <c r="M48" s="2">
        <v>2</v>
      </c>
    </row>
    <row r="49" spans="1:13" ht="14.25" customHeight="1">
      <c r="A49" s="2">
        <v>7</v>
      </c>
      <c r="B49" s="2">
        <v>48</v>
      </c>
      <c r="C49" s="2">
        <v>4</v>
      </c>
      <c r="D49" s="2">
        <v>0</v>
      </c>
      <c r="E49" s="2">
        <v>0.59599999999999997</v>
      </c>
      <c r="F49" s="2">
        <v>1</v>
      </c>
      <c r="H49" s="2">
        <v>7</v>
      </c>
      <c r="I49" s="2">
        <v>149</v>
      </c>
      <c r="J49" s="2">
        <v>1</v>
      </c>
      <c r="K49" s="2">
        <v>1</v>
      </c>
      <c r="L49" s="2">
        <v>0.83599999999999997</v>
      </c>
      <c r="M49" s="2">
        <v>2</v>
      </c>
    </row>
    <row r="50" spans="1:13" ht="14.25" customHeight="1">
      <c r="A50" s="2">
        <v>7</v>
      </c>
      <c r="B50" s="2">
        <v>49</v>
      </c>
      <c r="C50" s="2">
        <v>8</v>
      </c>
      <c r="D50" s="2">
        <v>1</v>
      </c>
      <c r="E50" s="2">
        <v>0.624</v>
      </c>
      <c r="F50" s="2">
        <v>2</v>
      </c>
      <c r="H50" s="2">
        <v>7</v>
      </c>
      <c r="I50" s="2">
        <v>150</v>
      </c>
      <c r="J50" s="2">
        <v>6</v>
      </c>
      <c r="K50" s="2">
        <v>1</v>
      </c>
      <c r="L50" s="2">
        <v>0.89500000000000002</v>
      </c>
      <c r="M50" s="2">
        <v>1</v>
      </c>
    </row>
    <row r="51" spans="1:13" ht="14.25" customHeight="1">
      <c r="A51" s="2">
        <v>7</v>
      </c>
      <c r="B51" s="2">
        <v>50</v>
      </c>
      <c r="C51" s="2">
        <v>5</v>
      </c>
      <c r="D51" s="2">
        <v>1</v>
      </c>
      <c r="E51" s="2">
        <v>0.76400000000000001</v>
      </c>
      <c r="F51" s="2">
        <v>1</v>
      </c>
    </row>
    <row r="52" spans="1:13" ht="14.25" customHeight="1">
      <c r="A52" s="2">
        <v>7</v>
      </c>
      <c r="B52" s="2">
        <v>51</v>
      </c>
      <c r="C52" s="2">
        <v>4</v>
      </c>
      <c r="D52" s="2">
        <v>1</v>
      </c>
      <c r="E52" s="2">
        <v>1.121</v>
      </c>
      <c r="F52" s="2">
        <v>2</v>
      </c>
    </row>
    <row r="53" spans="1:13" ht="14.25" customHeight="1">
      <c r="A53" s="2">
        <v>7</v>
      </c>
      <c r="B53" s="2">
        <v>52</v>
      </c>
      <c r="C53" s="2">
        <v>1</v>
      </c>
      <c r="D53" s="2">
        <v>1</v>
      </c>
      <c r="E53" s="2">
        <v>0.41599999999999998</v>
      </c>
      <c r="F53" s="2">
        <v>1</v>
      </c>
    </row>
    <row r="54" spans="1:13" ht="14.25" customHeight="1">
      <c r="A54" s="2">
        <v>7</v>
      </c>
      <c r="B54" s="2">
        <v>53</v>
      </c>
      <c r="C54" s="2">
        <v>5</v>
      </c>
      <c r="D54" s="2">
        <v>0</v>
      </c>
      <c r="E54" s="2">
        <v>0.32400000000000001</v>
      </c>
      <c r="F54" s="2">
        <v>1</v>
      </c>
    </row>
    <row r="55" spans="1:13" ht="14.25" customHeight="1">
      <c r="A55" s="2">
        <v>7</v>
      </c>
      <c r="B55" s="2">
        <v>54</v>
      </c>
      <c r="C55" s="2">
        <v>2</v>
      </c>
      <c r="D55" s="2">
        <v>1</v>
      </c>
      <c r="E55" s="2">
        <v>0.60299999999999998</v>
      </c>
      <c r="F55" s="2">
        <v>1</v>
      </c>
    </row>
    <row r="56" spans="1:13" ht="14.25" customHeight="1">
      <c r="A56" s="2">
        <v>7</v>
      </c>
      <c r="B56" s="2">
        <v>55</v>
      </c>
      <c r="C56" s="2">
        <v>1</v>
      </c>
      <c r="D56" s="2">
        <v>1</v>
      </c>
      <c r="E56" s="2">
        <v>0.48799999999999999</v>
      </c>
      <c r="F56" s="2">
        <v>2</v>
      </c>
    </row>
    <row r="57" spans="1:13" ht="14.25" customHeight="1">
      <c r="A57" s="2">
        <v>7</v>
      </c>
      <c r="B57" s="2">
        <v>56</v>
      </c>
      <c r="C57" s="2">
        <v>7</v>
      </c>
      <c r="D57" s="2">
        <v>0</v>
      </c>
      <c r="E57" s="2">
        <v>0.36099999999999999</v>
      </c>
      <c r="F57" s="2">
        <v>1</v>
      </c>
    </row>
    <row r="58" spans="1:13" ht="14.25" customHeight="1">
      <c r="A58" s="2">
        <v>7</v>
      </c>
      <c r="B58" s="2">
        <v>57</v>
      </c>
      <c r="C58" s="2">
        <v>5</v>
      </c>
      <c r="D58" s="2">
        <v>0</v>
      </c>
      <c r="E58" s="2">
        <v>0.47099999999999997</v>
      </c>
      <c r="F58" s="2">
        <v>2</v>
      </c>
    </row>
    <row r="59" spans="1:13" ht="14.25" customHeight="1">
      <c r="A59" s="2">
        <v>7</v>
      </c>
      <c r="B59" s="2">
        <v>58</v>
      </c>
      <c r="C59" s="2">
        <v>3</v>
      </c>
      <c r="D59" s="2">
        <v>0</v>
      </c>
      <c r="E59" s="2">
        <v>0.68899999999999995</v>
      </c>
      <c r="F59" s="2">
        <v>1</v>
      </c>
    </row>
    <row r="60" spans="1:13" ht="14.25" customHeight="1">
      <c r="A60" s="2">
        <v>7</v>
      </c>
      <c r="B60" s="2">
        <v>59</v>
      </c>
      <c r="C60" s="2">
        <v>7</v>
      </c>
      <c r="D60" s="2">
        <v>1</v>
      </c>
      <c r="E60" s="2">
        <v>0.52200000000000002</v>
      </c>
      <c r="F60" s="2">
        <v>2</v>
      </c>
    </row>
    <row r="61" spans="1:13" ht="14.25" customHeight="1">
      <c r="A61" s="2">
        <v>7</v>
      </c>
      <c r="B61" s="2">
        <v>60</v>
      </c>
      <c r="C61" s="2">
        <v>8</v>
      </c>
      <c r="D61" s="2">
        <v>1</v>
      </c>
      <c r="E61" s="2">
        <v>0.76900000000000002</v>
      </c>
      <c r="F61" s="2">
        <v>2</v>
      </c>
    </row>
    <row r="62" spans="1:13" ht="14.25" customHeight="1">
      <c r="A62" s="2">
        <v>7</v>
      </c>
      <c r="B62" s="2">
        <v>61</v>
      </c>
      <c r="C62" s="2">
        <v>6</v>
      </c>
      <c r="D62" s="2">
        <v>1</v>
      </c>
      <c r="E62" s="2">
        <v>0.48599999999999999</v>
      </c>
      <c r="F62" s="2">
        <v>1</v>
      </c>
    </row>
    <row r="63" spans="1:13" ht="14.25" customHeight="1">
      <c r="A63" s="2">
        <v>7</v>
      </c>
      <c r="B63" s="2">
        <v>62</v>
      </c>
      <c r="C63" s="2">
        <v>4</v>
      </c>
      <c r="D63" s="2">
        <v>0</v>
      </c>
      <c r="E63" s="2">
        <v>0.54300000000000004</v>
      </c>
      <c r="F63" s="2">
        <v>1</v>
      </c>
    </row>
    <row r="64" spans="1:13" ht="14.25" customHeight="1">
      <c r="A64" s="2">
        <v>7</v>
      </c>
      <c r="B64" s="2">
        <v>63</v>
      </c>
      <c r="C64" s="2">
        <v>6</v>
      </c>
      <c r="D64" s="2">
        <v>1</v>
      </c>
      <c r="E64" s="2">
        <v>0.73299999999999998</v>
      </c>
      <c r="F64" s="2">
        <v>1</v>
      </c>
    </row>
    <row r="65" spans="1:6" ht="14.25" customHeight="1">
      <c r="A65" s="2">
        <v>7</v>
      </c>
      <c r="B65" s="2">
        <v>64</v>
      </c>
      <c r="C65" s="2">
        <v>4</v>
      </c>
      <c r="D65" s="2">
        <v>0</v>
      </c>
      <c r="E65" s="2">
        <v>0.52500000000000002</v>
      </c>
      <c r="F65" s="2">
        <v>2</v>
      </c>
    </row>
    <row r="66" spans="1:6" ht="14.25" customHeight="1">
      <c r="A66" s="2">
        <v>7</v>
      </c>
      <c r="B66" s="2">
        <v>65</v>
      </c>
      <c r="C66" s="2">
        <v>5</v>
      </c>
      <c r="D66" s="2">
        <v>0</v>
      </c>
      <c r="E66" s="2">
        <v>0.64400000000000002</v>
      </c>
      <c r="F66" s="2">
        <v>1</v>
      </c>
    </row>
    <row r="67" spans="1:6" ht="14.25" customHeight="1">
      <c r="A67" s="2">
        <v>7</v>
      </c>
      <c r="B67" s="2">
        <v>66</v>
      </c>
      <c r="C67" s="2">
        <v>2</v>
      </c>
      <c r="D67" s="2">
        <v>0</v>
      </c>
      <c r="E67" s="2">
        <v>0.51900000000000002</v>
      </c>
      <c r="F67" s="2">
        <v>2</v>
      </c>
    </row>
    <row r="68" spans="1:6" ht="14.25" customHeight="1">
      <c r="A68" s="2">
        <v>7</v>
      </c>
      <c r="B68" s="2">
        <v>67</v>
      </c>
      <c r="C68" s="2">
        <v>4</v>
      </c>
      <c r="D68" s="2">
        <v>1</v>
      </c>
      <c r="E68" s="2">
        <v>0.61499999999999999</v>
      </c>
      <c r="F68" s="2">
        <v>1</v>
      </c>
    </row>
    <row r="69" spans="1:6" ht="14.25" customHeight="1">
      <c r="A69" s="2">
        <v>7</v>
      </c>
      <c r="B69" s="2">
        <v>68</v>
      </c>
      <c r="C69" s="2">
        <v>7</v>
      </c>
      <c r="D69" s="2">
        <v>1</v>
      </c>
      <c r="E69" s="2">
        <v>0.995</v>
      </c>
      <c r="F69" s="2">
        <v>2</v>
      </c>
    </row>
    <row r="70" spans="1:6" ht="14.25" customHeight="1">
      <c r="A70" s="2">
        <v>7</v>
      </c>
      <c r="B70" s="2">
        <v>69</v>
      </c>
      <c r="C70" s="2">
        <v>1</v>
      </c>
      <c r="D70" s="2">
        <v>1</v>
      </c>
      <c r="E70" s="2">
        <v>0.68799999999999994</v>
      </c>
      <c r="F70" s="2">
        <v>1</v>
      </c>
    </row>
    <row r="71" spans="1:6" ht="14.25" customHeight="1">
      <c r="A71" s="2">
        <v>7</v>
      </c>
      <c r="B71" s="2">
        <v>70</v>
      </c>
      <c r="C71" s="2">
        <v>7</v>
      </c>
      <c r="D71" s="2">
        <v>0</v>
      </c>
      <c r="E71" s="2">
        <v>2.0009999999999999</v>
      </c>
      <c r="F71" s="2">
        <v>2</v>
      </c>
    </row>
    <row r="72" spans="1:6" ht="14.25" customHeight="1">
      <c r="A72" s="2">
        <v>7</v>
      </c>
      <c r="B72" s="2">
        <v>71</v>
      </c>
      <c r="C72" s="2">
        <v>8</v>
      </c>
      <c r="D72" s="2">
        <v>1</v>
      </c>
      <c r="E72" s="2">
        <v>1.3009999999999999</v>
      </c>
      <c r="F72" s="2">
        <v>1</v>
      </c>
    </row>
    <row r="73" spans="1:6" ht="14.25" customHeight="1">
      <c r="A73" s="2">
        <v>7</v>
      </c>
      <c r="B73" s="2">
        <v>72</v>
      </c>
      <c r="C73" s="2">
        <v>3</v>
      </c>
      <c r="D73" s="2">
        <v>1</v>
      </c>
      <c r="E73" s="2">
        <v>1.8380000000000001</v>
      </c>
      <c r="F73" s="2">
        <v>2</v>
      </c>
    </row>
    <row r="74" spans="1:6" ht="14.25" customHeight="1">
      <c r="A74" s="2">
        <v>7</v>
      </c>
      <c r="B74" s="2">
        <v>73</v>
      </c>
      <c r="C74" s="2">
        <v>6</v>
      </c>
      <c r="E74" s="2">
        <v>2</v>
      </c>
    </row>
    <row r="75" spans="1:6" ht="14.25" customHeight="1">
      <c r="A75" s="2">
        <v>7</v>
      </c>
      <c r="B75" s="2">
        <v>74</v>
      </c>
      <c r="C75" s="2">
        <v>4</v>
      </c>
      <c r="D75" s="2">
        <v>1</v>
      </c>
      <c r="E75" s="2">
        <v>0.86199999999999999</v>
      </c>
      <c r="F75" s="2">
        <v>1</v>
      </c>
    </row>
    <row r="76" spans="1:6" ht="14.25" customHeight="1">
      <c r="A76" s="2">
        <v>7</v>
      </c>
      <c r="B76" s="2">
        <v>75</v>
      </c>
      <c r="C76" s="2">
        <v>6</v>
      </c>
      <c r="D76" s="2">
        <v>1</v>
      </c>
      <c r="E76" s="2">
        <v>1.1040000000000001</v>
      </c>
      <c r="F76" s="2">
        <v>1</v>
      </c>
    </row>
    <row r="77" spans="1:6" ht="14.25" customHeight="1">
      <c r="A77" s="2">
        <v>7</v>
      </c>
      <c r="B77" s="2">
        <v>76</v>
      </c>
      <c r="C77" s="2">
        <v>8</v>
      </c>
      <c r="D77" s="2">
        <v>0</v>
      </c>
      <c r="E77" s="2">
        <v>0.77600000000000002</v>
      </c>
      <c r="F77" s="2">
        <v>2</v>
      </c>
    </row>
    <row r="78" spans="1:6" ht="14.25" customHeight="1">
      <c r="A78" s="2">
        <v>7</v>
      </c>
      <c r="B78" s="2">
        <v>77</v>
      </c>
      <c r="C78" s="2">
        <v>3</v>
      </c>
      <c r="E78" s="2">
        <v>2</v>
      </c>
    </row>
    <row r="79" spans="1:6" ht="14.25" customHeight="1">
      <c r="A79" s="2">
        <v>7</v>
      </c>
      <c r="B79" s="2">
        <v>78</v>
      </c>
      <c r="C79" s="2">
        <v>5</v>
      </c>
      <c r="D79" s="2">
        <v>1</v>
      </c>
      <c r="E79" s="2">
        <v>0.498</v>
      </c>
      <c r="F79" s="2">
        <v>1</v>
      </c>
    </row>
    <row r="80" spans="1:6" ht="14.25" customHeight="1">
      <c r="A80" s="2">
        <v>7</v>
      </c>
      <c r="B80" s="2">
        <v>79</v>
      </c>
      <c r="C80" s="2">
        <v>4</v>
      </c>
      <c r="D80" s="2">
        <v>0</v>
      </c>
      <c r="E80" s="2">
        <v>0.83499999999999996</v>
      </c>
      <c r="F80" s="2">
        <v>2</v>
      </c>
    </row>
    <row r="81" spans="1:6" ht="14.25" customHeight="1">
      <c r="A81" s="2">
        <v>7</v>
      </c>
      <c r="B81" s="2">
        <v>80</v>
      </c>
      <c r="C81" s="2">
        <v>1</v>
      </c>
      <c r="D81" s="2">
        <v>1</v>
      </c>
      <c r="E81" s="2">
        <v>0.68600000000000005</v>
      </c>
      <c r="F81" s="2">
        <v>2</v>
      </c>
    </row>
    <row r="82" spans="1:6" ht="14.25" customHeight="1">
      <c r="A82" s="2">
        <v>7</v>
      </c>
      <c r="B82" s="2">
        <v>81</v>
      </c>
      <c r="C82" s="2">
        <v>8</v>
      </c>
      <c r="D82" s="2">
        <v>1</v>
      </c>
      <c r="E82" s="2">
        <v>0.67100000000000004</v>
      </c>
      <c r="F82" s="2">
        <v>1</v>
      </c>
    </row>
    <row r="83" spans="1:6" ht="14.25" customHeight="1">
      <c r="A83" s="2">
        <v>7</v>
      </c>
      <c r="B83" s="2">
        <v>82</v>
      </c>
      <c r="C83" s="2">
        <v>2</v>
      </c>
      <c r="D83" s="2">
        <v>1</v>
      </c>
      <c r="E83" s="2">
        <v>1.41</v>
      </c>
      <c r="F83" s="2">
        <v>1</v>
      </c>
    </row>
    <row r="84" spans="1:6" ht="14.25" customHeight="1">
      <c r="A84" s="2">
        <v>7</v>
      </c>
      <c r="B84" s="2">
        <v>83</v>
      </c>
      <c r="C84" s="2">
        <v>8</v>
      </c>
      <c r="D84" s="2">
        <v>0</v>
      </c>
      <c r="E84" s="2">
        <v>1.0289999999999999</v>
      </c>
      <c r="F84" s="2">
        <v>2</v>
      </c>
    </row>
    <row r="85" spans="1:6" ht="14.25" customHeight="1">
      <c r="A85" s="2">
        <v>7</v>
      </c>
      <c r="B85" s="2">
        <v>84</v>
      </c>
      <c r="C85" s="2">
        <v>3</v>
      </c>
      <c r="D85" s="2">
        <v>1</v>
      </c>
      <c r="E85" s="2">
        <v>0.92100000000000004</v>
      </c>
      <c r="F85" s="2">
        <v>2</v>
      </c>
    </row>
    <row r="86" spans="1:6" ht="14.25" customHeight="1">
      <c r="A86" s="2">
        <v>7</v>
      </c>
      <c r="B86" s="2">
        <v>85</v>
      </c>
      <c r="C86" s="2">
        <v>5</v>
      </c>
      <c r="D86" s="2">
        <v>1</v>
      </c>
      <c r="E86" s="2">
        <v>0.65600000000000003</v>
      </c>
      <c r="F86" s="2">
        <v>1</v>
      </c>
    </row>
    <row r="87" spans="1:6" ht="14.25" customHeight="1">
      <c r="A87" s="2">
        <v>7</v>
      </c>
      <c r="B87" s="2">
        <v>86</v>
      </c>
      <c r="C87" s="2">
        <v>8</v>
      </c>
      <c r="D87" s="2">
        <v>1</v>
      </c>
      <c r="E87" s="2">
        <v>0.72299999999999998</v>
      </c>
      <c r="F87" s="2">
        <v>2</v>
      </c>
    </row>
    <row r="88" spans="1:6" ht="14.25" customHeight="1">
      <c r="A88" s="2">
        <v>7</v>
      </c>
      <c r="B88" s="2">
        <v>87</v>
      </c>
      <c r="C88" s="2">
        <v>5</v>
      </c>
      <c r="D88" s="2">
        <v>0</v>
      </c>
      <c r="E88" s="2">
        <v>1.194</v>
      </c>
      <c r="F88" s="2">
        <v>2</v>
      </c>
    </row>
    <row r="89" spans="1:6" ht="14.25" customHeight="1">
      <c r="A89" s="2">
        <v>7</v>
      </c>
      <c r="B89" s="2">
        <v>88</v>
      </c>
      <c r="C89" s="2">
        <v>7</v>
      </c>
      <c r="D89" s="2">
        <v>0</v>
      </c>
      <c r="E89" s="2">
        <v>1.0620000000000001</v>
      </c>
      <c r="F89" s="2">
        <v>1</v>
      </c>
    </row>
    <row r="90" spans="1:6" ht="14.25" customHeight="1">
      <c r="A90" s="2">
        <v>7</v>
      </c>
      <c r="B90" s="2">
        <v>89</v>
      </c>
      <c r="C90" s="2">
        <v>2</v>
      </c>
      <c r="D90" s="2">
        <v>1</v>
      </c>
      <c r="E90" s="2">
        <v>0.90500000000000003</v>
      </c>
      <c r="F90" s="2">
        <v>1</v>
      </c>
    </row>
    <row r="91" spans="1:6" ht="14.25" customHeight="1">
      <c r="A91" s="2">
        <v>7</v>
      </c>
      <c r="B91" s="2">
        <v>90</v>
      </c>
      <c r="C91" s="2">
        <v>3</v>
      </c>
      <c r="E91" s="2">
        <v>2</v>
      </c>
    </row>
    <row r="92" spans="1:6" ht="14.25" customHeight="1">
      <c r="A92" s="2">
        <v>7</v>
      </c>
      <c r="B92" s="2">
        <v>91</v>
      </c>
      <c r="C92" s="2">
        <v>6</v>
      </c>
      <c r="D92" s="2">
        <v>0</v>
      </c>
      <c r="E92" s="2">
        <v>0.61299999999999999</v>
      </c>
      <c r="F92" s="2">
        <v>1</v>
      </c>
    </row>
    <row r="93" spans="1:6" ht="14.25" customHeight="1">
      <c r="A93" s="2">
        <v>7</v>
      </c>
      <c r="B93" s="2">
        <v>92</v>
      </c>
      <c r="C93" s="2">
        <v>7</v>
      </c>
      <c r="D93" s="2">
        <v>0</v>
      </c>
      <c r="E93" s="2">
        <v>0.48099999999999998</v>
      </c>
      <c r="F93" s="2">
        <v>1</v>
      </c>
    </row>
    <row r="94" spans="1:6" ht="14.25" customHeight="1">
      <c r="A94" s="2">
        <v>7</v>
      </c>
      <c r="B94" s="2">
        <v>93</v>
      </c>
      <c r="C94" s="2">
        <v>1</v>
      </c>
      <c r="D94" s="2">
        <v>0</v>
      </c>
      <c r="E94" s="2">
        <v>0.77800000000000002</v>
      </c>
      <c r="F94" s="2">
        <v>1</v>
      </c>
    </row>
    <row r="95" spans="1:6" ht="14.25" customHeight="1">
      <c r="A95" s="2">
        <v>7</v>
      </c>
      <c r="B95" s="2">
        <v>94</v>
      </c>
      <c r="C95" s="2">
        <v>2</v>
      </c>
      <c r="D95" s="2">
        <v>1</v>
      </c>
      <c r="E95" s="2">
        <v>1.135</v>
      </c>
      <c r="F95" s="2">
        <v>2</v>
      </c>
    </row>
    <row r="96" spans="1:6" ht="14.25" customHeight="1">
      <c r="A96" s="2">
        <v>7</v>
      </c>
      <c r="B96" s="2">
        <v>95</v>
      </c>
      <c r="C96" s="2">
        <v>1</v>
      </c>
      <c r="D96" s="2">
        <v>0</v>
      </c>
      <c r="E96" s="2">
        <v>1.1579999999999999</v>
      </c>
      <c r="F96" s="2">
        <v>1</v>
      </c>
    </row>
    <row r="97" spans="1:6" ht="14.25" customHeight="1">
      <c r="A97" s="2">
        <v>7</v>
      </c>
      <c r="B97" s="2">
        <v>96</v>
      </c>
      <c r="C97" s="2">
        <v>2</v>
      </c>
      <c r="D97" s="2">
        <v>1</v>
      </c>
      <c r="E97" s="2">
        <v>1.284</v>
      </c>
      <c r="F97" s="2">
        <v>1</v>
      </c>
    </row>
    <row r="98" spans="1:6" ht="14.25" customHeight="1">
      <c r="A98" s="2">
        <v>7</v>
      </c>
      <c r="B98" s="2">
        <v>97</v>
      </c>
      <c r="C98" s="2">
        <v>7</v>
      </c>
      <c r="D98" s="2">
        <v>0</v>
      </c>
      <c r="E98" s="2">
        <v>0.71799999999999997</v>
      </c>
      <c r="F98" s="2">
        <v>1</v>
      </c>
    </row>
    <row r="99" spans="1:6" ht="14.25" customHeight="1">
      <c r="A99" s="2">
        <v>7</v>
      </c>
      <c r="B99" s="2">
        <v>98</v>
      </c>
      <c r="C99" s="2">
        <v>2</v>
      </c>
      <c r="D99" s="2">
        <v>1</v>
      </c>
      <c r="E99" s="2">
        <v>1.1830000000000001</v>
      </c>
      <c r="F99" s="2">
        <v>2</v>
      </c>
    </row>
    <row r="100" spans="1:6" ht="14.25" customHeight="1">
      <c r="A100" s="2">
        <v>7</v>
      </c>
      <c r="B100" s="2">
        <v>99</v>
      </c>
      <c r="C100" s="2">
        <v>6</v>
      </c>
      <c r="D100" s="2">
        <v>1</v>
      </c>
      <c r="E100" s="2">
        <v>0.91600000000000004</v>
      </c>
      <c r="F100" s="2">
        <v>2</v>
      </c>
    </row>
    <row r="101" spans="1:6" ht="14.25" customHeight="1">
      <c r="A101" s="2">
        <v>7</v>
      </c>
      <c r="B101" s="2">
        <v>100</v>
      </c>
      <c r="C101" s="2">
        <v>3</v>
      </c>
      <c r="D101" s="2">
        <v>1</v>
      </c>
      <c r="E101" s="2">
        <v>0.94</v>
      </c>
      <c r="F101" s="2">
        <v>1</v>
      </c>
    </row>
    <row r="102" spans="1:6" ht="14.25" customHeight="1">
      <c r="A102" s="2">
        <v>7</v>
      </c>
      <c r="B102" s="2">
        <v>101</v>
      </c>
      <c r="C102" s="2">
        <v>7</v>
      </c>
      <c r="D102" s="2">
        <v>0</v>
      </c>
      <c r="E102" s="2">
        <v>0.625</v>
      </c>
      <c r="F102" s="2">
        <v>1</v>
      </c>
    </row>
    <row r="103" spans="1:6" ht="14.25" customHeight="1">
      <c r="A103" s="2">
        <v>7</v>
      </c>
      <c r="B103" s="2">
        <v>102</v>
      </c>
      <c r="C103" s="2">
        <v>5</v>
      </c>
      <c r="D103" s="2">
        <v>1</v>
      </c>
      <c r="E103" s="2">
        <v>0.876</v>
      </c>
      <c r="F103" s="2">
        <v>1</v>
      </c>
    </row>
    <row r="104" spans="1:6" ht="14.25" customHeight="1">
      <c r="A104" s="2">
        <v>7</v>
      </c>
      <c r="B104" s="2">
        <v>103</v>
      </c>
      <c r="C104" s="2">
        <v>4</v>
      </c>
      <c r="D104" s="2">
        <v>1</v>
      </c>
      <c r="E104" s="2">
        <v>0.68500000000000005</v>
      </c>
      <c r="F104" s="2">
        <v>2</v>
      </c>
    </row>
    <row r="105" spans="1:6" ht="14.25" customHeight="1">
      <c r="A105" s="2">
        <v>7</v>
      </c>
      <c r="B105" s="2">
        <v>104</v>
      </c>
      <c r="C105" s="2">
        <v>8</v>
      </c>
      <c r="D105" s="2">
        <v>1</v>
      </c>
      <c r="E105" s="2">
        <v>0.90300000000000002</v>
      </c>
      <c r="F105" s="2">
        <v>1</v>
      </c>
    </row>
    <row r="106" spans="1:6" ht="14.25" customHeight="1">
      <c r="A106" s="2">
        <v>7</v>
      </c>
      <c r="B106" s="2">
        <v>105</v>
      </c>
      <c r="C106" s="2">
        <v>3</v>
      </c>
      <c r="D106" s="2">
        <v>0</v>
      </c>
      <c r="E106" s="2">
        <v>1.407</v>
      </c>
      <c r="F106" s="2">
        <v>1</v>
      </c>
    </row>
    <row r="107" spans="1:6" ht="14.25" customHeight="1">
      <c r="A107" s="2">
        <v>7</v>
      </c>
      <c r="B107" s="2">
        <v>106</v>
      </c>
      <c r="C107" s="2">
        <v>8</v>
      </c>
      <c r="D107" s="2">
        <v>0</v>
      </c>
      <c r="E107" s="2">
        <v>0.72299999999999998</v>
      </c>
      <c r="F107" s="2">
        <v>1</v>
      </c>
    </row>
    <row r="108" spans="1:6" ht="14.25" customHeight="1">
      <c r="A108" s="2">
        <v>7</v>
      </c>
      <c r="B108" s="2">
        <v>107</v>
      </c>
      <c r="C108" s="2">
        <v>1</v>
      </c>
      <c r="D108" s="2">
        <v>1</v>
      </c>
      <c r="E108" s="2">
        <v>1.587</v>
      </c>
      <c r="F108" s="2">
        <v>1</v>
      </c>
    </row>
    <row r="109" spans="1:6" ht="14.25" customHeight="1">
      <c r="A109" s="2">
        <v>7</v>
      </c>
      <c r="B109" s="2">
        <v>108</v>
      </c>
      <c r="C109" s="2">
        <v>2</v>
      </c>
      <c r="D109" s="2">
        <v>1</v>
      </c>
      <c r="E109" s="2">
        <v>0.68</v>
      </c>
      <c r="F109" s="2">
        <v>2</v>
      </c>
    </row>
    <row r="110" spans="1:6" ht="14.25" customHeight="1">
      <c r="A110" s="2">
        <v>7</v>
      </c>
      <c r="B110" s="2">
        <v>109</v>
      </c>
      <c r="C110" s="2">
        <v>8</v>
      </c>
      <c r="D110" s="2">
        <v>1</v>
      </c>
      <c r="E110" s="2">
        <v>0.77700000000000002</v>
      </c>
      <c r="F110" s="2">
        <v>2</v>
      </c>
    </row>
    <row r="111" spans="1:6" ht="14.25" customHeight="1">
      <c r="A111" s="2">
        <v>7</v>
      </c>
      <c r="B111" s="2">
        <v>110</v>
      </c>
      <c r="C111" s="2">
        <v>3</v>
      </c>
      <c r="D111" s="2">
        <v>1</v>
      </c>
      <c r="E111" s="2">
        <v>0.61499999999999999</v>
      </c>
      <c r="F111" s="2">
        <v>2</v>
      </c>
    </row>
    <row r="112" spans="1:6" ht="14.25" customHeight="1">
      <c r="A112" s="2">
        <v>7</v>
      </c>
      <c r="B112" s="2">
        <v>111</v>
      </c>
      <c r="C112" s="2">
        <v>5</v>
      </c>
      <c r="D112" s="2">
        <v>1</v>
      </c>
      <c r="E112" s="2">
        <v>0.71399999999999997</v>
      </c>
      <c r="F112" s="2">
        <v>1</v>
      </c>
    </row>
    <row r="113" spans="1:6" ht="14.25" customHeight="1">
      <c r="A113" s="2">
        <v>7</v>
      </c>
      <c r="B113" s="2">
        <v>112</v>
      </c>
      <c r="C113" s="2">
        <v>1</v>
      </c>
      <c r="D113" s="2">
        <v>0</v>
      </c>
      <c r="E113" s="2">
        <v>0.76200000000000001</v>
      </c>
      <c r="F113" s="2">
        <v>1</v>
      </c>
    </row>
    <row r="114" spans="1:6" ht="14.25" customHeight="1">
      <c r="A114" s="2">
        <v>7</v>
      </c>
      <c r="B114" s="2">
        <v>113</v>
      </c>
      <c r="C114" s="2">
        <v>2</v>
      </c>
      <c r="D114" s="2">
        <v>0</v>
      </c>
      <c r="E114" s="2">
        <v>1.1759999999999999</v>
      </c>
      <c r="F114" s="2">
        <v>2</v>
      </c>
    </row>
    <row r="115" spans="1:6" ht="14.25" customHeight="1">
      <c r="A115" s="2">
        <v>7</v>
      </c>
      <c r="B115" s="2">
        <v>114</v>
      </c>
      <c r="C115" s="2">
        <v>3</v>
      </c>
      <c r="D115" s="2">
        <v>1</v>
      </c>
      <c r="E115" s="2">
        <v>1.5489999999999999</v>
      </c>
      <c r="F115" s="2">
        <v>1</v>
      </c>
    </row>
    <row r="116" spans="1:6" ht="14.25" customHeight="1">
      <c r="A116" s="2">
        <v>7</v>
      </c>
      <c r="B116" s="2">
        <v>115</v>
      </c>
      <c r="C116" s="2">
        <v>7</v>
      </c>
      <c r="D116" s="2">
        <v>1</v>
      </c>
      <c r="E116" s="2">
        <v>0.82099999999999995</v>
      </c>
      <c r="F116" s="2">
        <v>2</v>
      </c>
    </row>
    <row r="117" spans="1:6" ht="14.25" customHeight="1">
      <c r="A117" s="2">
        <v>7</v>
      </c>
      <c r="B117" s="2">
        <v>116</v>
      </c>
      <c r="C117" s="2">
        <v>5</v>
      </c>
      <c r="D117" s="2">
        <v>1</v>
      </c>
      <c r="E117" s="2">
        <v>0.82399999999999995</v>
      </c>
      <c r="F117" s="2">
        <v>1</v>
      </c>
    </row>
    <row r="118" spans="1:6" ht="14.25" customHeight="1">
      <c r="A118" s="2">
        <v>7</v>
      </c>
      <c r="B118" s="2">
        <v>117</v>
      </c>
      <c r="C118" s="2">
        <v>4</v>
      </c>
      <c r="D118" s="2">
        <v>1</v>
      </c>
      <c r="E118" s="2">
        <v>1.115</v>
      </c>
      <c r="F118" s="2">
        <v>1</v>
      </c>
    </row>
    <row r="119" spans="1:6" ht="14.25" customHeight="1">
      <c r="A119" s="2">
        <v>7</v>
      </c>
      <c r="B119" s="2">
        <v>118</v>
      </c>
      <c r="C119" s="2">
        <v>2</v>
      </c>
      <c r="D119" s="2">
        <v>1</v>
      </c>
      <c r="E119" s="2">
        <v>1.0589999999999999</v>
      </c>
      <c r="F119" s="2">
        <v>2</v>
      </c>
    </row>
    <row r="120" spans="1:6" ht="14.25" customHeight="1">
      <c r="A120" s="2">
        <v>7</v>
      </c>
      <c r="B120" s="2">
        <v>119</v>
      </c>
      <c r="C120" s="2">
        <v>6</v>
      </c>
      <c r="D120" s="2">
        <v>1</v>
      </c>
      <c r="E120" s="2">
        <v>1.325</v>
      </c>
      <c r="F120" s="2">
        <v>1</v>
      </c>
    </row>
    <row r="121" spans="1:6" ht="14.25" customHeight="1">
      <c r="A121" s="2">
        <v>7</v>
      </c>
      <c r="B121" s="2">
        <v>120</v>
      </c>
      <c r="C121" s="2">
        <v>5</v>
      </c>
      <c r="D121" s="2">
        <v>0</v>
      </c>
      <c r="E121" s="2">
        <v>0.78900000000000003</v>
      </c>
      <c r="F121" s="2">
        <v>2</v>
      </c>
    </row>
    <row r="122" spans="1:6" ht="14.25" customHeight="1">
      <c r="A122" s="2">
        <v>7</v>
      </c>
      <c r="B122" s="2">
        <v>121</v>
      </c>
      <c r="C122" s="2">
        <v>7</v>
      </c>
      <c r="D122" s="2">
        <v>0</v>
      </c>
      <c r="E122" s="2">
        <v>1.61</v>
      </c>
      <c r="F122" s="2">
        <v>2</v>
      </c>
    </row>
    <row r="123" spans="1:6" ht="14.25" customHeight="1">
      <c r="A123" s="2">
        <v>7</v>
      </c>
      <c r="B123" s="2">
        <v>122</v>
      </c>
      <c r="C123" s="2">
        <v>6</v>
      </c>
      <c r="D123" s="2">
        <v>1</v>
      </c>
      <c r="E123" s="2">
        <v>1.1890000000000001</v>
      </c>
      <c r="F123" s="2">
        <v>2</v>
      </c>
    </row>
    <row r="124" spans="1:6" ht="14.25" customHeight="1">
      <c r="A124" s="2">
        <v>7</v>
      </c>
      <c r="B124" s="2">
        <v>123</v>
      </c>
      <c r="C124" s="2">
        <v>5</v>
      </c>
      <c r="D124" s="2">
        <v>1</v>
      </c>
      <c r="E124" s="2">
        <v>0.874</v>
      </c>
      <c r="F124" s="2">
        <v>2</v>
      </c>
    </row>
    <row r="125" spans="1:6" ht="14.25" customHeight="1">
      <c r="A125" s="2">
        <v>7</v>
      </c>
      <c r="B125" s="2">
        <v>124</v>
      </c>
      <c r="C125" s="2">
        <v>7</v>
      </c>
      <c r="D125" s="2">
        <v>1</v>
      </c>
      <c r="E125" s="2">
        <v>1.2030000000000001</v>
      </c>
      <c r="F125" s="2">
        <v>1</v>
      </c>
    </row>
    <row r="126" spans="1:6" ht="14.25" customHeight="1">
      <c r="A126" s="2">
        <v>7</v>
      </c>
      <c r="B126" s="2">
        <v>125</v>
      </c>
      <c r="C126" s="2">
        <v>8</v>
      </c>
      <c r="D126" s="2">
        <v>1</v>
      </c>
      <c r="E126" s="2">
        <v>1.24</v>
      </c>
      <c r="F126" s="2">
        <v>1</v>
      </c>
    </row>
    <row r="127" spans="1:6" ht="14.25" customHeight="1">
      <c r="A127" s="2">
        <v>7</v>
      </c>
      <c r="B127" s="2">
        <v>126</v>
      </c>
      <c r="C127" s="2">
        <v>7</v>
      </c>
      <c r="D127" s="2">
        <v>0</v>
      </c>
      <c r="E127" s="2">
        <v>1.3069999999999999</v>
      </c>
      <c r="F127" s="2">
        <v>2</v>
      </c>
    </row>
    <row r="128" spans="1:6" ht="14.25" customHeight="1">
      <c r="A128" s="2">
        <v>7</v>
      </c>
      <c r="B128" s="2">
        <v>127</v>
      </c>
      <c r="C128" s="2">
        <v>6</v>
      </c>
      <c r="D128" s="2">
        <v>1</v>
      </c>
      <c r="E128" s="2">
        <v>1.0429999999999999</v>
      </c>
      <c r="F128" s="2">
        <v>2</v>
      </c>
    </row>
    <row r="129" spans="1:6" ht="14.25" customHeight="1">
      <c r="A129" s="2">
        <v>7</v>
      </c>
      <c r="B129" s="2">
        <v>128</v>
      </c>
      <c r="C129" s="2">
        <v>3</v>
      </c>
      <c r="D129" s="2">
        <v>1</v>
      </c>
      <c r="E129" s="2">
        <v>1.302</v>
      </c>
      <c r="F129" s="2">
        <v>1</v>
      </c>
    </row>
    <row r="130" spans="1:6" ht="14.25" customHeight="1">
      <c r="A130" s="2">
        <v>7</v>
      </c>
      <c r="B130" s="2">
        <v>129</v>
      </c>
      <c r="C130" s="2">
        <v>1</v>
      </c>
      <c r="D130" s="2">
        <v>0</v>
      </c>
      <c r="E130" s="2">
        <v>1.1659999999999999</v>
      </c>
      <c r="F130" s="2">
        <v>2</v>
      </c>
    </row>
    <row r="131" spans="1:6" ht="14.25" customHeight="1">
      <c r="A131" s="2">
        <v>7</v>
      </c>
      <c r="B131" s="2">
        <v>130</v>
      </c>
      <c r="C131" s="2">
        <v>3</v>
      </c>
      <c r="D131" s="2">
        <v>1</v>
      </c>
      <c r="E131" s="2">
        <v>1.3640000000000001</v>
      </c>
      <c r="F131" s="2">
        <v>2</v>
      </c>
    </row>
    <row r="132" spans="1:6" ht="14.25" customHeight="1">
      <c r="A132" s="2">
        <v>7</v>
      </c>
      <c r="B132" s="2">
        <v>131</v>
      </c>
      <c r="C132" s="2">
        <v>2</v>
      </c>
      <c r="D132" s="2">
        <v>1</v>
      </c>
      <c r="E132" s="2">
        <v>1.274</v>
      </c>
      <c r="F132" s="2">
        <v>1</v>
      </c>
    </row>
    <row r="133" spans="1:6" ht="14.25" customHeight="1">
      <c r="A133" s="2">
        <v>7</v>
      </c>
      <c r="B133" s="2">
        <v>132</v>
      </c>
      <c r="C133" s="2">
        <v>3</v>
      </c>
      <c r="D133" s="2">
        <v>1</v>
      </c>
      <c r="E133" s="2">
        <v>0.86799999999999999</v>
      </c>
      <c r="F133" s="2">
        <v>1</v>
      </c>
    </row>
    <row r="134" spans="1:6" ht="14.25" customHeight="1">
      <c r="A134" s="2">
        <v>7</v>
      </c>
      <c r="B134" s="2">
        <v>133</v>
      </c>
      <c r="C134" s="2">
        <v>4</v>
      </c>
      <c r="D134" s="2">
        <v>0</v>
      </c>
      <c r="E134" s="2">
        <v>1.246</v>
      </c>
      <c r="F134" s="2">
        <v>2</v>
      </c>
    </row>
    <row r="135" spans="1:6" ht="14.25" customHeight="1">
      <c r="A135" s="2">
        <v>7</v>
      </c>
      <c r="B135" s="2">
        <v>134</v>
      </c>
      <c r="C135" s="2">
        <v>2</v>
      </c>
      <c r="D135" s="2">
        <v>0</v>
      </c>
      <c r="E135" s="2">
        <v>0.72</v>
      </c>
      <c r="F135" s="2">
        <v>1</v>
      </c>
    </row>
    <row r="136" spans="1:6" ht="14.25" customHeight="1">
      <c r="A136" s="2">
        <v>7</v>
      </c>
      <c r="B136" s="2">
        <v>135</v>
      </c>
      <c r="C136" s="2">
        <v>4</v>
      </c>
      <c r="D136" s="2">
        <v>1</v>
      </c>
      <c r="E136" s="2">
        <v>1.08</v>
      </c>
      <c r="F136" s="2">
        <v>1</v>
      </c>
    </row>
    <row r="137" spans="1:6" ht="14.25" customHeight="1">
      <c r="A137" s="2">
        <v>7</v>
      </c>
      <c r="B137" s="2">
        <v>136</v>
      </c>
      <c r="C137" s="2">
        <v>7</v>
      </c>
      <c r="D137" s="2">
        <v>0</v>
      </c>
      <c r="E137" s="2">
        <v>1.081</v>
      </c>
      <c r="F137" s="2">
        <v>1</v>
      </c>
    </row>
    <row r="138" spans="1:6" ht="14.25" customHeight="1">
      <c r="A138" s="2">
        <v>7</v>
      </c>
      <c r="B138" s="2">
        <v>137</v>
      </c>
      <c r="C138" s="2">
        <v>2</v>
      </c>
      <c r="D138" s="2">
        <v>1</v>
      </c>
      <c r="E138" s="2">
        <v>1.2110000000000001</v>
      </c>
      <c r="F138" s="2">
        <v>1</v>
      </c>
    </row>
    <row r="139" spans="1:6" ht="14.25" customHeight="1">
      <c r="A139" s="2">
        <v>7</v>
      </c>
      <c r="B139" s="2">
        <v>138</v>
      </c>
      <c r="C139" s="2">
        <v>6</v>
      </c>
      <c r="D139" s="2">
        <v>1</v>
      </c>
      <c r="E139" s="2">
        <v>1.1739999999999999</v>
      </c>
      <c r="F139" s="2">
        <v>2</v>
      </c>
    </row>
    <row r="140" spans="1:6" ht="14.25" customHeight="1">
      <c r="A140" s="2">
        <v>7</v>
      </c>
      <c r="B140" s="2">
        <v>139</v>
      </c>
      <c r="C140" s="2">
        <v>7</v>
      </c>
      <c r="D140" s="2">
        <v>0</v>
      </c>
      <c r="E140" s="2">
        <v>0.89200000000000002</v>
      </c>
      <c r="F140" s="2">
        <v>2</v>
      </c>
    </row>
    <row r="141" spans="1:6" ht="14.25" customHeight="1">
      <c r="A141" s="2">
        <v>7</v>
      </c>
      <c r="B141" s="2">
        <v>140</v>
      </c>
      <c r="C141" s="2">
        <v>8</v>
      </c>
      <c r="D141" s="2">
        <v>1</v>
      </c>
      <c r="E141" s="2">
        <v>1.605</v>
      </c>
      <c r="F141" s="2">
        <v>2</v>
      </c>
    </row>
    <row r="142" spans="1:6" ht="14.25" customHeight="1">
      <c r="A142" s="2">
        <v>7</v>
      </c>
      <c r="B142" s="2">
        <v>141</v>
      </c>
      <c r="C142" s="2">
        <v>5</v>
      </c>
      <c r="D142" s="2">
        <v>1</v>
      </c>
      <c r="E142" s="2">
        <v>0.97699999999999998</v>
      </c>
      <c r="F142" s="2">
        <v>2</v>
      </c>
    </row>
    <row r="143" spans="1:6" ht="14.25" customHeight="1">
      <c r="A143" s="2">
        <v>7</v>
      </c>
      <c r="B143" s="2">
        <v>142</v>
      </c>
      <c r="C143" s="2">
        <v>2</v>
      </c>
      <c r="D143" s="2">
        <v>1</v>
      </c>
      <c r="E143" s="2">
        <v>0.71799999999999997</v>
      </c>
      <c r="F143" s="2">
        <v>2</v>
      </c>
    </row>
    <row r="144" spans="1:6" ht="14.25" customHeight="1">
      <c r="A144" s="2">
        <v>7</v>
      </c>
      <c r="B144" s="2">
        <v>143</v>
      </c>
      <c r="C144" s="2">
        <v>4</v>
      </c>
      <c r="D144" s="2">
        <v>0</v>
      </c>
      <c r="E144" s="2">
        <v>1.238</v>
      </c>
      <c r="F144" s="2">
        <v>1</v>
      </c>
    </row>
    <row r="145" spans="1:6" ht="14.25" customHeight="1">
      <c r="A145" s="2">
        <v>7</v>
      </c>
      <c r="B145" s="2">
        <v>144</v>
      </c>
      <c r="C145" s="2">
        <v>1</v>
      </c>
      <c r="D145" s="2">
        <v>0</v>
      </c>
      <c r="E145" s="2">
        <v>1.345</v>
      </c>
      <c r="F145" s="2">
        <v>1</v>
      </c>
    </row>
    <row r="146" spans="1:6" ht="14.25" customHeight="1">
      <c r="A146" s="2">
        <v>7</v>
      </c>
      <c r="B146" s="2">
        <v>145</v>
      </c>
      <c r="C146" s="2">
        <v>6</v>
      </c>
      <c r="D146" s="2">
        <v>0</v>
      </c>
      <c r="E146" s="2">
        <v>1.248</v>
      </c>
      <c r="F146" s="2">
        <v>1</v>
      </c>
    </row>
    <row r="147" spans="1:6" ht="14.25" customHeight="1">
      <c r="A147" s="2">
        <v>7</v>
      </c>
      <c r="B147" s="2">
        <v>146</v>
      </c>
      <c r="C147" s="2">
        <v>1</v>
      </c>
      <c r="D147" s="2">
        <v>0</v>
      </c>
      <c r="E147" s="2">
        <v>0.80200000000000005</v>
      </c>
      <c r="F147" s="2">
        <v>2</v>
      </c>
    </row>
    <row r="148" spans="1:6" ht="14.25" customHeight="1">
      <c r="A148" s="2">
        <v>7</v>
      </c>
      <c r="B148" s="2">
        <v>147</v>
      </c>
      <c r="C148" s="2">
        <v>8</v>
      </c>
      <c r="D148" s="2">
        <v>1</v>
      </c>
      <c r="E148" s="2">
        <v>1.5660000000000001</v>
      </c>
      <c r="F148" s="2">
        <v>2</v>
      </c>
    </row>
    <row r="149" spans="1:6" ht="14.25" customHeight="1">
      <c r="A149" s="2">
        <v>7</v>
      </c>
      <c r="B149" s="2">
        <v>148</v>
      </c>
      <c r="C149" s="2">
        <v>4</v>
      </c>
      <c r="D149" s="2">
        <v>1</v>
      </c>
      <c r="E149" s="2">
        <v>1.341</v>
      </c>
      <c r="F149" s="2">
        <v>2</v>
      </c>
    </row>
    <row r="150" spans="1:6" ht="14.25" customHeight="1">
      <c r="A150" s="2">
        <v>7</v>
      </c>
      <c r="B150" s="2">
        <v>149</v>
      </c>
      <c r="C150" s="2">
        <v>1</v>
      </c>
      <c r="D150" s="2">
        <v>1</v>
      </c>
      <c r="E150" s="2">
        <v>0.83599999999999997</v>
      </c>
      <c r="F150" s="2">
        <v>2</v>
      </c>
    </row>
    <row r="151" spans="1:6" ht="14.25" customHeight="1">
      <c r="A151" s="2">
        <v>7</v>
      </c>
      <c r="B151" s="2">
        <v>150</v>
      </c>
      <c r="C151" s="2">
        <v>6</v>
      </c>
      <c r="D151" s="2">
        <v>1</v>
      </c>
      <c r="E151" s="2">
        <v>0.89500000000000002</v>
      </c>
      <c r="F151" s="2">
        <v>1</v>
      </c>
    </row>
    <row r="152" spans="1:6" ht="14.25" customHeight="1">
      <c r="A152" s="2">
        <v>7</v>
      </c>
      <c r="B152" s="2">
        <v>151</v>
      </c>
      <c r="C152" s="2">
        <v>2</v>
      </c>
      <c r="D152" s="2">
        <v>0</v>
      </c>
      <c r="E152" s="2">
        <v>1.3260000000000001</v>
      </c>
      <c r="F152" s="2">
        <v>1</v>
      </c>
    </row>
    <row r="153" spans="1:6" ht="14.25" customHeight="1">
      <c r="A153" s="2">
        <v>7</v>
      </c>
      <c r="B153" s="2">
        <v>152</v>
      </c>
      <c r="C153" s="2">
        <v>8</v>
      </c>
      <c r="D153" s="2">
        <v>0</v>
      </c>
      <c r="E153" s="2">
        <v>0.68600000000000005</v>
      </c>
      <c r="F153" s="2">
        <v>2</v>
      </c>
    </row>
    <row r="154" spans="1:6" ht="14.25" customHeight="1">
      <c r="A154" s="2">
        <v>7</v>
      </c>
      <c r="B154" s="2">
        <v>153</v>
      </c>
      <c r="C154" s="2">
        <v>6</v>
      </c>
      <c r="D154" s="2">
        <v>1</v>
      </c>
      <c r="E154" s="2">
        <v>0.56599999999999995</v>
      </c>
      <c r="F154" s="2">
        <v>2</v>
      </c>
    </row>
    <row r="155" spans="1:6" ht="14.25" customHeight="1">
      <c r="A155" s="2">
        <v>7</v>
      </c>
      <c r="B155" s="2">
        <v>154</v>
      </c>
      <c r="C155" s="2">
        <v>7</v>
      </c>
      <c r="D155" s="2">
        <v>1</v>
      </c>
      <c r="E155" s="2">
        <v>0.91700000000000004</v>
      </c>
      <c r="F155" s="2">
        <v>1</v>
      </c>
    </row>
    <row r="156" spans="1:6" ht="14.25" customHeight="1">
      <c r="A156" s="2">
        <v>7</v>
      </c>
      <c r="B156" s="2">
        <v>155</v>
      </c>
      <c r="C156" s="2">
        <v>5</v>
      </c>
      <c r="D156" s="2">
        <v>1</v>
      </c>
      <c r="E156" s="2">
        <v>0.749</v>
      </c>
      <c r="F156" s="2">
        <v>2</v>
      </c>
    </row>
    <row r="157" spans="1:6" ht="14.25" customHeight="1">
      <c r="A157" s="2">
        <v>7</v>
      </c>
      <c r="B157" s="2">
        <v>156</v>
      </c>
      <c r="C157" s="2">
        <v>2</v>
      </c>
      <c r="D157" s="2">
        <v>0</v>
      </c>
      <c r="E157" s="2">
        <v>1.0349999999999999</v>
      </c>
      <c r="F157" s="2">
        <v>1</v>
      </c>
    </row>
    <row r="158" spans="1:6" ht="14.25" customHeight="1">
      <c r="A158" s="2">
        <v>7</v>
      </c>
      <c r="B158" s="2">
        <v>157</v>
      </c>
      <c r="C158" s="2">
        <v>5</v>
      </c>
      <c r="D158" s="2">
        <v>1</v>
      </c>
      <c r="E158" s="2">
        <v>1.0229999999999999</v>
      </c>
      <c r="F158" s="2">
        <v>1</v>
      </c>
    </row>
    <row r="159" spans="1:6" ht="14.25" customHeight="1">
      <c r="A159" s="2">
        <v>7</v>
      </c>
      <c r="B159" s="2">
        <v>158</v>
      </c>
      <c r="C159" s="2">
        <v>7</v>
      </c>
      <c r="D159" s="2">
        <v>1</v>
      </c>
      <c r="E159" s="2">
        <v>0.53</v>
      </c>
      <c r="F159" s="2">
        <v>2</v>
      </c>
    </row>
    <row r="160" spans="1:6" ht="14.25" customHeight="1">
      <c r="A160" s="2">
        <v>7</v>
      </c>
      <c r="B160" s="2">
        <v>159</v>
      </c>
      <c r="C160" s="2">
        <v>4</v>
      </c>
      <c r="D160" s="2">
        <v>1</v>
      </c>
      <c r="E160" s="2">
        <v>0.56200000000000006</v>
      </c>
      <c r="F160" s="2">
        <v>2</v>
      </c>
    </row>
    <row r="161" spans="1:6" ht="14.25" customHeight="1">
      <c r="A161" s="2">
        <v>7</v>
      </c>
      <c r="B161" s="2">
        <v>160</v>
      </c>
      <c r="C161" s="2">
        <v>1</v>
      </c>
      <c r="D161" s="2">
        <v>1</v>
      </c>
      <c r="E161" s="2">
        <v>0.69499999999999995</v>
      </c>
      <c r="F161" s="2">
        <v>2</v>
      </c>
    </row>
    <row r="162" spans="1:6" ht="14.25" customHeight="1">
      <c r="A162" s="2">
        <v>7</v>
      </c>
      <c r="B162" s="2">
        <v>161</v>
      </c>
      <c r="C162" s="2">
        <v>4</v>
      </c>
      <c r="D162" s="2">
        <v>1</v>
      </c>
      <c r="E162" s="2">
        <v>1.3120000000000001</v>
      </c>
      <c r="F162" s="2">
        <v>1</v>
      </c>
    </row>
    <row r="163" spans="1:6" ht="14.25" customHeight="1">
      <c r="A163" s="2">
        <v>7</v>
      </c>
      <c r="B163" s="2">
        <v>162</v>
      </c>
      <c r="C163" s="2">
        <v>3</v>
      </c>
      <c r="D163" s="2">
        <v>1</v>
      </c>
      <c r="E163" s="2">
        <v>1.456</v>
      </c>
      <c r="F163" s="2">
        <v>2</v>
      </c>
    </row>
    <row r="164" spans="1:6" ht="14.25" customHeight="1">
      <c r="A164" s="2">
        <v>7</v>
      </c>
      <c r="B164" s="2">
        <v>163</v>
      </c>
      <c r="C164" s="2">
        <v>8</v>
      </c>
      <c r="D164" s="2">
        <v>1</v>
      </c>
      <c r="E164" s="2">
        <v>1.194</v>
      </c>
      <c r="F164" s="2">
        <v>1</v>
      </c>
    </row>
    <row r="165" spans="1:6" ht="14.25" customHeight="1">
      <c r="A165" s="2">
        <v>7</v>
      </c>
      <c r="B165" s="2">
        <v>164</v>
      </c>
      <c r="C165" s="2">
        <v>2</v>
      </c>
      <c r="D165" s="2">
        <v>1</v>
      </c>
      <c r="E165" s="2">
        <v>0.95799999999999996</v>
      </c>
      <c r="F165" s="2">
        <v>1</v>
      </c>
    </row>
    <row r="166" spans="1:6" ht="14.25" customHeight="1">
      <c r="A166" s="2">
        <v>7</v>
      </c>
      <c r="B166" s="2">
        <v>165</v>
      </c>
      <c r="C166" s="2">
        <v>7</v>
      </c>
      <c r="D166" s="2">
        <v>1</v>
      </c>
      <c r="E166" s="2">
        <v>0.76400000000000001</v>
      </c>
      <c r="F166" s="2">
        <v>2</v>
      </c>
    </row>
    <row r="167" spans="1:6" ht="14.25" customHeight="1">
      <c r="A167" s="2">
        <v>7</v>
      </c>
      <c r="B167" s="2">
        <v>166</v>
      </c>
      <c r="C167" s="2">
        <v>8</v>
      </c>
      <c r="D167" s="2">
        <v>1</v>
      </c>
      <c r="E167" s="2">
        <v>1.018</v>
      </c>
      <c r="F167" s="2">
        <v>1</v>
      </c>
    </row>
    <row r="168" spans="1:6" ht="14.25" customHeight="1">
      <c r="A168" s="2">
        <v>7</v>
      </c>
      <c r="B168" s="2">
        <v>167</v>
      </c>
      <c r="C168" s="2">
        <v>1</v>
      </c>
      <c r="D168" s="2">
        <v>0</v>
      </c>
      <c r="E168" s="2">
        <v>0.998</v>
      </c>
      <c r="F168" s="2">
        <v>2</v>
      </c>
    </row>
    <row r="169" spans="1:6" ht="14.25" customHeight="1">
      <c r="A169" s="2">
        <v>7</v>
      </c>
      <c r="B169" s="2">
        <v>168</v>
      </c>
      <c r="C169" s="2">
        <v>6</v>
      </c>
      <c r="D169" s="2">
        <v>1</v>
      </c>
      <c r="E169" s="2">
        <v>0.67500000000000004</v>
      </c>
      <c r="F169" s="2">
        <v>2</v>
      </c>
    </row>
    <row r="170" spans="1:6" ht="14.25" customHeight="1">
      <c r="A170" s="2">
        <v>7</v>
      </c>
      <c r="B170" s="2">
        <v>169</v>
      </c>
      <c r="C170" s="2">
        <v>5</v>
      </c>
      <c r="E170" s="2">
        <v>2</v>
      </c>
    </row>
    <row r="171" spans="1:6" ht="14.25" customHeight="1">
      <c r="A171" s="2">
        <v>7</v>
      </c>
      <c r="B171" s="2">
        <v>170</v>
      </c>
      <c r="C171" s="2">
        <v>8</v>
      </c>
      <c r="D171" s="2">
        <v>0</v>
      </c>
      <c r="E171" s="2">
        <v>1.0169999999999999</v>
      </c>
      <c r="F171" s="2">
        <v>2</v>
      </c>
    </row>
    <row r="172" spans="1:6" ht="14.25" customHeight="1">
      <c r="A172" s="2">
        <v>7</v>
      </c>
      <c r="B172" s="2">
        <v>171</v>
      </c>
      <c r="C172" s="2">
        <v>6</v>
      </c>
      <c r="D172" s="2">
        <v>1</v>
      </c>
      <c r="E172" s="2">
        <v>1.357</v>
      </c>
      <c r="F172" s="2">
        <v>1</v>
      </c>
    </row>
    <row r="173" spans="1:6" ht="14.25" customHeight="1">
      <c r="A173" s="2">
        <v>7</v>
      </c>
      <c r="B173" s="2">
        <v>172</v>
      </c>
      <c r="C173" s="2">
        <v>3</v>
      </c>
      <c r="D173" s="2">
        <v>0</v>
      </c>
      <c r="E173" s="2">
        <v>1.179</v>
      </c>
      <c r="F173" s="2">
        <v>1</v>
      </c>
    </row>
    <row r="174" spans="1:6" ht="14.25" customHeight="1">
      <c r="A174" s="2">
        <v>7</v>
      </c>
      <c r="B174" s="2">
        <v>173</v>
      </c>
      <c r="C174" s="2">
        <v>1</v>
      </c>
      <c r="D174" s="2">
        <v>1</v>
      </c>
      <c r="E174" s="2">
        <v>0.76</v>
      </c>
      <c r="F174" s="2">
        <v>2</v>
      </c>
    </row>
    <row r="175" spans="1:6" ht="14.25" customHeight="1">
      <c r="A175" s="2">
        <v>7</v>
      </c>
      <c r="B175" s="2">
        <v>174</v>
      </c>
      <c r="C175" s="2">
        <v>4</v>
      </c>
      <c r="D175" s="2">
        <v>1</v>
      </c>
      <c r="E175" s="2">
        <v>1.8220000000000001</v>
      </c>
      <c r="F175" s="2">
        <v>1</v>
      </c>
    </row>
    <row r="176" spans="1:6" ht="14.25" customHeight="1">
      <c r="A176" s="2">
        <v>7</v>
      </c>
      <c r="B176" s="2">
        <v>175</v>
      </c>
      <c r="C176" s="2">
        <v>8</v>
      </c>
      <c r="D176" s="2">
        <v>1</v>
      </c>
      <c r="E176" s="2">
        <v>1.401</v>
      </c>
      <c r="F176" s="2">
        <v>1</v>
      </c>
    </row>
    <row r="177" spans="1:6" ht="14.25" customHeight="1">
      <c r="A177" s="2">
        <v>7</v>
      </c>
      <c r="B177" s="2">
        <v>176</v>
      </c>
      <c r="C177" s="2">
        <v>2</v>
      </c>
      <c r="D177" s="2">
        <v>0</v>
      </c>
      <c r="E177" s="2">
        <v>1.4139999999999999</v>
      </c>
      <c r="F177" s="2">
        <v>2</v>
      </c>
    </row>
    <row r="178" spans="1:6" ht="14.25" customHeight="1">
      <c r="A178" s="2">
        <v>7</v>
      </c>
      <c r="B178" s="2">
        <v>177</v>
      </c>
      <c r="C178" s="2">
        <v>7</v>
      </c>
      <c r="D178" s="2">
        <v>1</v>
      </c>
      <c r="E178" s="2">
        <v>0.93</v>
      </c>
      <c r="F178" s="2">
        <v>2</v>
      </c>
    </row>
    <row r="179" spans="1:6" ht="14.25" customHeight="1">
      <c r="A179" s="2">
        <v>7</v>
      </c>
      <c r="B179" s="2">
        <v>178</v>
      </c>
      <c r="C179" s="2">
        <v>3</v>
      </c>
      <c r="D179" s="2">
        <v>1</v>
      </c>
      <c r="E179" s="2">
        <v>1.0409999999999999</v>
      </c>
      <c r="F179" s="2">
        <v>1</v>
      </c>
    </row>
    <row r="180" spans="1:6" ht="14.25" customHeight="1">
      <c r="A180" s="2">
        <v>7</v>
      </c>
      <c r="B180" s="2">
        <v>179</v>
      </c>
      <c r="C180" s="2">
        <v>6</v>
      </c>
      <c r="D180" s="2">
        <v>1</v>
      </c>
      <c r="E180" s="2">
        <v>1.1719999999999999</v>
      </c>
      <c r="F180" s="2">
        <v>1</v>
      </c>
    </row>
    <row r="181" spans="1:6" ht="14.25" customHeight="1">
      <c r="A181" s="2">
        <v>7</v>
      </c>
      <c r="B181" s="2">
        <v>180</v>
      </c>
      <c r="C181" s="2">
        <v>7</v>
      </c>
      <c r="D181" s="2">
        <v>0</v>
      </c>
      <c r="E181" s="2">
        <v>1.385</v>
      </c>
      <c r="F181" s="2">
        <v>1</v>
      </c>
    </row>
    <row r="182" spans="1:6" ht="14.25" customHeight="1">
      <c r="A182" s="2">
        <v>7</v>
      </c>
      <c r="B182" s="2">
        <v>181</v>
      </c>
      <c r="C182" s="2">
        <v>1</v>
      </c>
      <c r="D182" s="2">
        <v>1</v>
      </c>
      <c r="E182" s="2">
        <v>1.4710000000000001</v>
      </c>
      <c r="F182" s="2">
        <v>1</v>
      </c>
    </row>
    <row r="183" spans="1:6" ht="14.25" customHeight="1">
      <c r="A183" s="2">
        <v>7</v>
      </c>
      <c r="B183" s="2">
        <v>182</v>
      </c>
      <c r="C183" s="2">
        <v>2</v>
      </c>
      <c r="D183" s="2">
        <v>1</v>
      </c>
      <c r="E183" s="2">
        <v>1.704</v>
      </c>
      <c r="F183" s="2">
        <v>1</v>
      </c>
    </row>
    <row r="184" spans="1:6" ht="14.25" customHeight="1">
      <c r="A184" s="2">
        <v>7</v>
      </c>
      <c r="B184" s="2">
        <v>183</v>
      </c>
      <c r="C184" s="2">
        <v>3</v>
      </c>
      <c r="D184" s="2">
        <v>1</v>
      </c>
      <c r="E184" s="2">
        <v>1.784</v>
      </c>
      <c r="F184" s="2">
        <v>1</v>
      </c>
    </row>
    <row r="185" spans="1:6" ht="14.25" customHeight="1">
      <c r="A185" s="2">
        <v>7</v>
      </c>
      <c r="B185" s="2">
        <v>184</v>
      </c>
      <c r="C185" s="2">
        <v>6</v>
      </c>
      <c r="D185" s="2">
        <v>1</v>
      </c>
      <c r="E185" s="2">
        <v>0.86899999999999999</v>
      </c>
      <c r="F185" s="2">
        <v>2</v>
      </c>
    </row>
    <row r="186" spans="1:6" ht="14.25" customHeight="1">
      <c r="A186" s="2">
        <v>7</v>
      </c>
      <c r="B186" s="2">
        <v>185</v>
      </c>
      <c r="C186" s="2">
        <v>5</v>
      </c>
      <c r="D186" s="2">
        <v>1</v>
      </c>
      <c r="E186" s="2">
        <v>1.472</v>
      </c>
      <c r="F186" s="2">
        <v>1</v>
      </c>
    </row>
    <row r="187" spans="1:6" ht="14.25" customHeight="1">
      <c r="A187" s="2">
        <v>7</v>
      </c>
      <c r="B187" s="2">
        <v>186</v>
      </c>
      <c r="C187" s="2">
        <v>7</v>
      </c>
      <c r="D187" s="2">
        <v>1</v>
      </c>
      <c r="E187" s="2">
        <v>0.64200000000000002</v>
      </c>
      <c r="F187" s="2">
        <v>2</v>
      </c>
    </row>
    <row r="188" spans="1:6" ht="14.25" customHeight="1">
      <c r="A188" s="2">
        <v>7</v>
      </c>
      <c r="B188" s="2">
        <v>187</v>
      </c>
      <c r="C188" s="2">
        <v>3</v>
      </c>
      <c r="D188" s="2">
        <v>0</v>
      </c>
      <c r="E188" s="2">
        <v>1.4039999999999999</v>
      </c>
      <c r="F188" s="2">
        <v>2</v>
      </c>
    </row>
    <row r="189" spans="1:6" ht="14.25" customHeight="1">
      <c r="A189" s="2">
        <v>7</v>
      </c>
      <c r="B189" s="2">
        <v>188</v>
      </c>
      <c r="C189" s="2">
        <v>1</v>
      </c>
      <c r="D189" s="2">
        <v>0</v>
      </c>
      <c r="E189" s="2">
        <v>1.032</v>
      </c>
      <c r="F189" s="2">
        <v>1</v>
      </c>
    </row>
    <row r="190" spans="1:6" ht="14.25" customHeight="1">
      <c r="A190" s="2">
        <v>7</v>
      </c>
      <c r="B190" s="2">
        <v>189</v>
      </c>
      <c r="C190" s="2">
        <v>2</v>
      </c>
      <c r="D190" s="2">
        <v>0</v>
      </c>
      <c r="E190" s="2">
        <v>1.2430000000000001</v>
      </c>
      <c r="F190" s="2">
        <v>2</v>
      </c>
    </row>
    <row r="191" spans="1:6" ht="14.25" customHeight="1">
      <c r="A191" s="2">
        <v>7</v>
      </c>
      <c r="B191" s="2">
        <v>190</v>
      </c>
      <c r="C191" s="2">
        <v>8</v>
      </c>
      <c r="D191" s="2">
        <v>0</v>
      </c>
      <c r="E191" s="2">
        <v>1.6779999999999999</v>
      </c>
      <c r="F191" s="2">
        <v>1</v>
      </c>
    </row>
    <row r="192" spans="1:6" ht="14.25" customHeight="1">
      <c r="A192" s="2">
        <v>7</v>
      </c>
      <c r="B192" s="2">
        <v>191</v>
      </c>
      <c r="C192" s="2">
        <v>1</v>
      </c>
      <c r="D192" s="2">
        <v>1</v>
      </c>
      <c r="E192" s="2">
        <v>0.495</v>
      </c>
      <c r="F192" s="2">
        <v>2</v>
      </c>
    </row>
    <row r="193" spans="1:6" ht="14.25" customHeight="1">
      <c r="A193" s="2">
        <v>7</v>
      </c>
      <c r="B193" s="2">
        <v>192</v>
      </c>
      <c r="C193" s="2">
        <v>4</v>
      </c>
      <c r="D193" s="2">
        <v>1</v>
      </c>
      <c r="E193" s="2">
        <v>0.68</v>
      </c>
      <c r="F193" s="2">
        <v>2</v>
      </c>
    </row>
    <row r="194" spans="1:6" ht="14.25" customHeight="1">
      <c r="A194" s="2">
        <v>7</v>
      </c>
      <c r="B194" s="2">
        <v>193</v>
      </c>
      <c r="C194" s="2">
        <v>3</v>
      </c>
      <c r="D194" s="2">
        <v>0</v>
      </c>
      <c r="E194" s="2">
        <v>1.369</v>
      </c>
      <c r="F194" s="2">
        <v>1</v>
      </c>
    </row>
    <row r="195" spans="1:6" ht="14.25" customHeight="1">
      <c r="A195" s="2">
        <v>7</v>
      </c>
      <c r="B195" s="2">
        <v>194</v>
      </c>
      <c r="C195" s="2">
        <v>5</v>
      </c>
      <c r="D195" s="2">
        <v>0</v>
      </c>
      <c r="E195" s="2">
        <v>1.232</v>
      </c>
      <c r="F195" s="2">
        <v>1</v>
      </c>
    </row>
    <row r="196" spans="1:6" ht="14.25" customHeight="1">
      <c r="A196" s="2">
        <v>7</v>
      </c>
      <c r="B196" s="2">
        <v>195</v>
      </c>
      <c r="C196" s="2">
        <v>4</v>
      </c>
      <c r="D196" s="2">
        <v>0</v>
      </c>
      <c r="E196" s="2">
        <v>1.403</v>
      </c>
      <c r="F196" s="2">
        <v>1</v>
      </c>
    </row>
    <row r="197" spans="1:6" ht="14.25" customHeight="1">
      <c r="A197" s="2">
        <v>7</v>
      </c>
      <c r="B197" s="2">
        <v>196</v>
      </c>
      <c r="C197" s="2">
        <v>2</v>
      </c>
      <c r="D197" s="2">
        <v>0</v>
      </c>
      <c r="E197" s="2">
        <v>1.36</v>
      </c>
      <c r="F197" s="2">
        <v>2</v>
      </c>
    </row>
    <row r="198" spans="1:6" ht="14.25" customHeight="1">
      <c r="A198" s="2">
        <v>7</v>
      </c>
      <c r="B198" s="2">
        <v>197</v>
      </c>
      <c r="C198" s="2">
        <v>7</v>
      </c>
      <c r="D198" s="2">
        <v>0</v>
      </c>
      <c r="E198" s="2">
        <v>1.7490000000000001</v>
      </c>
      <c r="F198" s="2">
        <v>1</v>
      </c>
    </row>
    <row r="199" spans="1:6" ht="14.25" customHeight="1">
      <c r="A199" s="2">
        <v>7</v>
      </c>
      <c r="B199" s="2">
        <v>198</v>
      </c>
      <c r="C199" s="2">
        <v>6</v>
      </c>
      <c r="D199" s="2">
        <v>1</v>
      </c>
      <c r="E199" s="2">
        <v>1.2450000000000001</v>
      </c>
      <c r="F199" s="2">
        <v>2</v>
      </c>
    </row>
    <row r="200" spans="1:6" ht="14.25" customHeight="1">
      <c r="A200" s="2">
        <v>7</v>
      </c>
      <c r="B200" s="2">
        <v>199</v>
      </c>
      <c r="C200" s="2">
        <v>5</v>
      </c>
      <c r="D200" s="2">
        <v>1</v>
      </c>
      <c r="E200" s="2">
        <v>0.751</v>
      </c>
      <c r="F200" s="2">
        <v>2</v>
      </c>
    </row>
    <row r="201" spans="1:6" ht="14.25" customHeight="1">
      <c r="A201" s="2">
        <v>7</v>
      </c>
      <c r="B201" s="2">
        <v>200</v>
      </c>
      <c r="C201" s="2">
        <v>4</v>
      </c>
      <c r="D201" s="2">
        <v>1</v>
      </c>
      <c r="E201" s="2">
        <v>1.2290000000000001</v>
      </c>
      <c r="F201" s="2">
        <v>1</v>
      </c>
    </row>
    <row r="202" spans="1:6" ht="14.25" customHeight="1">
      <c r="A202" s="2">
        <v>7</v>
      </c>
      <c r="B202" s="2">
        <v>201</v>
      </c>
      <c r="C202" s="2">
        <v>8</v>
      </c>
      <c r="D202" s="2">
        <v>1</v>
      </c>
      <c r="E202" s="2">
        <v>1.647</v>
      </c>
      <c r="F202" s="2">
        <v>2</v>
      </c>
    </row>
    <row r="203" spans="1:6" ht="14.25" customHeight="1">
      <c r="A203" s="2">
        <v>7</v>
      </c>
      <c r="B203" s="2">
        <v>202</v>
      </c>
      <c r="C203" s="2">
        <v>5</v>
      </c>
      <c r="D203" s="2">
        <v>1</v>
      </c>
      <c r="E203" s="2">
        <v>1.4339999999999999</v>
      </c>
      <c r="F203" s="2">
        <v>1</v>
      </c>
    </row>
    <row r="204" spans="1:6" ht="14.25" customHeight="1">
      <c r="A204" s="2">
        <v>7</v>
      </c>
      <c r="B204" s="2">
        <v>203</v>
      </c>
      <c r="C204" s="2">
        <v>2</v>
      </c>
      <c r="D204" s="2">
        <v>1</v>
      </c>
      <c r="E204" s="2">
        <v>0.82199999999999995</v>
      </c>
      <c r="F204" s="2">
        <v>2</v>
      </c>
    </row>
    <row r="205" spans="1:6" ht="14.25" customHeight="1">
      <c r="A205" s="2">
        <v>7</v>
      </c>
      <c r="B205" s="2">
        <v>204</v>
      </c>
      <c r="C205" s="2">
        <v>4</v>
      </c>
      <c r="D205" s="2">
        <v>1</v>
      </c>
      <c r="E205" s="2">
        <v>1.129</v>
      </c>
      <c r="F205" s="2">
        <v>1</v>
      </c>
    </row>
    <row r="206" spans="1:6" ht="14.25" customHeight="1">
      <c r="A206" s="2">
        <v>7</v>
      </c>
      <c r="B206" s="2">
        <v>205</v>
      </c>
      <c r="C206" s="2">
        <v>3</v>
      </c>
      <c r="D206" s="2">
        <v>1</v>
      </c>
      <c r="E206" s="2">
        <v>0.94399999999999995</v>
      </c>
      <c r="F206" s="2">
        <v>2</v>
      </c>
    </row>
    <row r="207" spans="1:6" ht="14.25" customHeight="1">
      <c r="A207" s="2">
        <v>7</v>
      </c>
      <c r="B207" s="2">
        <v>206</v>
      </c>
      <c r="C207" s="2">
        <v>6</v>
      </c>
      <c r="D207" s="2">
        <v>1</v>
      </c>
      <c r="E207" s="2">
        <v>1.3029999999999999</v>
      </c>
      <c r="F207" s="2">
        <v>2</v>
      </c>
    </row>
    <row r="208" spans="1:6" ht="14.25" customHeight="1">
      <c r="A208" s="2">
        <v>7</v>
      </c>
      <c r="B208" s="2">
        <v>207</v>
      </c>
      <c r="C208" s="2">
        <v>5</v>
      </c>
      <c r="D208" s="2">
        <v>0</v>
      </c>
      <c r="E208" s="2">
        <v>1.2869999999999999</v>
      </c>
      <c r="F208" s="2">
        <v>2</v>
      </c>
    </row>
    <row r="209" spans="1:6" ht="14.25" customHeight="1">
      <c r="A209" s="2">
        <v>7</v>
      </c>
      <c r="B209" s="2">
        <v>208</v>
      </c>
      <c r="C209" s="2">
        <v>1</v>
      </c>
      <c r="D209" s="2">
        <v>1</v>
      </c>
      <c r="E209" s="2">
        <v>0.71299999999999997</v>
      </c>
      <c r="F209" s="2">
        <v>2</v>
      </c>
    </row>
    <row r="210" spans="1:6" ht="14.25" customHeight="1">
      <c r="A210" s="2">
        <v>7</v>
      </c>
      <c r="B210" s="2">
        <v>209</v>
      </c>
      <c r="C210" s="2">
        <v>6</v>
      </c>
      <c r="D210" s="2">
        <v>1</v>
      </c>
      <c r="E210" s="2">
        <v>0.68100000000000005</v>
      </c>
      <c r="F210" s="2">
        <v>2</v>
      </c>
    </row>
    <row r="211" spans="1:6" ht="14.25" customHeight="1">
      <c r="A211" s="2">
        <v>7</v>
      </c>
      <c r="B211" s="2">
        <v>210</v>
      </c>
      <c r="C211" s="2">
        <v>1</v>
      </c>
      <c r="D211" s="2">
        <v>1</v>
      </c>
      <c r="E211" s="2">
        <v>0.71399999999999997</v>
      </c>
      <c r="F211" s="2">
        <v>2</v>
      </c>
    </row>
    <row r="212" spans="1:6" ht="14.25" customHeight="1">
      <c r="A212" s="2">
        <v>7</v>
      </c>
      <c r="B212" s="2">
        <v>211</v>
      </c>
      <c r="C212" s="2">
        <v>2</v>
      </c>
      <c r="D212" s="2">
        <v>1</v>
      </c>
      <c r="E212" s="2">
        <v>1.2809999999999999</v>
      </c>
      <c r="F212" s="2">
        <v>1</v>
      </c>
    </row>
    <row r="213" spans="1:6" ht="14.25" customHeight="1">
      <c r="A213" s="2">
        <v>7</v>
      </c>
      <c r="B213" s="2">
        <v>212</v>
      </c>
      <c r="C213" s="2">
        <v>8</v>
      </c>
      <c r="D213" s="2">
        <v>1</v>
      </c>
      <c r="E213" s="2">
        <v>1.4430000000000001</v>
      </c>
      <c r="F213" s="2">
        <v>2</v>
      </c>
    </row>
    <row r="214" spans="1:6" ht="14.25" customHeight="1">
      <c r="A214" s="2">
        <v>7</v>
      </c>
      <c r="B214" s="2">
        <v>213</v>
      </c>
      <c r="C214" s="2">
        <v>2</v>
      </c>
      <c r="D214" s="2">
        <v>1</v>
      </c>
      <c r="E214" s="2">
        <v>1.254</v>
      </c>
      <c r="F214" s="2">
        <v>1</v>
      </c>
    </row>
    <row r="215" spans="1:6" ht="14.25" customHeight="1">
      <c r="A215" s="2">
        <v>7</v>
      </c>
      <c r="B215" s="2">
        <v>214</v>
      </c>
      <c r="C215" s="2">
        <v>6</v>
      </c>
      <c r="D215" s="2">
        <v>1</v>
      </c>
      <c r="E215" s="2">
        <v>1.6559999999999999</v>
      </c>
      <c r="F215" s="2">
        <v>1</v>
      </c>
    </row>
    <row r="216" spans="1:6" ht="14.25" customHeight="1">
      <c r="A216" s="2">
        <v>7</v>
      </c>
      <c r="B216" s="2">
        <v>215</v>
      </c>
      <c r="C216" s="2">
        <v>2</v>
      </c>
      <c r="D216" s="2">
        <v>1</v>
      </c>
      <c r="E216" s="2">
        <v>0.61</v>
      </c>
      <c r="F216" s="2">
        <v>2</v>
      </c>
    </row>
    <row r="217" spans="1:6" ht="14.25" customHeight="1">
      <c r="A217" s="2">
        <v>7</v>
      </c>
      <c r="B217" s="2">
        <v>216</v>
      </c>
      <c r="C217" s="2">
        <v>3</v>
      </c>
      <c r="D217" s="2">
        <v>1</v>
      </c>
      <c r="E217" s="2">
        <v>1.1339999999999999</v>
      </c>
      <c r="F217" s="2">
        <v>1</v>
      </c>
    </row>
    <row r="218" spans="1:6" ht="14.25" customHeight="1">
      <c r="A218" s="2">
        <v>7</v>
      </c>
      <c r="B218" s="2">
        <v>217</v>
      </c>
      <c r="C218" s="2">
        <v>5</v>
      </c>
      <c r="D218" s="2">
        <v>1</v>
      </c>
      <c r="E218" s="2">
        <v>1.2529999999999999</v>
      </c>
      <c r="F218" s="2">
        <v>1</v>
      </c>
    </row>
    <row r="219" spans="1:6" ht="14.25" customHeight="1">
      <c r="A219" s="2">
        <v>7</v>
      </c>
      <c r="B219" s="2">
        <v>218</v>
      </c>
      <c r="C219" s="2">
        <v>8</v>
      </c>
      <c r="D219" s="2">
        <v>1</v>
      </c>
      <c r="E219" s="2">
        <v>0.56799999999999995</v>
      </c>
      <c r="F219" s="2">
        <v>2</v>
      </c>
    </row>
    <row r="220" spans="1:6" ht="14.25" customHeight="1">
      <c r="A220" s="2">
        <v>7</v>
      </c>
      <c r="B220" s="2">
        <v>219</v>
      </c>
      <c r="C220" s="2">
        <v>1</v>
      </c>
      <c r="D220" s="2">
        <v>1</v>
      </c>
      <c r="E220" s="2">
        <v>1.758</v>
      </c>
      <c r="F220" s="2">
        <v>1</v>
      </c>
    </row>
    <row r="221" spans="1:6" ht="14.25" customHeight="1">
      <c r="A221" s="2">
        <v>7</v>
      </c>
      <c r="B221" s="2">
        <v>220</v>
      </c>
      <c r="C221" s="2">
        <v>5</v>
      </c>
      <c r="D221" s="2">
        <v>0</v>
      </c>
      <c r="E221" s="2">
        <v>1.06</v>
      </c>
      <c r="F221" s="2">
        <v>2</v>
      </c>
    </row>
    <row r="222" spans="1:6" ht="14.25" customHeight="1">
      <c r="A222" s="2">
        <v>7</v>
      </c>
      <c r="B222" s="2">
        <v>221</v>
      </c>
      <c r="C222" s="2">
        <v>1</v>
      </c>
      <c r="D222" s="2">
        <v>1</v>
      </c>
      <c r="E222" s="2">
        <v>1.19</v>
      </c>
      <c r="F222" s="2">
        <v>1</v>
      </c>
    </row>
    <row r="223" spans="1:6" ht="14.25" customHeight="1">
      <c r="A223" s="2">
        <v>7</v>
      </c>
      <c r="B223" s="2">
        <v>222</v>
      </c>
      <c r="C223" s="2">
        <v>7</v>
      </c>
      <c r="D223" s="2">
        <v>1</v>
      </c>
      <c r="E223" s="2">
        <v>1.5149999999999999</v>
      </c>
      <c r="F223" s="2">
        <v>2</v>
      </c>
    </row>
    <row r="224" spans="1:6" ht="14.25" customHeight="1">
      <c r="A224" s="2">
        <v>7</v>
      </c>
      <c r="B224" s="2">
        <v>223</v>
      </c>
      <c r="C224" s="2">
        <v>4</v>
      </c>
      <c r="D224" s="2">
        <v>1</v>
      </c>
      <c r="E224" s="2">
        <v>0.84299999999999997</v>
      </c>
      <c r="F224" s="2">
        <v>2</v>
      </c>
    </row>
    <row r="225" spans="1:6" ht="14.25" customHeight="1">
      <c r="A225" s="2">
        <v>7</v>
      </c>
      <c r="B225" s="2">
        <v>224</v>
      </c>
      <c r="C225" s="2">
        <v>7</v>
      </c>
      <c r="D225" s="2">
        <v>0</v>
      </c>
      <c r="E225" s="2">
        <v>1.2769999999999999</v>
      </c>
      <c r="F225" s="2">
        <v>2</v>
      </c>
    </row>
    <row r="226" spans="1:6" ht="14.25" customHeight="1">
      <c r="A226" s="2">
        <v>7</v>
      </c>
      <c r="B226" s="2">
        <v>225</v>
      </c>
      <c r="C226" s="2">
        <v>8</v>
      </c>
      <c r="D226" s="2">
        <v>0</v>
      </c>
      <c r="E226" s="2">
        <v>0.75900000000000001</v>
      </c>
      <c r="F226" s="2">
        <v>2</v>
      </c>
    </row>
    <row r="227" spans="1:6" ht="14.25" customHeight="1">
      <c r="A227" s="2">
        <v>7</v>
      </c>
      <c r="B227" s="2">
        <v>226</v>
      </c>
      <c r="C227" s="2">
        <v>6</v>
      </c>
      <c r="D227" s="2">
        <v>1</v>
      </c>
      <c r="E227" s="2">
        <v>1.4690000000000001</v>
      </c>
      <c r="F227" s="2">
        <v>1</v>
      </c>
    </row>
    <row r="228" spans="1:6" ht="14.25" customHeight="1">
      <c r="A228" s="2">
        <v>7</v>
      </c>
      <c r="B228" s="2">
        <v>227</v>
      </c>
      <c r="C228" s="2">
        <v>4</v>
      </c>
      <c r="D228" s="2">
        <v>1</v>
      </c>
      <c r="E228" s="2">
        <v>0.92700000000000005</v>
      </c>
      <c r="F228" s="2">
        <v>2</v>
      </c>
    </row>
    <row r="229" spans="1:6" ht="14.25" customHeight="1">
      <c r="A229" s="2">
        <v>7</v>
      </c>
      <c r="B229" s="2">
        <v>228</v>
      </c>
      <c r="C229" s="2">
        <v>8</v>
      </c>
      <c r="D229" s="2">
        <v>1</v>
      </c>
      <c r="E229" s="2">
        <v>0.63100000000000001</v>
      </c>
      <c r="F229" s="2">
        <v>1</v>
      </c>
    </row>
    <row r="230" spans="1:6" ht="14.25" customHeight="1">
      <c r="A230" s="2">
        <v>7</v>
      </c>
      <c r="B230" s="2">
        <v>229</v>
      </c>
      <c r="C230" s="2">
        <v>2</v>
      </c>
      <c r="D230" s="2">
        <v>0</v>
      </c>
      <c r="E230" s="2">
        <v>1.026</v>
      </c>
      <c r="F230" s="2">
        <v>2</v>
      </c>
    </row>
    <row r="231" spans="1:6" ht="14.25" customHeight="1">
      <c r="A231" s="2">
        <v>7</v>
      </c>
      <c r="B231" s="2">
        <v>230</v>
      </c>
      <c r="C231" s="2">
        <v>7</v>
      </c>
      <c r="D231" s="2">
        <v>1</v>
      </c>
      <c r="E231" s="2">
        <v>1.573</v>
      </c>
      <c r="F231" s="2">
        <v>2</v>
      </c>
    </row>
    <row r="232" spans="1:6" ht="14.25" customHeight="1">
      <c r="A232" s="2">
        <v>7</v>
      </c>
      <c r="B232" s="2">
        <v>231</v>
      </c>
      <c r="C232" s="2">
        <v>1</v>
      </c>
      <c r="D232" s="2">
        <v>1</v>
      </c>
      <c r="E232" s="2">
        <v>1.002</v>
      </c>
      <c r="F232" s="2">
        <v>1</v>
      </c>
    </row>
    <row r="233" spans="1:6" ht="14.25" customHeight="1">
      <c r="A233" s="2">
        <v>7</v>
      </c>
      <c r="B233" s="2">
        <v>232</v>
      </c>
      <c r="C233" s="2">
        <v>6</v>
      </c>
      <c r="D233" s="2">
        <v>1</v>
      </c>
      <c r="E233" s="2">
        <v>1.879</v>
      </c>
      <c r="F233" s="2">
        <v>1</v>
      </c>
    </row>
    <row r="234" spans="1:6" ht="14.25" customHeight="1">
      <c r="A234" s="2">
        <v>7</v>
      </c>
      <c r="B234" s="2">
        <v>233</v>
      </c>
      <c r="C234" s="2">
        <v>1</v>
      </c>
      <c r="D234" s="2">
        <v>1</v>
      </c>
      <c r="E234" s="2">
        <v>1.752</v>
      </c>
      <c r="F234" s="2">
        <v>1</v>
      </c>
    </row>
    <row r="235" spans="1:6" ht="14.25" customHeight="1">
      <c r="A235" s="2">
        <v>7</v>
      </c>
      <c r="B235" s="2">
        <v>234</v>
      </c>
      <c r="C235" s="2">
        <v>7</v>
      </c>
      <c r="D235" s="2">
        <v>1</v>
      </c>
      <c r="E235" s="2">
        <v>0.71899999999999997</v>
      </c>
      <c r="F235" s="2">
        <v>2</v>
      </c>
    </row>
    <row r="236" spans="1:6" ht="14.25" customHeight="1">
      <c r="A236" s="2">
        <v>7</v>
      </c>
      <c r="B236" s="2">
        <v>235</v>
      </c>
      <c r="C236" s="2">
        <v>3</v>
      </c>
      <c r="D236" s="2">
        <v>1</v>
      </c>
      <c r="E236" s="2">
        <v>1.383</v>
      </c>
      <c r="F236" s="2">
        <v>1</v>
      </c>
    </row>
    <row r="237" spans="1:6" ht="14.25" customHeight="1">
      <c r="A237" s="2">
        <v>7</v>
      </c>
      <c r="B237" s="2">
        <v>236</v>
      </c>
      <c r="C237" s="2">
        <v>6</v>
      </c>
      <c r="D237" s="2">
        <v>1</v>
      </c>
      <c r="E237" s="2">
        <v>0.72499999999999998</v>
      </c>
      <c r="F237" s="2">
        <v>2</v>
      </c>
    </row>
    <row r="238" spans="1:6" ht="14.25" customHeight="1">
      <c r="A238" s="2">
        <v>7</v>
      </c>
      <c r="B238" s="2">
        <v>237</v>
      </c>
      <c r="C238" s="2">
        <v>2</v>
      </c>
      <c r="D238" s="2">
        <v>1</v>
      </c>
      <c r="E238" s="2">
        <v>1.395</v>
      </c>
      <c r="F238" s="2">
        <v>1</v>
      </c>
    </row>
    <row r="239" spans="1:6" ht="14.25" customHeight="1">
      <c r="A239" s="2">
        <v>7</v>
      </c>
      <c r="B239" s="2">
        <v>238</v>
      </c>
      <c r="C239" s="2">
        <v>3</v>
      </c>
      <c r="D239" s="2">
        <v>1</v>
      </c>
      <c r="E239" s="2">
        <v>0.54500000000000004</v>
      </c>
      <c r="F239" s="2">
        <v>2</v>
      </c>
    </row>
    <row r="240" spans="1:6" ht="14.25" customHeight="1">
      <c r="A240" s="2">
        <v>7</v>
      </c>
      <c r="B240" s="2">
        <v>239</v>
      </c>
      <c r="C240" s="2">
        <v>7</v>
      </c>
      <c r="D240" s="2">
        <v>1</v>
      </c>
      <c r="E240" s="2">
        <v>0.65500000000000003</v>
      </c>
      <c r="F240" s="2">
        <v>1</v>
      </c>
    </row>
    <row r="241" spans="1:6" ht="14.25" customHeight="1">
      <c r="A241" s="2">
        <v>7</v>
      </c>
      <c r="B241" s="2">
        <v>240</v>
      </c>
      <c r="C241" s="2">
        <v>3</v>
      </c>
      <c r="D241" s="2">
        <v>1</v>
      </c>
      <c r="E241" s="2">
        <v>1.5920000000000001</v>
      </c>
      <c r="F241" s="2">
        <v>2</v>
      </c>
    </row>
    <row r="242" spans="1:6" ht="14.25" customHeight="1">
      <c r="A242" s="2">
        <v>7</v>
      </c>
      <c r="B242" s="2">
        <v>241</v>
      </c>
      <c r="C242" s="2">
        <v>4</v>
      </c>
      <c r="D242" s="2">
        <v>1</v>
      </c>
      <c r="E242" s="2">
        <v>0.77400000000000002</v>
      </c>
      <c r="F242" s="2">
        <v>2</v>
      </c>
    </row>
    <row r="243" spans="1:6" ht="14.25" customHeight="1">
      <c r="A243" s="2">
        <v>7</v>
      </c>
      <c r="B243" s="2">
        <v>242</v>
      </c>
      <c r="C243" s="2">
        <v>7</v>
      </c>
      <c r="D243" s="2">
        <v>1</v>
      </c>
      <c r="E243" s="2">
        <v>0.64300000000000002</v>
      </c>
      <c r="F243" s="2">
        <v>2</v>
      </c>
    </row>
    <row r="244" spans="1:6" ht="14.25" customHeight="1">
      <c r="A244" s="2">
        <v>7</v>
      </c>
      <c r="B244" s="2">
        <v>243</v>
      </c>
      <c r="C244" s="2">
        <v>3</v>
      </c>
      <c r="D244" s="2">
        <v>0</v>
      </c>
      <c r="E244" s="2">
        <v>1.855</v>
      </c>
      <c r="F244" s="2">
        <v>1</v>
      </c>
    </row>
    <row r="245" spans="1:6" ht="14.25" customHeight="1">
      <c r="A245" s="2">
        <v>7</v>
      </c>
      <c r="B245" s="2">
        <v>244</v>
      </c>
      <c r="C245" s="2">
        <v>5</v>
      </c>
      <c r="D245" s="2">
        <v>0</v>
      </c>
      <c r="E245" s="2">
        <v>1.92</v>
      </c>
      <c r="F245" s="2">
        <v>1</v>
      </c>
    </row>
    <row r="246" spans="1:6" ht="14.25" customHeight="1">
      <c r="A246" s="2">
        <v>7</v>
      </c>
      <c r="B246" s="2">
        <v>245</v>
      </c>
      <c r="C246" s="2">
        <v>2</v>
      </c>
      <c r="D246" s="2">
        <v>0</v>
      </c>
      <c r="E246" s="2">
        <v>1.591</v>
      </c>
      <c r="F246" s="2">
        <v>1</v>
      </c>
    </row>
    <row r="247" spans="1:6" ht="14.25" customHeight="1">
      <c r="A247" s="2">
        <v>7</v>
      </c>
      <c r="B247" s="2">
        <v>246</v>
      </c>
      <c r="C247" s="2">
        <v>7</v>
      </c>
      <c r="D247" s="2">
        <v>0</v>
      </c>
      <c r="E247" s="2">
        <v>1.012</v>
      </c>
      <c r="F247" s="2">
        <v>2</v>
      </c>
    </row>
    <row r="248" spans="1:6" ht="14.25" customHeight="1">
      <c r="A248" s="2">
        <v>7</v>
      </c>
      <c r="B248" s="2">
        <v>247</v>
      </c>
      <c r="C248" s="2">
        <v>4</v>
      </c>
      <c r="D248" s="2">
        <v>1</v>
      </c>
      <c r="E248" s="2">
        <v>1.544</v>
      </c>
      <c r="F248" s="2">
        <v>2</v>
      </c>
    </row>
    <row r="249" spans="1:6" ht="14.25" customHeight="1">
      <c r="A249" s="2">
        <v>7</v>
      </c>
      <c r="B249" s="2">
        <v>248</v>
      </c>
      <c r="C249" s="2">
        <v>8</v>
      </c>
      <c r="D249" s="2">
        <v>1</v>
      </c>
      <c r="E249" s="2">
        <v>1.383</v>
      </c>
      <c r="F249" s="2">
        <v>2</v>
      </c>
    </row>
    <row r="250" spans="1:6" ht="14.25" customHeight="1">
      <c r="A250" s="2">
        <v>7</v>
      </c>
      <c r="B250" s="2">
        <v>249</v>
      </c>
      <c r="C250" s="2">
        <v>5</v>
      </c>
      <c r="D250" s="2">
        <v>1</v>
      </c>
      <c r="E250" s="2">
        <v>0.63600000000000001</v>
      </c>
      <c r="F250" s="2">
        <v>2</v>
      </c>
    </row>
    <row r="251" spans="1:6" ht="14.25" customHeight="1">
      <c r="A251" s="2">
        <v>7</v>
      </c>
      <c r="B251" s="2">
        <v>250</v>
      </c>
      <c r="C251" s="2">
        <v>4</v>
      </c>
      <c r="D251" s="2">
        <v>0</v>
      </c>
      <c r="E251" s="2">
        <v>1.0149999999999999</v>
      </c>
      <c r="F251" s="2">
        <v>2</v>
      </c>
    </row>
    <row r="252" spans="1:6" ht="14.25" customHeight="1">
      <c r="A252" s="2">
        <v>7</v>
      </c>
      <c r="B252" s="2">
        <v>251</v>
      </c>
      <c r="C252" s="2">
        <v>5</v>
      </c>
      <c r="D252" s="2">
        <v>1</v>
      </c>
      <c r="E252" s="2">
        <v>1.0740000000000001</v>
      </c>
      <c r="F252" s="2">
        <v>2</v>
      </c>
    </row>
    <row r="253" spans="1:6" ht="14.25" customHeight="1">
      <c r="A253" s="2">
        <v>7</v>
      </c>
      <c r="B253" s="2">
        <v>252</v>
      </c>
      <c r="C253" s="2">
        <v>6</v>
      </c>
      <c r="D253" s="2">
        <v>1</v>
      </c>
      <c r="E253" s="2">
        <v>1.0109999999999999</v>
      </c>
      <c r="F253" s="2">
        <v>1</v>
      </c>
    </row>
    <row r="254" spans="1:6" ht="14.25" customHeight="1">
      <c r="A254" s="2">
        <v>7</v>
      </c>
      <c r="B254" s="2">
        <v>253</v>
      </c>
      <c r="C254" s="2">
        <v>2</v>
      </c>
      <c r="D254" s="2">
        <v>1</v>
      </c>
      <c r="E254" s="2">
        <v>0.67200000000000004</v>
      </c>
      <c r="F254" s="2">
        <v>2</v>
      </c>
    </row>
    <row r="255" spans="1:6" ht="14.25" customHeight="1">
      <c r="A255" s="2">
        <v>7</v>
      </c>
      <c r="B255" s="2">
        <v>254</v>
      </c>
      <c r="C255" s="2">
        <v>6</v>
      </c>
      <c r="D255" s="2">
        <v>1</v>
      </c>
      <c r="E255" s="2">
        <v>1.4</v>
      </c>
      <c r="F255" s="2">
        <v>1</v>
      </c>
    </row>
    <row r="256" spans="1:6" ht="14.25" customHeight="1">
      <c r="A256" s="2">
        <v>7</v>
      </c>
      <c r="B256" s="2">
        <v>255</v>
      </c>
      <c r="C256" s="2">
        <v>3</v>
      </c>
      <c r="D256" s="2">
        <v>1</v>
      </c>
      <c r="E256" s="2">
        <v>0.60599999999999998</v>
      </c>
      <c r="F256" s="2">
        <v>2</v>
      </c>
    </row>
    <row r="257" spans="1:6" ht="14.25" customHeight="1">
      <c r="A257" s="2">
        <v>7</v>
      </c>
      <c r="B257" s="2">
        <v>256</v>
      </c>
      <c r="C257" s="2">
        <v>1</v>
      </c>
      <c r="D257" s="2">
        <v>0</v>
      </c>
      <c r="E257" s="2">
        <v>1.649</v>
      </c>
      <c r="F257" s="2">
        <v>1</v>
      </c>
    </row>
    <row r="258" spans="1:6" ht="14.25" customHeight="1">
      <c r="A258" s="2">
        <v>7</v>
      </c>
      <c r="B258" s="2">
        <v>257</v>
      </c>
      <c r="C258" s="2">
        <v>4</v>
      </c>
      <c r="D258" s="2">
        <v>1</v>
      </c>
      <c r="E258" s="2">
        <v>1.6279999999999999</v>
      </c>
      <c r="F258" s="2">
        <v>1</v>
      </c>
    </row>
    <row r="259" spans="1:6" ht="14.25" customHeight="1">
      <c r="A259" s="2">
        <v>7</v>
      </c>
      <c r="B259" s="2">
        <v>258</v>
      </c>
      <c r="C259" s="2">
        <v>5</v>
      </c>
      <c r="D259" s="2">
        <v>1</v>
      </c>
      <c r="E259" s="2">
        <v>0.75900000000000001</v>
      </c>
      <c r="F259" s="2">
        <v>2</v>
      </c>
    </row>
    <row r="260" spans="1:6" ht="14.25" customHeight="1">
      <c r="A260" s="2">
        <v>7</v>
      </c>
      <c r="B260" s="2">
        <v>259</v>
      </c>
      <c r="C260" s="2">
        <v>1</v>
      </c>
      <c r="D260" s="2">
        <v>1</v>
      </c>
      <c r="E260" s="2">
        <v>0.67700000000000005</v>
      </c>
      <c r="F260" s="2">
        <v>2</v>
      </c>
    </row>
    <row r="261" spans="1:6" ht="14.25" customHeight="1">
      <c r="A261" s="2">
        <v>7</v>
      </c>
      <c r="B261" s="2">
        <v>260</v>
      </c>
      <c r="C261" s="2">
        <v>2</v>
      </c>
      <c r="D261" s="2">
        <v>1</v>
      </c>
      <c r="E261" s="2">
        <v>0.61499999999999999</v>
      </c>
      <c r="F261" s="2">
        <v>2</v>
      </c>
    </row>
    <row r="262" spans="1:6" ht="14.25" customHeight="1">
      <c r="A262" s="2">
        <v>7</v>
      </c>
      <c r="B262" s="2">
        <v>261</v>
      </c>
      <c r="C262" s="2">
        <v>6</v>
      </c>
      <c r="E262" s="2">
        <v>2</v>
      </c>
    </row>
    <row r="263" spans="1:6" ht="14.25" customHeight="1">
      <c r="A263" s="2">
        <v>7</v>
      </c>
      <c r="B263" s="2">
        <v>262</v>
      </c>
      <c r="C263" s="2">
        <v>7</v>
      </c>
      <c r="D263" s="2">
        <v>0</v>
      </c>
      <c r="E263" s="2">
        <v>1.103</v>
      </c>
      <c r="F263" s="2">
        <v>1</v>
      </c>
    </row>
    <row r="264" spans="1:6" ht="14.25" customHeight="1">
      <c r="A264" s="2">
        <v>7</v>
      </c>
      <c r="B264" s="2">
        <v>263</v>
      </c>
      <c r="C264" s="2">
        <v>1</v>
      </c>
      <c r="D264" s="2">
        <v>1</v>
      </c>
      <c r="E264" s="2">
        <v>0.86399999999999999</v>
      </c>
      <c r="F264" s="2">
        <v>1</v>
      </c>
    </row>
    <row r="265" spans="1:6" ht="14.25" customHeight="1">
      <c r="A265" s="2">
        <v>7</v>
      </c>
      <c r="B265" s="2">
        <v>264</v>
      </c>
      <c r="C265" s="2">
        <v>4</v>
      </c>
      <c r="D265" s="2">
        <v>1</v>
      </c>
      <c r="E265" s="2">
        <v>0.73799999999999999</v>
      </c>
      <c r="F265" s="2">
        <v>1</v>
      </c>
    </row>
    <row r="266" spans="1:6" ht="14.25" customHeight="1">
      <c r="A266" s="2">
        <v>7</v>
      </c>
      <c r="B266" s="2">
        <v>265</v>
      </c>
      <c r="C266" s="2">
        <v>2</v>
      </c>
      <c r="D266" s="2">
        <v>1</v>
      </c>
      <c r="E266" s="2">
        <v>0.46400000000000002</v>
      </c>
      <c r="F266" s="2">
        <v>2</v>
      </c>
    </row>
    <row r="267" spans="1:6" ht="14.25" customHeight="1">
      <c r="A267" s="2">
        <v>7</v>
      </c>
      <c r="B267" s="2">
        <v>266</v>
      </c>
      <c r="C267" s="2">
        <v>6</v>
      </c>
      <c r="D267" s="2">
        <v>1</v>
      </c>
      <c r="E267" s="2">
        <v>0.98599999999999999</v>
      </c>
      <c r="F267" s="2">
        <v>1</v>
      </c>
    </row>
    <row r="268" spans="1:6" ht="14.25" customHeight="1">
      <c r="A268" s="2">
        <v>7</v>
      </c>
      <c r="B268" s="2">
        <v>267</v>
      </c>
      <c r="C268" s="2">
        <v>8</v>
      </c>
      <c r="E268" s="2">
        <v>2</v>
      </c>
    </row>
    <row r="269" spans="1:6" ht="14.25" customHeight="1">
      <c r="A269" s="2">
        <v>7</v>
      </c>
      <c r="B269" s="2">
        <v>268</v>
      </c>
      <c r="C269" s="2">
        <v>7</v>
      </c>
      <c r="D269" s="2">
        <v>1</v>
      </c>
      <c r="E269" s="2">
        <v>1.0129999999999999</v>
      </c>
      <c r="F269" s="2">
        <v>2</v>
      </c>
    </row>
    <row r="270" spans="1:6" ht="14.25" customHeight="1">
      <c r="A270" s="2">
        <v>7</v>
      </c>
      <c r="B270" s="2">
        <v>269</v>
      </c>
      <c r="C270" s="2">
        <v>5</v>
      </c>
      <c r="D270" s="2">
        <v>0</v>
      </c>
      <c r="E270" s="2">
        <v>1.8080000000000001</v>
      </c>
      <c r="F270" s="2">
        <v>2</v>
      </c>
    </row>
    <row r="271" spans="1:6" ht="14.25" customHeight="1">
      <c r="A271" s="2">
        <v>7</v>
      </c>
      <c r="B271" s="2">
        <v>270</v>
      </c>
      <c r="C271" s="2">
        <v>8</v>
      </c>
      <c r="D271" s="2">
        <v>1</v>
      </c>
      <c r="E271" s="2">
        <v>1.381</v>
      </c>
      <c r="F271" s="2">
        <v>1</v>
      </c>
    </row>
    <row r="272" spans="1:6" ht="14.25" customHeight="1">
      <c r="A272" s="2">
        <v>7</v>
      </c>
      <c r="B272" s="2">
        <v>271</v>
      </c>
      <c r="C272" s="2">
        <v>5</v>
      </c>
      <c r="D272" s="2">
        <v>0</v>
      </c>
      <c r="E272" s="2">
        <v>1.0029999999999999</v>
      </c>
      <c r="F272" s="2">
        <v>2</v>
      </c>
    </row>
    <row r="273" spans="1:6" ht="14.25" customHeight="1">
      <c r="A273" s="2">
        <v>7</v>
      </c>
      <c r="B273" s="2">
        <v>272</v>
      </c>
      <c r="C273" s="2">
        <v>7</v>
      </c>
      <c r="D273" s="2">
        <v>0</v>
      </c>
      <c r="E273" s="2">
        <v>1.2470000000000001</v>
      </c>
      <c r="F273" s="2">
        <v>1</v>
      </c>
    </row>
    <row r="274" spans="1:6" ht="14.25" customHeight="1">
      <c r="A274" s="2">
        <v>7</v>
      </c>
      <c r="B274" s="2">
        <v>273</v>
      </c>
      <c r="C274" s="2">
        <v>2</v>
      </c>
      <c r="D274" s="2">
        <v>1</v>
      </c>
      <c r="E274" s="2">
        <v>0.68899999999999995</v>
      </c>
      <c r="F274" s="2">
        <v>2</v>
      </c>
    </row>
    <row r="275" spans="1:6" ht="14.25" customHeight="1">
      <c r="A275" s="2">
        <v>7</v>
      </c>
      <c r="B275" s="2">
        <v>274</v>
      </c>
      <c r="C275" s="2">
        <v>8</v>
      </c>
      <c r="D275" s="2">
        <v>1</v>
      </c>
      <c r="E275" s="2">
        <v>1.474</v>
      </c>
      <c r="F275" s="2">
        <v>1</v>
      </c>
    </row>
    <row r="276" spans="1:6" ht="14.25" customHeight="1">
      <c r="A276" s="2">
        <v>7</v>
      </c>
      <c r="B276" s="2">
        <v>275</v>
      </c>
      <c r="C276" s="2">
        <v>7</v>
      </c>
      <c r="D276" s="2">
        <v>1</v>
      </c>
      <c r="E276" s="2">
        <v>1.276</v>
      </c>
      <c r="F276" s="2">
        <v>1</v>
      </c>
    </row>
    <row r="277" spans="1:6" ht="14.25" customHeight="1">
      <c r="A277" s="2">
        <v>7</v>
      </c>
      <c r="B277" s="2">
        <v>276</v>
      </c>
      <c r="C277" s="2">
        <v>1</v>
      </c>
      <c r="D277" s="2">
        <v>1</v>
      </c>
      <c r="E277" s="2">
        <v>0.90100000000000002</v>
      </c>
      <c r="F277" s="2">
        <v>1</v>
      </c>
    </row>
    <row r="278" spans="1:6" ht="14.25" customHeight="1">
      <c r="A278" s="2">
        <v>7</v>
      </c>
      <c r="B278" s="2">
        <v>277</v>
      </c>
      <c r="C278" s="2">
        <v>8</v>
      </c>
      <c r="D278" s="2">
        <v>1</v>
      </c>
      <c r="E278" s="2">
        <v>0.82199999999999995</v>
      </c>
      <c r="F278" s="2">
        <v>2</v>
      </c>
    </row>
    <row r="279" spans="1:6" ht="14.25" customHeight="1">
      <c r="A279" s="2">
        <v>7</v>
      </c>
      <c r="B279" s="2">
        <v>278</v>
      </c>
      <c r="C279" s="2">
        <v>4</v>
      </c>
      <c r="D279" s="2">
        <v>1</v>
      </c>
      <c r="E279" s="2">
        <v>0.96899999999999997</v>
      </c>
      <c r="F279" s="2">
        <v>1</v>
      </c>
    </row>
    <row r="280" spans="1:6" ht="14.25" customHeight="1">
      <c r="A280" s="2">
        <v>7</v>
      </c>
      <c r="B280" s="2">
        <v>279</v>
      </c>
      <c r="C280" s="2">
        <v>3</v>
      </c>
      <c r="D280" s="2">
        <v>1</v>
      </c>
      <c r="E280" s="2">
        <v>1.3260000000000001</v>
      </c>
      <c r="F280" s="2">
        <v>1</v>
      </c>
    </row>
    <row r="281" spans="1:6" ht="14.25" customHeight="1">
      <c r="A281" s="2">
        <v>7</v>
      </c>
      <c r="B281" s="2">
        <v>280</v>
      </c>
      <c r="C281" s="2">
        <v>7</v>
      </c>
      <c r="D281" s="2">
        <v>1</v>
      </c>
      <c r="E281" s="2">
        <v>1.47</v>
      </c>
      <c r="F281" s="2">
        <v>2</v>
      </c>
    </row>
    <row r="282" spans="1:6" ht="14.25" customHeight="1">
      <c r="A282" s="2">
        <v>7</v>
      </c>
      <c r="B282" s="2">
        <v>281</v>
      </c>
      <c r="C282" s="2">
        <v>3</v>
      </c>
      <c r="D282" s="2">
        <v>1</v>
      </c>
      <c r="E282" s="2">
        <v>0.85599999999999998</v>
      </c>
      <c r="F282" s="2">
        <v>1</v>
      </c>
    </row>
    <row r="283" spans="1:6" ht="14.25" customHeight="1">
      <c r="A283" s="2">
        <v>7</v>
      </c>
      <c r="B283" s="2">
        <v>282</v>
      </c>
      <c r="C283" s="2">
        <v>5</v>
      </c>
      <c r="D283" s="2">
        <v>1</v>
      </c>
      <c r="E283" s="2">
        <v>1.1539999999999999</v>
      </c>
      <c r="F283" s="2">
        <v>1</v>
      </c>
    </row>
    <row r="284" spans="1:6" ht="14.25" customHeight="1">
      <c r="A284" s="2">
        <v>7</v>
      </c>
      <c r="B284" s="2">
        <v>283</v>
      </c>
      <c r="C284" s="2">
        <v>7</v>
      </c>
      <c r="D284" s="2">
        <v>1</v>
      </c>
      <c r="E284" s="2">
        <v>1.0169999999999999</v>
      </c>
      <c r="F284" s="2">
        <v>1</v>
      </c>
    </row>
    <row r="285" spans="1:6" ht="14.25" customHeight="1">
      <c r="A285" s="2">
        <v>7</v>
      </c>
      <c r="B285" s="2">
        <v>284</v>
      </c>
      <c r="C285" s="2">
        <v>4</v>
      </c>
      <c r="D285" s="2">
        <v>1</v>
      </c>
      <c r="E285" s="2">
        <v>0.72499999999999998</v>
      </c>
      <c r="F285" s="2">
        <v>2</v>
      </c>
    </row>
    <row r="286" spans="1:6" ht="14.25" customHeight="1">
      <c r="A286" s="2">
        <v>7</v>
      </c>
      <c r="B286" s="2">
        <v>285</v>
      </c>
      <c r="C286" s="2">
        <v>2</v>
      </c>
      <c r="D286" s="2">
        <v>1</v>
      </c>
      <c r="E286" s="2">
        <v>0.76400000000000001</v>
      </c>
      <c r="F286" s="2">
        <v>1</v>
      </c>
    </row>
    <row r="287" spans="1:6" ht="14.25" customHeight="1">
      <c r="A287" s="2">
        <v>7</v>
      </c>
      <c r="B287" s="2">
        <v>286</v>
      </c>
      <c r="C287" s="2">
        <v>4</v>
      </c>
      <c r="D287" s="2">
        <v>1</v>
      </c>
      <c r="E287" s="2">
        <v>0.73</v>
      </c>
      <c r="F287" s="2">
        <v>2</v>
      </c>
    </row>
    <row r="288" spans="1:6" ht="14.25" customHeight="1">
      <c r="A288" s="2">
        <v>7</v>
      </c>
      <c r="B288" s="2">
        <v>287</v>
      </c>
      <c r="C288" s="2">
        <v>8</v>
      </c>
      <c r="D288" s="2">
        <v>1</v>
      </c>
      <c r="E288" s="2">
        <v>1.4810000000000001</v>
      </c>
      <c r="F288" s="2">
        <v>1</v>
      </c>
    </row>
    <row r="289" spans="1:6" ht="14.25" customHeight="1">
      <c r="A289" s="2">
        <v>7</v>
      </c>
      <c r="B289" s="2">
        <v>288</v>
      </c>
      <c r="C289" s="2">
        <v>3</v>
      </c>
      <c r="D289" s="2">
        <v>1</v>
      </c>
      <c r="E289" s="2">
        <v>0.875</v>
      </c>
      <c r="F289" s="2">
        <v>2</v>
      </c>
    </row>
    <row r="290" spans="1:6" ht="14.25" customHeight="1">
      <c r="A290" s="2">
        <v>7</v>
      </c>
      <c r="B290" s="2">
        <v>289</v>
      </c>
      <c r="C290" s="2">
        <v>6</v>
      </c>
      <c r="D290" s="2">
        <v>1</v>
      </c>
      <c r="E290" s="2">
        <v>0.876</v>
      </c>
      <c r="F290" s="2">
        <v>1</v>
      </c>
    </row>
    <row r="291" spans="1:6" ht="14.25" customHeight="1">
      <c r="A291" s="2">
        <v>7</v>
      </c>
      <c r="B291" s="2">
        <v>290</v>
      </c>
      <c r="C291" s="2">
        <v>2</v>
      </c>
      <c r="D291" s="2">
        <v>1</v>
      </c>
      <c r="E291" s="2">
        <v>1.0529999999999999</v>
      </c>
      <c r="F291" s="2">
        <v>2</v>
      </c>
    </row>
    <row r="292" spans="1:6" ht="14.25" customHeight="1">
      <c r="A292" s="2">
        <v>7</v>
      </c>
      <c r="B292" s="2">
        <v>291</v>
      </c>
      <c r="C292" s="2">
        <v>7</v>
      </c>
      <c r="D292" s="2">
        <v>1</v>
      </c>
      <c r="E292" s="2">
        <v>0.73499999999999999</v>
      </c>
      <c r="F292" s="2">
        <v>2</v>
      </c>
    </row>
    <row r="293" spans="1:6" ht="14.25" customHeight="1">
      <c r="A293" s="2">
        <v>7</v>
      </c>
      <c r="B293" s="2">
        <v>292</v>
      </c>
      <c r="C293" s="2">
        <v>3</v>
      </c>
      <c r="D293" s="2">
        <v>1</v>
      </c>
      <c r="E293" s="2">
        <v>0.99099999999999999</v>
      </c>
      <c r="F293" s="2">
        <v>2</v>
      </c>
    </row>
    <row r="294" spans="1:6" ht="14.25" customHeight="1">
      <c r="A294" s="2">
        <v>7</v>
      </c>
      <c r="B294" s="2">
        <v>293</v>
      </c>
      <c r="C294" s="2">
        <v>6</v>
      </c>
      <c r="D294" s="2">
        <v>1</v>
      </c>
      <c r="E294" s="2">
        <v>1.1879999999999999</v>
      </c>
      <c r="F294" s="2">
        <v>2</v>
      </c>
    </row>
    <row r="295" spans="1:6" ht="14.25" customHeight="1">
      <c r="A295" s="2">
        <v>7</v>
      </c>
      <c r="B295" s="2">
        <v>294</v>
      </c>
      <c r="C295" s="2">
        <v>5</v>
      </c>
      <c r="D295" s="2">
        <v>1</v>
      </c>
      <c r="E295" s="2">
        <v>1.36</v>
      </c>
      <c r="F295" s="2">
        <v>2</v>
      </c>
    </row>
    <row r="296" spans="1:6" ht="14.25" customHeight="1">
      <c r="A296" s="2">
        <v>7</v>
      </c>
      <c r="B296" s="2">
        <v>295</v>
      </c>
      <c r="C296" s="2">
        <v>1</v>
      </c>
      <c r="D296" s="2">
        <v>1</v>
      </c>
      <c r="E296" s="2">
        <v>0.67800000000000005</v>
      </c>
      <c r="F296" s="2">
        <v>2</v>
      </c>
    </row>
    <row r="297" spans="1:6" ht="14.25" customHeight="1">
      <c r="A297" s="2">
        <v>7</v>
      </c>
      <c r="B297" s="2">
        <v>296</v>
      </c>
      <c r="C297" s="2">
        <v>8</v>
      </c>
      <c r="D297" s="2">
        <v>1</v>
      </c>
      <c r="E297" s="2">
        <v>0.83899999999999997</v>
      </c>
      <c r="F297" s="2">
        <v>1</v>
      </c>
    </row>
    <row r="298" spans="1:6" ht="14.25" customHeight="1">
      <c r="A298" s="2">
        <v>7</v>
      </c>
      <c r="B298" s="2">
        <v>297</v>
      </c>
      <c r="C298" s="2">
        <v>3</v>
      </c>
      <c r="D298" s="2">
        <v>0</v>
      </c>
      <c r="E298" s="2">
        <v>1.4019999999999999</v>
      </c>
      <c r="F298" s="2">
        <v>1</v>
      </c>
    </row>
    <row r="299" spans="1:6" ht="14.25" customHeight="1">
      <c r="A299" s="2">
        <v>7</v>
      </c>
      <c r="B299" s="2">
        <v>298</v>
      </c>
      <c r="C299" s="2">
        <v>4</v>
      </c>
      <c r="D299" s="2">
        <v>1</v>
      </c>
      <c r="E299" s="2">
        <v>1.0069999999999999</v>
      </c>
      <c r="F299" s="2">
        <v>2</v>
      </c>
    </row>
    <row r="300" spans="1:6" ht="14.25" customHeight="1">
      <c r="A300" s="2">
        <v>7</v>
      </c>
      <c r="B300" s="2">
        <v>299</v>
      </c>
      <c r="C300" s="2">
        <v>2</v>
      </c>
      <c r="D300" s="2">
        <v>1</v>
      </c>
      <c r="E300" s="2">
        <v>0.67500000000000004</v>
      </c>
      <c r="F300" s="2">
        <v>2</v>
      </c>
    </row>
    <row r="301" spans="1:6" ht="14.25" customHeight="1">
      <c r="A301" s="2">
        <v>7</v>
      </c>
      <c r="B301" s="2">
        <v>300</v>
      </c>
      <c r="C301" s="2">
        <v>1</v>
      </c>
      <c r="D301" s="2">
        <v>1</v>
      </c>
      <c r="E301" s="2">
        <v>1.044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5.33203125" customWidth="1"/>
    <col min="5" max="5" width="7.83203125" customWidth="1"/>
    <col min="6" max="6" width="13.1640625" customWidth="1"/>
    <col min="7" max="14" width="8.6640625" customWidth="1"/>
    <col min="15" max="15" width="16.83203125" customWidth="1"/>
    <col min="1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8</v>
      </c>
      <c r="I1" s="2">
        <v>151</v>
      </c>
      <c r="J1" s="2">
        <v>1</v>
      </c>
      <c r="K1" s="2">
        <v>1</v>
      </c>
      <c r="L1" s="2">
        <v>0.751</v>
      </c>
    </row>
    <row r="2" spans="1:22" ht="14.25" customHeight="1">
      <c r="A2" s="2">
        <v>8</v>
      </c>
      <c r="B2" s="2">
        <v>1</v>
      </c>
      <c r="C2" s="2">
        <v>7</v>
      </c>
      <c r="D2" s="2">
        <v>0</v>
      </c>
      <c r="E2" s="2">
        <v>0.88700000000000001</v>
      </c>
      <c r="F2" s="2">
        <v>2</v>
      </c>
      <c r="H2" s="2">
        <v>8</v>
      </c>
      <c r="I2" s="2">
        <v>152</v>
      </c>
      <c r="J2" s="2">
        <v>5</v>
      </c>
      <c r="K2" s="2">
        <v>1</v>
      </c>
      <c r="L2" s="2">
        <v>0.67</v>
      </c>
    </row>
    <row r="3" spans="1:22" ht="14.25" customHeight="1">
      <c r="A3" s="2">
        <v>8</v>
      </c>
      <c r="B3" s="2">
        <v>2</v>
      </c>
      <c r="C3" s="2">
        <v>8</v>
      </c>
      <c r="D3" s="2">
        <v>0</v>
      </c>
      <c r="E3" s="2">
        <v>1.228</v>
      </c>
      <c r="F3" s="2">
        <v>2</v>
      </c>
      <c r="H3" s="2">
        <v>8</v>
      </c>
      <c r="I3" s="2">
        <v>153</v>
      </c>
      <c r="J3" s="2">
        <v>2</v>
      </c>
      <c r="K3" s="2">
        <v>1</v>
      </c>
      <c r="L3" s="2">
        <v>0.59899999999999998</v>
      </c>
    </row>
    <row r="4" spans="1:22" ht="14.25" customHeight="1">
      <c r="A4" s="2">
        <v>8</v>
      </c>
      <c r="B4" s="2">
        <v>3</v>
      </c>
      <c r="C4" s="2">
        <v>4</v>
      </c>
      <c r="D4" s="2">
        <v>0</v>
      </c>
      <c r="E4" s="2">
        <v>1.552</v>
      </c>
      <c r="F4" s="2">
        <v>2</v>
      </c>
      <c r="H4" s="2">
        <v>8</v>
      </c>
      <c r="I4" s="2">
        <v>154</v>
      </c>
      <c r="J4" s="2">
        <v>1</v>
      </c>
      <c r="K4" s="2">
        <v>1</v>
      </c>
      <c r="L4" s="2">
        <v>0.68400000000000005</v>
      </c>
      <c r="O4" s="2" t="s">
        <v>6</v>
      </c>
    </row>
    <row r="5" spans="1:22" ht="14.25" customHeight="1">
      <c r="A5" s="2">
        <v>8</v>
      </c>
      <c r="B5" s="2">
        <v>4</v>
      </c>
      <c r="C5" s="2">
        <v>8</v>
      </c>
      <c r="D5" s="2">
        <v>0</v>
      </c>
      <c r="E5" s="2">
        <v>1.7749999999999999</v>
      </c>
      <c r="F5" s="2">
        <v>2</v>
      </c>
      <c r="H5" s="2">
        <v>8</v>
      </c>
      <c r="I5" s="2">
        <v>155</v>
      </c>
      <c r="J5" s="2">
        <v>5</v>
      </c>
      <c r="K5" s="2">
        <v>0</v>
      </c>
      <c r="L5" s="2">
        <v>0.54900000000000004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8</v>
      </c>
      <c r="B6" s="2">
        <v>5</v>
      </c>
      <c r="C6" s="2">
        <v>6</v>
      </c>
      <c r="D6" s="2">
        <v>1</v>
      </c>
      <c r="E6" s="2">
        <v>1.7</v>
      </c>
      <c r="F6" s="2">
        <v>2</v>
      </c>
      <c r="H6" s="2">
        <v>8</v>
      </c>
      <c r="I6" s="2">
        <v>156</v>
      </c>
      <c r="J6" s="2">
        <v>8</v>
      </c>
      <c r="K6" s="2">
        <v>1</v>
      </c>
      <c r="L6" s="2">
        <v>0.86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8</v>
      </c>
      <c r="B7" s="2">
        <v>6</v>
      </c>
      <c r="C7" s="2">
        <v>3</v>
      </c>
      <c r="D7" s="2">
        <v>0</v>
      </c>
      <c r="E7" s="2">
        <v>1.028</v>
      </c>
      <c r="F7" s="2">
        <v>1</v>
      </c>
      <c r="H7" s="2">
        <v>8</v>
      </c>
      <c r="I7" s="2">
        <v>157</v>
      </c>
      <c r="J7" s="2">
        <v>4</v>
      </c>
      <c r="K7" s="2">
        <v>1</v>
      </c>
      <c r="L7" s="2">
        <v>1.006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8</v>
      </c>
      <c r="B8" s="2">
        <v>7</v>
      </c>
      <c r="C8" s="2">
        <v>2</v>
      </c>
      <c r="D8" s="2">
        <v>0</v>
      </c>
      <c r="E8" s="2">
        <v>0.72699999999999998</v>
      </c>
      <c r="F8" s="2">
        <v>2</v>
      </c>
      <c r="H8" s="2">
        <v>8</v>
      </c>
      <c r="I8" s="2">
        <v>158</v>
      </c>
      <c r="J8" s="2">
        <v>1</v>
      </c>
      <c r="K8" s="2">
        <v>1</v>
      </c>
      <c r="L8" s="2">
        <v>0.61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8</v>
      </c>
      <c r="B9" s="2">
        <v>8</v>
      </c>
      <c r="C9" s="2">
        <v>6</v>
      </c>
      <c r="D9" s="2">
        <v>1</v>
      </c>
      <c r="E9" s="2">
        <v>1.0469999999999999</v>
      </c>
      <c r="F9" s="2">
        <v>2</v>
      </c>
      <c r="H9" s="2">
        <v>8</v>
      </c>
      <c r="I9" s="2">
        <v>159</v>
      </c>
      <c r="J9" s="2">
        <v>8</v>
      </c>
      <c r="K9" s="2">
        <v>1</v>
      </c>
      <c r="L9" s="2">
        <v>0.92600000000000005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8</v>
      </c>
      <c r="B10" s="2">
        <v>9</v>
      </c>
      <c r="C10" s="2">
        <v>1</v>
      </c>
      <c r="E10" s="2">
        <v>2</v>
      </c>
      <c r="H10" s="2">
        <v>8</v>
      </c>
      <c r="I10" s="2">
        <v>160</v>
      </c>
      <c r="J10" s="2">
        <v>4</v>
      </c>
      <c r="K10" s="2">
        <v>1</v>
      </c>
      <c r="L10" s="2">
        <v>0.59699999999999998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8</v>
      </c>
      <c r="B11" s="2">
        <v>10</v>
      </c>
      <c r="C11" s="2">
        <v>8</v>
      </c>
      <c r="D11" s="2">
        <v>0</v>
      </c>
      <c r="E11" s="2">
        <v>0.90200000000000002</v>
      </c>
      <c r="F11" s="2">
        <v>2</v>
      </c>
      <c r="H11" s="2">
        <v>8</v>
      </c>
      <c r="I11" s="2">
        <v>161</v>
      </c>
      <c r="J11" s="2">
        <v>3</v>
      </c>
      <c r="K11" s="2">
        <v>1</v>
      </c>
      <c r="L11" s="2">
        <v>0.65700000000000003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8</v>
      </c>
      <c r="B12" s="2">
        <v>11</v>
      </c>
      <c r="C12" s="2">
        <v>6</v>
      </c>
      <c r="D12" s="2">
        <v>1</v>
      </c>
      <c r="E12" s="2">
        <v>1.006</v>
      </c>
      <c r="F12" s="2">
        <v>2</v>
      </c>
      <c r="H12" s="2">
        <v>8</v>
      </c>
      <c r="I12" s="2">
        <v>162</v>
      </c>
      <c r="J12" s="2">
        <v>4</v>
      </c>
      <c r="K12" s="2">
        <v>1</v>
      </c>
      <c r="L12" s="2">
        <v>0.82699999999999996</v>
      </c>
    </row>
    <row r="13" spans="1:22" ht="14.25" customHeight="1">
      <c r="A13" s="2">
        <v>8</v>
      </c>
      <c r="B13" s="2">
        <v>12</v>
      </c>
      <c r="C13" s="2">
        <v>4</v>
      </c>
      <c r="D13" s="2">
        <v>1</v>
      </c>
      <c r="E13" s="2">
        <v>0.76200000000000001</v>
      </c>
      <c r="F13" s="2">
        <v>1</v>
      </c>
      <c r="H13" s="2">
        <v>8</v>
      </c>
      <c r="I13" s="2">
        <v>163</v>
      </c>
      <c r="J13" s="2">
        <v>8</v>
      </c>
      <c r="K13" s="2">
        <v>0</v>
      </c>
      <c r="L13" s="2">
        <v>0.999</v>
      </c>
    </row>
    <row r="14" spans="1:22" ht="14.25" customHeight="1">
      <c r="A14" s="2">
        <v>8</v>
      </c>
      <c r="B14" s="2">
        <v>13</v>
      </c>
      <c r="C14" s="2">
        <v>5</v>
      </c>
      <c r="D14" s="2">
        <v>1</v>
      </c>
      <c r="E14" s="2">
        <v>0.90500000000000003</v>
      </c>
      <c r="F14" s="2">
        <v>2</v>
      </c>
      <c r="H14" s="2">
        <v>8</v>
      </c>
      <c r="I14" s="2">
        <v>164</v>
      </c>
      <c r="J14" s="2">
        <v>7</v>
      </c>
      <c r="K14" s="2">
        <v>1</v>
      </c>
      <c r="L14" s="2">
        <v>0.57199999999999995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8</v>
      </c>
      <c r="B15" s="2">
        <v>14</v>
      </c>
      <c r="C15" s="2">
        <v>6</v>
      </c>
      <c r="D15" s="2">
        <v>1</v>
      </c>
      <c r="E15" s="2">
        <v>0.79300000000000004</v>
      </c>
      <c r="F15" s="2">
        <v>2</v>
      </c>
      <c r="H15" s="2">
        <v>8</v>
      </c>
      <c r="I15" s="2">
        <v>165</v>
      </c>
      <c r="J15" s="2">
        <v>1</v>
      </c>
      <c r="K15" s="2">
        <v>1</v>
      </c>
      <c r="L15" s="2">
        <v>0.99299999999999999</v>
      </c>
      <c r="O15" s="2" t="s">
        <v>9</v>
      </c>
    </row>
    <row r="16" spans="1:22" ht="14.25" customHeight="1">
      <c r="A16" s="2">
        <v>8</v>
      </c>
      <c r="B16" s="2">
        <v>15</v>
      </c>
      <c r="C16" s="2">
        <v>2</v>
      </c>
      <c r="D16" s="2">
        <v>0</v>
      </c>
      <c r="E16" s="2">
        <v>0.89300000000000002</v>
      </c>
      <c r="F16" s="2">
        <v>2</v>
      </c>
      <c r="H16" s="2">
        <v>8</v>
      </c>
      <c r="I16" s="2">
        <v>166</v>
      </c>
      <c r="J16" s="2">
        <v>6</v>
      </c>
      <c r="K16" s="2">
        <v>1</v>
      </c>
      <c r="L16" s="2">
        <v>0.92500000000000004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8</v>
      </c>
      <c r="B17" s="2">
        <v>16</v>
      </c>
      <c r="C17" s="2">
        <v>3</v>
      </c>
      <c r="D17" s="2">
        <v>0</v>
      </c>
      <c r="E17" s="2">
        <v>0.91800000000000004</v>
      </c>
      <c r="F17" s="2">
        <v>1</v>
      </c>
      <c r="H17" s="2">
        <v>8</v>
      </c>
      <c r="I17" s="2">
        <v>167</v>
      </c>
      <c r="J17" s="2">
        <v>2</v>
      </c>
      <c r="K17" s="2">
        <v>1</v>
      </c>
      <c r="L17" s="2">
        <v>0.68500000000000005</v>
      </c>
      <c r="N17" s="2">
        <v>1</v>
      </c>
      <c r="O17" s="2">
        <f t="shared" ref="O17:O22" si="0">(O6*COUNTIF($J$1:$J$50,O$16) - COUNTIFS($J$1:$J$50,O$16,$K$1:$K$50,"=1"))^2</f>
        <v>9.0000000000000427E-2</v>
      </c>
      <c r="P17" s="2">
        <f t="shared" ref="P17:P22" si="1">(P6*COUNTIF($J$1:$J$50,P$16) - COUNTIFS($J$1:$J$50,P$16,$K$1:$K$50,"=0"))^2</f>
        <v>0.12250000000000003</v>
      </c>
      <c r="Q17" s="2">
        <f t="shared" ref="Q17:Q22" si="2">(Q6*COUNTIF($J$1:$J$100,Q$16) - COUNTIFS($J$1:$J$100,Q$16,$K$1:$K$100,"=1"))^2</f>
        <v>0.12250000000000037</v>
      </c>
      <c r="R17" s="2">
        <f t="shared" ref="R17:R22" si="3">(R6*COUNTIF($J$1:$J$100,R$16) - COUNTIFS($J$1:$J$100,R$16,$K$1:$K$100,"=0"))^2</f>
        <v>9.0000000000000024E-2</v>
      </c>
      <c r="S17" s="2">
        <f t="shared" ref="S17:T17" si="4">(S6*COUNTIF($J$1:$J$100,S$16) - COUNTIFS($J$1:$J$100,S$16,$K$1:$K$100,"=1"))^2</f>
        <v>2.8899999999999975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0.48999999999999994</v>
      </c>
    </row>
    <row r="18" spans="1:22" ht="14.25" customHeight="1">
      <c r="A18" s="2">
        <v>8</v>
      </c>
      <c r="B18" s="2">
        <v>17</v>
      </c>
      <c r="C18" s="2">
        <v>5</v>
      </c>
      <c r="D18" s="2">
        <v>0</v>
      </c>
      <c r="E18" s="2">
        <v>1.141</v>
      </c>
      <c r="F18" s="2">
        <v>1</v>
      </c>
      <c r="H18" s="2">
        <v>8</v>
      </c>
      <c r="I18" s="2">
        <v>168</v>
      </c>
      <c r="J18" s="2">
        <v>4</v>
      </c>
      <c r="K18" s="2">
        <v>1</v>
      </c>
      <c r="L18" s="2">
        <v>0.93500000000000005</v>
      </c>
      <c r="N18" s="2">
        <v>2</v>
      </c>
      <c r="O18" s="2">
        <f t="shared" si="0"/>
        <v>9.0000000000000427E-2</v>
      </c>
      <c r="P18" s="2">
        <f t="shared" si="1"/>
        <v>44.222499999999989</v>
      </c>
      <c r="Q18" s="2">
        <f t="shared" si="2"/>
        <v>44.222500000000004</v>
      </c>
      <c r="R18" s="2">
        <f t="shared" si="3"/>
        <v>9.0000000000000024E-2</v>
      </c>
      <c r="S18" s="2">
        <f t="shared" ref="S18:T18" si="6">(S7*COUNTIF($J$1:$J$100,S$16) - COUNTIFS($J$1:$J$100,S$16,$K$1:$K$100,"=1"))^2</f>
        <v>2.8899999999999975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0.48999999999999994</v>
      </c>
    </row>
    <row r="19" spans="1:22" ht="14.25" customHeight="1">
      <c r="A19" s="2">
        <v>8</v>
      </c>
      <c r="B19" s="2">
        <v>18</v>
      </c>
      <c r="C19" s="2">
        <v>7</v>
      </c>
      <c r="D19" s="2">
        <v>0</v>
      </c>
      <c r="E19" s="2">
        <v>1.083</v>
      </c>
      <c r="F19" s="2">
        <v>2</v>
      </c>
      <c r="H19" s="2">
        <v>8</v>
      </c>
      <c r="I19" s="2">
        <v>169</v>
      </c>
      <c r="J19" s="2">
        <v>7</v>
      </c>
      <c r="K19" s="2">
        <v>1</v>
      </c>
      <c r="L19" s="2">
        <v>0.90200000000000002</v>
      </c>
      <c r="N19" s="2">
        <v>3</v>
      </c>
      <c r="O19" s="2">
        <f t="shared" si="0"/>
        <v>9.0000000000000427E-2</v>
      </c>
      <c r="P19" s="2">
        <f t="shared" si="1"/>
        <v>0.12250000000000003</v>
      </c>
      <c r="Q19" s="2">
        <f t="shared" si="2"/>
        <v>0.12250000000000037</v>
      </c>
      <c r="R19" s="2">
        <f t="shared" si="3"/>
        <v>9.0000000000000024E-2</v>
      </c>
      <c r="S19" s="2">
        <f t="shared" ref="S19:T19" si="8">(S8*COUNTIF($J$1:$J$100,S$16) - COUNTIFS($J$1:$J$100,S$16,$K$1:$K$100,"=1"))^2</f>
        <v>2.8899999999999975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0.48999999999999994</v>
      </c>
    </row>
    <row r="20" spans="1:22" ht="14.25" customHeight="1">
      <c r="A20" s="2">
        <v>8</v>
      </c>
      <c r="B20" s="2">
        <v>19</v>
      </c>
      <c r="C20" s="2">
        <v>1</v>
      </c>
      <c r="D20" s="2">
        <v>1</v>
      </c>
      <c r="E20" s="2">
        <v>0.83699999999999997</v>
      </c>
      <c r="F20" s="2">
        <v>2</v>
      </c>
      <c r="H20" s="2">
        <v>8</v>
      </c>
      <c r="I20" s="2">
        <v>170</v>
      </c>
      <c r="J20" s="2">
        <v>1</v>
      </c>
      <c r="K20" s="2">
        <v>1</v>
      </c>
      <c r="L20" s="2">
        <v>0.65400000000000003</v>
      </c>
      <c r="N20" s="2">
        <v>4</v>
      </c>
      <c r="O20" s="2">
        <f t="shared" si="0"/>
        <v>9</v>
      </c>
      <c r="P20" s="2">
        <f t="shared" si="1"/>
        <v>12.25</v>
      </c>
      <c r="Q20" s="2">
        <f t="shared" si="2"/>
        <v>12.25</v>
      </c>
      <c r="R20" s="2">
        <f t="shared" si="3"/>
        <v>9</v>
      </c>
      <c r="S20" s="2">
        <f t="shared" ref="S20:T20" si="10">(S9*COUNTIF($J$1:$J$100,S$16) - COUNTIFS($J$1:$J$100,S$16,$K$1:$K$100,"=1"))^2</f>
        <v>2.8899999999999975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0.48999999999999994</v>
      </c>
    </row>
    <row r="21" spans="1:22" ht="14.25" customHeight="1">
      <c r="A21" s="2">
        <v>8</v>
      </c>
      <c r="B21" s="2">
        <v>20</v>
      </c>
      <c r="C21" s="2">
        <v>8</v>
      </c>
      <c r="D21" s="2">
        <v>1</v>
      </c>
      <c r="E21" s="2">
        <v>1.079</v>
      </c>
      <c r="F21" s="2">
        <v>1</v>
      </c>
      <c r="H21" s="2">
        <v>8</v>
      </c>
      <c r="I21" s="2">
        <v>171</v>
      </c>
      <c r="J21" s="2">
        <v>7</v>
      </c>
      <c r="K21" s="2">
        <v>1</v>
      </c>
      <c r="L21" s="2">
        <v>0.64800000000000002</v>
      </c>
      <c r="N21" s="2">
        <v>5</v>
      </c>
      <c r="O21" s="2">
        <f t="shared" si="0"/>
        <v>9.0000000000000427E-2</v>
      </c>
      <c r="P21" s="2">
        <f t="shared" si="1"/>
        <v>0.12250000000000003</v>
      </c>
      <c r="Q21" s="2">
        <f t="shared" si="2"/>
        <v>0.12250000000000037</v>
      </c>
      <c r="R21" s="2">
        <f t="shared" si="3"/>
        <v>9.0000000000000024E-2</v>
      </c>
      <c r="S21" s="2">
        <f t="shared" ref="S21:T21" si="12">(S10*COUNTIF($J$1:$J$100,S$16) - COUNTIFS($J$1:$J$100,S$16,$K$1:$K$100,"=1"))^2</f>
        <v>1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4</v>
      </c>
    </row>
    <row r="22" spans="1:22" ht="14.25" customHeight="1">
      <c r="A22" s="2">
        <v>8</v>
      </c>
      <c r="B22" s="2">
        <v>21</v>
      </c>
      <c r="C22" s="2">
        <v>1</v>
      </c>
      <c r="D22" s="2">
        <v>1</v>
      </c>
      <c r="E22" s="2">
        <v>0.80800000000000005</v>
      </c>
      <c r="F22" s="2">
        <v>2</v>
      </c>
      <c r="H22" s="2">
        <v>8</v>
      </c>
      <c r="I22" s="2">
        <v>172</v>
      </c>
      <c r="J22" s="2">
        <v>2</v>
      </c>
      <c r="K22" s="2">
        <v>1</v>
      </c>
      <c r="L22" s="2">
        <v>0.627</v>
      </c>
      <c r="N22" s="2">
        <v>6</v>
      </c>
      <c r="O22" s="2">
        <f t="shared" si="0"/>
        <v>9</v>
      </c>
      <c r="P22" s="2">
        <f t="shared" si="1"/>
        <v>12.25</v>
      </c>
      <c r="Q22" s="2">
        <f t="shared" si="2"/>
        <v>12.25</v>
      </c>
      <c r="R22" s="2">
        <f t="shared" si="3"/>
        <v>9</v>
      </c>
      <c r="S22" s="2">
        <f t="shared" ref="S22:T22" si="14">(S11*COUNTIF($J$1:$J$100,S$16) - COUNTIFS($J$1:$J$100,S$16,$K$1:$K$100,"=1"))^2</f>
        <v>1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4</v>
      </c>
    </row>
    <row r="23" spans="1:22" ht="14.25" customHeight="1">
      <c r="A23" s="2">
        <v>8</v>
      </c>
      <c r="B23" s="2">
        <v>22</v>
      </c>
      <c r="C23" s="2">
        <v>7</v>
      </c>
      <c r="D23" s="2">
        <v>1</v>
      </c>
      <c r="E23" s="2">
        <v>0.89200000000000002</v>
      </c>
      <c r="F23" s="2">
        <v>1</v>
      </c>
      <c r="H23" s="2">
        <v>8</v>
      </c>
      <c r="I23" s="2">
        <v>173</v>
      </c>
      <c r="J23" s="2">
        <v>8</v>
      </c>
      <c r="K23" s="2">
        <v>1</v>
      </c>
      <c r="L23" s="2">
        <v>1.19</v>
      </c>
    </row>
    <row r="24" spans="1:22" ht="14.25" customHeight="1">
      <c r="A24" s="2">
        <v>8</v>
      </c>
      <c r="B24" s="2">
        <v>23</v>
      </c>
      <c r="C24" s="2">
        <v>4</v>
      </c>
      <c r="D24" s="2">
        <v>1</v>
      </c>
      <c r="E24" s="2">
        <v>0.90100000000000002</v>
      </c>
      <c r="F24" s="2">
        <v>1</v>
      </c>
      <c r="H24" s="2">
        <v>8</v>
      </c>
      <c r="I24" s="2">
        <v>174</v>
      </c>
      <c r="J24" s="2">
        <v>2</v>
      </c>
      <c r="K24" s="2">
        <v>1</v>
      </c>
      <c r="L24" s="2">
        <v>1.1140000000000001</v>
      </c>
    </row>
    <row r="25" spans="1:22" ht="14.25" customHeight="1">
      <c r="A25" s="2">
        <v>8</v>
      </c>
      <c r="B25" s="2">
        <v>24</v>
      </c>
      <c r="C25" s="2">
        <v>2</v>
      </c>
      <c r="D25" s="2">
        <v>0</v>
      </c>
      <c r="E25" s="2">
        <v>0.64500000000000002</v>
      </c>
      <c r="F25" s="2">
        <v>2</v>
      </c>
      <c r="H25" s="2">
        <v>8</v>
      </c>
      <c r="I25" s="2">
        <v>175</v>
      </c>
      <c r="J25" s="2">
        <v>5</v>
      </c>
      <c r="K25" s="2">
        <v>1</v>
      </c>
      <c r="L25" s="2">
        <v>0.88300000000000001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8</v>
      </c>
      <c r="B26" s="2">
        <v>25</v>
      </c>
      <c r="C26" s="2">
        <v>3</v>
      </c>
      <c r="D26" s="2">
        <v>0</v>
      </c>
      <c r="E26" s="2">
        <v>1.1519999999999999</v>
      </c>
      <c r="F26" s="2">
        <v>1</v>
      </c>
      <c r="H26" s="2">
        <v>8</v>
      </c>
      <c r="I26" s="2">
        <v>176</v>
      </c>
      <c r="J26" s="2">
        <v>7</v>
      </c>
      <c r="K26" s="2">
        <v>1</v>
      </c>
      <c r="L26" s="2">
        <v>1.1160000000000001</v>
      </c>
      <c r="O26" s="2">
        <f t="shared" ref="O26:V26" si="16">COUNTIF($J$1:$J$74,O$16)^2</f>
        <v>36</v>
      </c>
      <c r="P26" s="2">
        <f t="shared" si="16"/>
        <v>49</v>
      </c>
      <c r="Q26" s="2">
        <f t="shared" si="16"/>
        <v>49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8</v>
      </c>
      <c r="B27" s="2">
        <v>26</v>
      </c>
      <c r="C27" s="2">
        <v>5</v>
      </c>
      <c r="D27" s="2">
        <v>1</v>
      </c>
      <c r="E27" s="2">
        <v>1.141</v>
      </c>
      <c r="F27" s="2">
        <v>2</v>
      </c>
      <c r="H27" s="2">
        <v>8</v>
      </c>
      <c r="I27" s="2">
        <v>177</v>
      </c>
      <c r="J27" s="2">
        <v>8</v>
      </c>
      <c r="K27" s="2">
        <v>1</v>
      </c>
      <c r="L27" s="2">
        <v>0.38800000000000001</v>
      </c>
    </row>
    <row r="28" spans="1:22" ht="14.25" customHeight="1">
      <c r="A28" s="2">
        <v>8</v>
      </c>
      <c r="B28" s="2">
        <v>27</v>
      </c>
      <c r="C28" s="2">
        <v>6</v>
      </c>
      <c r="D28" s="2">
        <v>1</v>
      </c>
      <c r="E28" s="2">
        <v>0.996</v>
      </c>
      <c r="F28" s="2">
        <v>2</v>
      </c>
      <c r="H28" s="2">
        <v>8</v>
      </c>
      <c r="I28" s="2">
        <v>178</v>
      </c>
      <c r="J28" s="2">
        <v>3</v>
      </c>
      <c r="K28" s="2">
        <v>1</v>
      </c>
      <c r="L28" s="2">
        <v>0.73699999999999999</v>
      </c>
    </row>
    <row r="29" spans="1:22" ht="14.25" customHeight="1">
      <c r="A29" s="2">
        <v>8</v>
      </c>
      <c r="B29" s="2">
        <v>28</v>
      </c>
      <c r="C29" s="2">
        <v>2</v>
      </c>
      <c r="D29" s="2">
        <v>1</v>
      </c>
      <c r="E29" s="2">
        <v>0.84899999999999998</v>
      </c>
      <c r="F29" s="2">
        <v>1</v>
      </c>
      <c r="H29" s="2">
        <v>8</v>
      </c>
      <c r="I29" s="2">
        <v>179</v>
      </c>
      <c r="J29" s="2">
        <v>5</v>
      </c>
      <c r="K29" s="2">
        <v>1</v>
      </c>
      <c r="L29" s="2">
        <v>0.59199999999999997</v>
      </c>
    </row>
    <row r="30" spans="1:22" ht="14.25" customHeight="1">
      <c r="A30" s="2">
        <v>8</v>
      </c>
      <c r="B30" s="2">
        <v>29</v>
      </c>
      <c r="C30" s="2">
        <v>7</v>
      </c>
      <c r="D30" s="2">
        <v>1</v>
      </c>
      <c r="E30" s="2">
        <v>0.996</v>
      </c>
      <c r="F30" s="2">
        <v>1</v>
      </c>
      <c r="H30" s="2">
        <v>8</v>
      </c>
      <c r="I30" s="2">
        <v>180</v>
      </c>
      <c r="J30" s="2">
        <v>3</v>
      </c>
      <c r="K30" s="2">
        <v>1</v>
      </c>
      <c r="L30" s="2">
        <v>1.181</v>
      </c>
    </row>
    <row r="31" spans="1:22" ht="14.25" customHeight="1">
      <c r="A31" s="2">
        <v>8</v>
      </c>
      <c r="B31" s="2">
        <v>30</v>
      </c>
      <c r="C31" s="2">
        <v>4</v>
      </c>
      <c r="D31" s="2">
        <v>1</v>
      </c>
      <c r="E31" s="2">
        <v>1.0960000000000001</v>
      </c>
      <c r="F31" s="2">
        <v>1</v>
      </c>
      <c r="H31" s="2">
        <v>8</v>
      </c>
      <c r="I31" s="2">
        <v>181</v>
      </c>
      <c r="J31" s="2">
        <v>4</v>
      </c>
      <c r="K31" s="2">
        <v>1</v>
      </c>
      <c r="L31" s="2">
        <v>0.57099999999999995</v>
      </c>
      <c r="N31" s="2">
        <v>1</v>
      </c>
      <c r="O31" s="2">
        <f t="shared" ref="O31:O36" si="17">SUM(O17:V17)/(SUM($O$26:$V$26))</f>
        <v>1.2691082802547765E-2</v>
      </c>
    </row>
    <row r="32" spans="1:22" ht="14.25" customHeight="1">
      <c r="A32" s="2">
        <v>8</v>
      </c>
      <c r="B32" s="2">
        <v>31</v>
      </c>
      <c r="C32" s="2">
        <v>8</v>
      </c>
      <c r="D32" s="2">
        <v>0</v>
      </c>
      <c r="E32" s="2">
        <v>0.93700000000000006</v>
      </c>
      <c r="F32" s="2">
        <v>2</v>
      </c>
      <c r="H32" s="2">
        <v>8</v>
      </c>
      <c r="I32" s="2">
        <v>182</v>
      </c>
      <c r="J32" s="2">
        <v>5</v>
      </c>
      <c r="K32" s="2">
        <v>0</v>
      </c>
      <c r="L32" s="2">
        <v>1.321</v>
      </c>
      <c r="N32" s="2">
        <v>2</v>
      </c>
      <c r="O32" s="2">
        <f t="shared" si="17"/>
        <v>0.29358280254777069</v>
      </c>
    </row>
    <row r="33" spans="1:15" ht="14.25" customHeight="1">
      <c r="A33" s="2">
        <v>8</v>
      </c>
      <c r="B33" s="2">
        <v>32</v>
      </c>
      <c r="C33" s="2">
        <v>6</v>
      </c>
      <c r="D33" s="2">
        <v>1</v>
      </c>
      <c r="E33" s="2">
        <v>1.399</v>
      </c>
      <c r="F33" s="2">
        <v>2</v>
      </c>
      <c r="H33" s="2">
        <v>8</v>
      </c>
      <c r="I33" s="2">
        <v>183</v>
      </c>
      <c r="J33" s="2">
        <v>6</v>
      </c>
      <c r="K33" s="2">
        <v>1</v>
      </c>
      <c r="L33" s="2">
        <v>0.91200000000000003</v>
      </c>
      <c r="N33" s="2">
        <v>3</v>
      </c>
      <c r="O33" s="2">
        <f t="shared" si="17"/>
        <v>0.21906050955414008</v>
      </c>
    </row>
    <row r="34" spans="1:15" ht="14.25" customHeight="1">
      <c r="A34" s="2">
        <v>8</v>
      </c>
      <c r="B34" s="2">
        <v>33</v>
      </c>
      <c r="C34" s="2">
        <v>3</v>
      </c>
      <c r="D34" s="2">
        <v>0</v>
      </c>
      <c r="E34" s="2">
        <v>1.284</v>
      </c>
      <c r="F34" s="2">
        <v>1</v>
      </c>
      <c r="H34" s="2">
        <v>8</v>
      </c>
      <c r="I34" s="2">
        <v>184</v>
      </c>
      <c r="J34" s="2">
        <v>2</v>
      </c>
      <c r="K34" s="2">
        <v>1</v>
      </c>
      <c r="L34" s="2">
        <v>1.161</v>
      </c>
      <c r="N34" s="2">
        <v>4</v>
      </c>
      <c r="O34" s="2">
        <f t="shared" si="17"/>
        <v>0.14668789808917201</v>
      </c>
    </row>
    <row r="35" spans="1:15" ht="14.25" customHeight="1">
      <c r="A35" s="2">
        <v>8</v>
      </c>
      <c r="B35" s="2">
        <v>34</v>
      </c>
      <c r="C35" s="2">
        <v>5</v>
      </c>
      <c r="D35" s="2">
        <v>1</v>
      </c>
      <c r="E35" s="2">
        <v>1.3180000000000001</v>
      </c>
      <c r="F35" s="2">
        <v>2</v>
      </c>
      <c r="H35" s="2">
        <v>8</v>
      </c>
      <c r="I35" s="2">
        <v>185</v>
      </c>
      <c r="J35" s="2">
        <v>6</v>
      </c>
      <c r="K35" s="2">
        <v>1</v>
      </c>
      <c r="L35" s="2">
        <v>1.07</v>
      </c>
      <c r="N35" s="2">
        <v>5</v>
      </c>
      <c r="O35" s="2">
        <f t="shared" si="17"/>
        <v>7.4601910828025475E-2</v>
      </c>
    </row>
    <row r="36" spans="1:15" ht="14.25" customHeight="1">
      <c r="A36" s="2">
        <v>8</v>
      </c>
      <c r="B36" s="2">
        <v>35</v>
      </c>
      <c r="C36" s="2">
        <v>8</v>
      </c>
      <c r="D36" s="2">
        <v>1</v>
      </c>
      <c r="E36" s="2">
        <v>0.97299999999999998</v>
      </c>
      <c r="F36" s="2">
        <v>1</v>
      </c>
      <c r="H36" s="2">
        <v>8</v>
      </c>
      <c r="I36" s="2">
        <v>186</v>
      </c>
      <c r="J36" s="2">
        <v>3</v>
      </c>
      <c r="K36" s="2">
        <v>1</v>
      </c>
      <c r="L36" s="2">
        <v>0.59299999999999997</v>
      </c>
      <c r="N36" s="2">
        <v>6</v>
      </c>
      <c r="O36" s="2">
        <f t="shared" si="17"/>
        <v>0.20859872611464969</v>
      </c>
    </row>
    <row r="37" spans="1:15" ht="14.25" customHeight="1">
      <c r="A37" s="2">
        <v>8</v>
      </c>
      <c r="B37" s="2">
        <v>36</v>
      </c>
      <c r="C37" s="2">
        <v>3</v>
      </c>
      <c r="D37" s="2">
        <v>0</v>
      </c>
      <c r="E37" s="2">
        <v>1.2589999999999999</v>
      </c>
      <c r="F37" s="2">
        <v>1</v>
      </c>
      <c r="H37" s="2">
        <v>8</v>
      </c>
      <c r="I37" s="2">
        <v>187</v>
      </c>
      <c r="J37" s="2">
        <v>5</v>
      </c>
      <c r="K37" s="2">
        <v>1</v>
      </c>
      <c r="L37" s="2">
        <v>0.55000000000000004</v>
      </c>
    </row>
    <row r="38" spans="1:15" ht="14.25" customHeight="1">
      <c r="A38" s="2">
        <v>8</v>
      </c>
      <c r="B38" s="2">
        <v>37</v>
      </c>
      <c r="C38" s="2">
        <v>1</v>
      </c>
      <c r="D38" s="2">
        <v>1</v>
      </c>
      <c r="E38" s="2">
        <v>0.80500000000000005</v>
      </c>
      <c r="F38" s="2">
        <v>2</v>
      </c>
      <c r="H38" s="2">
        <v>8</v>
      </c>
      <c r="I38" s="2">
        <v>188</v>
      </c>
      <c r="J38" s="2">
        <v>2</v>
      </c>
      <c r="K38" s="2">
        <v>1</v>
      </c>
      <c r="L38" s="2">
        <v>0.98</v>
      </c>
    </row>
    <row r="39" spans="1:15" ht="14.25" customHeight="1">
      <c r="A39" s="2">
        <v>8</v>
      </c>
      <c r="B39" s="2">
        <v>38</v>
      </c>
      <c r="C39" s="2">
        <v>5</v>
      </c>
      <c r="D39" s="2">
        <v>1</v>
      </c>
      <c r="E39" s="2">
        <v>0.93700000000000006</v>
      </c>
      <c r="F39" s="2">
        <v>2</v>
      </c>
      <c r="H39" s="2">
        <v>8</v>
      </c>
      <c r="I39" s="2">
        <v>189</v>
      </c>
      <c r="J39" s="2">
        <v>6</v>
      </c>
      <c r="K39" s="2">
        <v>1</v>
      </c>
      <c r="L39" s="2">
        <v>0.83299999999999996</v>
      </c>
    </row>
    <row r="40" spans="1:15" ht="14.25" customHeight="1">
      <c r="A40" s="2">
        <v>8</v>
      </c>
      <c r="B40" s="2">
        <v>39</v>
      </c>
      <c r="C40" s="2">
        <v>1</v>
      </c>
      <c r="D40" s="2">
        <v>1</v>
      </c>
      <c r="E40" s="2">
        <v>0.44800000000000001</v>
      </c>
      <c r="F40" s="2">
        <v>2</v>
      </c>
      <c r="H40" s="2">
        <v>8</v>
      </c>
      <c r="I40" s="2">
        <v>190</v>
      </c>
      <c r="J40" s="2">
        <v>3</v>
      </c>
      <c r="K40" s="2">
        <v>1</v>
      </c>
      <c r="L40" s="2">
        <v>0.74099999999999999</v>
      </c>
    </row>
    <row r="41" spans="1:15" ht="14.25" customHeight="1">
      <c r="A41" s="2">
        <v>8</v>
      </c>
      <c r="B41" s="2">
        <v>40</v>
      </c>
      <c r="C41" s="2">
        <v>7</v>
      </c>
      <c r="D41" s="2">
        <v>1</v>
      </c>
      <c r="E41" s="2">
        <v>1.355</v>
      </c>
      <c r="F41" s="2">
        <v>1</v>
      </c>
      <c r="H41" s="2">
        <v>8</v>
      </c>
      <c r="I41" s="2">
        <v>191</v>
      </c>
      <c r="J41" s="2">
        <v>8</v>
      </c>
      <c r="K41" s="2">
        <v>1</v>
      </c>
      <c r="L41" s="2">
        <v>0.83499999999999996</v>
      </c>
    </row>
    <row r="42" spans="1:15" ht="14.25" customHeight="1">
      <c r="A42" s="2">
        <v>8</v>
      </c>
      <c r="B42" s="2">
        <v>41</v>
      </c>
      <c r="C42" s="2">
        <v>5</v>
      </c>
      <c r="D42" s="2">
        <v>0</v>
      </c>
      <c r="E42" s="2">
        <v>0.84899999999999998</v>
      </c>
      <c r="F42" s="2">
        <v>1</v>
      </c>
      <c r="H42" s="2">
        <v>8</v>
      </c>
      <c r="I42" s="2">
        <v>192</v>
      </c>
      <c r="J42" s="2">
        <v>2</v>
      </c>
      <c r="K42" s="2">
        <v>1</v>
      </c>
      <c r="L42" s="2">
        <v>0.77400000000000002</v>
      </c>
    </row>
    <row r="43" spans="1:15" ht="14.25" customHeight="1">
      <c r="A43" s="2">
        <v>8</v>
      </c>
      <c r="B43" s="2">
        <v>42</v>
      </c>
      <c r="C43" s="2">
        <v>3</v>
      </c>
      <c r="D43" s="2">
        <v>0</v>
      </c>
      <c r="E43" s="2">
        <v>1.163</v>
      </c>
      <c r="F43" s="2">
        <v>1</v>
      </c>
      <c r="H43" s="2">
        <v>8</v>
      </c>
      <c r="I43" s="2">
        <v>193</v>
      </c>
      <c r="J43" s="2">
        <v>7</v>
      </c>
      <c r="K43" s="2">
        <v>1</v>
      </c>
      <c r="L43" s="2">
        <v>0.69199999999999995</v>
      </c>
    </row>
    <row r="44" spans="1:15" ht="14.25" customHeight="1">
      <c r="A44" s="2">
        <v>8</v>
      </c>
      <c r="B44" s="2">
        <v>43</v>
      </c>
      <c r="C44" s="2">
        <v>7</v>
      </c>
      <c r="D44" s="2">
        <v>0</v>
      </c>
      <c r="E44" s="2">
        <v>1.202</v>
      </c>
      <c r="F44" s="2">
        <v>2</v>
      </c>
      <c r="H44" s="2">
        <v>8</v>
      </c>
      <c r="I44" s="2">
        <v>194</v>
      </c>
      <c r="J44" s="2">
        <v>4</v>
      </c>
      <c r="K44" s="2">
        <v>1</v>
      </c>
      <c r="L44" s="2">
        <v>0.61299999999999999</v>
      </c>
    </row>
    <row r="45" spans="1:15" ht="14.25" customHeight="1">
      <c r="A45" s="2">
        <v>8</v>
      </c>
      <c r="B45" s="2">
        <v>44</v>
      </c>
      <c r="C45" s="2">
        <v>1</v>
      </c>
      <c r="D45" s="2">
        <v>1</v>
      </c>
      <c r="E45" s="2">
        <v>1.022</v>
      </c>
      <c r="F45" s="2">
        <v>2</v>
      </c>
      <c r="H45" s="2">
        <v>8</v>
      </c>
      <c r="I45" s="2">
        <v>195</v>
      </c>
      <c r="J45" s="2">
        <v>3</v>
      </c>
      <c r="K45" s="2">
        <v>1</v>
      </c>
      <c r="L45" s="2">
        <v>0.69699999999999995</v>
      </c>
    </row>
    <row r="46" spans="1:15" ht="14.25" customHeight="1">
      <c r="A46" s="2">
        <v>8</v>
      </c>
      <c r="B46" s="2">
        <v>45</v>
      </c>
      <c r="C46" s="2">
        <v>2</v>
      </c>
      <c r="D46" s="2">
        <v>0</v>
      </c>
      <c r="E46" s="2">
        <v>0.65800000000000003</v>
      </c>
      <c r="F46" s="2">
        <v>2</v>
      </c>
      <c r="H46" s="2">
        <v>8</v>
      </c>
      <c r="I46" s="2">
        <v>196</v>
      </c>
      <c r="J46" s="2">
        <v>6</v>
      </c>
      <c r="K46" s="2">
        <v>1</v>
      </c>
      <c r="L46" s="2">
        <v>0.72899999999999998</v>
      </c>
    </row>
    <row r="47" spans="1:15" ht="14.25" customHeight="1">
      <c r="A47" s="2">
        <v>8</v>
      </c>
      <c r="B47" s="2">
        <v>46</v>
      </c>
      <c r="C47" s="2">
        <v>3</v>
      </c>
      <c r="D47" s="2">
        <v>0</v>
      </c>
      <c r="E47" s="2">
        <v>0.77100000000000002</v>
      </c>
      <c r="F47" s="2">
        <v>1</v>
      </c>
      <c r="H47" s="2">
        <v>8</v>
      </c>
      <c r="I47" s="2">
        <v>197</v>
      </c>
      <c r="J47" s="2">
        <v>1</v>
      </c>
      <c r="K47" s="2">
        <v>1</v>
      </c>
      <c r="L47" s="2">
        <v>0.753</v>
      </c>
    </row>
    <row r="48" spans="1:15" ht="14.25" customHeight="1">
      <c r="A48" s="2">
        <v>8</v>
      </c>
      <c r="B48" s="2">
        <v>47</v>
      </c>
      <c r="C48" s="2">
        <v>2</v>
      </c>
      <c r="D48" s="2">
        <v>0</v>
      </c>
      <c r="E48" s="2">
        <v>0.56899999999999995</v>
      </c>
      <c r="F48" s="2">
        <v>2</v>
      </c>
      <c r="H48" s="2">
        <v>8</v>
      </c>
      <c r="I48" s="2">
        <v>198</v>
      </c>
      <c r="J48" s="2">
        <v>7</v>
      </c>
      <c r="K48" s="2">
        <v>1</v>
      </c>
      <c r="L48" s="2">
        <v>0.93500000000000005</v>
      </c>
    </row>
    <row r="49" spans="1:12" ht="14.25" customHeight="1">
      <c r="A49" s="2">
        <v>8</v>
      </c>
      <c r="B49" s="2">
        <v>48</v>
      </c>
      <c r="C49" s="2">
        <v>4</v>
      </c>
      <c r="D49" s="2">
        <v>1</v>
      </c>
      <c r="E49" s="2">
        <v>0.439</v>
      </c>
      <c r="F49" s="2">
        <v>1</v>
      </c>
      <c r="H49" s="2">
        <v>8</v>
      </c>
      <c r="I49" s="2">
        <v>199</v>
      </c>
      <c r="J49" s="2">
        <v>3</v>
      </c>
      <c r="K49" s="2">
        <v>1</v>
      </c>
      <c r="L49" s="2">
        <v>0.73399999999999999</v>
      </c>
    </row>
    <row r="50" spans="1:12" ht="14.25" customHeight="1">
      <c r="A50" s="2">
        <v>8</v>
      </c>
      <c r="B50" s="2">
        <v>49</v>
      </c>
      <c r="C50" s="2">
        <v>2</v>
      </c>
      <c r="D50" s="2">
        <v>0</v>
      </c>
      <c r="E50" s="2">
        <v>0.56100000000000005</v>
      </c>
      <c r="F50" s="2">
        <v>2</v>
      </c>
      <c r="H50" s="2">
        <v>8</v>
      </c>
      <c r="I50" s="2">
        <v>200</v>
      </c>
      <c r="J50" s="2">
        <v>6</v>
      </c>
      <c r="K50" s="2">
        <v>1</v>
      </c>
      <c r="L50" s="2">
        <v>1.1339999999999999</v>
      </c>
    </row>
    <row r="51" spans="1:12" ht="14.25" customHeight="1">
      <c r="A51" s="2">
        <v>8</v>
      </c>
      <c r="B51" s="2">
        <v>50</v>
      </c>
      <c r="C51" s="2">
        <v>4</v>
      </c>
      <c r="D51" s="2">
        <v>0</v>
      </c>
      <c r="E51" s="2">
        <v>1.1120000000000001</v>
      </c>
      <c r="F51" s="2">
        <v>2</v>
      </c>
    </row>
    <row r="52" spans="1:12" ht="14.25" customHeight="1">
      <c r="A52" s="2">
        <v>8</v>
      </c>
      <c r="B52" s="2">
        <v>51</v>
      </c>
      <c r="C52" s="2">
        <v>1</v>
      </c>
      <c r="D52" s="2">
        <v>1</v>
      </c>
      <c r="E52" s="2">
        <v>0.73399999999999999</v>
      </c>
      <c r="F52" s="2">
        <v>1</v>
      </c>
    </row>
    <row r="53" spans="1:12" ht="14.25" customHeight="1">
      <c r="A53" s="2">
        <v>8</v>
      </c>
      <c r="B53" s="2">
        <v>52</v>
      </c>
      <c r="C53" s="2">
        <v>4</v>
      </c>
      <c r="D53" s="2">
        <v>1</v>
      </c>
      <c r="E53" s="2">
        <v>0.80500000000000005</v>
      </c>
      <c r="F53" s="2">
        <v>1</v>
      </c>
    </row>
    <row r="54" spans="1:12" ht="14.25" customHeight="1">
      <c r="A54" s="2">
        <v>8</v>
      </c>
      <c r="B54" s="2">
        <v>53</v>
      </c>
      <c r="C54" s="2">
        <v>8</v>
      </c>
      <c r="D54" s="2">
        <v>0</v>
      </c>
      <c r="E54" s="2">
        <v>0.96899999999999997</v>
      </c>
      <c r="F54" s="2">
        <v>2</v>
      </c>
    </row>
    <row r="55" spans="1:12" ht="14.25" customHeight="1">
      <c r="A55" s="2">
        <v>8</v>
      </c>
      <c r="B55" s="2">
        <v>54</v>
      </c>
      <c r="C55" s="2">
        <v>7</v>
      </c>
      <c r="D55" s="2">
        <v>1</v>
      </c>
      <c r="E55" s="2">
        <v>0.72699999999999998</v>
      </c>
      <c r="F55" s="2">
        <v>1</v>
      </c>
    </row>
    <row r="56" spans="1:12" ht="14.25" customHeight="1">
      <c r="A56" s="2">
        <v>8</v>
      </c>
      <c r="B56" s="2">
        <v>55</v>
      </c>
      <c r="C56" s="2">
        <v>1</v>
      </c>
      <c r="D56" s="2">
        <v>1</v>
      </c>
      <c r="E56" s="2">
        <v>0.63100000000000001</v>
      </c>
      <c r="F56" s="2">
        <v>2</v>
      </c>
    </row>
    <row r="57" spans="1:12" ht="14.25" customHeight="1">
      <c r="A57" s="2">
        <v>8</v>
      </c>
      <c r="B57" s="2">
        <v>56</v>
      </c>
      <c r="C57" s="2">
        <v>7</v>
      </c>
      <c r="D57" s="2">
        <v>1</v>
      </c>
      <c r="E57" s="2">
        <v>1.4179999999999999</v>
      </c>
      <c r="F57" s="2">
        <v>2</v>
      </c>
    </row>
    <row r="58" spans="1:12" ht="14.25" customHeight="1">
      <c r="A58" s="2">
        <v>8</v>
      </c>
      <c r="B58" s="2">
        <v>57</v>
      </c>
      <c r="C58" s="2">
        <v>3</v>
      </c>
      <c r="D58" s="2">
        <v>0</v>
      </c>
      <c r="E58" s="2">
        <v>0.80600000000000005</v>
      </c>
      <c r="F58" s="2">
        <v>2</v>
      </c>
    </row>
    <row r="59" spans="1:12" ht="14.25" customHeight="1">
      <c r="A59" s="2">
        <v>8</v>
      </c>
      <c r="B59" s="2">
        <v>58</v>
      </c>
      <c r="C59" s="2">
        <v>2</v>
      </c>
      <c r="D59" s="2">
        <v>1</v>
      </c>
      <c r="E59" s="2">
        <v>0.99399999999999999</v>
      </c>
      <c r="F59" s="2">
        <v>2</v>
      </c>
    </row>
    <row r="60" spans="1:12" ht="14.25" customHeight="1">
      <c r="A60" s="2">
        <v>8</v>
      </c>
      <c r="B60" s="2">
        <v>59</v>
      </c>
      <c r="C60" s="2">
        <v>8</v>
      </c>
      <c r="D60" s="2">
        <v>0</v>
      </c>
      <c r="E60" s="2">
        <v>0.75800000000000001</v>
      </c>
      <c r="F60" s="2">
        <v>1</v>
      </c>
    </row>
    <row r="61" spans="1:12" ht="14.25" customHeight="1">
      <c r="A61" s="2">
        <v>8</v>
      </c>
      <c r="B61" s="2">
        <v>60</v>
      </c>
      <c r="C61" s="2">
        <v>3</v>
      </c>
      <c r="D61" s="2">
        <v>1</v>
      </c>
      <c r="E61" s="2">
        <v>1.109</v>
      </c>
      <c r="F61" s="2">
        <v>1</v>
      </c>
    </row>
    <row r="62" spans="1:12" ht="14.25" customHeight="1">
      <c r="A62" s="2">
        <v>8</v>
      </c>
      <c r="B62" s="2">
        <v>61</v>
      </c>
      <c r="C62" s="2">
        <v>7</v>
      </c>
      <c r="D62" s="2">
        <v>1</v>
      </c>
      <c r="E62" s="2">
        <v>0.78</v>
      </c>
      <c r="F62" s="2">
        <v>2</v>
      </c>
    </row>
    <row r="63" spans="1:12" ht="14.25" customHeight="1">
      <c r="A63" s="2">
        <v>8</v>
      </c>
      <c r="B63" s="2">
        <v>62</v>
      </c>
      <c r="C63" s="2">
        <v>2</v>
      </c>
      <c r="D63" s="2">
        <v>0</v>
      </c>
      <c r="E63" s="2">
        <v>1.0900000000000001</v>
      </c>
      <c r="F63" s="2">
        <v>2</v>
      </c>
    </row>
    <row r="64" spans="1:12" ht="14.25" customHeight="1">
      <c r="A64" s="2">
        <v>8</v>
      </c>
      <c r="B64" s="2">
        <v>63</v>
      </c>
      <c r="C64" s="2">
        <v>3</v>
      </c>
      <c r="D64" s="2">
        <v>1</v>
      </c>
      <c r="E64" s="2">
        <v>0.45</v>
      </c>
      <c r="F64" s="2">
        <v>2</v>
      </c>
    </row>
    <row r="65" spans="1:6" ht="14.25" customHeight="1">
      <c r="A65" s="2">
        <v>8</v>
      </c>
      <c r="B65" s="2">
        <v>64</v>
      </c>
      <c r="C65" s="2">
        <v>2</v>
      </c>
      <c r="D65" s="2">
        <v>0</v>
      </c>
      <c r="E65" s="2">
        <v>0.26900000000000002</v>
      </c>
      <c r="F65" s="2">
        <v>1</v>
      </c>
    </row>
    <row r="66" spans="1:6" ht="14.25" customHeight="1">
      <c r="A66" s="2">
        <v>8</v>
      </c>
      <c r="B66" s="2">
        <v>65</v>
      </c>
      <c r="C66" s="2">
        <v>1</v>
      </c>
      <c r="D66" s="2">
        <v>0</v>
      </c>
      <c r="E66" s="2">
        <v>0.32600000000000001</v>
      </c>
      <c r="F66" s="2">
        <v>2</v>
      </c>
    </row>
    <row r="67" spans="1:6" ht="14.25" customHeight="1">
      <c r="A67" s="2">
        <v>8</v>
      </c>
      <c r="B67" s="2">
        <v>66</v>
      </c>
      <c r="C67" s="2">
        <v>5</v>
      </c>
      <c r="D67" s="2">
        <v>0</v>
      </c>
      <c r="E67" s="2">
        <v>0.79700000000000004</v>
      </c>
      <c r="F67" s="2">
        <v>1</v>
      </c>
    </row>
    <row r="68" spans="1:6" ht="14.25" customHeight="1">
      <c r="A68" s="2">
        <v>8</v>
      </c>
      <c r="B68" s="2">
        <v>67</v>
      </c>
      <c r="C68" s="2">
        <v>7</v>
      </c>
      <c r="D68" s="2">
        <v>1</v>
      </c>
      <c r="E68" s="2">
        <v>1.282</v>
      </c>
      <c r="F68" s="2">
        <v>2</v>
      </c>
    </row>
    <row r="69" spans="1:6" ht="14.25" customHeight="1">
      <c r="A69" s="2">
        <v>8</v>
      </c>
      <c r="B69" s="2">
        <v>68</v>
      </c>
      <c r="C69" s="2">
        <v>5</v>
      </c>
      <c r="D69" s="2">
        <v>1</v>
      </c>
      <c r="E69" s="2">
        <v>0.77200000000000002</v>
      </c>
      <c r="F69" s="2">
        <v>1</v>
      </c>
    </row>
    <row r="70" spans="1:6" ht="14.25" customHeight="1">
      <c r="A70" s="2">
        <v>8</v>
      </c>
      <c r="B70" s="2">
        <v>69</v>
      </c>
      <c r="C70" s="2">
        <v>2</v>
      </c>
      <c r="D70" s="2">
        <v>0</v>
      </c>
      <c r="E70" s="2">
        <v>0.88900000000000001</v>
      </c>
      <c r="F70" s="2">
        <v>1</v>
      </c>
    </row>
    <row r="71" spans="1:6" ht="14.25" customHeight="1">
      <c r="A71" s="2">
        <v>8</v>
      </c>
      <c r="B71" s="2">
        <v>70</v>
      </c>
      <c r="C71" s="2">
        <v>6</v>
      </c>
      <c r="D71" s="2">
        <v>1</v>
      </c>
      <c r="E71" s="2">
        <v>0.80200000000000005</v>
      </c>
      <c r="F71" s="2">
        <v>1</v>
      </c>
    </row>
    <row r="72" spans="1:6" ht="14.25" customHeight="1">
      <c r="A72" s="2">
        <v>8</v>
      </c>
      <c r="B72" s="2">
        <v>71</v>
      </c>
      <c r="C72" s="2">
        <v>5</v>
      </c>
      <c r="D72" s="2">
        <v>1</v>
      </c>
      <c r="E72" s="2">
        <v>0.91</v>
      </c>
      <c r="F72" s="2">
        <v>2</v>
      </c>
    </row>
    <row r="73" spans="1:6" ht="14.25" customHeight="1">
      <c r="A73" s="2">
        <v>8</v>
      </c>
      <c r="B73" s="2">
        <v>72</v>
      </c>
      <c r="C73" s="2">
        <v>4</v>
      </c>
      <c r="D73" s="2">
        <v>1</v>
      </c>
      <c r="E73" s="2">
        <v>0.60599999999999998</v>
      </c>
      <c r="F73" s="2">
        <v>1</v>
      </c>
    </row>
    <row r="74" spans="1:6" ht="14.25" customHeight="1">
      <c r="A74" s="2">
        <v>8</v>
      </c>
      <c r="B74" s="2">
        <v>73</v>
      </c>
      <c r="C74" s="2">
        <v>1</v>
      </c>
      <c r="D74" s="2">
        <v>1</v>
      </c>
      <c r="E74" s="2">
        <v>0.95399999999999996</v>
      </c>
      <c r="F74" s="2">
        <v>1</v>
      </c>
    </row>
    <row r="75" spans="1:6" ht="14.25" customHeight="1">
      <c r="A75" s="2">
        <v>8</v>
      </c>
      <c r="B75" s="2">
        <v>74</v>
      </c>
      <c r="C75" s="2">
        <v>2</v>
      </c>
      <c r="D75" s="2">
        <v>0</v>
      </c>
      <c r="E75" s="2">
        <v>1.08</v>
      </c>
      <c r="F75" s="2">
        <v>2</v>
      </c>
    </row>
    <row r="76" spans="1:6" ht="14.25" customHeight="1">
      <c r="A76" s="2">
        <v>8</v>
      </c>
      <c r="B76" s="2">
        <v>75</v>
      </c>
      <c r="C76" s="2">
        <v>6</v>
      </c>
      <c r="D76" s="2">
        <v>1</v>
      </c>
      <c r="E76" s="2">
        <v>1.355</v>
      </c>
      <c r="F76" s="2">
        <v>2</v>
      </c>
    </row>
    <row r="77" spans="1:6" ht="14.25" customHeight="1">
      <c r="A77" s="2">
        <v>8</v>
      </c>
      <c r="B77" s="2">
        <v>76</v>
      </c>
      <c r="C77" s="2">
        <v>5</v>
      </c>
      <c r="D77" s="2">
        <v>0</v>
      </c>
      <c r="E77" s="2">
        <v>1.0640000000000001</v>
      </c>
      <c r="F77" s="2">
        <v>1</v>
      </c>
    </row>
    <row r="78" spans="1:6" ht="14.25" customHeight="1">
      <c r="A78" s="2">
        <v>8</v>
      </c>
      <c r="B78" s="2">
        <v>77</v>
      </c>
      <c r="C78" s="2">
        <v>2</v>
      </c>
      <c r="D78" s="2">
        <v>1</v>
      </c>
      <c r="E78" s="2">
        <v>0.85</v>
      </c>
      <c r="F78" s="2">
        <v>2</v>
      </c>
    </row>
    <row r="79" spans="1:6" ht="14.25" customHeight="1">
      <c r="A79" s="2">
        <v>8</v>
      </c>
      <c r="B79" s="2">
        <v>78</v>
      </c>
      <c r="C79" s="2">
        <v>1</v>
      </c>
      <c r="D79" s="2">
        <v>1</v>
      </c>
      <c r="E79" s="2">
        <v>1.077</v>
      </c>
      <c r="F79" s="2">
        <v>1</v>
      </c>
    </row>
    <row r="80" spans="1:6" ht="14.25" customHeight="1">
      <c r="A80" s="2">
        <v>8</v>
      </c>
      <c r="B80" s="2">
        <v>79</v>
      </c>
      <c r="C80" s="2">
        <v>6</v>
      </c>
      <c r="D80" s="2">
        <v>1</v>
      </c>
      <c r="E80" s="2">
        <v>0.79800000000000004</v>
      </c>
      <c r="F80" s="2">
        <v>1</v>
      </c>
    </row>
    <row r="81" spans="1:6" ht="14.25" customHeight="1">
      <c r="A81" s="2">
        <v>8</v>
      </c>
      <c r="B81" s="2">
        <v>80</v>
      </c>
      <c r="C81" s="2">
        <v>8</v>
      </c>
      <c r="D81" s="2">
        <v>0</v>
      </c>
      <c r="E81" s="2">
        <v>0.77900000000000003</v>
      </c>
      <c r="F81" s="2">
        <v>2</v>
      </c>
    </row>
    <row r="82" spans="1:6" ht="14.25" customHeight="1">
      <c r="A82" s="2">
        <v>8</v>
      </c>
      <c r="B82" s="2">
        <v>81</v>
      </c>
      <c r="C82" s="2">
        <v>7</v>
      </c>
      <c r="D82" s="2">
        <v>1</v>
      </c>
      <c r="E82" s="2">
        <v>0.72799999999999998</v>
      </c>
      <c r="F82" s="2">
        <v>1</v>
      </c>
    </row>
    <row r="83" spans="1:6" ht="14.25" customHeight="1">
      <c r="A83" s="2">
        <v>8</v>
      </c>
      <c r="B83" s="2">
        <v>82</v>
      </c>
      <c r="C83" s="2">
        <v>8</v>
      </c>
      <c r="D83" s="2">
        <v>1</v>
      </c>
      <c r="E83" s="2">
        <v>1.008</v>
      </c>
      <c r="F83" s="2">
        <v>2</v>
      </c>
    </row>
    <row r="84" spans="1:6" ht="14.25" customHeight="1">
      <c r="A84" s="2">
        <v>8</v>
      </c>
      <c r="B84" s="2">
        <v>83</v>
      </c>
      <c r="C84" s="2">
        <v>3</v>
      </c>
      <c r="D84" s="2">
        <v>0</v>
      </c>
      <c r="E84" s="2">
        <v>1.3480000000000001</v>
      </c>
      <c r="F84" s="2">
        <v>1</v>
      </c>
    </row>
    <row r="85" spans="1:6" ht="14.25" customHeight="1">
      <c r="A85" s="2">
        <v>8</v>
      </c>
      <c r="B85" s="2">
        <v>84</v>
      </c>
      <c r="C85" s="2">
        <v>6</v>
      </c>
      <c r="D85" s="2">
        <v>1</v>
      </c>
      <c r="E85" s="2">
        <v>1.49</v>
      </c>
      <c r="F85" s="2">
        <v>2</v>
      </c>
    </row>
    <row r="86" spans="1:6" ht="14.25" customHeight="1">
      <c r="A86" s="2">
        <v>8</v>
      </c>
      <c r="B86" s="2">
        <v>85</v>
      </c>
      <c r="C86" s="2">
        <v>2</v>
      </c>
      <c r="D86" s="2">
        <v>1</v>
      </c>
      <c r="E86" s="2">
        <v>0.85899999999999999</v>
      </c>
      <c r="F86" s="2">
        <v>1</v>
      </c>
    </row>
    <row r="87" spans="1:6" ht="14.25" customHeight="1">
      <c r="A87" s="2">
        <v>8</v>
      </c>
      <c r="B87" s="2">
        <v>86</v>
      </c>
      <c r="C87" s="2">
        <v>6</v>
      </c>
      <c r="D87" s="2">
        <v>1</v>
      </c>
      <c r="E87" s="2">
        <v>1.149</v>
      </c>
      <c r="F87" s="2">
        <v>2</v>
      </c>
    </row>
    <row r="88" spans="1:6" ht="14.25" customHeight="1">
      <c r="A88" s="2">
        <v>8</v>
      </c>
      <c r="B88" s="2">
        <v>87</v>
      </c>
      <c r="C88" s="2">
        <v>7</v>
      </c>
      <c r="D88" s="2">
        <v>1</v>
      </c>
      <c r="E88" s="2">
        <v>0.76400000000000001</v>
      </c>
      <c r="F88" s="2">
        <v>2</v>
      </c>
    </row>
    <row r="89" spans="1:6" ht="14.25" customHeight="1">
      <c r="A89" s="2">
        <v>8</v>
      </c>
      <c r="B89" s="2">
        <v>88</v>
      </c>
      <c r="C89" s="2">
        <v>8</v>
      </c>
      <c r="D89" s="2">
        <v>1</v>
      </c>
      <c r="E89" s="2">
        <v>0.68100000000000005</v>
      </c>
      <c r="F89" s="2">
        <v>2</v>
      </c>
    </row>
    <row r="90" spans="1:6" ht="14.25" customHeight="1">
      <c r="A90" s="2">
        <v>8</v>
      </c>
      <c r="B90" s="2">
        <v>89</v>
      </c>
      <c r="C90" s="2">
        <v>4</v>
      </c>
      <c r="D90" s="2">
        <v>0</v>
      </c>
      <c r="E90" s="2">
        <v>0.73799999999999999</v>
      </c>
      <c r="F90" s="2">
        <v>1</v>
      </c>
    </row>
    <row r="91" spans="1:6" ht="14.25" customHeight="1">
      <c r="A91" s="2">
        <v>8</v>
      </c>
      <c r="B91" s="2">
        <v>90</v>
      </c>
      <c r="C91" s="2">
        <v>5</v>
      </c>
      <c r="D91" s="2">
        <v>1</v>
      </c>
      <c r="E91" s="2">
        <v>0.69</v>
      </c>
      <c r="F91" s="2">
        <v>1</v>
      </c>
    </row>
    <row r="92" spans="1:6" ht="14.25" customHeight="1">
      <c r="A92" s="2">
        <v>8</v>
      </c>
      <c r="B92" s="2">
        <v>91</v>
      </c>
      <c r="C92" s="2">
        <v>3</v>
      </c>
      <c r="D92" s="2">
        <v>1</v>
      </c>
      <c r="E92" s="2">
        <v>0.98599999999999999</v>
      </c>
      <c r="F92" s="2">
        <v>2</v>
      </c>
    </row>
    <row r="93" spans="1:6" ht="14.25" customHeight="1">
      <c r="A93" s="2">
        <v>8</v>
      </c>
      <c r="B93" s="2">
        <v>92</v>
      </c>
      <c r="C93" s="2">
        <v>4</v>
      </c>
      <c r="D93" s="2">
        <v>1</v>
      </c>
      <c r="E93" s="2">
        <v>0.96699999999999997</v>
      </c>
      <c r="F93" s="2">
        <v>2</v>
      </c>
    </row>
    <row r="94" spans="1:6" ht="14.25" customHeight="1">
      <c r="A94" s="2">
        <v>8</v>
      </c>
      <c r="B94" s="2">
        <v>93</v>
      </c>
      <c r="C94" s="2">
        <v>8</v>
      </c>
      <c r="D94" s="2">
        <v>1</v>
      </c>
      <c r="E94" s="2">
        <v>0.997</v>
      </c>
      <c r="F94" s="2">
        <v>1</v>
      </c>
    </row>
    <row r="95" spans="1:6" ht="14.25" customHeight="1">
      <c r="A95" s="2">
        <v>8</v>
      </c>
      <c r="B95" s="2">
        <v>94</v>
      </c>
      <c r="C95" s="2">
        <v>4</v>
      </c>
      <c r="D95" s="2">
        <v>1</v>
      </c>
      <c r="E95" s="2">
        <v>0.746</v>
      </c>
      <c r="F95" s="2">
        <v>2</v>
      </c>
    </row>
    <row r="96" spans="1:6" ht="14.25" customHeight="1">
      <c r="A96" s="2">
        <v>8</v>
      </c>
      <c r="B96" s="2">
        <v>95</v>
      </c>
      <c r="C96" s="2">
        <v>3</v>
      </c>
      <c r="D96" s="2">
        <v>1</v>
      </c>
      <c r="E96" s="2">
        <v>0.71299999999999997</v>
      </c>
      <c r="F96" s="2">
        <v>1</v>
      </c>
    </row>
    <row r="97" spans="1:6" ht="14.25" customHeight="1">
      <c r="A97" s="2">
        <v>8</v>
      </c>
      <c r="B97" s="2">
        <v>96</v>
      </c>
      <c r="C97" s="2">
        <v>5</v>
      </c>
      <c r="D97" s="2">
        <v>1</v>
      </c>
      <c r="E97" s="2">
        <v>0.80900000000000005</v>
      </c>
      <c r="F97" s="2">
        <v>2</v>
      </c>
    </row>
    <row r="98" spans="1:6" ht="14.25" customHeight="1">
      <c r="A98" s="2">
        <v>8</v>
      </c>
      <c r="B98" s="2">
        <v>97</v>
      </c>
      <c r="C98" s="2">
        <v>3</v>
      </c>
      <c r="D98" s="2">
        <v>1</v>
      </c>
      <c r="E98" s="2">
        <v>1.421</v>
      </c>
      <c r="F98" s="2">
        <v>1</v>
      </c>
    </row>
    <row r="99" spans="1:6" ht="14.25" customHeight="1">
      <c r="A99" s="2">
        <v>8</v>
      </c>
      <c r="B99" s="2">
        <v>98</v>
      </c>
      <c r="C99" s="2">
        <v>1</v>
      </c>
      <c r="D99" s="2">
        <v>1</v>
      </c>
      <c r="E99" s="2">
        <v>1.032</v>
      </c>
      <c r="F99" s="2">
        <v>1</v>
      </c>
    </row>
    <row r="100" spans="1:6" ht="14.25" customHeight="1">
      <c r="A100" s="2">
        <v>8</v>
      </c>
      <c r="B100" s="2">
        <v>99</v>
      </c>
      <c r="C100" s="2">
        <v>4</v>
      </c>
      <c r="D100" s="2">
        <v>0</v>
      </c>
      <c r="E100" s="2">
        <v>0.57099999999999995</v>
      </c>
      <c r="F100" s="2">
        <v>2</v>
      </c>
    </row>
    <row r="101" spans="1:6" ht="14.25" customHeight="1">
      <c r="A101" s="2">
        <v>8</v>
      </c>
      <c r="B101" s="2">
        <v>100</v>
      </c>
      <c r="C101" s="2">
        <v>6</v>
      </c>
      <c r="D101" s="2">
        <v>1</v>
      </c>
      <c r="E101" s="2">
        <v>0.96099999999999997</v>
      </c>
      <c r="F101" s="2">
        <v>1</v>
      </c>
    </row>
    <row r="102" spans="1:6" ht="14.25" customHeight="1">
      <c r="A102" s="2">
        <v>8</v>
      </c>
      <c r="B102" s="2">
        <v>101</v>
      </c>
      <c r="C102" s="2">
        <v>1</v>
      </c>
      <c r="D102" s="2">
        <v>1</v>
      </c>
      <c r="E102" s="2">
        <v>1.0940000000000001</v>
      </c>
      <c r="F102" s="2">
        <v>1</v>
      </c>
    </row>
    <row r="103" spans="1:6" ht="14.25" customHeight="1">
      <c r="A103" s="2">
        <v>8</v>
      </c>
      <c r="B103" s="2">
        <v>102</v>
      </c>
      <c r="C103" s="2">
        <v>5</v>
      </c>
      <c r="D103" s="2">
        <v>1</v>
      </c>
      <c r="E103" s="2">
        <v>0.81399999999999995</v>
      </c>
      <c r="F103" s="2">
        <v>1</v>
      </c>
    </row>
    <row r="104" spans="1:6" ht="14.25" customHeight="1">
      <c r="A104" s="2">
        <v>8</v>
      </c>
      <c r="B104" s="2">
        <v>103</v>
      </c>
      <c r="C104" s="2">
        <v>4</v>
      </c>
      <c r="D104" s="2">
        <v>1</v>
      </c>
      <c r="E104" s="2">
        <v>0.96199999999999997</v>
      </c>
      <c r="F104" s="2">
        <v>1</v>
      </c>
    </row>
    <row r="105" spans="1:6" ht="14.25" customHeight="1">
      <c r="A105" s="2">
        <v>8</v>
      </c>
      <c r="B105" s="2">
        <v>104</v>
      </c>
      <c r="C105" s="2">
        <v>2</v>
      </c>
      <c r="D105" s="2">
        <v>1</v>
      </c>
      <c r="E105" s="2">
        <v>0.91200000000000003</v>
      </c>
      <c r="F105" s="2">
        <v>1</v>
      </c>
    </row>
    <row r="106" spans="1:6" ht="14.25" customHeight="1">
      <c r="A106" s="2">
        <v>8</v>
      </c>
      <c r="B106" s="2">
        <v>105</v>
      </c>
      <c r="C106" s="2">
        <v>1</v>
      </c>
      <c r="D106" s="2">
        <v>1</v>
      </c>
      <c r="E106" s="2">
        <v>0.80800000000000005</v>
      </c>
      <c r="F106" s="2">
        <v>2</v>
      </c>
    </row>
    <row r="107" spans="1:6" ht="14.25" customHeight="1">
      <c r="A107" s="2">
        <v>8</v>
      </c>
      <c r="B107" s="2">
        <v>106</v>
      </c>
      <c r="C107" s="2">
        <v>8</v>
      </c>
      <c r="D107" s="2">
        <v>1</v>
      </c>
      <c r="E107" s="2">
        <v>0.83599999999999997</v>
      </c>
      <c r="F107" s="2">
        <v>2</v>
      </c>
    </row>
    <row r="108" spans="1:6" ht="14.25" customHeight="1">
      <c r="A108" s="2">
        <v>8</v>
      </c>
      <c r="B108" s="2">
        <v>107</v>
      </c>
      <c r="C108" s="2">
        <v>5</v>
      </c>
      <c r="D108" s="2">
        <v>1</v>
      </c>
      <c r="E108" s="2">
        <v>1.095</v>
      </c>
      <c r="F108" s="2">
        <v>1</v>
      </c>
    </row>
    <row r="109" spans="1:6" ht="14.25" customHeight="1">
      <c r="A109" s="2">
        <v>8</v>
      </c>
      <c r="B109" s="2">
        <v>108</v>
      </c>
      <c r="C109" s="2">
        <v>3</v>
      </c>
      <c r="D109" s="2">
        <v>0</v>
      </c>
      <c r="E109" s="2">
        <v>1.1910000000000001</v>
      </c>
      <c r="F109" s="2">
        <v>1</v>
      </c>
    </row>
    <row r="110" spans="1:6" ht="14.25" customHeight="1">
      <c r="A110" s="2">
        <v>8</v>
      </c>
      <c r="B110" s="2">
        <v>109</v>
      </c>
      <c r="C110" s="2">
        <v>5</v>
      </c>
      <c r="D110" s="2">
        <v>1</v>
      </c>
      <c r="E110" s="2">
        <v>0.83699999999999997</v>
      </c>
      <c r="F110" s="2">
        <v>2</v>
      </c>
    </row>
    <row r="111" spans="1:6" ht="14.25" customHeight="1">
      <c r="A111" s="2">
        <v>8</v>
      </c>
      <c r="B111" s="2">
        <v>110</v>
      </c>
      <c r="C111" s="2">
        <v>6</v>
      </c>
      <c r="D111" s="2">
        <v>1</v>
      </c>
      <c r="E111" s="2">
        <v>0.88700000000000001</v>
      </c>
      <c r="F111" s="2">
        <v>1</v>
      </c>
    </row>
    <row r="112" spans="1:6" ht="14.25" customHeight="1">
      <c r="A112" s="2">
        <v>8</v>
      </c>
      <c r="B112" s="2">
        <v>111</v>
      </c>
      <c r="C112" s="2">
        <v>3</v>
      </c>
      <c r="D112" s="2">
        <v>1</v>
      </c>
      <c r="E112" s="2">
        <v>0.83099999999999996</v>
      </c>
      <c r="F112" s="2">
        <v>2</v>
      </c>
    </row>
    <row r="113" spans="1:6" ht="14.25" customHeight="1">
      <c r="A113" s="2">
        <v>8</v>
      </c>
      <c r="B113" s="2">
        <v>112</v>
      </c>
      <c r="C113" s="2">
        <v>6</v>
      </c>
      <c r="D113" s="2">
        <v>1</v>
      </c>
      <c r="E113" s="2">
        <v>0.81100000000000005</v>
      </c>
      <c r="F113" s="2">
        <v>1</v>
      </c>
    </row>
    <row r="114" spans="1:6" ht="14.25" customHeight="1">
      <c r="A114" s="2">
        <v>8</v>
      </c>
      <c r="B114" s="2">
        <v>113</v>
      </c>
      <c r="C114" s="2">
        <v>7</v>
      </c>
      <c r="D114" s="2">
        <v>1</v>
      </c>
      <c r="E114" s="2">
        <v>0.67900000000000005</v>
      </c>
      <c r="F114" s="2">
        <v>2</v>
      </c>
    </row>
    <row r="115" spans="1:6" ht="14.25" customHeight="1">
      <c r="A115" s="2">
        <v>8</v>
      </c>
      <c r="B115" s="2">
        <v>114</v>
      </c>
      <c r="C115" s="2">
        <v>2</v>
      </c>
      <c r="D115" s="2">
        <v>1</v>
      </c>
      <c r="E115" s="2">
        <v>0.95299999999999996</v>
      </c>
      <c r="F115" s="2">
        <v>2</v>
      </c>
    </row>
    <row r="116" spans="1:6" ht="14.25" customHeight="1">
      <c r="A116" s="2">
        <v>8</v>
      </c>
      <c r="B116" s="2">
        <v>115</v>
      </c>
      <c r="C116" s="2">
        <v>6</v>
      </c>
      <c r="D116" s="2">
        <v>1</v>
      </c>
      <c r="E116" s="2">
        <v>0.99</v>
      </c>
      <c r="F116" s="2">
        <v>1</v>
      </c>
    </row>
    <row r="117" spans="1:6" ht="14.25" customHeight="1">
      <c r="A117" s="2">
        <v>8</v>
      </c>
      <c r="B117" s="2">
        <v>116</v>
      </c>
      <c r="C117" s="2">
        <v>4</v>
      </c>
      <c r="D117" s="2">
        <v>1</v>
      </c>
      <c r="E117" s="2">
        <v>0.57199999999999995</v>
      </c>
      <c r="F117" s="2">
        <v>2</v>
      </c>
    </row>
    <row r="118" spans="1:6" ht="14.25" customHeight="1">
      <c r="A118" s="2">
        <v>8</v>
      </c>
      <c r="B118" s="2">
        <v>117</v>
      </c>
      <c r="C118" s="2">
        <v>7</v>
      </c>
      <c r="D118" s="2">
        <v>1</v>
      </c>
      <c r="E118" s="2">
        <v>1.073</v>
      </c>
      <c r="F118" s="2">
        <v>2</v>
      </c>
    </row>
    <row r="119" spans="1:6" ht="14.25" customHeight="1">
      <c r="A119" s="2">
        <v>8</v>
      </c>
      <c r="B119" s="2">
        <v>118</v>
      </c>
      <c r="C119" s="2">
        <v>3</v>
      </c>
      <c r="D119" s="2">
        <v>1</v>
      </c>
      <c r="E119" s="2">
        <v>1.266</v>
      </c>
      <c r="F119" s="2">
        <v>1</v>
      </c>
    </row>
    <row r="120" spans="1:6" ht="14.25" customHeight="1">
      <c r="A120" s="2">
        <v>8</v>
      </c>
      <c r="B120" s="2">
        <v>119</v>
      </c>
      <c r="C120" s="2">
        <v>8</v>
      </c>
      <c r="D120" s="2">
        <v>1</v>
      </c>
      <c r="E120" s="2">
        <v>0.94899999999999995</v>
      </c>
      <c r="F120" s="2">
        <v>2</v>
      </c>
    </row>
    <row r="121" spans="1:6" ht="14.25" customHeight="1">
      <c r="A121" s="2">
        <v>8</v>
      </c>
      <c r="B121" s="2">
        <v>120</v>
      </c>
      <c r="C121" s="2">
        <v>7</v>
      </c>
      <c r="D121" s="2">
        <v>1</v>
      </c>
      <c r="E121" s="2">
        <v>0.89200000000000002</v>
      </c>
      <c r="F121" s="2">
        <v>1</v>
      </c>
    </row>
    <row r="122" spans="1:6" ht="14.25" customHeight="1">
      <c r="A122" s="2">
        <v>8</v>
      </c>
      <c r="B122" s="2">
        <v>121</v>
      </c>
      <c r="C122" s="2">
        <v>3</v>
      </c>
      <c r="D122" s="2">
        <v>1</v>
      </c>
      <c r="E122" s="2">
        <v>0.81200000000000006</v>
      </c>
      <c r="F122" s="2">
        <v>2</v>
      </c>
    </row>
    <row r="123" spans="1:6" ht="14.25" customHeight="1">
      <c r="A123" s="2">
        <v>8</v>
      </c>
      <c r="B123" s="2">
        <v>122</v>
      </c>
      <c r="C123" s="2">
        <v>5</v>
      </c>
      <c r="D123" s="2">
        <v>1</v>
      </c>
      <c r="E123" s="2">
        <v>0.66400000000000003</v>
      </c>
      <c r="F123" s="2">
        <v>1</v>
      </c>
    </row>
    <row r="124" spans="1:6" ht="14.25" customHeight="1">
      <c r="A124" s="2">
        <v>8</v>
      </c>
      <c r="B124" s="2">
        <v>123</v>
      </c>
      <c r="C124" s="2">
        <v>1</v>
      </c>
      <c r="D124" s="2">
        <v>1</v>
      </c>
      <c r="E124" s="2">
        <v>1.1060000000000001</v>
      </c>
      <c r="F124" s="2">
        <v>1</v>
      </c>
    </row>
    <row r="125" spans="1:6" ht="14.25" customHeight="1">
      <c r="A125" s="2">
        <v>8</v>
      </c>
      <c r="B125" s="2">
        <v>124</v>
      </c>
      <c r="C125" s="2">
        <v>6</v>
      </c>
      <c r="D125" s="2">
        <v>0</v>
      </c>
      <c r="E125" s="2">
        <v>0.48199999999999998</v>
      </c>
      <c r="F125" s="2">
        <v>2</v>
      </c>
    </row>
    <row r="126" spans="1:6" ht="14.25" customHeight="1">
      <c r="A126" s="2">
        <v>8</v>
      </c>
      <c r="B126" s="2">
        <v>125</v>
      </c>
      <c r="C126" s="2">
        <v>3</v>
      </c>
      <c r="D126" s="2">
        <v>1</v>
      </c>
      <c r="E126" s="2">
        <v>0.83499999999999996</v>
      </c>
      <c r="F126" s="2">
        <v>2</v>
      </c>
    </row>
    <row r="127" spans="1:6" ht="14.25" customHeight="1">
      <c r="A127" s="2">
        <v>8</v>
      </c>
      <c r="B127" s="2">
        <v>126</v>
      </c>
      <c r="C127" s="2">
        <v>5</v>
      </c>
      <c r="D127" s="2">
        <v>1</v>
      </c>
      <c r="E127" s="2">
        <v>1.1910000000000001</v>
      </c>
      <c r="F127" s="2">
        <v>2</v>
      </c>
    </row>
    <row r="128" spans="1:6" ht="14.25" customHeight="1">
      <c r="A128" s="2">
        <v>8</v>
      </c>
      <c r="B128" s="2">
        <v>127</v>
      </c>
      <c r="C128" s="2">
        <v>3</v>
      </c>
      <c r="D128" s="2">
        <v>1</v>
      </c>
      <c r="E128" s="2">
        <v>0.82699999999999996</v>
      </c>
      <c r="F128" s="2">
        <v>2</v>
      </c>
    </row>
    <row r="129" spans="1:6" ht="14.25" customHeight="1">
      <c r="A129" s="2">
        <v>8</v>
      </c>
      <c r="B129" s="2">
        <v>128</v>
      </c>
      <c r="C129" s="2">
        <v>8</v>
      </c>
      <c r="D129" s="2">
        <v>1</v>
      </c>
      <c r="E129" s="2">
        <v>0.76600000000000001</v>
      </c>
      <c r="F129" s="2">
        <v>1</v>
      </c>
    </row>
    <row r="130" spans="1:6" ht="14.25" customHeight="1">
      <c r="A130" s="2">
        <v>8</v>
      </c>
      <c r="B130" s="2">
        <v>129</v>
      </c>
      <c r="C130" s="2">
        <v>7</v>
      </c>
      <c r="D130" s="2">
        <v>1</v>
      </c>
      <c r="E130" s="2">
        <v>0.92500000000000004</v>
      </c>
      <c r="F130" s="2">
        <v>1</v>
      </c>
    </row>
    <row r="131" spans="1:6" ht="14.25" customHeight="1">
      <c r="A131" s="2">
        <v>8</v>
      </c>
      <c r="B131" s="2">
        <v>130</v>
      </c>
      <c r="C131" s="2">
        <v>4</v>
      </c>
      <c r="D131" s="2">
        <v>1</v>
      </c>
      <c r="E131" s="2">
        <v>1.036</v>
      </c>
      <c r="F131" s="2">
        <v>1</v>
      </c>
    </row>
    <row r="132" spans="1:6" ht="14.25" customHeight="1">
      <c r="A132" s="2">
        <v>8</v>
      </c>
      <c r="B132" s="2">
        <v>131</v>
      </c>
      <c r="C132" s="2">
        <v>7</v>
      </c>
      <c r="D132" s="2">
        <v>1</v>
      </c>
      <c r="E132" s="2">
        <v>0.751</v>
      </c>
      <c r="F132" s="2">
        <v>1</v>
      </c>
    </row>
    <row r="133" spans="1:6" ht="14.25" customHeight="1">
      <c r="A133" s="2">
        <v>8</v>
      </c>
      <c r="B133" s="2">
        <v>132</v>
      </c>
      <c r="C133" s="2">
        <v>8</v>
      </c>
      <c r="D133" s="2">
        <v>1</v>
      </c>
      <c r="E133" s="2">
        <v>0.84599999999999997</v>
      </c>
      <c r="F133" s="2">
        <v>2</v>
      </c>
    </row>
    <row r="134" spans="1:6" ht="14.25" customHeight="1">
      <c r="A134" s="2">
        <v>8</v>
      </c>
      <c r="B134" s="2">
        <v>133</v>
      </c>
      <c r="C134" s="2">
        <v>4</v>
      </c>
      <c r="D134" s="2">
        <v>0</v>
      </c>
      <c r="E134" s="2">
        <v>1.073</v>
      </c>
      <c r="F134" s="2">
        <v>1</v>
      </c>
    </row>
    <row r="135" spans="1:6" ht="14.25" customHeight="1">
      <c r="A135" s="2">
        <v>8</v>
      </c>
      <c r="B135" s="2">
        <v>134</v>
      </c>
      <c r="C135" s="2">
        <v>1</v>
      </c>
      <c r="D135" s="2">
        <v>1</v>
      </c>
      <c r="E135" s="2">
        <v>1.1220000000000001</v>
      </c>
      <c r="F135" s="2">
        <v>2</v>
      </c>
    </row>
    <row r="136" spans="1:6" ht="14.25" customHeight="1">
      <c r="A136" s="2">
        <v>8</v>
      </c>
      <c r="B136" s="2">
        <v>135</v>
      </c>
      <c r="C136" s="2">
        <v>7</v>
      </c>
      <c r="D136" s="2">
        <v>1</v>
      </c>
      <c r="E136" s="2">
        <v>0.92200000000000004</v>
      </c>
      <c r="F136" s="2">
        <v>1</v>
      </c>
    </row>
    <row r="137" spans="1:6" ht="14.25" customHeight="1">
      <c r="A137" s="2">
        <v>8</v>
      </c>
      <c r="B137" s="2">
        <v>136</v>
      </c>
      <c r="C137" s="2">
        <v>1</v>
      </c>
      <c r="D137" s="2">
        <v>1</v>
      </c>
      <c r="E137" s="2">
        <v>0.64900000000000002</v>
      </c>
      <c r="F137" s="2">
        <v>2</v>
      </c>
    </row>
    <row r="138" spans="1:6" ht="14.25" customHeight="1">
      <c r="A138" s="2">
        <v>8</v>
      </c>
      <c r="B138" s="2">
        <v>137</v>
      </c>
      <c r="C138" s="2">
        <v>2</v>
      </c>
      <c r="D138" s="2">
        <v>1</v>
      </c>
      <c r="E138" s="2">
        <v>0.97199999999999998</v>
      </c>
      <c r="F138" s="2">
        <v>2</v>
      </c>
    </row>
    <row r="139" spans="1:6" ht="14.25" customHeight="1">
      <c r="A139" s="2">
        <v>8</v>
      </c>
      <c r="B139" s="2">
        <v>138</v>
      </c>
      <c r="C139" s="2">
        <v>1</v>
      </c>
      <c r="D139" s="2">
        <v>0</v>
      </c>
      <c r="E139" s="2">
        <v>0.90500000000000003</v>
      </c>
      <c r="F139" s="2">
        <v>1</v>
      </c>
    </row>
    <row r="140" spans="1:6" ht="14.25" customHeight="1">
      <c r="A140" s="2">
        <v>8</v>
      </c>
      <c r="B140" s="2">
        <v>139</v>
      </c>
      <c r="C140" s="2">
        <v>6</v>
      </c>
      <c r="D140" s="2">
        <v>1</v>
      </c>
      <c r="E140" s="2">
        <v>0.83299999999999996</v>
      </c>
      <c r="F140" s="2">
        <v>2</v>
      </c>
    </row>
    <row r="141" spans="1:6" ht="14.25" customHeight="1">
      <c r="A141" s="2">
        <v>8</v>
      </c>
      <c r="B141" s="2">
        <v>140</v>
      </c>
      <c r="C141" s="2">
        <v>8</v>
      </c>
      <c r="D141" s="2">
        <v>1</v>
      </c>
      <c r="E141" s="2">
        <v>0.74</v>
      </c>
      <c r="F141" s="2">
        <v>1</v>
      </c>
    </row>
    <row r="142" spans="1:6" ht="14.25" customHeight="1">
      <c r="A142" s="2">
        <v>8</v>
      </c>
      <c r="B142" s="2">
        <v>141</v>
      </c>
      <c r="C142" s="2">
        <v>2</v>
      </c>
      <c r="D142" s="2">
        <v>1</v>
      </c>
      <c r="E142" s="2">
        <v>0.65100000000000002</v>
      </c>
      <c r="F142" s="2">
        <v>2</v>
      </c>
    </row>
    <row r="143" spans="1:6" ht="14.25" customHeight="1">
      <c r="A143" s="2">
        <v>8</v>
      </c>
      <c r="B143" s="2">
        <v>142</v>
      </c>
      <c r="C143" s="2">
        <v>5</v>
      </c>
      <c r="D143" s="2">
        <v>1</v>
      </c>
      <c r="E143" s="2">
        <v>0.73299999999999998</v>
      </c>
      <c r="F143" s="2">
        <v>2</v>
      </c>
    </row>
    <row r="144" spans="1:6" ht="14.25" customHeight="1">
      <c r="A144" s="2">
        <v>8</v>
      </c>
      <c r="B144" s="2">
        <v>143</v>
      </c>
      <c r="C144" s="2">
        <v>8</v>
      </c>
      <c r="D144" s="2">
        <v>1</v>
      </c>
      <c r="E144" s="2">
        <v>0.71599999999999997</v>
      </c>
      <c r="F144" s="2">
        <v>1</v>
      </c>
    </row>
    <row r="145" spans="1:6" ht="14.25" customHeight="1">
      <c r="A145" s="2">
        <v>8</v>
      </c>
      <c r="B145" s="2">
        <v>144</v>
      </c>
      <c r="C145" s="2">
        <v>2</v>
      </c>
      <c r="D145" s="2">
        <v>1</v>
      </c>
      <c r="E145" s="2">
        <v>0.78100000000000003</v>
      </c>
      <c r="F145" s="2">
        <v>2</v>
      </c>
    </row>
    <row r="146" spans="1:6" ht="14.25" customHeight="1">
      <c r="A146" s="2">
        <v>8</v>
      </c>
      <c r="B146" s="2">
        <v>145</v>
      </c>
      <c r="C146" s="2">
        <v>3</v>
      </c>
      <c r="D146" s="2">
        <v>1</v>
      </c>
      <c r="E146" s="2">
        <v>0.49</v>
      </c>
      <c r="F146" s="2">
        <v>1</v>
      </c>
    </row>
    <row r="147" spans="1:6" ht="14.25" customHeight="1">
      <c r="A147" s="2">
        <v>8</v>
      </c>
      <c r="B147" s="2">
        <v>146</v>
      </c>
      <c r="C147" s="2">
        <v>2</v>
      </c>
      <c r="D147" s="2">
        <v>1</v>
      </c>
      <c r="E147" s="2">
        <v>0.67500000000000004</v>
      </c>
      <c r="F147" s="2">
        <v>2</v>
      </c>
    </row>
    <row r="148" spans="1:6" ht="14.25" customHeight="1">
      <c r="A148" s="2">
        <v>8</v>
      </c>
      <c r="B148" s="2">
        <v>147</v>
      </c>
      <c r="C148" s="2">
        <v>4</v>
      </c>
      <c r="D148" s="2">
        <v>1</v>
      </c>
      <c r="E148" s="2">
        <v>0.82</v>
      </c>
      <c r="F148" s="2">
        <v>1</v>
      </c>
    </row>
    <row r="149" spans="1:6" ht="14.25" customHeight="1">
      <c r="A149" s="2">
        <v>8</v>
      </c>
      <c r="B149" s="2">
        <v>148</v>
      </c>
      <c r="C149" s="2">
        <v>6</v>
      </c>
      <c r="D149" s="2">
        <v>0</v>
      </c>
      <c r="E149" s="2">
        <v>0.73599999999999999</v>
      </c>
      <c r="F149" s="2">
        <v>2</v>
      </c>
    </row>
    <row r="150" spans="1:6" ht="14.25" customHeight="1">
      <c r="A150" s="2">
        <v>8</v>
      </c>
      <c r="B150" s="2">
        <v>149</v>
      </c>
      <c r="C150" s="2">
        <v>2</v>
      </c>
      <c r="D150" s="2">
        <v>1</v>
      </c>
      <c r="E150" s="2">
        <v>0.74399999999999999</v>
      </c>
      <c r="F150" s="2">
        <v>1</v>
      </c>
    </row>
    <row r="151" spans="1:6" ht="14.25" customHeight="1">
      <c r="A151" s="2">
        <v>8</v>
      </c>
      <c r="B151" s="2">
        <v>150</v>
      </c>
      <c r="C151" s="2">
        <v>4</v>
      </c>
      <c r="D151" s="2">
        <v>1</v>
      </c>
      <c r="E151" s="2">
        <v>0.83799999999999997</v>
      </c>
      <c r="F151" s="2">
        <v>1</v>
      </c>
    </row>
    <row r="152" spans="1:6" ht="14.25" customHeight="1">
      <c r="A152" s="2">
        <v>8</v>
      </c>
      <c r="B152" s="2">
        <v>151</v>
      </c>
      <c r="C152" s="2">
        <v>1</v>
      </c>
      <c r="D152" s="2">
        <v>1</v>
      </c>
      <c r="E152" s="2">
        <v>0.751</v>
      </c>
    </row>
    <row r="153" spans="1:6" ht="14.25" customHeight="1">
      <c r="A153" s="2">
        <v>8</v>
      </c>
      <c r="B153" s="2">
        <v>152</v>
      </c>
      <c r="C153" s="2">
        <v>5</v>
      </c>
      <c r="D153" s="2">
        <v>1</v>
      </c>
      <c r="E153" s="2">
        <v>0.67</v>
      </c>
    </row>
    <row r="154" spans="1:6" ht="14.25" customHeight="1">
      <c r="A154" s="2">
        <v>8</v>
      </c>
      <c r="B154" s="2">
        <v>153</v>
      </c>
      <c r="C154" s="2">
        <v>2</v>
      </c>
      <c r="D154" s="2">
        <v>1</v>
      </c>
      <c r="E154" s="2">
        <v>0.59899999999999998</v>
      </c>
    </row>
    <row r="155" spans="1:6" ht="14.25" customHeight="1">
      <c r="A155" s="2">
        <v>8</v>
      </c>
      <c r="B155" s="2">
        <v>154</v>
      </c>
      <c r="C155" s="2">
        <v>1</v>
      </c>
      <c r="D155" s="2">
        <v>1</v>
      </c>
      <c r="E155" s="2">
        <v>0.68400000000000005</v>
      </c>
    </row>
    <row r="156" spans="1:6" ht="14.25" customHeight="1">
      <c r="A156" s="2">
        <v>8</v>
      </c>
      <c r="B156" s="2">
        <v>155</v>
      </c>
      <c r="C156" s="2">
        <v>5</v>
      </c>
      <c r="D156" s="2">
        <v>0</v>
      </c>
      <c r="E156" s="2">
        <v>0.54900000000000004</v>
      </c>
    </row>
    <row r="157" spans="1:6" ht="14.25" customHeight="1">
      <c r="A157" s="2">
        <v>8</v>
      </c>
      <c r="B157" s="2">
        <v>156</v>
      </c>
      <c r="C157" s="2">
        <v>8</v>
      </c>
      <c r="D157" s="2">
        <v>1</v>
      </c>
      <c r="E157" s="2">
        <v>0.86</v>
      </c>
    </row>
    <row r="158" spans="1:6" ht="14.25" customHeight="1">
      <c r="A158" s="2">
        <v>8</v>
      </c>
      <c r="B158" s="2">
        <v>157</v>
      </c>
      <c r="C158" s="2">
        <v>4</v>
      </c>
      <c r="D158" s="2">
        <v>1</v>
      </c>
      <c r="E158" s="2">
        <v>1.006</v>
      </c>
    </row>
    <row r="159" spans="1:6" ht="14.25" customHeight="1">
      <c r="A159" s="2">
        <v>8</v>
      </c>
      <c r="B159" s="2">
        <v>158</v>
      </c>
      <c r="C159" s="2">
        <v>1</v>
      </c>
      <c r="D159" s="2">
        <v>1</v>
      </c>
      <c r="E159" s="2">
        <v>0.61</v>
      </c>
    </row>
    <row r="160" spans="1:6" ht="14.25" customHeight="1">
      <c r="A160" s="2">
        <v>8</v>
      </c>
      <c r="B160" s="2">
        <v>159</v>
      </c>
      <c r="C160" s="2">
        <v>8</v>
      </c>
      <c r="D160" s="2">
        <v>1</v>
      </c>
      <c r="E160" s="2">
        <v>0.92600000000000005</v>
      </c>
    </row>
    <row r="161" spans="1:5" ht="14.25" customHeight="1">
      <c r="A161" s="2">
        <v>8</v>
      </c>
      <c r="B161" s="2">
        <v>160</v>
      </c>
      <c r="C161" s="2">
        <v>4</v>
      </c>
      <c r="D161" s="2">
        <v>1</v>
      </c>
      <c r="E161" s="2">
        <v>0.59699999999999998</v>
      </c>
    </row>
    <row r="162" spans="1:5" ht="14.25" customHeight="1">
      <c r="A162" s="2">
        <v>8</v>
      </c>
      <c r="B162" s="2">
        <v>161</v>
      </c>
      <c r="C162" s="2">
        <v>3</v>
      </c>
      <c r="D162" s="2">
        <v>1</v>
      </c>
      <c r="E162" s="2">
        <v>0.65700000000000003</v>
      </c>
    </row>
    <row r="163" spans="1:5" ht="14.25" customHeight="1">
      <c r="A163" s="2">
        <v>8</v>
      </c>
      <c r="B163" s="2">
        <v>162</v>
      </c>
      <c r="C163" s="2">
        <v>4</v>
      </c>
      <c r="D163" s="2">
        <v>1</v>
      </c>
      <c r="E163" s="2">
        <v>0.82699999999999996</v>
      </c>
    </row>
    <row r="164" spans="1:5" ht="14.25" customHeight="1">
      <c r="A164" s="2">
        <v>8</v>
      </c>
      <c r="B164" s="2">
        <v>163</v>
      </c>
      <c r="C164" s="2">
        <v>8</v>
      </c>
      <c r="D164" s="2">
        <v>0</v>
      </c>
      <c r="E164" s="2">
        <v>0.999</v>
      </c>
    </row>
    <row r="165" spans="1:5" ht="14.25" customHeight="1">
      <c r="A165" s="2">
        <v>8</v>
      </c>
      <c r="B165" s="2">
        <v>164</v>
      </c>
      <c r="C165" s="2">
        <v>7</v>
      </c>
      <c r="D165" s="2">
        <v>1</v>
      </c>
      <c r="E165" s="2">
        <v>0.57199999999999995</v>
      </c>
    </row>
    <row r="166" spans="1:5" ht="14.25" customHeight="1">
      <c r="A166" s="2">
        <v>8</v>
      </c>
      <c r="B166" s="2">
        <v>165</v>
      </c>
      <c r="C166" s="2">
        <v>1</v>
      </c>
      <c r="D166" s="2">
        <v>1</v>
      </c>
      <c r="E166" s="2">
        <v>0.99299999999999999</v>
      </c>
    </row>
    <row r="167" spans="1:5" ht="14.25" customHeight="1">
      <c r="A167" s="2">
        <v>8</v>
      </c>
      <c r="B167" s="2">
        <v>166</v>
      </c>
      <c r="C167" s="2">
        <v>6</v>
      </c>
      <c r="D167" s="2">
        <v>1</v>
      </c>
      <c r="E167" s="2">
        <v>0.92500000000000004</v>
      </c>
    </row>
    <row r="168" spans="1:5" ht="14.25" customHeight="1">
      <c r="A168" s="2">
        <v>8</v>
      </c>
      <c r="B168" s="2">
        <v>167</v>
      </c>
      <c r="C168" s="2">
        <v>2</v>
      </c>
      <c r="D168" s="2">
        <v>1</v>
      </c>
      <c r="E168" s="2">
        <v>0.68500000000000005</v>
      </c>
    </row>
    <row r="169" spans="1:5" ht="14.25" customHeight="1">
      <c r="A169" s="2">
        <v>8</v>
      </c>
      <c r="B169" s="2">
        <v>168</v>
      </c>
      <c r="C169" s="2">
        <v>4</v>
      </c>
      <c r="D169" s="2">
        <v>1</v>
      </c>
      <c r="E169" s="2">
        <v>0.93500000000000005</v>
      </c>
    </row>
    <row r="170" spans="1:5" ht="14.25" customHeight="1">
      <c r="A170" s="2">
        <v>8</v>
      </c>
      <c r="B170" s="2">
        <v>169</v>
      </c>
      <c r="C170" s="2">
        <v>7</v>
      </c>
      <c r="D170" s="2">
        <v>1</v>
      </c>
      <c r="E170" s="2">
        <v>0.90200000000000002</v>
      </c>
    </row>
    <row r="171" spans="1:5" ht="14.25" customHeight="1">
      <c r="A171" s="2">
        <v>8</v>
      </c>
      <c r="B171" s="2">
        <v>170</v>
      </c>
      <c r="C171" s="2">
        <v>1</v>
      </c>
      <c r="D171" s="2">
        <v>1</v>
      </c>
      <c r="E171" s="2">
        <v>0.65400000000000003</v>
      </c>
    </row>
    <row r="172" spans="1:5" ht="14.25" customHeight="1">
      <c r="A172" s="2">
        <v>8</v>
      </c>
      <c r="B172" s="2">
        <v>171</v>
      </c>
      <c r="C172" s="2">
        <v>7</v>
      </c>
      <c r="D172" s="2">
        <v>1</v>
      </c>
      <c r="E172" s="2">
        <v>0.64800000000000002</v>
      </c>
    </row>
    <row r="173" spans="1:5" ht="14.25" customHeight="1">
      <c r="A173" s="2">
        <v>8</v>
      </c>
      <c r="B173" s="2">
        <v>172</v>
      </c>
      <c r="C173" s="2">
        <v>2</v>
      </c>
      <c r="D173" s="2">
        <v>1</v>
      </c>
      <c r="E173" s="2">
        <v>0.627</v>
      </c>
    </row>
    <row r="174" spans="1:5" ht="14.25" customHeight="1">
      <c r="A174" s="2">
        <v>8</v>
      </c>
      <c r="B174" s="2">
        <v>173</v>
      </c>
      <c r="C174" s="2">
        <v>8</v>
      </c>
      <c r="D174" s="2">
        <v>1</v>
      </c>
      <c r="E174" s="2">
        <v>1.19</v>
      </c>
    </row>
    <row r="175" spans="1:5" ht="14.25" customHeight="1">
      <c r="A175" s="2">
        <v>8</v>
      </c>
      <c r="B175" s="2">
        <v>174</v>
      </c>
      <c r="C175" s="2">
        <v>2</v>
      </c>
      <c r="D175" s="2">
        <v>1</v>
      </c>
      <c r="E175" s="2">
        <v>1.1140000000000001</v>
      </c>
    </row>
    <row r="176" spans="1:5" ht="14.25" customHeight="1">
      <c r="A176" s="2">
        <v>8</v>
      </c>
      <c r="B176" s="2">
        <v>175</v>
      </c>
      <c r="C176" s="2">
        <v>5</v>
      </c>
      <c r="D176" s="2">
        <v>1</v>
      </c>
      <c r="E176" s="2">
        <v>0.88300000000000001</v>
      </c>
    </row>
    <row r="177" spans="1:5" ht="14.25" customHeight="1">
      <c r="A177" s="2">
        <v>8</v>
      </c>
      <c r="B177" s="2">
        <v>176</v>
      </c>
      <c r="C177" s="2">
        <v>7</v>
      </c>
      <c r="D177" s="2">
        <v>1</v>
      </c>
      <c r="E177" s="2">
        <v>1.1160000000000001</v>
      </c>
    </row>
    <row r="178" spans="1:5" ht="14.25" customHeight="1">
      <c r="A178" s="2">
        <v>8</v>
      </c>
      <c r="B178" s="2">
        <v>177</v>
      </c>
      <c r="C178" s="2">
        <v>8</v>
      </c>
      <c r="D178" s="2">
        <v>1</v>
      </c>
      <c r="E178" s="2">
        <v>0.38800000000000001</v>
      </c>
    </row>
    <row r="179" spans="1:5" ht="14.25" customHeight="1">
      <c r="A179" s="2">
        <v>8</v>
      </c>
      <c r="B179" s="2">
        <v>178</v>
      </c>
      <c r="C179" s="2">
        <v>3</v>
      </c>
      <c r="D179" s="2">
        <v>1</v>
      </c>
      <c r="E179" s="2">
        <v>0.73699999999999999</v>
      </c>
    </row>
    <row r="180" spans="1:5" ht="14.25" customHeight="1">
      <c r="A180" s="2">
        <v>8</v>
      </c>
      <c r="B180" s="2">
        <v>179</v>
      </c>
      <c r="C180" s="2">
        <v>5</v>
      </c>
      <c r="D180" s="2">
        <v>1</v>
      </c>
      <c r="E180" s="2">
        <v>0.59199999999999997</v>
      </c>
    </row>
    <row r="181" spans="1:5" ht="14.25" customHeight="1">
      <c r="A181" s="2">
        <v>8</v>
      </c>
      <c r="B181" s="2">
        <v>180</v>
      </c>
      <c r="C181" s="2">
        <v>3</v>
      </c>
      <c r="D181" s="2">
        <v>1</v>
      </c>
      <c r="E181" s="2">
        <v>1.181</v>
      </c>
    </row>
    <row r="182" spans="1:5" ht="14.25" customHeight="1">
      <c r="A182" s="2">
        <v>8</v>
      </c>
      <c r="B182" s="2">
        <v>181</v>
      </c>
      <c r="C182" s="2">
        <v>4</v>
      </c>
      <c r="D182" s="2">
        <v>1</v>
      </c>
      <c r="E182" s="2">
        <v>0.57099999999999995</v>
      </c>
    </row>
    <row r="183" spans="1:5" ht="14.25" customHeight="1">
      <c r="A183" s="2">
        <v>8</v>
      </c>
      <c r="B183" s="2">
        <v>182</v>
      </c>
      <c r="C183" s="2">
        <v>5</v>
      </c>
      <c r="D183" s="2">
        <v>0</v>
      </c>
      <c r="E183" s="2">
        <v>1.321</v>
      </c>
    </row>
    <row r="184" spans="1:5" ht="14.25" customHeight="1">
      <c r="A184" s="2">
        <v>8</v>
      </c>
      <c r="B184" s="2">
        <v>183</v>
      </c>
      <c r="C184" s="2">
        <v>6</v>
      </c>
      <c r="D184" s="2">
        <v>1</v>
      </c>
      <c r="E184" s="2">
        <v>0.91200000000000003</v>
      </c>
    </row>
    <row r="185" spans="1:5" ht="14.25" customHeight="1">
      <c r="A185" s="2">
        <v>8</v>
      </c>
      <c r="B185" s="2">
        <v>184</v>
      </c>
      <c r="C185" s="2">
        <v>2</v>
      </c>
      <c r="D185" s="2">
        <v>1</v>
      </c>
      <c r="E185" s="2">
        <v>1.161</v>
      </c>
    </row>
    <row r="186" spans="1:5" ht="14.25" customHeight="1">
      <c r="A186" s="2">
        <v>8</v>
      </c>
      <c r="B186" s="2">
        <v>185</v>
      </c>
      <c r="C186" s="2">
        <v>6</v>
      </c>
      <c r="D186" s="2">
        <v>1</v>
      </c>
      <c r="E186" s="2">
        <v>1.07</v>
      </c>
    </row>
    <row r="187" spans="1:5" ht="14.25" customHeight="1">
      <c r="A187" s="2">
        <v>8</v>
      </c>
      <c r="B187" s="2">
        <v>186</v>
      </c>
      <c r="C187" s="2">
        <v>3</v>
      </c>
      <c r="D187" s="2">
        <v>1</v>
      </c>
      <c r="E187" s="2">
        <v>0.59299999999999997</v>
      </c>
    </row>
    <row r="188" spans="1:5" ht="14.25" customHeight="1">
      <c r="A188" s="2">
        <v>8</v>
      </c>
      <c r="B188" s="2">
        <v>187</v>
      </c>
      <c r="C188" s="2">
        <v>5</v>
      </c>
      <c r="D188" s="2">
        <v>1</v>
      </c>
      <c r="E188" s="2">
        <v>0.55000000000000004</v>
      </c>
    </row>
    <row r="189" spans="1:5" ht="14.25" customHeight="1">
      <c r="A189" s="2">
        <v>8</v>
      </c>
      <c r="B189" s="2">
        <v>188</v>
      </c>
      <c r="C189" s="2">
        <v>2</v>
      </c>
      <c r="D189" s="2">
        <v>1</v>
      </c>
      <c r="E189" s="2">
        <v>0.98</v>
      </c>
    </row>
    <row r="190" spans="1:5" ht="14.25" customHeight="1">
      <c r="A190" s="2">
        <v>8</v>
      </c>
      <c r="B190" s="2">
        <v>189</v>
      </c>
      <c r="C190" s="2">
        <v>6</v>
      </c>
      <c r="D190" s="2">
        <v>1</v>
      </c>
      <c r="E190" s="2">
        <v>0.83299999999999996</v>
      </c>
    </row>
    <row r="191" spans="1:5" ht="14.25" customHeight="1">
      <c r="A191" s="2">
        <v>8</v>
      </c>
      <c r="B191" s="2">
        <v>190</v>
      </c>
      <c r="C191" s="2">
        <v>3</v>
      </c>
      <c r="D191" s="2">
        <v>1</v>
      </c>
      <c r="E191" s="2">
        <v>0.74099999999999999</v>
      </c>
    </row>
    <row r="192" spans="1:5" ht="14.25" customHeight="1">
      <c r="A192" s="2">
        <v>8</v>
      </c>
      <c r="B192" s="2">
        <v>191</v>
      </c>
      <c r="C192" s="2">
        <v>8</v>
      </c>
      <c r="D192" s="2">
        <v>1</v>
      </c>
      <c r="E192" s="2">
        <v>0.83499999999999996</v>
      </c>
    </row>
    <row r="193" spans="1:5" ht="14.25" customHeight="1">
      <c r="A193" s="2">
        <v>8</v>
      </c>
      <c r="B193" s="2">
        <v>192</v>
      </c>
      <c r="C193" s="2">
        <v>2</v>
      </c>
      <c r="D193" s="2">
        <v>1</v>
      </c>
      <c r="E193" s="2">
        <v>0.77400000000000002</v>
      </c>
    </row>
    <row r="194" spans="1:5" ht="14.25" customHeight="1">
      <c r="A194" s="2">
        <v>8</v>
      </c>
      <c r="B194" s="2">
        <v>193</v>
      </c>
      <c r="C194" s="2">
        <v>7</v>
      </c>
      <c r="D194" s="2">
        <v>1</v>
      </c>
      <c r="E194" s="2">
        <v>0.69199999999999995</v>
      </c>
    </row>
    <row r="195" spans="1:5" ht="14.25" customHeight="1">
      <c r="A195" s="2">
        <v>8</v>
      </c>
      <c r="B195" s="2">
        <v>194</v>
      </c>
      <c r="C195" s="2">
        <v>4</v>
      </c>
      <c r="D195" s="2">
        <v>1</v>
      </c>
      <c r="E195" s="2">
        <v>0.61299999999999999</v>
      </c>
    </row>
    <row r="196" spans="1:5" ht="14.25" customHeight="1">
      <c r="A196" s="2">
        <v>8</v>
      </c>
      <c r="B196" s="2">
        <v>195</v>
      </c>
      <c r="C196" s="2">
        <v>3</v>
      </c>
      <c r="D196" s="2">
        <v>1</v>
      </c>
      <c r="E196" s="2">
        <v>0.69699999999999995</v>
      </c>
    </row>
    <row r="197" spans="1:5" ht="14.25" customHeight="1">
      <c r="A197" s="2">
        <v>8</v>
      </c>
      <c r="B197" s="2">
        <v>196</v>
      </c>
      <c r="C197" s="2">
        <v>6</v>
      </c>
      <c r="D197" s="2">
        <v>1</v>
      </c>
      <c r="E197" s="2">
        <v>0.72899999999999998</v>
      </c>
    </row>
    <row r="198" spans="1:5" ht="14.25" customHeight="1">
      <c r="A198" s="2">
        <v>8</v>
      </c>
      <c r="B198" s="2">
        <v>197</v>
      </c>
      <c r="C198" s="2">
        <v>1</v>
      </c>
      <c r="D198" s="2">
        <v>1</v>
      </c>
      <c r="E198" s="2">
        <v>0.753</v>
      </c>
    </row>
    <row r="199" spans="1:5" ht="14.25" customHeight="1">
      <c r="A199" s="2">
        <v>8</v>
      </c>
      <c r="B199" s="2">
        <v>198</v>
      </c>
      <c r="C199" s="2">
        <v>7</v>
      </c>
      <c r="D199" s="2">
        <v>1</v>
      </c>
      <c r="E199" s="2">
        <v>0.93500000000000005</v>
      </c>
    </row>
    <row r="200" spans="1:5" ht="14.25" customHeight="1">
      <c r="A200" s="2">
        <v>8</v>
      </c>
      <c r="B200" s="2">
        <v>199</v>
      </c>
      <c r="C200" s="2">
        <v>3</v>
      </c>
      <c r="D200" s="2">
        <v>1</v>
      </c>
      <c r="E200" s="2">
        <v>0.73399999999999999</v>
      </c>
    </row>
    <row r="201" spans="1:5" ht="14.25" customHeight="1">
      <c r="A201" s="2">
        <v>8</v>
      </c>
      <c r="B201" s="2">
        <v>200</v>
      </c>
      <c r="C201" s="2">
        <v>6</v>
      </c>
      <c r="D201" s="2">
        <v>1</v>
      </c>
      <c r="E201" s="2">
        <v>1.1339999999999999</v>
      </c>
    </row>
    <row r="202" spans="1:5" ht="14.25" customHeight="1">
      <c r="A202" s="2">
        <v>8</v>
      </c>
      <c r="B202" s="2">
        <v>201</v>
      </c>
      <c r="C202" s="2">
        <v>1</v>
      </c>
    </row>
    <row r="203" spans="1:5" ht="14.25" customHeight="1">
      <c r="A203" s="2">
        <v>8</v>
      </c>
      <c r="B203" s="2">
        <v>202</v>
      </c>
      <c r="C203" s="2">
        <v>6</v>
      </c>
    </row>
    <row r="204" spans="1:5" ht="14.25" customHeight="1">
      <c r="A204" s="2">
        <v>8</v>
      </c>
      <c r="B204" s="2">
        <v>203</v>
      </c>
      <c r="C204" s="2">
        <v>3</v>
      </c>
    </row>
    <row r="205" spans="1:5" ht="14.25" customHeight="1">
      <c r="A205" s="2">
        <v>8</v>
      </c>
      <c r="B205" s="2">
        <v>204</v>
      </c>
      <c r="C205" s="2">
        <v>2</v>
      </c>
    </row>
    <row r="206" spans="1:5" ht="14.25" customHeight="1">
      <c r="A206" s="2">
        <v>8</v>
      </c>
      <c r="B206" s="2">
        <v>205</v>
      </c>
      <c r="C206" s="2">
        <v>5</v>
      </c>
    </row>
    <row r="207" spans="1:5" ht="14.25" customHeight="1">
      <c r="A207" s="2">
        <v>8</v>
      </c>
      <c r="B207" s="2">
        <v>206</v>
      </c>
      <c r="C207" s="2">
        <v>1</v>
      </c>
    </row>
    <row r="208" spans="1:5" ht="14.25" customHeight="1">
      <c r="A208" s="2">
        <v>8</v>
      </c>
      <c r="B208" s="2">
        <v>207</v>
      </c>
      <c r="C208" s="2">
        <v>2</v>
      </c>
    </row>
    <row r="209" spans="1:3" ht="14.25" customHeight="1">
      <c r="A209" s="2">
        <v>8</v>
      </c>
      <c r="B209" s="2">
        <v>208</v>
      </c>
      <c r="C209" s="2">
        <v>7</v>
      </c>
    </row>
    <row r="210" spans="1:3" ht="14.25" customHeight="1">
      <c r="A210" s="2">
        <v>8</v>
      </c>
      <c r="B210" s="2">
        <v>209</v>
      </c>
      <c r="C210" s="2">
        <v>5</v>
      </c>
    </row>
    <row r="211" spans="1:3" ht="14.25" customHeight="1">
      <c r="A211" s="2">
        <v>8</v>
      </c>
      <c r="B211" s="2">
        <v>210</v>
      </c>
      <c r="C211" s="2">
        <v>2</v>
      </c>
    </row>
    <row r="212" spans="1:3" ht="14.25" customHeight="1">
      <c r="A212" s="2">
        <v>8</v>
      </c>
      <c r="B212" s="2">
        <v>211</v>
      </c>
      <c r="C212" s="2">
        <v>7</v>
      </c>
    </row>
    <row r="213" spans="1:3" ht="14.25" customHeight="1">
      <c r="A213" s="2">
        <v>8</v>
      </c>
      <c r="B213" s="2">
        <v>212</v>
      </c>
      <c r="C213" s="2">
        <v>8</v>
      </c>
    </row>
    <row r="214" spans="1:3" ht="14.25" customHeight="1">
      <c r="A214" s="2">
        <v>8</v>
      </c>
      <c r="B214" s="2">
        <v>213</v>
      </c>
      <c r="C214" s="2">
        <v>5</v>
      </c>
    </row>
    <row r="215" spans="1:3" ht="14.25" customHeight="1">
      <c r="A215" s="2">
        <v>8</v>
      </c>
      <c r="B215" s="2">
        <v>214</v>
      </c>
      <c r="C215" s="2">
        <v>8</v>
      </c>
    </row>
    <row r="216" spans="1:3" ht="14.25" customHeight="1">
      <c r="A216" s="2">
        <v>8</v>
      </c>
      <c r="B216" s="2">
        <v>215</v>
      </c>
      <c r="C216" s="2">
        <v>5</v>
      </c>
    </row>
    <row r="217" spans="1:3" ht="14.25" customHeight="1">
      <c r="A217" s="2">
        <v>8</v>
      </c>
      <c r="B217" s="2">
        <v>216</v>
      </c>
      <c r="C217" s="2">
        <v>7</v>
      </c>
    </row>
    <row r="218" spans="1:3" ht="14.25" customHeight="1">
      <c r="A218" s="2">
        <v>8</v>
      </c>
      <c r="B218" s="2">
        <v>217</v>
      </c>
      <c r="C218" s="2">
        <v>3</v>
      </c>
    </row>
    <row r="219" spans="1:3" ht="14.25" customHeight="1">
      <c r="A219" s="2">
        <v>8</v>
      </c>
      <c r="B219" s="2">
        <v>218</v>
      </c>
      <c r="C219" s="2">
        <v>1</v>
      </c>
    </row>
    <row r="220" spans="1:3" ht="14.25" customHeight="1">
      <c r="A220" s="2">
        <v>8</v>
      </c>
      <c r="B220" s="2">
        <v>219</v>
      </c>
      <c r="C220" s="2">
        <v>6</v>
      </c>
    </row>
    <row r="221" spans="1:3" ht="14.25" customHeight="1">
      <c r="A221" s="2">
        <v>8</v>
      </c>
      <c r="B221" s="2">
        <v>220</v>
      </c>
      <c r="C221" s="2">
        <v>1</v>
      </c>
    </row>
    <row r="222" spans="1:3" ht="14.25" customHeight="1">
      <c r="A222" s="2">
        <v>8</v>
      </c>
      <c r="B222" s="2">
        <v>221</v>
      </c>
      <c r="C222" s="2">
        <v>4</v>
      </c>
    </row>
    <row r="223" spans="1:3" ht="14.25" customHeight="1">
      <c r="A223" s="2">
        <v>8</v>
      </c>
      <c r="B223" s="2">
        <v>222</v>
      </c>
      <c r="C223" s="2">
        <v>5</v>
      </c>
    </row>
    <row r="224" spans="1:3" ht="14.25" customHeight="1">
      <c r="A224" s="2">
        <v>8</v>
      </c>
      <c r="B224" s="2">
        <v>223</v>
      </c>
      <c r="C224" s="2">
        <v>7</v>
      </c>
    </row>
    <row r="225" spans="1:3" ht="14.25" customHeight="1">
      <c r="A225" s="2">
        <v>8</v>
      </c>
      <c r="B225" s="2">
        <v>224</v>
      </c>
      <c r="C225" s="2">
        <v>6</v>
      </c>
    </row>
    <row r="226" spans="1:3" ht="14.25" customHeight="1">
      <c r="A226" s="2">
        <v>8</v>
      </c>
      <c r="B226" s="2">
        <v>225</v>
      </c>
      <c r="C226" s="2">
        <v>4</v>
      </c>
    </row>
    <row r="227" spans="1:3" ht="14.25" customHeight="1">
      <c r="A227" s="2">
        <v>8</v>
      </c>
      <c r="B227" s="2">
        <v>226</v>
      </c>
      <c r="C227" s="2">
        <v>6</v>
      </c>
    </row>
    <row r="228" spans="1:3" ht="14.25" customHeight="1">
      <c r="A228" s="2">
        <v>8</v>
      </c>
      <c r="B228" s="2">
        <v>227</v>
      </c>
      <c r="C228" s="2">
        <v>3</v>
      </c>
    </row>
    <row r="229" spans="1:3" ht="14.25" customHeight="1">
      <c r="A229" s="2">
        <v>8</v>
      </c>
      <c r="B229" s="2">
        <v>228</v>
      </c>
      <c r="C229" s="2">
        <v>2</v>
      </c>
    </row>
    <row r="230" spans="1:3" ht="14.25" customHeight="1">
      <c r="A230" s="2">
        <v>8</v>
      </c>
      <c r="B230" s="2">
        <v>229</v>
      </c>
      <c r="C230" s="2">
        <v>7</v>
      </c>
    </row>
    <row r="231" spans="1:3" ht="14.25" customHeight="1">
      <c r="A231" s="2">
        <v>8</v>
      </c>
      <c r="B231" s="2">
        <v>230</v>
      </c>
      <c r="C231" s="2">
        <v>6</v>
      </c>
    </row>
    <row r="232" spans="1:3" ht="14.25" customHeight="1">
      <c r="A232" s="2">
        <v>8</v>
      </c>
      <c r="B232" s="2">
        <v>231</v>
      </c>
      <c r="C232" s="2">
        <v>3</v>
      </c>
    </row>
    <row r="233" spans="1:3" ht="14.25" customHeight="1">
      <c r="A233" s="2">
        <v>8</v>
      </c>
      <c r="B233" s="2">
        <v>232</v>
      </c>
      <c r="C233" s="2">
        <v>1</v>
      </c>
    </row>
    <row r="234" spans="1:3" ht="14.25" customHeight="1">
      <c r="A234" s="2">
        <v>8</v>
      </c>
      <c r="B234" s="2">
        <v>233</v>
      </c>
      <c r="C234" s="2">
        <v>8</v>
      </c>
    </row>
    <row r="235" spans="1:3" ht="14.25" customHeight="1">
      <c r="A235" s="2">
        <v>8</v>
      </c>
      <c r="B235" s="2">
        <v>234</v>
      </c>
      <c r="C235" s="2">
        <v>7</v>
      </c>
    </row>
    <row r="236" spans="1:3" ht="14.25" customHeight="1">
      <c r="A236" s="2">
        <v>8</v>
      </c>
      <c r="B236" s="2">
        <v>235</v>
      </c>
      <c r="C236" s="2">
        <v>6</v>
      </c>
    </row>
    <row r="237" spans="1:3" ht="14.25" customHeight="1">
      <c r="A237" s="2">
        <v>8</v>
      </c>
      <c r="B237" s="2">
        <v>236</v>
      </c>
      <c r="C237" s="2">
        <v>3</v>
      </c>
    </row>
    <row r="238" spans="1:3" ht="14.25" customHeight="1">
      <c r="A238" s="2">
        <v>8</v>
      </c>
      <c r="B238" s="2">
        <v>237</v>
      </c>
      <c r="C238" s="2">
        <v>2</v>
      </c>
    </row>
    <row r="239" spans="1:3" ht="14.25" customHeight="1">
      <c r="A239" s="2">
        <v>8</v>
      </c>
      <c r="B239" s="2">
        <v>238</v>
      </c>
      <c r="C239" s="2">
        <v>8</v>
      </c>
    </row>
    <row r="240" spans="1:3" ht="14.25" customHeight="1">
      <c r="A240" s="2">
        <v>8</v>
      </c>
      <c r="B240" s="2">
        <v>239</v>
      </c>
      <c r="C240" s="2">
        <v>2</v>
      </c>
    </row>
    <row r="241" spans="1:3" ht="14.25" customHeight="1">
      <c r="A241" s="2">
        <v>8</v>
      </c>
      <c r="B241" s="2">
        <v>240</v>
      </c>
      <c r="C241" s="2">
        <v>1</v>
      </c>
    </row>
    <row r="242" spans="1:3" ht="14.25" customHeight="1">
      <c r="A242" s="2">
        <v>8</v>
      </c>
      <c r="B242" s="2">
        <v>241</v>
      </c>
      <c r="C242" s="2">
        <v>4</v>
      </c>
    </row>
    <row r="243" spans="1:3" ht="14.25" customHeight="1">
      <c r="A243" s="2">
        <v>8</v>
      </c>
      <c r="B243" s="2">
        <v>242</v>
      </c>
      <c r="C243" s="2">
        <v>3</v>
      </c>
    </row>
    <row r="244" spans="1:3" ht="14.25" customHeight="1">
      <c r="A244" s="2">
        <v>8</v>
      </c>
      <c r="B244" s="2">
        <v>243</v>
      </c>
      <c r="C244" s="2">
        <v>8</v>
      </c>
    </row>
    <row r="245" spans="1:3" ht="14.25" customHeight="1">
      <c r="A245" s="2">
        <v>8</v>
      </c>
      <c r="B245" s="2">
        <v>244</v>
      </c>
      <c r="C245" s="2">
        <v>2</v>
      </c>
    </row>
    <row r="246" spans="1:3" ht="14.25" customHeight="1">
      <c r="A246" s="2">
        <v>8</v>
      </c>
      <c r="B246" s="2">
        <v>245</v>
      </c>
      <c r="C246" s="2">
        <v>4</v>
      </c>
    </row>
    <row r="247" spans="1:3" ht="14.25" customHeight="1">
      <c r="A247" s="2">
        <v>8</v>
      </c>
      <c r="B247" s="2">
        <v>246</v>
      </c>
      <c r="C247" s="2">
        <v>3</v>
      </c>
    </row>
    <row r="248" spans="1:3" ht="14.25" customHeight="1">
      <c r="A248" s="2">
        <v>8</v>
      </c>
      <c r="B248" s="2">
        <v>247</v>
      </c>
      <c r="C248" s="2">
        <v>8</v>
      </c>
    </row>
    <row r="249" spans="1:3" ht="14.25" customHeight="1">
      <c r="A249" s="2">
        <v>8</v>
      </c>
      <c r="B249" s="2">
        <v>248</v>
      </c>
      <c r="C249" s="2">
        <v>4</v>
      </c>
    </row>
    <row r="250" spans="1:3" ht="14.25" customHeight="1">
      <c r="A250" s="2">
        <v>8</v>
      </c>
      <c r="B250" s="2">
        <v>249</v>
      </c>
      <c r="C250" s="2">
        <v>5</v>
      </c>
    </row>
    <row r="251" spans="1:3" ht="14.25" customHeight="1">
      <c r="A251" s="2">
        <v>8</v>
      </c>
      <c r="B251" s="2">
        <v>250</v>
      </c>
      <c r="C251" s="2">
        <v>4</v>
      </c>
    </row>
    <row r="252" spans="1:3" ht="14.25" customHeight="1">
      <c r="A252" s="2">
        <v>8</v>
      </c>
      <c r="B252" s="2">
        <v>251</v>
      </c>
      <c r="C252" s="2">
        <v>4</v>
      </c>
    </row>
    <row r="253" spans="1:3" ht="14.25" customHeight="1">
      <c r="A253" s="2">
        <v>8</v>
      </c>
      <c r="B253" s="2">
        <v>252</v>
      </c>
      <c r="C253" s="2">
        <v>5</v>
      </c>
    </row>
    <row r="254" spans="1:3" ht="14.25" customHeight="1">
      <c r="A254" s="2">
        <v>8</v>
      </c>
      <c r="B254" s="2">
        <v>253</v>
      </c>
      <c r="C254" s="2">
        <v>6</v>
      </c>
    </row>
    <row r="255" spans="1:3" ht="14.25" customHeight="1">
      <c r="A255" s="2">
        <v>8</v>
      </c>
      <c r="B255" s="2">
        <v>254</v>
      </c>
      <c r="C255" s="2">
        <v>7</v>
      </c>
    </row>
    <row r="256" spans="1:3" ht="14.25" customHeight="1">
      <c r="A256" s="2">
        <v>8</v>
      </c>
      <c r="B256" s="2">
        <v>255</v>
      </c>
      <c r="C256" s="2">
        <v>4</v>
      </c>
    </row>
    <row r="257" spans="1:3" ht="14.25" customHeight="1">
      <c r="A257" s="2">
        <v>8</v>
      </c>
      <c r="B257" s="2">
        <v>256</v>
      </c>
      <c r="C257" s="2">
        <v>3</v>
      </c>
    </row>
    <row r="258" spans="1:3" ht="14.25" customHeight="1">
      <c r="A258" s="2">
        <v>8</v>
      </c>
      <c r="B258" s="2">
        <v>257</v>
      </c>
      <c r="C258" s="2">
        <v>2</v>
      </c>
    </row>
    <row r="259" spans="1:3" ht="14.25" customHeight="1">
      <c r="A259" s="2">
        <v>8</v>
      </c>
      <c r="B259" s="2">
        <v>258</v>
      </c>
      <c r="C259" s="2">
        <v>4</v>
      </c>
    </row>
    <row r="260" spans="1:3" ht="14.25" customHeight="1">
      <c r="A260" s="2">
        <v>8</v>
      </c>
      <c r="B260" s="2">
        <v>259</v>
      </c>
      <c r="C260" s="2">
        <v>3</v>
      </c>
    </row>
    <row r="261" spans="1:3" ht="14.25" customHeight="1">
      <c r="A261" s="2">
        <v>8</v>
      </c>
      <c r="B261" s="2">
        <v>260</v>
      </c>
      <c r="C261" s="2">
        <v>6</v>
      </c>
    </row>
    <row r="262" spans="1:3" ht="14.25" customHeight="1">
      <c r="A262" s="2">
        <v>8</v>
      </c>
      <c r="B262" s="2">
        <v>261</v>
      </c>
      <c r="C262" s="2">
        <v>3</v>
      </c>
    </row>
    <row r="263" spans="1:3" ht="14.25" customHeight="1">
      <c r="A263" s="2">
        <v>8</v>
      </c>
      <c r="B263" s="2">
        <v>262</v>
      </c>
      <c r="C263" s="2">
        <v>1</v>
      </c>
    </row>
    <row r="264" spans="1:3" ht="14.25" customHeight="1">
      <c r="A264" s="2">
        <v>8</v>
      </c>
      <c r="B264" s="2">
        <v>263</v>
      </c>
      <c r="C264" s="2">
        <v>4</v>
      </c>
    </row>
    <row r="265" spans="1:3" ht="14.25" customHeight="1">
      <c r="A265" s="2">
        <v>8</v>
      </c>
      <c r="B265" s="2">
        <v>264</v>
      </c>
      <c r="C265" s="2">
        <v>2</v>
      </c>
    </row>
    <row r="266" spans="1:3" ht="14.25" customHeight="1">
      <c r="A266" s="2">
        <v>8</v>
      </c>
      <c r="B266" s="2">
        <v>265</v>
      </c>
      <c r="C266" s="2">
        <v>3</v>
      </c>
    </row>
    <row r="267" spans="1:3" ht="14.25" customHeight="1">
      <c r="A267" s="2">
        <v>8</v>
      </c>
      <c r="B267" s="2">
        <v>266</v>
      </c>
      <c r="C267" s="2">
        <v>2</v>
      </c>
    </row>
    <row r="268" spans="1:3" ht="14.25" customHeight="1">
      <c r="A268" s="2">
        <v>8</v>
      </c>
      <c r="B268" s="2">
        <v>267</v>
      </c>
      <c r="C268" s="2">
        <v>1</v>
      </c>
    </row>
    <row r="269" spans="1:3" ht="14.25" customHeight="1">
      <c r="A269" s="2">
        <v>8</v>
      </c>
      <c r="B269" s="2">
        <v>268</v>
      </c>
      <c r="C269" s="2">
        <v>2</v>
      </c>
    </row>
    <row r="270" spans="1:3" ht="14.25" customHeight="1">
      <c r="A270" s="2">
        <v>8</v>
      </c>
      <c r="B270" s="2">
        <v>269</v>
      </c>
      <c r="C270" s="2">
        <v>5</v>
      </c>
    </row>
    <row r="271" spans="1:3" ht="14.25" customHeight="1">
      <c r="A271" s="2">
        <v>8</v>
      </c>
      <c r="B271" s="2">
        <v>270</v>
      </c>
      <c r="C271" s="2">
        <v>7</v>
      </c>
    </row>
    <row r="272" spans="1:3" ht="14.25" customHeight="1">
      <c r="A272" s="2">
        <v>8</v>
      </c>
      <c r="B272" s="2">
        <v>271</v>
      </c>
      <c r="C272" s="2">
        <v>2</v>
      </c>
    </row>
    <row r="273" spans="1:3" ht="14.25" customHeight="1">
      <c r="A273" s="2">
        <v>8</v>
      </c>
      <c r="B273" s="2">
        <v>272</v>
      </c>
      <c r="C273" s="2">
        <v>4</v>
      </c>
    </row>
    <row r="274" spans="1:3" ht="14.25" customHeight="1">
      <c r="A274" s="2">
        <v>8</v>
      </c>
      <c r="B274" s="2">
        <v>273</v>
      </c>
      <c r="C274" s="2">
        <v>1</v>
      </c>
    </row>
    <row r="275" spans="1:3" ht="14.25" customHeight="1">
      <c r="A275" s="2">
        <v>8</v>
      </c>
      <c r="B275" s="2">
        <v>274</v>
      </c>
      <c r="C275" s="2">
        <v>6</v>
      </c>
    </row>
    <row r="276" spans="1:3" ht="14.25" customHeight="1">
      <c r="A276" s="2">
        <v>8</v>
      </c>
      <c r="B276" s="2">
        <v>275</v>
      </c>
      <c r="C276" s="2">
        <v>1</v>
      </c>
    </row>
    <row r="277" spans="1:3" ht="14.25" customHeight="1">
      <c r="A277" s="2">
        <v>8</v>
      </c>
      <c r="B277" s="2">
        <v>276</v>
      </c>
      <c r="C277" s="2">
        <v>5</v>
      </c>
    </row>
    <row r="278" spans="1:3" ht="14.25" customHeight="1">
      <c r="A278" s="2">
        <v>8</v>
      </c>
      <c r="B278" s="2">
        <v>277</v>
      </c>
      <c r="C278" s="2">
        <v>3</v>
      </c>
    </row>
    <row r="279" spans="1:3" ht="14.25" customHeight="1">
      <c r="A279" s="2">
        <v>8</v>
      </c>
      <c r="B279" s="2">
        <v>278</v>
      </c>
      <c r="C279" s="2">
        <v>2</v>
      </c>
    </row>
    <row r="280" spans="1:3" ht="14.25" customHeight="1">
      <c r="A280" s="2">
        <v>8</v>
      </c>
      <c r="B280" s="2">
        <v>279</v>
      </c>
      <c r="C280" s="2">
        <v>8</v>
      </c>
    </row>
    <row r="281" spans="1:3" ht="14.25" customHeight="1">
      <c r="A281" s="2">
        <v>8</v>
      </c>
      <c r="B281" s="2">
        <v>280</v>
      </c>
      <c r="C281" s="2">
        <v>5</v>
      </c>
    </row>
    <row r="282" spans="1:3" ht="14.25" customHeight="1">
      <c r="A282" s="2">
        <v>8</v>
      </c>
      <c r="B282" s="2">
        <v>281</v>
      </c>
      <c r="C282" s="2">
        <v>1</v>
      </c>
    </row>
    <row r="283" spans="1:3" ht="14.25" customHeight="1">
      <c r="A283" s="2">
        <v>8</v>
      </c>
      <c r="B283" s="2">
        <v>282</v>
      </c>
      <c r="C283" s="2">
        <v>7</v>
      </c>
    </row>
    <row r="284" spans="1:3" ht="14.25" customHeight="1">
      <c r="A284" s="2">
        <v>8</v>
      </c>
      <c r="B284" s="2">
        <v>283</v>
      </c>
      <c r="C284" s="2">
        <v>2</v>
      </c>
    </row>
    <row r="285" spans="1:3" ht="14.25" customHeight="1">
      <c r="A285" s="2">
        <v>8</v>
      </c>
      <c r="B285" s="2">
        <v>284</v>
      </c>
      <c r="C285" s="2">
        <v>7</v>
      </c>
    </row>
    <row r="286" spans="1:3" ht="14.25" customHeight="1">
      <c r="A286" s="2">
        <v>8</v>
      </c>
      <c r="B286" s="2">
        <v>285</v>
      </c>
      <c r="C286" s="2">
        <v>5</v>
      </c>
    </row>
    <row r="287" spans="1:3" ht="14.25" customHeight="1">
      <c r="A287" s="2">
        <v>8</v>
      </c>
      <c r="B287" s="2">
        <v>286</v>
      </c>
      <c r="C287" s="2">
        <v>6</v>
      </c>
    </row>
    <row r="288" spans="1:3" ht="14.25" customHeight="1">
      <c r="A288" s="2">
        <v>8</v>
      </c>
      <c r="B288" s="2">
        <v>287</v>
      </c>
      <c r="C288" s="2">
        <v>8</v>
      </c>
    </row>
    <row r="289" spans="1:4" ht="14.25" customHeight="1">
      <c r="A289" s="2">
        <v>8</v>
      </c>
      <c r="B289" s="2">
        <v>288</v>
      </c>
      <c r="C289" s="2">
        <v>6</v>
      </c>
    </row>
    <row r="290" spans="1:4" ht="14.25" customHeight="1">
      <c r="A290" s="2">
        <v>8</v>
      </c>
      <c r="B290" s="2">
        <v>289</v>
      </c>
      <c r="C290" s="2">
        <v>4</v>
      </c>
    </row>
    <row r="291" spans="1:4" ht="14.25" customHeight="1">
      <c r="A291" s="2">
        <v>8</v>
      </c>
      <c r="B291" s="2">
        <v>290</v>
      </c>
      <c r="C291" s="2">
        <v>8</v>
      </c>
    </row>
    <row r="292" spans="1:4" ht="14.25" customHeight="1">
      <c r="A292" s="2">
        <v>8</v>
      </c>
      <c r="B292" s="2">
        <v>291</v>
      </c>
      <c r="C292" s="2">
        <v>3</v>
      </c>
    </row>
    <row r="293" spans="1:4" ht="14.25" customHeight="1">
      <c r="A293" s="2">
        <v>8</v>
      </c>
      <c r="B293" s="2">
        <v>292</v>
      </c>
      <c r="C293" s="2">
        <v>7</v>
      </c>
    </row>
    <row r="294" spans="1:4" ht="14.25" customHeight="1">
      <c r="A294" s="2">
        <v>8</v>
      </c>
      <c r="B294" s="2">
        <v>293</v>
      </c>
      <c r="C294" s="2">
        <v>8</v>
      </c>
    </row>
    <row r="295" spans="1:4" ht="14.25" customHeight="1">
      <c r="A295" s="2">
        <v>8</v>
      </c>
      <c r="B295" s="2">
        <v>294</v>
      </c>
      <c r="C295" s="2">
        <v>6</v>
      </c>
    </row>
    <row r="296" spans="1:4" ht="14.25" customHeight="1">
      <c r="A296" s="2">
        <v>8</v>
      </c>
      <c r="B296" s="2">
        <v>295</v>
      </c>
      <c r="C296" s="2">
        <v>7</v>
      </c>
    </row>
    <row r="297" spans="1:4" ht="14.25" customHeight="1">
      <c r="A297" s="2">
        <v>8</v>
      </c>
      <c r="B297" s="2">
        <v>296</v>
      </c>
      <c r="C297" s="2">
        <v>5</v>
      </c>
    </row>
    <row r="298" spans="1:4" ht="14.25" customHeight="1">
      <c r="A298" s="2">
        <v>8</v>
      </c>
      <c r="B298" s="2">
        <v>297</v>
      </c>
      <c r="C298" s="2">
        <v>8</v>
      </c>
    </row>
    <row r="299" spans="1:4" ht="14.25" customHeight="1">
      <c r="A299" s="2">
        <v>8</v>
      </c>
      <c r="B299" s="2">
        <v>298</v>
      </c>
      <c r="C299" s="2">
        <v>3</v>
      </c>
    </row>
    <row r="300" spans="1:4" ht="14.25" customHeight="1">
      <c r="A300" s="2">
        <v>8</v>
      </c>
      <c r="B300" s="2">
        <v>299</v>
      </c>
      <c r="C300" s="2">
        <v>1</v>
      </c>
    </row>
    <row r="301" spans="1:4" ht="14.25" customHeight="1">
      <c r="A301" s="2">
        <v>8</v>
      </c>
      <c r="B301" s="2">
        <v>300</v>
      </c>
      <c r="C301" s="2">
        <v>8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14" width="8.6640625" customWidth="1"/>
    <col min="15" max="15" width="14" customWidth="1"/>
    <col min="1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9</v>
      </c>
      <c r="I1" s="2">
        <v>101</v>
      </c>
      <c r="J1" s="2">
        <v>8</v>
      </c>
      <c r="K1" s="2">
        <v>0</v>
      </c>
      <c r="L1" s="2">
        <v>1.3320000000000001</v>
      </c>
      <c r="M1" s="2">
        <v>1</v>
      </c>
    </row>
    <row r="2" spans="1:25" ht="14.25" customHeight="1">
      <c r="A2" s="2">
        <v>9</v>
      </c>
      <c r="B2" s="2">
        <v>1</v>
      </c>
      <c r="C2" s="2">
        <v>2</v>
      </c>
      <c r="E2" s="2">
        <v>2.0019999999999998</v>
      </c>
      <c r="H2" s="2">
        <v>9</v>
      </c>
      <c r="I2" s="2">
        <v>102</v>
      </c>
      <c r="J2" s="2">
        <v>4</v>
      </c>
      <c r="K2" s="2">
        <v>0</v>
      </c>
      <c r="L2" s="2">
        <v>0.70699999999999996</v>
      </c>
      <c r="M2" s="2">
        <v>1</v>
      </c>
    </row>
    <row r="3" spans="1:25" ht="14.25" customHeight="1">
      <c r="A3" s="2">
        <v>9</v>
      </c>
      <c r="B3" s="2">
        <v>2</v>
      </c>
      <c r="C3" s="2">
        <v>4</v>
      </c>
      <c r="D3" s="2">
        <v>0</v>
      </c>
      <c r="E3" s="2">
        <v>0.68</v>
      </c>
      <c r="F3" s="2">
        <v>1</v>
      </c>
      <c r="H3" s="2">
        <v>9</v>
      </c>
      <c r="I3" s="2">
        <v>103</v>
      </c>
      <c r="J3" s="2">
        <v>1</v>
      </c>
      <c r="K3" s="2">
        <v>0</v>
      </c>
      <c r="L3" s="2">
        <v>0.77100000000000002</v>
      </c>
      <c r="M3" s="2">
        <v>1</v>
      </c>
    </row>
    <row r="4" spans="1:25" ht="14.25" customHeight="1">
      <c r="A4" s="2">
        <v>9</v>
      </c>
      <c r="B4" s="2">
        <v>3</v>
      </c>
      <c r="C4" s="2">
        <v>8</v>
      </c>
      <c r="D4" s="2">
        <v>0</v>
      </c>
      <c r="E4" s="2">
        <v>0.94099999999999995</v>
      </c>
      <c r="F4" s="2">
        <v>1</v>
      </c>
      <c r="H4" s="2">
        <v>9</v>
      </c>
      <c r="I4" s="2">
        <v>104</v>
      </c>
      <c r="J4" s="2">
        <v>6</v>
      </c>
      <c r="K4" s="2">
        <v>1</v>
      </c>
      <c r="L4" s="2">
        <v>1.121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9</v>
      </c>
      <c r="B5" s="2">
        <v>4</v>
      </c>
      <c r="C5" s="2">
        <v>3</v>
      </c>
      <c r="D5" s="2">
        <v>0</v>
      </c>
      <c r="E5" s="2">
        <v>1.0369999999999999</v>
      </c>
      <c r="F5" s="2">
        <v>2</v>
      </c>
      <c r="H5" s="2">
        <v>9</v>
      </c>
      <c r="I5" s="2">
        <v>105</v>
      </c>
      <c r="J5" s="2">
        <v>5</v>
      </c>
      <c r="K5" s="2">
        <v>1</v>
      </c>
      <c r="L5" s="2">
        <v>1.456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9</v>
      </c>
      <c r="B6" s="2">
        <v>5</v>
      </c>
      <c r="C6" s="2">
        <v>7</v>
      </c>
      <c r="D6" s="2">
        <v>1</v>
      </c>
      <c r="E6" s="2">
        <v>1.3260000000000001</v>
      </c>
      <c r="F6" s="2">
        <v>2</v>
      </c>
      <c r="H6" s="2">
        <v>9</v>
      </c>
      <c r="I6" s="2">
        <v>106</v>
      </c>
      <c r="J6" s="2">
        <v>3</v>
      </c>
      <c r="K6" s="2">
        <v>1</v>
      </c>
      <c r="L6" s="2">
        <v>0.65800000000000003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9</v>
      </c>
      <c r="B7" s="2">
        <v>6</v>
      </c>
      <c r="C7" s="2">
        <v>2</v>
      </c>
      <c r="D7" s="2">
        <v>0</v>
      </c>
      <c r="E7" s="2">
        <v>0.96599999999999997</v>
      </c>
      <c r="F7" s="2">
        <v>1</v>
      </c>
      <c r="H7" s="2">
        <v>9</v>
      </c>
      <c r="I7" s="2">
        <v>107</v>
      </c>
      <c r="J7" s="2">
        <v>1</v>
      </c>
      <c r="K7" s="2">
        <v>0</v>
      </c>
      <c r="L7" s="2">
        <v>0.75600000000000001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9</v>
      </c>
      <c r="B8" s="2">
        <v>7</v>
      </c>
      <c r="C8" s="2">
        <v>5</v>
      </c>
      <c r="D8" s="2">
        <v>0</v>
      </c>
      <c r="E8" s="2">
        <v>1.276</v>
      </c>
      <c r="F8" s="2">
        <v>2</v>
      </c>
      <c r="H8" s="2">
        <v>9</v>
      </c>
      <c r="I8" s="2">
        <v>108</v>
      </c>
      <c r="J8" s="2">
        <v>3</v>
      </c>
      <c r="K8" s="2">
        <v>0</v>
      </c>
      <c r="L8" s="2">
        <v>1.274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9</v>
      </c>
      <c r="B9" s="2">
        <v>8</v>
      </c>
      <c r="C9" s="2">
        <v>3</v>
      </c>
      <c r="D9" s="2">
        <v>0</v>
      </c>
      <c r="E9" s="2">
        <v>1.4610000000000001</v>
      </c>
      <c r="F9" s="2">
        <v>2</v>
      </c>
      <c r="H9" s="2">
        <v>9</v>
      </c>
      <c r="I9" s="2">
        <v>109</v>
      </c>
      <c r="J9" s="2">
        <v>7</v>
      </c>
      <c r="K9" s="2">
        <v>0</v>
      </c>
      <c r="L9" s="2">
        <v>0.875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9</v>
      </c>
      <c r="B10" s="2">
        <v>9</v>
      </c>
      <c r="C10" s="2">
        <v>1</v>
      </c>
      <c r="D10" s="2">
        <v>1</v>
      </c>
      <c r="E10" s="2">
        <v>1.4950000000000001</v>
      </c>
      <c r="F10" s="2">
        <v>1</v>
      </c>
      <c r="H10" s="2">
        <v>9</v>
      </c>
      <c r="I10" s="2">
        <v>110</v>
      </c>
      <c r="J10" s="2">
        <v>8</v>
      </c>
      <c r="L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9</v>
      </c>
      <c r="B11" s="2">
        <v>10</v>
      </c>
      <c r="C11" s="2">
        <v>7</v>
      </c>
      <c r="D11" s="2">
        <v>1</v>
      </c>
      <c r="E11" s="2">
        <v>0.872</v>
      </c>
      <c r="F11" s="2">
        <v>2</v>
      </c>
      <c r="H11" s="2">
        <v>9</v>
      </c>
      <c r="I11" s="2">
        <v>111</v>
      </c>
      <c r="J11" s="2">
        <v>4</v>
      </c>
      <c r="K11" s="2">
        <v>0</v>
      </c>
      <c r="L11" s="2">
        <v>1.6479999999999999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9</v>
      </c>
      <c r="B12" s="2">
        <v>11</v>
      </c>
      <c r="C12" s="2">
        <v>1</v>
      </c>
      <c r="D12" s="2">
        <v>1</v>
      </c>
      <c r="E12" s="2">
        <v>0.65700000000000003</v>
      </c>
      <c r="F12" s="2">
        <v>1</v>
      </c>
      <c r="H12" s="2">
        <v>9</v>
      </c>
      <c r="I12" s="2">
        <v>112</v>
      </c>
      <c r="J12" s="2">
        <v>1</v>
      </c>
      <c r="K12" s="2">
        <v>1</v>
      </c>
      <c r="L12" s="2">
        <v>0.77900000000000003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9</v>
      </c>
      <c r="B13" s="2">
        <v>12</v>
      </c>
      <c r="C13" s="2">
        <v>3</v>
      </c>
      <c r="D13" s="2">
        <v>1</v>
      </c>
      <c r="E13" s="2">
        <v>0.995</v>
      </c>
      <c r="F13" s="2">
        <v>1</v>
      </c>
      <c r="H13" s="2">
        <v>9</v>
      </c>
      <c r="I13" s="2">
        <v>113</v>
      </c>
      <c r="J13" s="2">
        <v>5</v>
      </c>
      <c r="K13" s="2">
        <v>1</v>
      </c>
      <c r="L13" s="2">
        <v>1.0569999999999999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9</v>
      </c>
      <c r="B14" s="2">
        <v>13</v>
      </c>
      <c r="C14" s="2">
        <v>1</v>
      </c>
      <c r="D14" s="2">
        <v>1</v>
      </c>
      <c r="E14" s="2">
        <v>0.70299999999999996</v>
      </c>
      <c r="F14" s="2">
        <v>1</v>
      </c>
      <c r="H14" s="2">
        <v>9</v>
      </c>
      <c r="I14" s="2">
        <v>114</v>
      </c>
      <c r="J14" s="2">
        <v>1</v>
      </c>
      <c r="K14" s="2">
        <v>0</v>
      </c>
      <c r="L14" s="2">
        <v>1.0580000000000001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9</v>
      </c>
      <c r="B15" s="2">
        <v>14</v>
      </c>
      <c r="C15" s="2">
        <v>3</v>
      </c>
      <c r="D15" s="2">
        <v>1</v>
      </c>
      <c r="E15" s="2">
        <v>0.68799999999999994</v>
      </c>
      <c r="F15" s="2">
        <v>1</v>
      </c>
      <c r="H15" s="2">
        <v>9</v>
      </c>
      <c r="I15" s="2">
        <v>115</v>
      </c>
      <c r="J15" s="2">
        <v>6</v>
      </c>
      <c r="K15" s="2">
        <v>1</v>
      </c>
      <c r="L15" s="2">
        <v>0.89200000000000002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9</v>
      </c>
      <c r="B16" s="2">
        <v>15</v>
      </c>
      <c r="C16" s="2">
        <v>1</v>
      </c>
      <c r="D16" s="2">
        <v>1</v>
      </c>
      <c r="E16" s="2">
        <v>0.69599999999999995</v>
      </c>
      <c r="F16" s="2">
        <v>1</v>
      </c>
      <c r="H16" s="2">
        <v>9</v>
      </c>
      <c r="I16" s="2">
        <v>116</v>
      </c>
      <c r="J16" s="2">
        <v>2</v>
      </c>
      <c r="K16" s="2">
        <v>0</v>
      </c>
      <c r="L16" s="2">
        <v>0.621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9</v>
      </c>
      <c r="B17" s="2">
        <v>16</v>
      </c>
      <c r="C17" s="2">
        <v>5</v>
      </c>
      <c r="D17" s="2">
        <v>0</v>
      </c>
      <c r="E17" s="2">
        <v>0.97699999999999998</v>
      </c>
      <c r="F17" s="2">
        <v>2</v>
      </c>
      <c r="H17" s="2">
        <v>9</v>
      </c>
      <c r="I17" s="2">
        <v>117</v>
      </c>
      <c r="J17" s="2">
        <v>7</v>
      </c>
      <c r="K17" s="2">
        <v>1</v>
      </c>
      <c r="L17" s="2">
        <v>1.0089999999999999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13.3225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1.9599999999999997</v>
      </c>
      <c r="R17" s="3">
        <f t="shared" ref="R17:R22" si="3">(R6*COUNTIF($J$1:$J$101,R$16) - COUNTIFS($J$1:$J$101,R$16,$K$1:$K$101,"=1"))^2</f>
        <v>13.322499999999996</v>
      </c>
      <c r="S17" s="3">
        <f t="shared" ref="S17:T17" si="4">(S6*COUNTIF($J$1:$J$101,S$16) - COUNTIFS($J$1:$J$101,S$16,$K$1:$K$101,"=0"))^2</f>
        <v>0.48999999999999994</v>
      </c>
      <c r="T17" s="3">
        <f t="shared" si="4"/>
        <v>7.2900000000000009</v>
      </c>
      <c r="U17" s="3">
        <f t="shared" ref="U17:V17" si="5">(U6*COUNTIF($J$1:$J$101,U$16) - COUNTIFS($J$1:$J$101,U$16,$K$1:$K$101,"=1"))^2</f>
        <v>2.8899999999999975</v>
      </c>
      <c r="V17" s="3">
        <f t="shared" si="5"/>
        <v>13.689999999999994</v>
      </c>
      <c r="W17" s="4"/>
      <c r="X17" s="4"/>
      <c r="Y17" s="4"/>
    </row>
    <row r="18" spans="1:25" ht="14.25" customHeight="1">
      <c r="A18" s="2">
        <v>9</v>
      </c>
      <c r="B18" s="2">
        <v>17</v>
      </c>
      <c r="C18" s="2">
        <v>8</v>
      </c>
      <c r="D18" s="2">
        <v>1</v>
      </c>
      <c r="E18" s="2">
        <v>0.80600000000000005</v>
      </c>
      <c r="F18" s="2">
        <v>2</v>
      </c>
      <c r="H18" s="2">
        <v>9</v>
      </c>
      <c r="I18" s="2">
        <v>118</v>
      </c>
      <c r="J18" s="2">
        <v>1</v>
      </c>
      <c r="K18" s="2">
        <v>1</v>
      </c>
      <c r="L18" s="2">
        <v>0.59599999999999997</v>
      </c>
      <c r="M18" s="2">
        <v>1</v>
      </c>
      <c r="N18" s="3">
        <v>2</v>
      </c>
      <c r="O18" s="3">
        <f t="shared" si="0"/>
        <v>13.3225</v>
      </c>
      <c r="P18" s="3">
        <f t="shared" si="1"/>
        <v>7.2900000000000009</v>
      </c>
      <c r="Q18" s="6">
        <f t="shared" si="2"/>
        <v>16</v>
      </c>
      <c r="R18" s="3">
        <f t="shared" si="3"/>
        <v>13.322499999999996</v>
      </c>
      <c r="S18" s="6">
        <f t="shared" ref="S18:T18" si="6">(S7*COUNTIF($J$1:$J$101,S$16) - COUNTIFS($J$1:$J$101,S$16,$K$1:$K$101,"=0"))^2</f>
        <v>0.48999999999999994</v>
      </c>
      <c r="T18" s="6">
        <f t="shared" si="6"/>
        <v>7.2900000000000009</v>
      </c>
      <c r="U18" s="6">
        <f t="shared" ref="U18:V18" si="7">(U7*COUNTIF($J$1:$J$101,U$16) - COUNTIFS($J$1:$J$101,U$16,$K$1:$K$101,"=1"))^2</f>
        <v>2.8899999999999975</v>
      </c>
      <c r="V18" s="6">
        <f t="shared" si="7"/>
        <v>13.689999999999994</v>
      </c>
      <c r="W18" s="4"/>
      <c r="X18" s="4"/>
      <c r="Y18" s="4"/>
    </row>
    <row r="19" spans="1:25" ht="14.25" customHeight="1">
      <c r="A19" s="2">
        <v>9</v>
      </c>
      <c r="B19" s="2">
        <v>18</v>
      </c>
      <c r="C19" s="2">
        <v>6</v>
      </c>
      <c r="D19" s="2">
        <v>0</v>
      </c>
      <c r="E19" s="2">
        <v>0.874</v>
      </c>
      <c r="F19" s="2">
        <v>2</v>
      </c>
      <c r="H19" s="2">
        <v>9</v>
      </c>
      <c r="I19" s="2">
        <v>119</v>
      </c>
      <c r="J19" s="2">
        <v>6</v>
      </c>
      <c r="K19" s="2">
        <v>0</v>
      </c>
      <c r="L19" s="2">
        <v>0.71299999999999997</v>
      </c>
      <c r="M19" s="2">
        <v>1</v>
      </c>
      <c r="N19" s="3">
        <v>3</v>
      </c>
      <c r="O19" s="3">
        <f t="shared" si="0"/>
        <v>13.3225</v>
      </c>
      <c r="P19" s="3">
        <f t="shared" si="1"/>
        <v>7.2899999999999965</v>
      </c>
      <c r="Q19" s="3">
        <f t="shared" si="2"/>
        <v>1.9599999999999997</v>
      </c>
      <c r="R19" s="3">
        <f t="shared" si="3"/>
        <v>13.322499999999996</v>
      </c>
      <c r="S19" s="6">
        <f t="shared" ref="S19:T19" si="8">(S8*COUNTIF($J$1:$J$101,S$16) - COUNTIFS($J$1:$J$101,S$16,$K$1:$K$101,"=0"))^2</f>
        <v>0.48999999999999994</v>
      </c>
      <c r="T19" s="6">
        <f t="shared" si="8"/>
        <v>7.2899999999999965</v>
      </c>
      <c r="U19" s="3">
        <f t="shared" ref="U19:V19" si="9">(U8*COUNTIF($J$1:$J$101,U$16) - COUNTIFS($J$1:$J$101,U$16,$K$1:$K$101,"=1"))^2</f>
        <v>13.690000000000001</v>
      </c>
      <c r="V19" s="6">
        <f t="shared" si="9"/>
        <v>13.689999999999994</v>
      </c>
      <c r="W19" s="4"/>
      <c r="X19" s="4"/>
      <c r="Y19" s="4"/>
    </row>
    <row r="20" spans="1:25" ht="14.25" customHeight="1">
      <c r="A20" s="2">
        <v>9</v>
      </c>
      <c r="B20" s="2">
        <v>19</v>
      </c>
      <c r="C20" s="2">
        <v>2</v>
      </c>
      <c r="D20" s="2">
        <v>0</v>
      </c>
      <c r="E20" s="2">
        <v>0.83499999999999996</v>
      </c>
      <c r="F20" s="2">
        <v>1</v>
      </c>
      <c r="H20" s="2">
        <v>9</v>
      </c>
      <c r="I20" s="2">
        <v>120</v>
      </c>
      <c r="J20" s="2">
        <v>5</v>
      </c>
      <c r="K20" s="2">
        <v>0</v>
      </c>
      <c r="L20" s="2">
        <v>1.649</v>
      </c>
      <c r="M20" s="2">
        <v>1</v>
      </c>
      <c r="N20" s="3">
        <v>4</v>
      </c>
      <c r="O20" s="3">
        <f t="shared" si="0"/>
        <v>0.25</v>
      </c>
      <c r="P20" s="3">
        <f t="shared" si="1"/>
        <v>0</v>
      </c>
      <c r="Q20" s="3">
        <f t="shared" si="2"/>
        <v>1</v>
      </c>
      <c r="R20" s="3">
        <f t="shared" si="3"/>
        <v>0.25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7.2900000000000009</v>
      </c>
      <c r="U20" s="6">
        <f t="shared" ref="U20:V20" si="11">(U9*COUNTIF($J$1:$J$101,U$16) - COUNTIFS($J$1:$J$101,U$16,$K$1:$K$101,"=1"))^2</f>
        <v>2.8899999999999975</v>
      </c>
      <c r="V20" s="6">
        <f t="shared" si="11"/>
        <v>13.689999999999994</v>
      </c>
      <c r="W20" s="4"/>
      <c r="X20" s="4"/>
      <c r="Y20" s="4"/>
    </row>
    <row r="21" spans="1:25" ht="14.25" customHeight="1">
      <c r="A21" s="2">
        <v>9</v>
      </c>
      <c r="B21" s="2">
        <v>20</v>
      </c>
      <c r="C21" s="2">
        <v>4</v>
      </c>
      <c r="D21" s="2">
        <v>0</v>
      </c>
      <c r="E21" s="2">
        <v>1.75</v>
      </c>
      <c r="F21" s="2">
        <v>1</v>
      </c>
      <c r="H21" s="2">
        <v>9</v>
      </c>
      <c r="I21" s="2">
        <v>121</v>
      </c>
      <c r="J21" s="2">
        <v>1</v>
      </c>
      <c r="K21" s="2">
        <v>0</v>
      </c>
      <c r="L21" s="2">
        <v>0.83599999999999997</v>
      </c>
      <c r="M21" s="2">
        <v>2</v>
      </c>
      <c r="N21" s="3">
        <v>5</v>
      </c>
      <c r="O21" s="3">
        <f t="shared" si="0"/>
        <v>13.3225</v>
      </c>
      <c r="P21" s="3">
        <f t="shared" si="1"/>
        <v>7.2899999999999965</v>
      </c>
      <c r="Q21" s="3">
        <f t="shared" si="2"/>
        <v>1.9599999999999997</v>
      </c>
      <c r="R21" s="3">
        <f t="shared" si="3"/>
        <v>13.322499999999996</v>
      </c>
      <c r="S21" s="6">
        <f t="shared" ref="S21:T21" si="12">(S10*COUNTIF($J$1:$J$101,S$16) - COUNTIFS($J$1:$J$101,S$16,$K$1:$K$101,"=0"))^2</f>
        <v>4</v>
      </c>
      <c r="T21" s="6">
        <f t="shared" si="12"/>
        <v>0</v>
      </c>
      <c r="U21" s="6">
        <f t="shared" ref="U21:V21" si="13">(U10*COUNTIF($J$1:$J$101,U$16) - COUNTIFS($J$1:$J$101,U$16,$K$1:$K$101,"=1"))^2</f>
        <v>1</v>
      </c>
      <c r="V21" s="6">
        <f t="shared" si="13"/>
        <v>1</v>
      </c>
      <c r="W21" s="4"/>
      <c r="X21" s="4"/>
      <c r="Y21" s="4"/>
    </row>
    <row r="22" spans="1:25" ht="14.25" customHeight="1">
      <c r="A22" s="2">
        <v>9</v>
      </c>
      <c r="B22" s="2">
        <v>21</v>
      </c>
      <c r="C22" s="2">
        <v>3</v>
      </c>
      <c r="D22" s="2">
        <v>0</v>
      </c>
      <c r="E22" s="2">
        <v>0.60399999999999998</v>
      </c>
      <c r="F22" s="2">
        <v>2</v>
      </c>
      <c r="H22" s="2">
        <v>9</v>
      </c>
      <c r="I22" s="2">
        <v>122</v>
      </c>
      <c r="J22" s="2">
        <v>2</v>
      </c>
      <c r="K22" s="2">
        <v>0</v>
      </c>
      <c r="L22" s="2">
        <v>0.54200000000000004</v>
      </c>
      <c r="M22" s="2">
        <v>1</v>
      </c>
      <c r="N22" s="3">
        <v>6</v>
      </c>
      <c r="O22" s="3">
        <f t="shared" si="0"/>
        <v>0.25</v>
      </c>
      <c r="P22" s="3">
        <f t="shared" si="1"/>
        <v>0</v>
      </c>
      <c r="Q22" s="3">
        <f t="shared" si="2"/>
        <v>1</v>
      </c>
      <c r="R22" s="3">
        <f t="shared" si="3"/>
        <v>0.25</v>
      </c>
      <c r="S22" s="6">
        <f t="shared" ref="S22:T22" si="14">(S11*COUNTIF($J$1:$J$101,S$16) - COUNTIFS($J$1:$J$101,S$16,$K$1:$K$101,"=0"))^2</f>
        <v>4</v>
      </c>
      <c r="T22" s="6">
        <f t="shared" si="14"/>
        <v>0</v>
      </c>
      <c r="U22" s="6">
        <f t="shared" ref="U22:V22" si="15">(U11*COUNTIF($J$1:$J$101,U$16) - COUNTIFS($J$1:$J$101,U$16,$K$1:$K$101,"=1"))^2</f>
        <v>1</v>
      </c>
      <c r="V22" s="6">
        <f t="shared" si="15"/>
        <v>1</v>
      </c>
      <c r="W22" s="4"/>
      <c r="X22" s="4"/>
      <c r="Y22" s="4"/>
    </row>
    <row r="23" spans="1:25" ht="14.25" customHeight="1">
      <c r="A23" s="2">
        <v>9</v>
      </c>
      <c r="B23" s="2">
        <v>22</v>
      </c>
      <c r="C23" s="2">
        <v>8</v>
      </c>
      <c r="D23" s="2">
        <v>1</v>
      </c>
      <c r="E23" s="2">
        <v>1.232</v>
      </c>
      <c r="F23" s="2">
        <v>2</v>
      </c>
      <c r="H23" s="2">
        <v>9</v>
      </c>
      <c r="I23" s="2">
        <v>123</v>
      </c>
      <c r="J23" s="2">
        <v>8</v>
      </c>
      <c r="K23" s="2">
        <v>1</v>
      </c>
      <c r="L23" s="2">
        <v>0.86099999999999999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9</v>
      </c>
      <c r="B24" s="2">
        <v>23</v>
      </c>
      <c r="C24" s="2">
        <v>4</v>
      </c>
      <c r="D24" s="2">
        <v>0</v>
      </c>
      <c r="E24" s="2">
        <v>0.72299999999999998</v>
      </c>
      <c r="F24" s="2">
        <v>1</v>
      </c>
      <c r="H24" s="2">
        <v>9</v>
      </c>
      <c r="I24" s="2">
        <v>124</v>
      </c>
      <c r="J24" s="2">
        <v>3</v>
      </c>
      <c r="K24" s="2">
        <v>0</v>
      </c>
      <c r="L24" s="2">
        <v>1.4630000000000001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9</v>
      </c>
      <c r="B25" s="2">
        <v>24</v>
      </c>
      <c r="C25" s="2">
        <v>7</v>
      </c>
      <c r="D25" s="2">
        <v>0</v>
      </c>
      <c r="E25" s="2">
        <v>0.97899999999999998</v>
      </c>
      <c r="F25" s="2">
        <v>1</v>
      </c>
      <c r="H25" s="2">
        <v>9</v>
      </c>
      <c r="I25" s="2">
        <v>125</v>
      </c>
      <c r="J25" s="2">
        <v>6</v>
      </c>
      <c r="K25" s="2">
        <v>0</v>
      </c>
      <c r="L25" s="2">
        <v>0.93700000000000006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9</v>
      </c>
      <c r="B26" s="2">
        <v>25</v>
      </c>
      <c r="C26" s="2">
        <v>2</v>
      </c>
      <c r="D26" s="2">
        <v>0</v>
      </c>
      <c r="E26" s="2">
        <v>0.69699999999999995</v>
      </c>
      <c r="F26" s="2">
        <v>1</v>
      </c>
      <c r="H26" s="2">
        <v>9</v>
      </c>
      <c r="I26" s="2">
        <v>126</v>
      </c>
      <c r="J26" s="2">
        <v>5</v>
      </c>
      <c r="K26" s="2">
        <v>1</v>
      </c>
      <c r="L26" s="2">
        <v>0.56000000000000005</v>
      </c>
      <c r="M26" s="2">
        <v>2</v>
      </c>
      <c r="N26" s="4"/>
      <c r="O26" s="3">
        <f t="shared" ref="O26:V26" si="16">COUNTIF($J$1:$J$102,O16)*COUNTIF($J$1:$J$102,O16)</f>
        <v>49</v>
      </c>
      <c r="P26" s="3">
        <f t="shared" si="16"/>
        <v>36</v>
      </c>
      <c r="Q26" s="3">
        <f t="shared" si="16"/>
        <v>36</v>
      </c>
      <c r="R26" s="3">
        <f t="shared" si="16"/>
        <v>49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9</v>
      </c>
      <c r="B27" s="2">
        <v>26</v>
      </c>
      <c r="C27" s="2">
        <v>8</v>
      </c>
      <c r="D27" s="2">
        <v>1</v>
      </c>
      <c r="E27" s="2">
        <v>1.129</v>
      </c>
      <c r="F27" s="2">
        <v>2</v>
      </c>
      <c r="H27" s="2">
        <v>9</v>
      </c>
      <c r="I27" s="2">
        <v>127</v>
      </c>
      <c r="J27" s="2">
        <v>7</v>
      </c>
      <c r="K27" s="2">
        <v>0</v>
      </c>
      <c r="L27" s="2">
        <v>0.87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9</v>
      </c>
      <c r="B28" s="2">
        <v>27</v>
      </c>
      <c r="C28" s="2">
        <v>4</v>
      </c>
      <c r="D28" s="2">
        <v>1</v>
      </c>
      <c r="E28" s="2">
        <v>0.53700000000000003</v>
      </c>
      <c r="F28" s="2">
        <v>2</v>
      </c>
      <c r="H28" s="2">
        <v>9</v>
      </c>
      <c r="I28" s="2">
        <v>128</v>
      </c>
      <c r="J28" s="2">
        <v>5</v>
      </c>
      <c r="K28" s="2">
        <v>1</v>
      </c>
      <c r="L28" s="2">
        <v>1.5349999999999999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9</v>
      </c>
      <c r="B29" s="2">
        <v>28</v>
      </c>
      <c r="C29" s="2">
        <v>1</v>
      </c>
      <c r="D29" s="2">
        <v>0</v>
      </c>
      <c r="E29" s="2">
        <v>1.0629999999999999</v>
      </c>
      <c r="F29" s="2">
        <v>2</v>
      </c>
      <c r="H29" s="2">
        <v>9</v>
      </c>
      <c r="I29" s="2">
        <v>129</v>
      </c>
      <c r="J29" s="2">
        <v>7</v>
      </c>
      <c r="K29" s="2">
        <v>1</v>
      </c>
      <c r="L29" s="2">
        <v>1.294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9</v>
      </c>
      <c r="B30" s="2">
        <v>29</v>
      </c>
      <c r="C30" s="2">
        <v>6</v>
      </c>
      <c r="D30" s="2">
        <v>0</v>
      </c>
      <c r="E30" s="2">
        <v>0.77700000000000002</v>
      </c>
      <c r="F30" s="2">
        <v>2</v>
      </c>
      <c r="H30" s="2">
        <v>9</v>
      </c>
      <c r="I30" s="2">
        <v>130</v>
      </c>
      <c r="J30" s="2">
        <v>2</v>
      </c>
      <c r="K30" s="2">
        <v>1</v>
      </c>
      <c r="L30" s="2">
        <v>1.006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9</v>
      </c>
      <c r="B31" s="2">
        <v>30</v>
      </c>
      <c r="C31" s="2">
        <v>7</v>
      </c>
      <c r="D31" s="2">
        <v>0</v>
      </c>
      <c r="E31" s="2">
        <v>0.85399999999999998</v>
      </c>
      <c r="F31" s="2">
        <v>1</v>
      </c>
      <c r="H31" s="2">
        <v>9</v>
      </c>
      <c r="I31" s="2">
        <v>131</v>
      </c>
      <c r="J31" s="2">
        <v>8</v>
      </c>
      <c r="K31" s="2">
        <v>0</v>
      </c>
      <c r="L31" s="2">
        <v>0.61799999999999999</v>
      </c>
      <c r="M31" s="2">
        <v>2</v>
      </c>
      <c r="N31" s="3">
        <v>1</v>
      </c>
      <c r="O31" s="3">
        <f t="shared" ref="O31:O36" si="17">SUM(O17:V17)/SUM(O$26:V$26)</f>
        <v>0.19189490445859872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9</v>
      </c>
      <c r="B32" s="2">
        <v>31</v>
      </c>
      <c r="C32" s="2">
        <v>3</v>
      </c>
      <c r="D32" s="2">
        <v>0</v>
      </c>
      <c r="E32" s="2">
        <v>1.464</v>
      </c>
      <c r="F32" s="2">
        <v>2</v>
      </c>
      <c r="H32" s="2">
        <v>9</v>
      </c>
      <c r="I32" s="2">
        <v>132</v>
      </c>
      <c r="J32" s="2">
        <v>4</v>
      </c>
      <c r="K32" s="2">
        <v>1</v>
      </c>
      <c r="L32" s="2">
        <v>0.94299999999999995</v>
      </c>
      <c r="M32" s="2">
        <v>1</v>
      </c>
      <c r="N32" s="3">
        <v>2</v>
      </c>
      <c r="O32" s="3">
        <f t="shared" si="17"/>
        <v>0.23660828025477704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9</v>
      </c>
      <c r="B33" s="2">
        <v>32</v>
      </c>
      <c r="C33" s="2">
        <v>6</v>
      </c>
      <c r="D33" s="2">
        <v>1</v>
      </c>
      <c r="E33" s="2">
        <v>1.883</v>
      </c>
      <c r="F33" s="2">
        <v>1</v>
      </c>
      <c r="H33" s="2">
        <v>9</v>
      </c>
      <c r="I33" s="2">
        <v>133</v>
      </c>
      <c r="J33" s="2">
        <v>3</v>
      </c>
      <c r="K33" s="2">
        <v>1</v>
      </c>
      <c r="L33" s="2">
        <v>0.83699999999999997</v>
      </c>
      <c r="M33" s="2">
        <v>2</v>
      </c>
      <c r="N33" s="3">
        <v>3</v>
      </c>
      <c r="O33" s="3">
        <f t="shared" si="17"/>
        <v>0.22628980891719744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9</v>
      </c>
      <c r="B34" s="2">
        <v>33</v>
      </c>
      <c r="C34" s="2">
        <v>7</v>
      </c>
      <c r="D34" s="2">
        <v>1</v>
      </c>
      <c r="E34" s="2">
        <v>0.92400000000000004</v>
      </c>
      <c r="F34" s="2">
        <v>2</v>
      </c>
      <c r="H34" s="2">
        <v>9</v>
      </c>
      <c r="I34" s="2">
        <v>134</v>
      </c>
      <c r="J34" s="2">
        <v>4</v>
      </c>
      <c r="K34" s="2">
        <v>1</v>
      </c>
      <c r="L34" s="2">
        <v>1.3280000000000001</v>
      </c>
      <c r="M34" s="2">
        <v>2</v>
      </c>
      <c r="N34" s="3">
        <v>4</v>
      </c>
      <c r="O34" s="3">
        <f t="shared" si="17"/>
        <v>8.2356687898089143E-2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9</v>
      </c>
      <c r="B35" s="2">
        <v>34</v>
      </c>
      <c r="C35" s="2">
        <v>4</v>
      </c>
      <c r="D35" s="2">
        <v>1</v>
      </c>
      <c r="E35" s="2">
        <v>1.5629999999999999</v>
      </c>
      <c r="F35" s="2">
        <v>2</v>
      </c>
      <c r="H35" s="2">
        <v>9</v>
      </c>
      <c r="I35" s="2">
        <v>135</v>
      </c>
      <c r="J35" s="2">
        <v>7</v>
      </c>
      <c r="K35" s="2">
        <v>1</v>
      </c>
      <c r="L35" s="2">
        <v>0.79100000000000004</v>
      </c>
      <c r="M35" s="2">
        <v>1</v>
      </c>
      <c r="N35" s="3">
        <v>5</v>
      </c>
      <c r="O35" s="3">
        <f t="shared" si="17"/>
        <v>0.13342356687898088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9</v>
      </c>
      <c r="B36" s="2">
        <v>35</v>
      </c>
      <c r="C36" s="2">
        <v>6</v>
      </c>
      <c r="D36" s="2">
        <v>1</v>
      </c>
      <c r="E36" s="2">
        <v>0.83299999999999996</v>
      </c>
      <c r="F36" s="2">
        <v>1</v>
      </c>
      <c r="H36" s="2">
        <v>9</v>
      </c>
      <c r="I36" s="2">
        <v>136</v>
      </c>
      <c r="J36" s="2">
        <v>8</v>
      </c>
      <c r="K36" s="2">
        <v>1</v>
      </c>
      <c r="L36" s="2">
        <v>0.98799999999999999</v>
      </c>
      <c r="M36" s="2">
        <v>2</v>
      </c>
      <c r="N36" s="3">
        <v>6</v>
      </c>
      <c r="O36" s="3">
        <f t="shared" si="17"/>
        <v>2.3885350318471339E-2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9</v>
      </c>
      <c r="B37" s="2">
        <v>36</v>
      </c>
      <c r="C37" s="2">
        <v>2</v>
      </c>
      <c r="D37" s="2">
        <v>0</v>
      </c>
      <c r="E37" s="2">
        <v>0.96499999999999997</v>
      </c>
      <c r="F37" s="2">
        <v>1</v>
      </c>
      <c r="H37" s="2">
        <v>9</v>
      </c>
      <c r="I37" s="2">
        <v>137</v>
      </c>
      <c r="J37" s="2">
        <v>1</v>
      </c>
      <c r="K37" s="2">
        <v>1</v>
      </c>
      <c r="L37" s="2">
        <v>1.345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9</v>
      </c>
      <c r="B38" s="2">
        <v>37</v>
      </c>
      <c r="C38" s="2">
        <v>6</v>
      </c>
      <c r="D38" s="2">
        <v>0</v>
      </c>
      <c r="E38" s="2">
        <v>0.77100000000000002</v>
      </c>
      <c r="F38" s="2">
        <v>2</v>
      </c>
      <c r="H38" s="2">
        <v>9</v>
      </c>
      <c r="I38" s="2">
        <v>138</v>
      </c>
      <c r="J38" s="2">
        <v>3</v>
      </c>
      <c r="K38" s="2">
        <v>1</v>
      </c>
      <c r="L38" s="2">
        <v>1.0229999999999999</v>
      </c>
      <c r="M38" s="2">
        <v>1</v>
      </c>
    </row>
    <row r="39" spans="1:25" ht="14.25" customHeight="1">
      <c r="A39" s="2">
        <v>9</v>
      </c>
      <c r="B39" s="2">
        <v>38</v>
      </c>
      <c r="C39" s="2">
        <v>5</v>
      </c>
      <c r="D39" s="2">
        <v>1</v>
      </c>
      <c r="E39" s="2">
        <v>1.264</v>
      </c>
      <c r="F39" s="2">
        <v>1</v>
      </c>
      <c r="H39" s="2">
        <v>9</v>
      </c>
      <c r="I39" s="2">
        <v>139</v>
      </c>
      <c r="J39" s="2">
        <v>4</v>
      </c>
      <c r="K39" s="2">
        <v>0</v>
      </c>
      <c r="L39" s="2">
        <v>1.17</v>
      </c>
      <c r="M39" s="2">
        <v>2</v>
      </c>
    </row>
    <row r="40" spans="1:25" ht="14.25" customHeight="1">
      <c r="A40" s="2">
        <v>9</v>
      </c>
      <c r="B40" s="2">
        <v>39</v>
      </c>
      <c r="C40" s="2">
        <v>1</v>
      </c>
      <c r="D40" s="2">
        <v>1</v>
      </c>
      <c r="E40" s="2">
        <v>0.85</v>
      </c>
      <c r="F40" s="2">
        <v>1</v>
      </c>
      <c r="H40" s="2">
        <v>9</v>
      </c>
      <c r="I40" s="2">
        <v>140</v>
      </c>
      <c r="J40" s="2">
        <v>6</v>
      </c>
      <c r="K40" s="2">
        <v>1</v>
      </c>
      <c r="L40" s="2">
        <v>1.696</v>
      </c>
      <c r="M40" s="2">
        <v>1</v>
      </c>
    </row>
    <row r="41" spans="1:25" ht="14.25" customHeight="1">
      <c r="A41" s="2">
        <v>9</v>
      </c>
      <c r="B41" s="2">
        <v>40</v>
      </c>
      <c r="C41" s="2">
        <v>5</v>
      </c>
      <c r="D41" s="2">
        <v>0</v>
      </c>
      <c r="E41" s="2">
        <v>1.524</v>
      </c>
      <c r="F41" s="2">
        <v>2</v>
      </c>
      <c r="H41" s="2">
        <v>9</v>
      </c>
      <c r="I41" s="2">
        <v>141</v>
      </c>
      <c r="J41" s="2">
        <v>4</v>
      </c>
      <c r="K41" s="2">
        <v>1</v>
      </c>
      <c r="L41" s="2">
        <v>0.83199999999999996</v>
      </c>
      <c r="M41" s="2">
        <v>2</v>
      </c>
    </row>
    <row r="42" spans="1:25" ht="14.25" customHeight="1">
      <c r="A42" s="2">
        <v>9</v>
      </c>
      <c r="B42" s="2">
        <v>41</v>
      </c>
      <c r="C42" s="2">
        <v>8</v>
      </c>
      <c r="D42" s="2">
        <v>1</v>
      </c>
      <c r="E42" s="2">
        <v>0.91600000000000004</v>
      </c>
      <c r="F42" s="2">
        <v>2</v>
      </c>
      <c r="H42" s="2">
        <v>9</v>
      </c>
      <c r="I42" s="2">
        <v>142</v>
      </c>
      <c r="J42" s="2">
        <v>3</v>
      </c>
      <c r="K42" s="2">
        <v>1</v>
      </c>
      <c r="L42" s="2">
        <v>0.68400000000000005</v>
      </c>
      <c r="M42" s="2">
        <v>2</v>
      </c>
    </row>
    <row r="43" spans="1:25" ht="14.25" customHeight="1">
      <c r="A43" s="2">
        <v>9</v>
      </c>
      <c r="B43" s="2">
        <v>42</v>
      </c>
      <c r="C43" s="2">
        <v>7</v>
      </c>
      <c r="D43" s="2">
        <v>1</v>
      </c>
      <c r="E43" s="2">
        <v>0.76400000000000001</v>
      </c>
      <c r="F43" s="2">
        <v>2</v>
      </c>
      <c r="H43" s="2">
        <v>9</v>
      </c>
      <c r="I43" s="2">
        <v>143</v>
      </c>
      <c r="J43" s="2">
        <v>6</v>
      </c>
      <c r="K43" s="2">
        <v>0</v>
      </c>
      <c r="L43" s="2">
        <v>0.73299999999999998</v>
      </c>
      <c r="M43" s="2">
        <v>1</v>
      </c>
    </row>
    <row r="44" spans="1:25" ht="14.25" customHeight="1">
      <c r="A44" s="2">
        <v>9</v>
      </c>
      <c r="B44" s="2">
        <v>43</v>
      </c>
      <c r="C44" s="2">
        <v>2</v>
      </c>
      <c r="D44" s="2">
        <v>0</v>
      </c>
      <c r="E44" s="2">
        <v>1.01</v>
      </c>
      <c r="F44" s="2">
        <v>1</v>
      </c>
      <c r="H44" s="2">
        <v>9</v>
      </c>
      <c r="I44" s="2">
        <v>144</v>
      </c>
      <c r="J44" s="2">
        <v>2</v>
      </c>
      <c r="K44" s="2">
        <v>0</v>
      </c>
      <c r="L44" s="2">
        <v>0.80400000000000005</v>
      </c>
      <c r="M44" s="2">
        <v>2</v>
      </c>
    </row>
    <row r="45" spans="1:25" ht="14.25" customHeight="1">
      <c r="A45" s="2">
        <v>9</v>
      </c>
      <c r="B45" s="2">
        <v>44</v>
      </c>
      <c r="C45" s="2">
        <v>1</v>
      </c>
      <c r="D45" s="2">
        <v>0</v>
      </c>
      <c r="E45" s="2">
        <v>0.80500000000000005</v>
      </c>
      <c r="F45" s="2">
        <v>2</v>
      </c>
      <c r="H45" s="2">
        <v>9</v>
      </c>
      <c r="I45" s="2">
        <v>145</v>
      </c>
      <c r="J45" s="2">
        <v>4</v>
      </c>
      <c r="K45" s="2">
        <v>0</v>
      </c>
      <c r="L45" s="2">
        <v>1.9690000000000001</v>
      </c>
      <c r="M45" s="2">
        <v>2</v>
      </c>
    </row>
    <row r="46" spans="1:25" ht="14.25" customHeight="1">
      <c r="A46" s="2">
        <v>9</v>
      </c>
      <c r="B46" s="2">
        <v>45</v>
      </c>
      <c r="C46" s="2">
        <v>6</v>
      </c>
      <c r="D46" s="2">
        <v>1</v>
      </c>
      <c r="E46" s="2">
        <v>1.5780000000000001</v>
      </c>
      <c r="F46" s="2">
        <v>1</v>
      </c>
      <c r="H46" s="2">
        <v>9</v>
      </c>
      <c r="I46" s="2">
        <v>146</v>
      </c>
      <c r="J46" s="2">
        <v>7</v>
      </c>
      <c r="K46" s="2">
        <v>1</v>
      </c>
      <c r="L46" s="2">
        <v>1.006</v>
      </c>
      <c r="M46" s="2">
        <v>2</v>
      </c>
    </row>
    <row r="47" spans="1:25" ht="14.25" customHeight="1">
      <c r="A47" s="2">
        <v>9</v>
      </c>
      <c r="B47" s="2">
        <v>46</v>
      </c>
      <c r="C47" s="2">
        <v>4</v>
      </c>
      <c r="D47" s="2">
        <v>0</v>
      </c>
      <c r="E47" s="2">
        <v>0.74299999999999999</v>
      </c>
      <c r="F47" s="2">
        <v>1</v>
      </c>
      <c r="H47" s="2">
        <v>9</v>
      </c>
      <c r="I47" s="2">
        <v>147</v>
      </c>
      <c r="J47" s="2">
        <v>2</v>
      </c>
      <c r="K47" s="2">
        <v>1</v>
      </c>
      <c r="L47" s="2">
        <v>1.466</v>
      </c>
      <c r="M47" s="2">
        <v>1</v>
      </c>
    </row>
    <row r="48" spans="1:25" ht="14.25" customHeight="1">
      <c r="A48" s="2">
        <v>9</v>
      </c>
      <c r="B48" s="2">
        <v>47</v>
      </c>
      <c r="C48" s="2">
        <v>5</v>
      </c>
      <c r="D48" s="2">
        <v>0</v>
      </c>
      <c r="E48" s="2">
        <v>1.206</v>
      </c>
      <c r="F48" s="2">
        <v>2</v>
      </c>
      <c r="H48" s="2">
        <v>9</v>
      </c>
      <c r="I48" s="2">
        <v>148</v>
      </c>
      <c r="J48" s="2">
        <v>8</v>
      </c>
      <c r="K48" s="2">
        <v>0</v>
      </c>
      <c r="L48" s="2">
        <v>1.4359999999999999</v>
      </c>
      <c r="M48" s="2">
        <v>1</v>
      </c>
    </row>
    <row r="49" spans="1:13" ht="14.25" customHeight="1">
      <c r="A49" s="2">
        <v>9</v>
      </c>
      <c r="B49" s="2">
        <v>48</v>
      </c>
      <c r="C49" s="2">
        <v>8</v>
      </c>
      <c r="D49" s="2">
        <v>1</v>
      </c>
      <c r="E49" s="2">
        <v>1.0649999999999999</v>
      </c>
      <c r="F49" s="2">
        <v>2</v>
      </c>
      <c r="H49" s="2">
        <v>9</v>
      </c>
      <c r="I49" s="2">
        <v>149</v>
      </c>
      <c r="J49" s="2">
        <v>5</v>
      </c>
      <c r="K49" s="2">
        <v>1</v>
      </c>
      <c r="L49" s="2">
        <v>1.375</v>
      </c>
      <c r="M49" s="2">
        <v>2</v>
      </c>
    </row>
    <row r="50" spans="1:13" ht="14.25" customHeight="1">
      <c r="A50" s="2">
        <v>9</v>
      </c>
      <c r="B50" s="2">
        <v>49</v>
      </c>
      <c r="C50" s="2">
        <v>4</v>
      </c>
      <c r="E50" s="2">
        <v>2.0009999999999999</v>
      </c>
      <c r="H50" s="2">
        <v>9</v>
      </c>
      <c r="I50" s="2">
        <v>150</v>
      </c>
      <c r="J50" s="2">
        <v>2</v>
      </c>
      <c r="K50" s="2">
        <v>1</v>
      </c>
      <c r="L50" s="2">
        <v>1.3959999999999999</v>
      </c>
      <c r="M50" s="2">
        <v>1</v>
      </c>
    </row>
    <row r="51" spans="1:13" ht="14.25" customHeight="1">
      <c r="A51" s="2">
        <v>9</v>
      </c>
      <c r="B51" s="2">
        <v>50</v>
      </c>
      <c r="C51" s="2">
        <v>5</v>
      </c>
      <c r="D51" s="2">
        <v>1</v>
      </c>
      <c r="E51" s="2">
        <v>1.304</v>
      </c>
      <c r="F51" s="2">
        <v>1</v>
      </c>
    </row>
    <row r="52" spans="1:13" ht="14.25" customHeight="1">
      <c r="A52" s="2">
        <v>9</v>
      </c>
      <c r="B52" s="2">
        <v>51</v>
      </c>
      <c r="C52" s="2">
        <v>2</v>
      </c>
      <c r="D52" s="2">
        <v>0</v>
      </c>
      <c r="E52" s="2">
        <v>1.149</v>
      </c>
      <c r="F52" s="2">
        <v>1</v>
      </c>
    </row>
    <row r="53" spans="1:13" ht="14.25" customHeight="1">
      <c r="A53" s="2">
        <v>9</v>
      </c>
      <c r="B53" s="2">
        <v>52</v>
      </c>
      <c r="C53" s="2">
        <v>4</v>
      </c>
      <c r="D53" s="2">
        <v>0</v>
      </c>
      <c r="E53" s="2">
        <v>1.196</v>
      </c>
      <c r="F53" s="2">
        <v>1</v>
      </c>
    </row>
    <row r="54" spans="1:13" ht="14.25" customHeight="1">
      <c r="A54" s="2">
        <v>9</v>
      </c>
      <c r="B54" s="2">
        <v>53</v>
      </c>
      <c r="C54" s="2">
        <v>2</v>
      </c>
      <c r="E54" s="2">
        <v>2.0009999999999999</v>
      </c>
    </row>
    <row r="55" spans="1:13" ht="14.25" customHeight="1">
      <c r="A55" s="2">
        <v>9</v>
      </c>
      <c r="B55" s="2">
        <v>54</v>
      </c>
      <c r="C55" s="2">
        <v>7</v>
      </c>
      <c r="D55" s="2">
        <v>1</v>
      </c>
      <c r="E55" s="2">
        <v>1.7410000000000001</v>
      </c>
      <c r="F55" s="2">
        <v>1</v>
      </c>
    </row>
    <row r="56" spans="1:13" ht="14.25" customHeight="1">
      <c r="A56" s="2">
        <v>9</v>
      </c>
      <c r="B56" s="2">
        <v>55</v>
      </c>
      <c r="C56" s="2">
        <v>6</v>
      </c>
      <c r="D56" s="2">
        <v>1</v>
      </c>
      <c r="E56" s="2">
        <v>1.74</v>
      </c>
      <c r="F56" s="2">
        <v>2</v>
      </c>
    </row>
    <row r="57" spans="1:13" ht="14.25" customHeight="1">
      <c r="A57" s="2">
        <v>9</v>
      </c>
      <c r="B57" s="2">
        <v>56</v>
      </c>
      <c r="C57" s="2">
        <v>4</v>
      </c>
      <c r="D57" s="2">
        <v>0</v>
      </c>
      <c r="E57" s="2">
        <v>1.427</v>
      </c>
      <c r="F57" s="2">
        <v>1</v>
      </c>
    </row>
    <row r="58" spans="1:13" ht="14.25" customHeight="1">
      <c r="A58" s="2">
        <v>9</v>
      </c>
      <c r="B58" s="2">
        <v>57</v>
      </c>
      <c r="C58" s="2">
        <v>7</v>
      </c>
      <c r="D58" s="2">
        <v>0</v>
      </c>
      <c r="E58" s="2">
        <v>1.3180000000000001</v>
      </c>
      <c r="F58" s="2">
        <v>2</v>
      </c>
    </row>
    <row r="59" spans="1:13" ht="14.25" customHeight="1">
      <c r="A59" s="2">
        <v>9</v>
      </c>
      <c r="B59" s="2">
        <v>58</v>
      </c>
      <c r="C59" s="2">
        <v>1</v>
      </c>
      <c r="D59" s="2">
        <v>0</v>
      </c>
      <c r="E59" s="2">
        <v>1.8220000000000001</v>
      </c>
      <c r="F59" s="2">
        <v>2</v>
      </c>
    </row>
    <row r="60" spans="1:13" ht="14.25" customHeight="1">
      <c r="A60" s="2">
        <v>9</v>
      </c>
      <c r="B60" s="2">
        <v>59</v>
      </c>
      <c r="C60" s="2">
        <v>6</v>
      </c>
      <c r="D60" s="2">
        <v>0</v>
      </c>
      <c r="E60" s="2">
        <v>1.4330000000000001</v>
      </c>
      <c r="F60" s="2">
        <v>2</v>
      </c>
    </row>
    <row r="61" spans="1:13" ht="14.25" customHeight="1">
      <c r="A61" s="2">
        <v>9</v>
      </c>
      <c r="B61" s="2">
        <v>60</v>
      </c>
      <c r="C61" s="2">
        <v>1</v>
      </c>
      <c r="D61" s="2">
        <v>1</v>
      </c>
      <c r="E61" s="2">
        <v>1.2050000000000001</v>
      </c>
      <c r="F61" s="2">
        <v>2</v>
      </c>
    </row>
    <row r="62" spans="1:13" ht="14.25" customHeight="1">
      <c r="A62" s="2">
        <v>9</v>
      </c>
      <c r="B62" s="2">
        <v>61</v>
      </c>
      <c r="C62" s="2">
        <v>3</v>
      </c>
      <c r="D62" s="2">
        <v>1</v>
      </c>
      <c r="E62" s="2">
        <v>0.63900000000000001</v>
      </c>
      <c r="F62" s="2">
        <v>1</v>
      </c>
    </row>
    <row r="63" spans="1:13" ht="14.25" customHeight="1">
      <c r="A63" s="2">
        <v>9</v>
      </c>
      <c r="B63" s="2">
        <v>62</v>
      </c>
      <c r="C63" s="2">
        <v>1</v>
      </c>
      <c r="D63" s="2">
        <v>0</v>
      </c>
      <c r="E63" s="2">
        <v>0.84299999999999997</v>
      </c>
      <c r="F63" s="2">
        <v>2</v>
      </c>
    </row>
    <row r="64" spans="1:13" ht="14.25" customHeight="1">
      <c r="A64" s="2">
        <v>9</v>
      </c>
      <c r="B64" s="2">
        <v>63</v>
      </c>
      <c r="C64" s="2">
        <v>8</v>
      </c>
      <c r="D64" s="2">
        <v>1</v>
      </c>
      <c r="E64" s="2">
        <v>0.94099999999999995</v>
      </c>
      <c r="F64" s="2">
        <v>1</v>
      </c>
    </row>
    <row r="65" spans="1:6" ht="14.25" customHeight="1">
      <c r="A65" s="2">
        <v>9</v>
      </c>
      <c r="B65" s="2">
        <v>64</v>
      </c>
      <c r="C65" s="2">
        <v>3</v>
      </c>
      <c r="D65" s="2">
        <v>1</v>
      </c>
      <c r="E65" s="2">
        <v>1.292</v>
      </c>
      <c r="F65" s="2">
        <v>1</v>
      </c>
    </row>
    <row r="66" spans="1:6" ht="14.25" customHeight="1">
      <c r="A66" s="2">
        <v>9</v>
      </c>
      <c r="B66" s="2">
        <v>65</v>
      </c>
      <c r="C66" s="2">
        <v>8</v>
      </c>
      <c r="D66" s="2">
        <v>1</v>
      </c>
      <c r="E66" s="2">
        <v>0.96399999999999997</v>
      </c>
      <c r="F66" s="2">
        <v>1</v>
      </c>
    </row>
    <row r="67" spans="1:6" ht="14.25" customHeight="1">
      <c r="A67" s="2">
        <v>9</v>
      </c>
      <c r="B67" s="2">
        <v>66</v>
      </c>
      <c r="C67" s="2">
        <v>3</v>
      </c>
      <c r="D67" s="2">
        <v>1</v>
      </c>
      <c r="E67" s="2">
        <v>1.0820000000000001</v>
      </c>
      <c r="F67" s="2">
        <v>1</v>
      </c>
    </row>
    <row r="68" spans="1:6" ht="14.25" customHeight="1">
      <c r="A68" s="2">
        <v>9</v>
      </c>
      <c r="B68" s="2">
        <v>67</v>
      </c>
      <c r="C68" s="2">
        <v>6</v>
      </c>
      <c r="D68" s="2">
        <v>1</v>
      </c>
      <c r="E68" s="2">
        <v>0.82</v>
      </c>
      <c r="F68" s="2">
        <v>2</v>
      </c>
    </row>
    <row r="69" spans="1:6" ht="14.25" customHeight="1">
      <c r="A69" s="2">
        <v>9</v>
      </c>
      <c r="B69" s="2">
        <v>68</v>
      </c>
      <c r="C69" s="2">
        <v>5</v>
      </c>
      <c r="D69" s="2">
        <v>1</v>
      </c>
      <c r="E69" s="2">
        <v>1.159</v>
      </c>
      <c r="F69" s="2">
        <v>1</v>
      </c>
    </row>
    <row r="70" spans="1:6" ht="14.25" customHeight="1">
      <c r="A70" s="2">
        <v>9</v>
      </c>
      <c r="B70" s="2">
        <v>69</v>
      </c>
      <c r="C70" s="2">
        <v>8</v>
      </c>
      <c r="D70" s="2">
        <v>0</v>
      </c>
      <c r="E70" s="2">
        <v>0.79700000000000004</v>
      </c>
      <c r="F70" s="2">
        <v>1</v>
      </c>
    </row>
    <row r="71" spans="1:6" ht="14.25" customHeight="1">
      <c r="A71" s="2">
        <v>9</v>
      </c>
      <c r="B71" s="2">
        <v>70</v>
      </c>
      <c r="C71" s="2">
        <v>5</v>
      </c>
      <c r="D71" s="2">
        <v>1</v>
      </c>
      <c r="E71" s="2">
        <v>1.121</v>
      </c>
      <c r="F71" s="2">
        <v>2</v>
      </c>
    </row>
    <row r="72" spans="1:6" ht="14.25" customHeight="1">
      <c r="A72" s="2">
        <v>9</v>
      </c>
      <c r="B72" s="2">
        <v>71</v>
      </c>
      <c r="C72" s="2">
        <v>3</v>
      </c>
      <c r="D72" s="2">
        <v>1</v>
      </c>
      <c r="E72" s="2">
        <v>1.4970000000000001</v>
      </c>
      <c r="F72" s="2">
        <v>1</v>
      </c>
    </row>
    <row r="73" spans="1:6" ht="14.25" customHeight="1">
      <c r="A73" s="2">
        <v>9</v>
      </c>
      <c r="B73" s="2">
        <v>72</v>
      </c>
      <c r="C73" s="2">
        <v>1</v>
      </c>
      <c r="D73" s="2">
        <v>1</v>
      </c>
      <c r="E73" s="2">
        <v>1.298</v>
      </c>
      <c r="F73" s="2">
        <v>2</v>
      </c>
    </row>
    <row r="74" spans="1:6" ht="14.25" customHeight="1">
      <c r="A74" s="2">
        <v>9</v>
      </c>
      <c r="B74" s="2">
        <v>73</v>
      </c>
      <c r="C74" s="2">
        <v>7</v>
      </c>
      <c r="D74" s="2">
        <v>0</v>
      </c>
      <c r="E74" s="2">
        <v>0.875</v>
      </c>
      <c r="F74" s="2">
        <v>1</v>
      </c>
    </row>
    <row r="75" spans="1:6" ht="14.25" customHeight="1">
      <c r="A75" s="2">
        <v>9</v>
      </c>
      <c r="B75" s="2">
        <v>74</v>
      </c>
      <c r="C75" s="2">
        <v>1</v>
      </c>
      <c r="D75" s="2">
        <v>1</v>
      </c>
      <c r="E75" s="2">
        <v>1.4039999999999999</v>
      </c>
      <c r="F75" s="2">
        <v>2</v>
      </c>
    </row>
    <row r="76" spans="1:6" ht="14.25" customHeight="1">
      <c r="A76" s="2">
        <v>9</v>
      </c>
      <c r="B76" s="2">
        <v>75</v>
      </c>
      <c r="C76" s="2">
        <v>4</v>
      </c>
      <c r="D76" s="2">
        <v>0</v>
      </c>
      <c r="E76" s="2">
        <v>0.752</v>
      </c>
      <c r="F76" s="2">
        <v>1</v>
      </c>
    </row>
    <row r="77" spans="1:6" ht="14.25" customHeight="1">
      <c r="A77" s="2">
        <v>9</v>
      </c>
      <c r="B77" s="2">
        <v>76</v>
      </c>
      <c r="C77" s="2">
        <v>2</v>
      </c>
      <c r="D77" s="2">
        <v>1</v>
      </c>
      <c r="E77" s="2">
        <v>0.97499999999999998</v>
      </c>
      <c r="F77" s="2">
        <v>2</v>
      </c>
    </row>
    <row r="78" spans="1:6" ht="14.25" customHeight="1">
      <c r="A78" s="2">
        <v>9</v>
      </c>
      <c r="B78" s="2">
        <v>77</v>
      </c>
      <c r="C78" s="2">
        <v>6</v>
      </c>
      <c r="D78" s="2">
        <v>1</v>
      </c>
      <c r="E78" s="2">
        <v>1.123</v>
      </c>
      <c r="F78" s="2">
        <v>2</v>
      </c>
    </row>
    <row r="79" spans="1:6" ht="14.25" customHeight="1">
      <c r="A79" s="2">
        <v>9</v>
      </c>
      <c r="B79" s="2">
        <v>78</v>
      </c>
      <c r="C79" s="2">
        <v>7</v>
      </c>
      <c r="D79" s="2">
        <v>1</v>
      </c>
      <c r="E79" s="2">
        <v>1.1870000000000001</v>
      </c>
      <c r="F79" s="2">
        <v>1</v>
      </c>
    </row>
    <row r="80" spans="1:6" ht="14.25" customHeight="1">
      <c r="A80" s="2">
        <v>9</v>
      </c>
      <c r="B80" s="2">
        <v>79</v>
      </c>
      <c r="C80" s="2">
        <v>2</v>
      </c>
      <c r="D80" s="2">
        <v>0</v>
      </c>
      <c r="E80" s="2">
        <v>1.0640000000000001</v>
      </c>
      <c r="F80" s="2">
        <v>2</v>
      </c>
    </row>
    <row r="81" spans="1:6" ht="14.25" customHeight="1">
      <c r="A81" s="2">
        <v>9</v>
      </c>
      <c r="B81" s="2">
        <v>80</v>
      </c>
      <c r="C81" s="2">
        <v>4</v>
      </c>
      <c r="D81" s="2">
        <v>1</v>
      </c>
      <c r="E81" s="2">
        <v>1.202</v>
      </c>
      <c r="F81" s="2">
        <v>2</v>
      </c>
    </row>
    <row r="82" spans="1:6" ht="14.25" customHeight="1">
      <c r="A82" s="2">
        <v>9</v>
      </c>
      <c r="B82" s="2">
        <v>81</v>
      </c>
      <c r="C82" s="2">
        <v>5</v>
      </c>
      <c r="D82" s="2">
        <v>1</v>
      </c>
      <c r="E82" s="2">
        <v>1.141</v>
      </c>
      <c r="F82" s="2">
        <v>1</v>
      </c>
    </row>
    <row r="83" spans="1:6" ht="14.25" customHeight="1">
      <c r="A83" s="2">
        <v>9</v>
      </c>
      <c r="B83" s="2">
        <v>82</v>
      </c>
      <c r="C83" s="2">
        <v>2</v>
      </c>
      <c r="D83" s="2">
        <v>0</v>
      </c>
      <c r="E83" s="2">
        <v>1.605</v>
      </c>
      <c r="F83" s="2">
        <v>2</v>
      </c>
    </row>
    <row r="84" spans="1:6" ht="14.25" customHeight="1">
      <c r="A84" s="2">
        <v>9</v>
      </c>
      <c r="B84" s="2">
        <v>83</v>
      </c>
      <c r="C84" s="2">
        <v>5</v>
      </c>
      <c r="D84" s="2">
        <v>1</v>
      </c>
      <c r="E84" s="2">
        <v>0.89700000000000002</v>
      </c>
      <c r="F84" s="2">
        <v>2</v>
      </c>
    </row>
    <row r="85" spans="1:6" ht="14.25" customHeight="1">
      <c r="A85" s="2">
        <v>9</v>
      </c>
      <c r="B85" s="2">
        <v>84</v>
      </c>
      <c r="C85" s="2">
        <v>7</v>
      </c>
      <c r="D85" s="2">
        <v>1</v>
      </c>
      <c r="E85" s="2">
        <v>0.94499999999999995</v>
      </c>
      <c r="F85" s="2">
        <v>2</v>
      </c>
    </row>
    <row r="86" spans="1:6" ht="14.25" customHeight="1">
      <c r="A86" s="2">
        <v>9</v>
      </c>
      <c r="B86" s="2">
        <v>85</v>
      </c>
      <c r="C86" s="2">
        <v>5</v>
      </c>
      <c r="D86" s="2">
        <v>1</v>
      </c>
      <c r="E86" s="2">
        <v>0.69599999999999995</v>
      </c>
      <c r="F86" s="2">
        <v>1</v>
      </c>
    </row>
    <row r="87" spans="1:6" ht="14.25" customHeight="1">
      <c r="A87" s="2">
        <v>9</v>
      </c>
      <c r="B87" s="2">
        <v>86</v>
      </c>
      <c r="C87" s="2">
        <v>4</v>
      </c>
      <c r="D87" s="2">
        <v>0</v>
      </c>
      <c r="E87" s="2">
        <v>0.82499999999999996</v>
      </c>
      <c r="F87" s="2">
        <v>1</v>
      </c>
    </row>
    <row r="88" spans="1:6" ht="14.25" customHeight="1">
      <c r="A88" s="2">
        <v>9</v>
      </c>
      <c r="B88" s="2">
        <v>87</v>
      </c>
      <c r="C88" s="2">
        <v>8</v>
      </c>
      <c r="D88" s="2">
        <v>0</v>
      </c>
      <c r="E88" s="2">
        <v>1.0429999999999999</v>
      </c>
      <c r="F88" s="2">
        <v>2</v>
      </c>
    </row>
    <row r="89" spans="1:6" ht="14.25" customHeight="1">
      <c r="A89" s="2">
        <v>9</v>
      </c>
      <c r="B89" s="2">
        <v>88</v>
      </c>
      <c r="C89" s="2">
        <v>1</v>
      </c>
      <c r="D89" s="2">
        <v>1</v>
      </c>
      <c r="E89" s="2">
        <v>1.2150000000000001</v>
      </c>
      <c r="F89" s="2">
        <v>1</v>
      </c>
    </row>
    <row r="90" spans="1:6" ht="14.25" customHeight="1">
      <c r="A90" s="2">
        <v>9</v>
      </c>
      <c r="B90" s="2">
        <v>89</v>
      </c>
      <c r="C90" s="2">
        <v>3</v>
      </c>
      <c r="D90" s="2">
        <v>1</v>
      </c>
      <c r="E90" s="2">
        <v>0.85099999999999998</v>
      </c>
      <c r="F90" s="2">
        <v>1</v>
      </c>
    </row>
    <row r="91" spans="1:6" ht="14.25" customHeight="1">
      <c r="A91" s="2">
        <v>9</v>
      </c>
      <c r="B91" s="2">
        <v>90</v>
      </c>
      <c r="C91" s="2">
        <v>2</v>
      </c>
      <c r="D91" s="2">
        <v>1</v>
      </c>
      <c r="E91" s="2">
        <v>1.077</v>
      </c>
      <c r="F91" s="2">
        <v>1</v>
      </c>
    </row>
    <row r="92" spans="1:6" ht="14.25" customHeight="1">
      <c r="A92" s="2">
        <v>9</v>
      </c>
      <c r="B92" s="2">
        <v>91</v>
      </c>
      <c r="C92" s="2">
        <v>8</v>
      </c>
      <c r="D92" s="2">
        <v>1</v>
      </c>
      <c r="E92" s="2">
        <v>0.70199999999999996</v>
      </c>
      <c r="F92" s="2">
        <v>2</v>
      </c>
    </row>
    <row r="93" spans="1:6" ht="14.25" customHeight="1">
      <c r="A93" s="2">
        <v>9</v>
      </c>
      <c r="B93" s="2">
        <v>92</v>
      </c>
      <c r="C93" s="2">
        <v>5</v>
      </c>
      <c r="D93" s="2">
        <v>1</v>
      </c>
      <c r="E93" s="2">
        <v>1.1579999999999999</v>
      </c>
      <c r="F93" s="2">
        <v>2</v>
      </c>
    </row>
    <row r="94" spans="1:6" ht="14.25" customHeight="1">
      <c r="A94" s="2">
        <v>9</v>
      </c>
      <c r="B94" s="2">
        <v>93</v>
      </c>
      <c r="C94" s="2">
        <v>8</v>
      </c>
      <c r="D94" s="2">
        <v>0</v>
      </c>
      <c r="E94" s="2">
        <v>0.57299999999999995</v>
      </c>
      <c r="F94" s="2">
        <v>1</v>
      </c>
    </row>
    <row r="95" spans="1:6" ht="14.25" customHeight="1">
      <c r="A95" s="2">
        <v>9</v>
      </c>
      <c r="B95" s="2">
        <v>94</v>
      </c>
      <c r="C95" s="2">
        <v>4</v>
      </c>
      <c r="D95" s="2">
        <v>0</v>
      </c>
      <c r="E95" s="2">
        <v>0.69699999999999995</v>
      </c>
      <c r="F95" s="2">
        <v>2</v>
      </c>
    </row>
    <row r="96" spans="1:6" ht="14.25" customHeight="1">
      <c r="A96" s="2">
        <v>9</v>
      </c>
      <c r="B96" s="2">
        <v>95</v>
      </c>
      <c r="C96" s="2">
        <v>3</v>
      </c>
      <c r="D96" s="2">
        <v>1</v>
      </c>
      <c r="E96" s="2">
        <v>1.627</v>
      </c>
      <c r="F96" s="2">
        <v>1</v>
      </c>
    </row>
    <row r="97" spans="1:6" ht="14.25" customHeight="1">
      <c r="A97" s="2">
        <v>9</v>
      </c>
      <c r="B97" s="2">
        <v>96</v>
      </c>
      <c r="C97" s="2">
        <v>4</v>
      </c>
      <c r="D97" s="2">
        <v>1</v>
      </c>
      <c r="E97" s="2">
        <v>0.88600000000000001</v>
      </c>
      <c r="F97" s="2">
        <v>2</v>
      </c>
    </row>
    <row r="98" spans="1:6" ht="14.25" customHeight="1">
      <c r="A98" s="2">
        <v>9</v>
      </c>
      <c r="B98" s="2">
        <v>97</v>
      </c>
      <c r="C98" s="2">
        <v>7</v>
      </c>
      <c r="D98" s="2">
        <v>1</v>
      </c>
      <c r="E98" s="2">
        <v>0.67900000000000005</v>
      </c>
      <c r="F98" s="2">
        <v>1</v>
      </c>
    </row>
    <row r="99" spans="1:6" ht="14.25" customHeight="1">
      <c r="A99" s="2">
        <v>9</v>
      </c>
      <c r="B99" s="2">
        <v>98</v>
      </c>
      <c r="C99" s="2">
        <v>6</v>
      </c>
      <c r="D99" s="2">
        <v>1</v>
      </c>
      <c r="E99" s="2">
        <v>1.4239999999999999</v>
      </c>
      <c r="F99" s="2">
        <v>2</v>
      </c>
    </row>
    <row r="100" spans="1:6" ht="14.25" customHeight="1">
      <c r="A100" s="2">
        <v>9</v>
      </c>
      <c r="B100" s="2">
        <v>99</v>
      </c>
      <c r="C100" s="2">
        <v>1</v>
      </c>
      <c r="D100" s="2">
        <v>1</v>
      </c>
      <c r="E100" s="2">
        <v>0.90700000000000003</v>
      </c>
      <c r="F100" s="2">
        <v>2</v>
      </c>
    </row>
    <row r="101" spans="1:6" ht="14.25" customHeight="1">
      <c r="A101" s="2">
        <v>9</v>
      </c>
      <c r="B101" s="2">
        <v>100</v>
      </c>
      <c r="C101" s="2">
        <v>6</v>
      </c>
      <c r="D101" s="2">
        <v>0</v>
      </c>
      <c r="E101" s="2">
        <v>0.85099999999999998</v>
      </c>
      <c r="F101" s="2">
        <v>2</v>
      </c>
    </row>
    <row r="102" spans="1:6" ht="14.25" customHeight="1">
      <c r="A102" s="2">
        <v>9</v>
      </c>
      <c r="B102" s="2">
        <v>101</v>
      </c>
      <c r="C102" s="2">
        <v>8</v>
      </c>
      <c r="D102" s="2">
        <v>0</v>
      </c>
      <c r="E102" s="2">
        <v>1.3320000000000001</v>
      </c>
      <c r="F102" s="2">
        <v>1</v>
      </c>
    </row>
    <row r="103" spans="1:6" ht="14.25" customHeight="1">
      <c r="A103" s="2">
        <v>9</v>
      </c>
      <c r="B103" s="2">
        <v>102</v>
      </c>
      <c r="C103" s="2">
        <v>4</v>
      </c>
      <c r="D103" s="2">
        <v>0</v>
      </c>
      <c r="E103" s="2">
        <v>0.70699999999999996</v>
      </c>
      <c r="F103" s="2">
        <v>1</v>
      </c>
    </row>
    <row r="104" spans="1:6" ht="14.25" customHeight="1">
      <c r="A104" s="2">
        <v>9</v>
      </c>
      <c r="B104" s="2">
        <v>103</v>
      </c>
      <c r="C104" s="2">
        <v>1</v>
      </c>
      <c r="D104" s="2">
        <v>0</v>
      </c>
      <c r="E104" s="2">
        <v>0.77100000000000002</v>
      </c>
      <c r="F104" s="2">
        <v>1</v>
      </c>
    </row>
    <row r="105" spans="1:6" ht="14.25" customHeight="1">
      <c r="A105" s="2">
        <v>9</v>
      </c>
      <c r="B105" s="2">
        <v>104</v>
      </c>
      <c r="C105" s="2">
        <v>6</v>
      </c>
      <c r="D105" s="2">
        <v>1</v>
      </c>
      <c r="E105" s="2">
        <v>1.121</v>
      </c>
      <c r="F105" s="2">
        <v>1</v>
      </c>
    </row>
    <row r="106" spans="1:6" ht="14.25" customHeight="1">
      <c r="A106" s="2">
        <v>9</v>
      </c>
      <c r="B106" s="2">
        <v>105</v>
      </c>
      <c r="C106" s="2">
        <v>5</v>
      </c>
      <c r="D106" s="2">
        <v>1</v>
      </c>
      <c r="E106" s="2">
        <v>1.456</v>
      </c>
      <c r="F106" s="2">
        <v>2</v>
      </c>
    </row>
    <row r="107" spans="1:6" ht="14.25" customHeight="1">
      <c r="A107" s="2">
        <v>9</v>
      </c>
      <c r="B107" s="2">
        <v>106</v>
      </c>
      <c r="C107" s="2">
        <v>3</v>
      </c>
      <c r="D107" s="2">
        <v>1</v>
      </c>
      <c r="E107" s="2">
        <v>0.65800000000000003</v>
      </c>
      <c r="F107" s="2">
        <v>2</v>
      </c>
    </row>
    <row r="108" spans="1:6" ht="14.25" customHeight="1">
      <c r="A108" s="2">
        <v>9</v>
      </c>
      <c r="B108" s="2">
        <v>107</v>
      </c>
      <c r="C108" s="2">
        <v>1</v>
      </c>
      <c r="D108" s="2">
        <v>0</v>
      </c>
      <c r="E108" s="2">
        <v>0.75600000000000001</v>
      </c>
      <c r="F108" s="2">
        <v>2</v>
      </c>
    </row>
    <row r="109" spans="1:6" ht="14.25" customHeight="1">
      <c r="A109" s="2">
        <v>9</v>
      </c>
      <c r="B109" s="2">
        <v>108</v>
      </c>
      <c r="C109" s="2">
        <v>3</v>
      </c>
      <c r="D109" s="2">
        <v>0</v>
      </c>
      <c r="E109" s="2">
        <v>1.274</v>
      </c>
      <c r="F109" s="2">
        <v>2</v>
      </c>
    </row>
    <row r="110" spans="1:6" ht="14.25" customHeight="1">
      <c r="A110" s="2">
        <v>9</v>
      </c>
      <c r="B110" s="2">
        <v>109</v>
      </c>
      <c r="C110" s="2">
        <v>7</v>
      </c>
      <c r="D110" s="2">
        <v>0</v>
      </c>
      <c r="E110" s="2">
        <v>0.875</v>
      </c>
      <c r="F110" s="2">
        <v>2</v>
      </c>
    </row>
    <row r="111" spans="1:6" ht="14.25" customHeight="1">
      <c r="A111" s="2">
        <v>9</v>
      </c>
      <c r="B111" s="2">
        <v>110</v>
      </c>
      <c r="C111" s="2">
        <v>8</v>
      </c>
      <c r="E111" s="2">
        <v>2</v>
      </c>
    </row>
    <row r="112" spans="1:6" ht="14.25" customHeight="1">
      <c r="A112" s="2">
        <v>9</v>
      </c>
      <c r="B112" s="2">
        <v>111</v>
      </c>
      <c r="C112" s="2">
        <v>4</v>
      </c>
      <c r="D112" s="2">
        <v>0</v>
      </c>
      <c r="E112" s="2">
        <v>1.6479999999999999</v>
      </c>
      <c r="F112" s="2">
        <v>2</v>
      </c>
    </row>
    <row r="113" spans="1:6" ht="14.25" customHeight="1">
      <c r="A113" s="2">
        <v>9</v>
      </c>
      <c r="B113" s="2">
        <v>112</v>
      </c>
      <c r="C113" s="2">
        <v>1</v>
      </c>
      <c r="D113" s="2">
        <v>1</v>
      </c>
      <c r="E113" s="2">
        <v>0.77900000000000003</v>
      </c>
      <c r="F113" s="2">
        <v>1</v>
      </c>
    </row>
    <row r="114" spans="1:6" ht="14.25" customHeight="1">
      <c r="A114" s="2">
        <v>9</v>
      </c>
      <c r="B114" s="2">
        <v>113</v>
      </c>
      <c r="C114" s="2">
        <v>5</v>
      </c>
      <c r="D114" s="2">
        <v>1</v>
      </c>
      <c r="E114" s="2">
        <v>1.0569999999999999</v>
      </c>
      <c r="F114" s="2">
        <v>1</v>
      </c>
    </row>
    <row r="115" spans="1:6" ht="14.25" customHeight="1">
      <c r="A115" s="2">
        <v>9</v>
      </c>
      <c r="B115" s="2">
        <v>114</v>
      </c>
      <c r="C115" s="2">
        <v>1</v>
      </c>
      <c r="D115" s="2">
        <v>0</v>
      </c>
      <c r="E115" s="2">
        <v>1.0580000000000001</v>
      </c>
      <c r="F115" s="2">
        <v>2</v>
      </c>
    </row>
    <row r="116" spans="1:6" ht="14.25" customHeight="1">
      <c r="A116" s="2">
        <v>9</v>
      </c>
      <c r="B116" s="2">
        <v>115</v>
      </c>
      <c r="C116" s="2">
        <v>6</v>
      </c>
      <c r="D116" s="2">
        <v>1</v>
      </c>
      <c r="E116" s="2">
        <v>0.89200000000000002</v>
      </c>
      <c r="F116" s="2">
        <v>1</v>
      </c>
    </row>
    <row r="117" spans="1:6" ht="14.25" customHeight="1">
      <c r="A117" s="2">
        <v>9</v>
      </c>
      <c r="B117" s="2">
        <v>116</v>
      </c>
      <c r="C117" s="2">
        <v>2</v>
      </c>
      <c r="D117" s="2">
        <v>0</v>
      </c>
      <c r="E117" s="2">
        <v>0.621</v>
      </c>
      <c r="F117" s="2">
        <v>2</v>
      </c>
    </row>
    <row r="118" spans="1:6" ht="14.25" customHeight="1">
      <c r="A118" s="2">
        <v>9</v>
      </c>
      <c r="B118" s="2">
        <v>117</v>
      </c>
      <c r="C118" s="2">
        <v>7</v>
      </c>
      <c r="D118" s="2">
        <v>1</v>
      </c>
      <c r="E118" s="2">
        <v>1.0089999999999999</v>
      </c>
      <c r="F118" s="2">
        <v>2</v>
      </c>
    </row>
    <row r="119" spans="1:6" ht="14.25" customHeight="1">
      <c r="A119" s="2">
        <v>9</v>
      </c>
      <c r="B119" s="2">
        <v>118</v>
      </c>
      <c r="C119" s="2">
        <v>1</v>
      </c>
      <c r="D119" s="2">
        <v>1</v>
      </c>
      <c r="E119" s="2">
        <v>0.59599999999999997</v>
      </c>
      <c r="F119" s="2">
        <v>1</v>
      </c>
    </row>
    <row r="120" spans="1:6" ht="14.25" customHeight="1">
      <c r="A120" s="2">
        <v>9</v>
      </c>
      <c r="B120" s="2">
        <v>119</v>
      </c>
      <c r="C120" s="2">
        <v>6</v>
      </c>
      <c r="D120" s="2">
        <v>0</v>
      </c>
      <c r="E120" s="2">
        <v>0.71299999999999997</v>
      </c>
      <c r="F120" s="2">
        <v>1</v>
      </c>
    </row>
    <row r="121" spans="1:6" ht="14.25" customHeight="1">
      <c r="A121" s="2">
        <v>9</v>
      </c>
      <c r="B121" s="2">
        <v>120</v>
      </c>
      <c r="C121" s="2">
        <v>5</v>
      </c>
      <c r="D121" s="2">
        <v>0</v>
      </c>
      <c r="E121" s="2">
        <v>1.649</v>
      </c>
      <c r="F121" s="2">
        <v>1</v>
      </c>
    </row>
    <row r="122" spans="1:6" ht="14.25" customHeight="1">
      <c r="A122" s="2">
        <v>9</v>
      </c>
      <c r="B122" s="2">
        <v>121</v>
      </c>
      <c r="C122" s="2">
        <v>1</v>
      </c>
      <c r="D122" s="2">
        <v>0</v>
      </c>
      <c r="E122" s="2">
        <v>0.83599999999999997</v>
      </c>
      <c r="F122" s="2">
        <v>2</v>
      </c>
    </row>
    <row r="123" spans="1:6" ht="14.25" customHeight="1">
      <c r="A123" s="2">
        <v>9</v>
      </c>
      <c r="B123" s="2">
        <v>122</v>
      </c>
      <c r="C123" s="2">
        <v>2</v>
      </c>
      <c r="D123" s="2">
        <v>0</v>
      </c>
      <c r="E123" s="2">
        <v>0.54200000000000004</v>
      </c>
      <c r="F123" s="2">
        <v>1</v>
      </c>
    </row>
    <row r="124" spans="1:6" ht="14.25" customHeight="1">
      <c r="A124" s="2">
        <v>9</v>
      </c>
      <c r="B124" s="2">
        <v>123</v>
      </c>
      <c r="C124" s="2">
        <v>8</v>
      </c>
      <c r="D124" s="2">
        <v>1</v>
      </c>
      <c r="E124" s="2">
        <v>0.86099999999999999</v>
      </c>
      <c r="F124" s="2">
        <v>2</v>
      </c>
    </row>
    <row r="125" spans="1:6" ht="14.25" customHeight="1">
      <c r="A125" s="2">
        <v>9</v>
      </c>
      <c r="B125" s="2">
        <v>124</v>
      </c>
      <c r="C125" s="2">
        <v>3</v>
      </c>
      <c r="D125" s="2">
        <v>0</v>
      </c>
      <c r="E125" s="2">
        <v>1.4630000000000001</v>
      </c>
      <c r="F125" s="2">
        <v>1</v>
      </c>
    </row>
    <row r="126" spans="1:6" ht="14.25" customHeight="1">
      <c r="A126" s="2">
        <v>9</v>
      </c>
      <c r="B126" s="2">
        <v>125</v>
      </c>
      <c r="C126" s="2">
        <v>6</v>
      </c>
      <c r="D126" s="2">
        <v>0</v>
      </c>
      <c r="E126" s="2">
        <v>0.93700000000000006</v>
      </c>
      <c r="F126" s="2">
        <v>1</v>
      </c>
    </row>
    <row r="127" spans="1:6" ht="14.25" customHeight="1">
      <c r="A127" s="2">
        <v>9</v>
      </c>
      <c r="B127" s="2">
        <v>126</v>
      </c>
      <c r="C127" s="2">
        <v>5</v>
      </c>
      <c r="D127" s="2">
        <v>1</v>
      </c>
      <c r="E127" s="2">
        <v>0.56000000000000005</v>
      </c>
      <c r="F127" s="2">
        <v>2</v>
      </c>
    </row>
    <row r="128" spans="1:6" ht="14.25" customHeight="1">
      <c r="A128" s="2">
        <v>9</v>
      </c>
      <c r="B128" s="2">
        <v>127</v>
      </c>
      <c r="C128" s="2">
        <v>7</v>
      </c>
      <c r="D128" s="2">
        <v>0</v>
      </c>
      <c r="E128" s="2">
        <v>0.87</v>
      </c>
      <c r="F128" s="2">
        <v>1</v>
      </c>
    </row>
    <row r="129" spans="1:6" ht="14.25" customHeight="1">
      <c r="A129" s="2">
        <v>9</v>
      </c>
      <c r="B129" s="2">
        <v>128</v>
      </c>
      <c r="C129" s="2">
        <v>5</v>
      </c>
      <c r="D129" s="2">
        <v>1</v>
      </c>
      <c r="E129" s="2">
        <v>1.5349999999999999</v>
      </c>
      <c r="F129" s="2">
        <v>1</v>
      </c>
    </row>
    <row r="130" spans="1:6" ht="14.25" customHeight="1">
      <c r="A130" s="2">
        <v>9</v>
      </c>
      <c r="B130" s="2">
        <v>129</v>
      </c>
      <c r="C130" s="2">
        <v>7</v>
      </c>
      <c r="D130" s="2">
        <v>1</v>
      </c>
      <c r="E130" s="2">
        <v>1.294</v>
      </c>
      <c r="F130" s="2">
        <v>1</v>
      </c>
    </row>
    <row r="131" spans="1:6" ht="14.25" customHeight="1">
      <c r="A131" s="2">
        <v>9</v>
      </c>
      <c r="B131" s="2">
        <v>130</v>
      </c>
      <c r="C131" s="2">
        <v>2</v>
      </c>
      <c r="D131" s="2">
        <v>1</v>
      </c>
      <c r="E131" s="2">
        <v>1.006</v>
      </c>
      <c r="F131" s="2">
        <v>2</v>
      </c>
    </row>
    <row r="132" spans="1:6" ht="14.25" customHeight="1">
      <c r="A132" s="2">
        <v>9</v>
      </c>
      <c r="B132" s="2">
        <v>131</v>
      </c>
      <c r="C132" s="2">
        <v>8</v>
      </c>
      <c r="D132" s="2">
        <v>0</v>
      </c>
      <c r="E132" s="2">
        <v>0.61799999999999999</v>
      </c>
      <c r="F132" s="2">
        <v>2</v>
      </c>
    </row>
    <row r="133" spans="1:6" ht="14.25" customHeight="1">
      <c r="A133" s="2">
        <v>9</v>
      </c>
      <c r="B133" s="2">
        <v>132</v>
      </c>
      <c r="C133" s="2">
        <v>4</v>
      </c>
      <c r="D133" s="2">
        <v>1</v>
      </c>
      <c r="E133" s="2">
        <v>0.94299999999999995</v>
      </c>
      <c r="F133" s="2">
        <v>1</v>
      </c>
    </row>
    <row r="134" spans="1:6" ht="14.25" customHeight="1">
      <c r="A134" s="2">
        <v>9</v>
      </c>
      <c r="B134" s="2">
        <v>133</v>
      </c>
      <c r="C134" s="2">
        <v>3</v>
      </c>
      <c r="D134" s="2">
        <v>1</v>
      </c>
      <c r="E134" s="2">
        <v>0.83699999999999997</v>
      </c>
      <c r="F134" s="2">
        <v>2</v>
      </c>
    </row>
    <row r="135" spans="1:6" ht="14.25" customHeight="1">
      <c r="A135" s="2">
        <v>9</v>
      </c>
      <c r="B135" s="2">
        <v>134</v>
      </c>
      <c r="C135" s="2">
        <v>4</v>
      </c>
      <c r="D135" s="2">
        <v>1</v>
      </c>
      <c r="E135" s="2">
        <v>1.3280000000000001</v>
      </c>
      <c r="F135" s="2">
        <v>2</v>
      </c>
    </row>
    <row r="136" spans="1:6" ht="14.25" customHeight="1">
      <c r="A136" s="2">
        <v>9</v>
      </c>
      <c r="B136" s="2">
        <v>135</v>
      </c>
      <c r="C136" s="2">
        <v>7</v>
      </c>
      <c r="D136" s="2">
        <v>1</v>
      </c>
      <c r="E136" s="2">
        <v>0.79100000000000004</v>
      </c>
      <c r="F136" s="2">
        <v>1</v>
      </c>
    </row>
    <row r="137" spans="1:6" ht="14.25" customHeight="1">
      <c r="A137" s="2">
        <v>9</v>
      </c>
      <c r="B137" s="2">
        <v>136</v>
      </c>
      <c r="C137" s="2">
        <v>8</v>
      </c>
      <c r="D137" s="2">
        <v>1</v>
      </c>
      <c r="E137" s="2">
        <v>0.98799999999999999</v>
      </c>
      <c r="F137" s="2">
        <v>2</v>
      </c>
    </row>
    <row r="138" spans="1:6" ht="14.25" customHeight="1">
      <c r="A138" s="2">
        <v>9</v>
      </c>
      <c r="B138" s="2">
        <v>137</v>
      </c>
      <c r="C138" s="2">
        <v>1</v>
      </c>
      <c r="D138" s="2">
        <v>1</v>
      </c>
      <c r="E138" s="2">
        <v>1.345</v>
      </c>
      <c r="F138" s="2">
        <v>1</v>
      </c>
    </row>
    <row r="139" spans="1:6" ht="14.25" customHeight="1">
      <c r="A139" s="2">
        <v>9</v>
      </c>
      <c r="B139" s="2">
        <v>138</v>
      </c>
      <c r="C139" s="2">
        <v>3</v>
      </c>
      <c r="D139" s="2">
        <v>1</v>
      </c>
      <c r="E139" s="2">
        <v>1.0229999999999999</v>
      </c>
      <c r="F139" s="2">
        <v>1</v>
      </c>
    </row>
    <row r="140" spans="1:6" ht="14.25" customHeight="1">
      <c r="A140" s="2">
        <v>9</v>
      </c>
      <c r="B140" s="2">
        <v>139</v>
      </c>
      <c r="C140" s="2">
        <v>4</v>
      </c>
      <c r="D140" s="2">
        <v>0</v>
      </c>
      <c r="E140" s="2">
        <v>1.17</v>
      </c>
      <c r="F140" s="2">
        <v>2</v>
      </c>
    </row>
    <row r="141" spans="1:6" ht="14.25" customHeight="1">
      <c r="A141" s="2">
        <v>9</v>
      </c>
      <c r="B141" s="2">
        <v>140</v>
      </c>
      <c r="C141" s="2">
        <v>6</v>
      </c>
      <c r="D141" s="2">
        <v>1</v>
      </c>
      <c r="E141" s="2">
        <v>1.696</v>
      </c>
      <c r="F141" s="2">
        <v>1</v>
      </c>
    </row>
    <row r="142" spans="1:6" ht="14.25" customHeight="1">
      <c r="A142" s="2">
        <v>9</v>
      </c>
      <c r="B142" s="2">
        <v>141</v>
      </c>
      <c r="C142" s="2">
        <v>4</v>
      </c>
      <c r="D142" s="2">
        <v>1</v>
      </c>
      <c r="E142" s="2">
        <v>0.83199999999999996</v>
      </c>
      <c r="F142" s="2">
        <v>2</v>
      </c>
    </row>
    <row r="143" spans="1:6" ht="14.25" customHeight="1">
      <c r="A143" s="2">
        <v>9</v>
      </c>
      <c r="B143" s="2">
        <v>142</v>
      </c>
      <c r="C143" s="2">
        <v>3</v>
      </c>
      <c r="D143" s="2">
        <v>1</v>
      </c>
      <c r="E143" s="2">
        <v>0.68400000000000005</v>
      </c>
      <c r="F143" s="2">
        <v>2</v>
      </c>
    </row>
    <row r="144" spans="1:6" ht="14.25" customHeight="1">
      <c r="A144" s="2">
        <v>9</v>
      </c>
      <c r="B144" s="2">
        <v>143</v>
      </c>
      <c r="C144" s="2">
        <v>6</v>
      </c>
      <c r="D144" s="2">
        <v>0</v>
      </c>
      <c r="E144" s="2">
        <v>0.73299999999999998</v>
      </c>
      <c r="F144" s="2">
        <v>1</v>
      </c>
    </row>
    <row r="145" spans="1:6" ht="14.25" customHeight="1">
      <c r="A145" s="2">
        <v>9</v>
      </c>
      <c r="B145" s="2">
        <v>144</v>
      </c>
      <c r="C145" s="2">
        <v>2</v>
      </c>
      <c r="D145" s="2">
        <v>0</v>
      </c>
      <c r="E145" s="2">
        <v>0.80400000000000005</v>
      </c>
      <c r="F145" s="2">
        <v>2</v>
      </c>
    </row>
    <row r="146" spans="1:6" ht="14.25" customHeight="1">
      <c r="A146" s="2">
        <v>9</v>
      </c>
      <c r="B146" s="2">
        <v>145</v>
      </c>
      <c r="C146" s="2">
        <v>4</v>
      </c>
      <c r="D146" s="2">
        <v>0</v>
      </c>
      <c r="E146" s="2">
        <v>1.9690000000000001</v>
      </c>
      <c r="F146" s="2">
        <v>2</v>
      </c>
    </row>
    <row r="147" spans="1:6" ht="14.25" customHeight="1">
      <c r="A147" s="2">
        <v>9</v>
      </c>
      <c r="B147" s="2">
        <v>146</v>
      </c>
      <c r="C147" s="2">
        <v>7</v>
      </c>
      <c r="D147" s="2">
        <v>1</v>
      </c>
      <c r="E147" s="2">
        <v>1.006</v>
      </c>
      <c r="F147" s="2">
        <v>2</v>
      </c>
    </row>
    <row r="148" spans="1:6" ht="14.25" customHeight="1">
      <c r="A148" s="2">
        <v>9</v>
      </c>
      <c r="B148" s="2">
        <v>147</v>
      </c>
      <c r="C148" s="2">
        <v>2</v>
      </c>
      <c r="D148" s="2">
        <v>1</v>
      </c>
      <c r="E148" s="2">
        <v>1.466</v>
      </c>
      <c r="F148" s="2">
        <v>1</v>
      </c>
    </row>
    <row r="149" spans="1:6" ht="14.25" customHeight="1">
      <c r="A149" s="2">
        <v>9</v>
      </c>
      <c r="B149" s="2">
        <v>148</v>
      </c>
      <c r="C149" s="2">
        <v>8</v>
      </c>
      <c r="D149" s="2">
        <v>0</v>
      </c>
      <c r="E149" s="2">
        <v>1.4359999999999999</v>
      </c>
      <c r="F149" s="2">
        <v>1</v>
      </c>
    </row>
    <row r="150" spans="1:6" ht="14.25" customHeight="1">
      <c r="A150" s="2">
        <v>9</v>
      </c>
      <c r="B150" s="2">
        <v>149</v>
      </c>
      <c r="C150" s="2">
        <v>5</v>
      </c>
      <c r="D150" s="2">
        <v>1</v>
      </c>
      <c r="E150" s="2">
        <v>1.375</v>
      </c>
      <c r="F150" s="2">
        <v>2</v>
      </c>
    </row>
    <row r="151" spans="1:6" ht="14.25" customHeight="1">
      <c r="A151" s="2">
        <v>9</v>
      </c>
      <c r="B151" s="2">
        <v>150</v>
      </c>
      <c r="C151" s="2">
        <v>2</v>
      </c>
      <c r="D151" s="2">
        <v>1</v>
      </c>
      <c r="E151" s="2">
        <v>1.3959999999999999</v>
      </c>
      <c r="F151" s="2">
        <v>1</v>
      </c>
    </row>
    <row r="152" spans="1:6" ht="14.25" customHeight="1">
      <c r="A152" s="2">
        <v>9</v>
      </c>
      <c r="B152" s="2">
        <v>151</v>
      </c>
      <c r="C152" s="2">
        <v>4</v>
      </c>
      <c r="D152" s="2">
        <v>1</v>
      </c>
      <c r="E152" s="2">
        <v>1.048</v>
      </c>
      <c r="F152" s="2">
        <v>2</v>
      </c>
    </row>
    <row r="153" spans="1:6" ht="14.25" customHeight="1">
      <c r="A153" s="2">
        <v>9</v>
      </c>
      <c r="B153" s="2">
        <v>152</v>
      </c>
      <c r="C153" s="2">
        <v>6</v>
      </c>
      <c r="D153" s="2">
        <v>0</v>
      </c>
      <c r="E153" s="2">
        <v>0.67300000000000004</v>
      </c>
      <c r="F153" s="2">
        <v>1</v>
      </c>
    </row>
    <row r="154" spans="1:6" ht="14.25" customHeight="1">
      <c r="A154" s="2">
        <v>9</v>
      </c>
      <c r="B154" s="2">
        <v>153</v>
      </c>
      <c r="C154" s="2">
        <v>8</v>
      </c>
      <c r="D154" s="2">
        <v>1</v>
      </c>
      <c r="E154" s="2">
        <v>0.93899999999999995</v>
      </c>
      <c r="F154" s="2">
        <v>2</v>
      </c>
    </row>
    <row r="155" spans="1:6" ht="14.25" customHeight="1">
      <c r="A155" s="2">
        <v>9</v>
      </c>
      <c r="B155" s="2">
        <v>154</v>
      </c>
      <c r="C155" s="2">
        <v>3</v>
      </c>
      <c r="D155" s="2">
        <v>1</v>
      </c>
      <c r="E155" s="2">
        <v>0.78500000000000003</v>
      </c>
      <c r="F155" s="2">
        <v>1</v>
      </c>
    </row>
    <row r="156" spans="1:6" ht="14.25" customHeight="1">
      <c r="A156" s="2">
        <v>9</v>
      </c>
      <c r="B156" s="2">
        <v>155</v>
      </c>
      <c r="C156" s="2">
        <v>8</v>
      </c>
      <c r="D156" s="2">
        <v>0</v>
      </c>
      <c r="E156" s="2">
        <v>0.74199999999999999</v>
      </c>
      <c r="F156" s="2">
        <v>1</v>
      </c>
    </row>
    <row r="157" spans="1:6" ht="14.25" customHeight="1">
      <c r="A157" s="2">
        <v>9</v>
      </c>
      <c r="B157" s="2">
        <v>156</v>
      </c>
      <c r="C157" s="2">
        <v>4</v>
      </c>
      <c r="D157" s="2">
        <v>0</v>
      </c>
      <c r="E157" s="2">
        <v>1.9410000000000001</v>
      </c>
      <c r="F157" s="2">
        <v>1</v>
      </c>
    </row>
    <row r="158" spans="1:6" ht="14.25" customHeight="1">
      <c r="A158" s="2">
        <v>9</v>
      </c>
      <c r="B158" s="2">
        <v>157</v>
      </c>
      <c r="C158" s="2">
        <v>3</v>
      </c>
      <c r="D158" s="2">
        <v>0</v>
      </c>
      <c r="E158" s="2">
        <v>1.444</v>
      </c>
      <c r="F158" s="2">
        <v>2</v>
      </c>
    </row>
    <row r="159" spans="1:6" ht="14.25" customHeight="1">
      <c r="A159" s="2">
        <v>9</v>
      </c>
      <c r="B159" s="2">
        <v>158</v>
      </c>
      <c r="C159" s="2">
        <v>7</v>
      </c>
      <c r="E159" s="2">
        <v>2</v>
      </c>
    </row>
    <row r="160" spans="1:6" ht="14.25" customHeight="1">
      <c r="A160" s="2">
        <v>9</v>
      </c>
      <c r="B160" s="2">
        <v>159</v>
      </c>
      <c r="C160" s="2">
        <v>2</v>
      </c>
      <c r="D160" s="2">
        <v>1</v>
      </c>
      <c r="E160" s="2">
        <v>1.9630000000000001</v>
      </c>
      <c r="F160" s="2">
        <v>1</v>
      </c>
    </row>
    <row r="161" spans="1:6" ht="14.25" customHeight="1">
      <c r="A161" s="2">
        <v>9</v>
      </c>
      <c r="B161" s="2">
        <v>160</v>
      </c>
      <c r="C161" s="2">
        <v>7</v>
      </c>
      <c r="D161" s="2">
        <v>1</v>
      </c>
      <c r="E161" s="2">
        <v>0.67300000000000004</v>
      </c>
      <c r="F161" s="2">
        <v>2</v>
      </c>
    </row>
    <row r="162" spans="1:6" ht="14.25" customHeight="1">
      <c r="A162" s="2">
        <v>9</v>
      </c>
      <c r="B162" s="2">
        <v>161</v>
      </c>
      <c r="C162" s="2">
        <v>4</v>
      </c>
      <c r="D162" s="2">
        <v>1</v>
      </c>
      <c r="E162" s="2">
        <v>1.0580000000000001</v>
      </c>
      <c r="F162" s="2">
        <v>1</v>
      </c>
    </row>
    <row r="163" spans="1:6" ht="14.25" customHeight="1">
      <c r="A163" s="2">
        <v>9</v>
      </c>
      <c r="B163" s="2">
        <v>162</v>
      </c>
      <c r="C163" s="2">
        <v>6</v>
      </c>
      <c r="D163" s="2">
        <v>1</v>
      </c>
      <c r="E163" s="2">
        <v>1.3959999999999999</v>
      </c>
      <c r="F163" s="2">
        <v>1</v>
      </c>
    </row>
    <row r="164" spans="1:6" ht="14.25" customHeight="1">
      <c r="A164" s="2">
        <v>9</v>
      </c>
      <c r="B164" s="2">
        <v>163</v>
      </c>
      <c r="C164" s="2">
        <v>8</v>
      </c>
      <c r="D164" s="2">
        <v>1</v>
      </c>
      <c r="E164" s="2">
        <v>0.72799999999999998</v>
      </c>
      <c r="F164" s="2">
        <v>1</v>
      </c>
    </row>
    <row r="165" spans="1:6" ht="14.25" customHeight="1">
      <c r="A165" s="2">
        <v>9</v>
      </c>
      <c r="B165" s="2">
        <v>164</v>
      </c>
      <c r="C165" s="2">
        <v>5</v>
      </c>
      <c r="D165" s="2">
        <v>1</v>
      </c>
      <c r="E165" s="2">
        <v>0.68</v>
      </c>
      <c r="F165" s="2">
        <v>1</v>
      </c>
    </row>
    <row r="166" spans="1:6" ht="14.25" customHeight="1">
      <c r="A166" s="2">
        <v>9</v>
      </c>
      <c r="B166" s="2">
        <v>165</v>
      </c>
      <c r="C166" s="2">
        <v>3</v>
      </c>
      <c r="D166" s="2">
        <v>1</v>
      </c>
      <c r="E166" s="2">
        <v>0.84099999999999997</v>
      </c>
      <c r="F166" s="2">
        <v>1</v>
      </c>
    </row>
    <row r="167" spans="1:6" ht="14.25" customHeight="1">
      <c r="A167" s="2">
        <v>9</v>
      </c>
      <c r="B167" s="2">
        <v>166</v>
      </c>
      <c r="C167" s="2">
        <v>8</v>
      </c>
      <c r="D167" s="2">
        <v>0</v>
      </c>
      <c r="E167" s="2">
        <v>1.004</v>
      </c>
      <c r="F167" s="2">
        <v>2</v>
      </c>
    </row>
    <row r="168" spans="1:6" ht="14.25" customHeight="1">
      <c r="A168" s="2">
        <v>9</v>
      </c>
      <c r="B168" s="2">
        <v>167</v>
      </c>
      <c r="C168" s="2">
        <v>7</v>
      </c>
      <c r="D168" s="2">
        <v>1</v>
      </c>
      <c r="E168" s="2">
        <v>0.86399999999999999</v>
      </c>
      <c r="F168" s="2">
        <v>2</v>
      </c>
    </row>
    <row r="169" spans="1:6" ht="14.25" customHeight="1">
      <c r="A169" s="2">
        <v>9</v>
      </c>
      <c r="B169" s="2">
        <v>168</v>
      </c>
      <c r="C169" s="2">
        <v>6</v>
      </c>
      <c r="D169" s="2">
        <v>1</v>
      </c>
      <c r="E169" s="2">
        <v>1.746</v>
      </c>
      <c r="F169" s="2">
        <v>1</v>
      </c>
    </row>
    <row r="170" spans="1:6" ht="14.25" customHeight="1">
      <c r="A170" s="2">
        <v>9</v>
      </c>
      <c r="B170" s="2">
        <v>169</v>
      </c>
      <c r="C170" s="2">
        <v>7</v>
      </c>
      <c r="D170" s="2">
        <v>0</v>
      </c>
      <c r="E170" s="2">
        <v>0.88800000000000001</v>
      </c>
      <c r="F170" s="2">
        <v>1</v>
      </c>
    </row>
    <row r="171" spans="1:6" ht="14.25" customHeight="1">
      <c r="A171" s="2">
        <v>9</v>
      </c>
      <c r="B171" s="2">
        <v>170</v>
      </c>
      <c r="C171" s="2">
        <v>8</v>
      </c>
      <c r="D171" s="2">
        <v>1</v>
      </c>
      <c r="E171" s="2">
        <v>1.0409999999999999</v>
      </c>
      <c r="F171" s="2">
        <v>2</v>
      </c>
    </row>
    <row r="172" spans="1:6" ht="14.25" customHeight="1">
      <c r="A172" s="2">
        <v>9</v>
      </c>
      <c r="B172" s="2">
        <v>171</v>
      </c>
      <c r="C172" s="2">
        <v>2</v>
      </c>
      <c r="D172" s="2">
        <v>0</v>
      </c>
      <c r="E172" s="2">
        <v>0.97199999999999998</v>
      </c>
      <c r="F172" s="2">
        <v>2</v>
      </c>
    </row>
    <row r="173" spans="1:6" ht="14.25" customHeight="1">
      <c r="A173" s="2">
        <v>9</v>
      </c>
      <c r="B173" s="2">
        <v>172</v>
      </c>
      <c r="C173" s="2">
        <v>3</v>
      </c>
      <c r="D173" s="2">
        <v>0</v>
      </c>
      <c r="E173" s="2">
        <v>0.98499999999999999</v>
      </c>
      <c r="F173" s="2">
        <v>1</v>
      </c>
    </row>
    <row r="174" spans="1:6" ht="14.25" customHeight="1">
      <c r="A174" s="2">
        <v>9</v>
      </c>
      <c r="B174" s="2">
        <v>173</v>
      </c>
      <c r="C174" s="2">
        <v>5</v>
      </c>
      <c r="E174" s="2">
        <v>2</v>
      </c>
    </row>
    <row r="175" spans="1:6" ht="14.25" customHeight="1">
      <c r="A175" s="2">
        <v>9</v>
      </c>
      <c r="B175" s="2">
        <v>174</v>
      </c>
      <c r="C175" s="2">
        <v>1</v>
      </c>
      <c r="D175" s="2">
        <v>1</v>
      </c>
      <c r="E175" s="2">
        <v>0.89900000000000002</v>
      </c>
      <c r="F175" s="2">
        <v>2</v>
      </c>
    </row>
    <row r="176" spans="1:6" ht="14.25" customHeight="1">
      <c r="A176" s="2">
        <v>9</v>
      </c>
      <c r="B176" s="2">
        <v>175</v>
      </c>
      <c r="C176" s="2">
        <v>5</v>
      </c>
      <c r="D176" s="2">
        <v>0</v>
      </c>
      <c r="E176" s="2">
        <v>0.64300000000000002</v>
      </c>
      <c r="F176" s="2">
        <v>1</v>
      </c>
    </row>
    <row r="177" spans="1:6" ht="14.25" customHeight="1">
      <c r="A177" s="2">
        <v>9</v>
      </c>
      <c r="B177" s="2">
        <v>176</v>
      </c>
      <c r="C177" s="2">
        <v>2</v>
      </c>
      <c r="D177" s="2">
        <v>0</v>
      </c>
      <c r="E177" s="2">
        <v>1.141</v>
      </c>
      <c r="F177" s="2">
        <v>1</v>
      </c>
    </row>
    <row r="178" spans="1:6" ht="14.25" customHeight="1">
      <c r="A178" s="2">
        <v>9</v>
      </c>
      <c r="B178" s="2">
        <v>177</v>
      </c>
      <c r="C178" s="2">
        <v>5</v>
      </c>
      <c r="D178" s="2">
        <v>0</v>
      </c>
      <c r="E178" s="2">
        <v>0.76400000000000001</v>
      </c>
      <c r="F178" s="2">
        <v>1</v>
      </c>
    </row>
    <row r="179" spans="1:6" ht="14.25" customHeight="1">
      <c r="A179" s="2">
        <v>9</v>
      </c>
      <c r="B179" s="2">
        <v>178</v>
      </c>
      <c r="C179" s="2">
        <v>3</v>
      </c>
      <c r="D179" s="2">
        <v>1</v>
      </c>
      <c r="E179" s="2">
        <v>1.0660000000000001</v>
      </c>
      <c r="F179" s="2">
        <v>1</v>
      </c>
    </row>
    <row r="180" spans="1:6" ht="14.25" customHeight="1">
      <c r="A180" s="2">
        <v>9</v>
      </c>
      <c r="B180" s="2">
        <v>179</v>
      </c>
      <c r="C180" s="2">
        <v>1</v>
      </c>
      <c r="D180" s="2">
        <v>0</v>
      </c>
      <c r="E180" s="2">
        <v>0.72399999999999998</v>
      </c>
      <c r="F180" s="2">
        <v>2</v>
      </c>
    </row>
    <row r="181" spans="1:6" ht="14.25" customHeight="1">
      <c r="A181" s="2">
        <v>9</v>
      </c>
      <c r="B181" s="2">
        <v>180</v>
      </c>
      <c r="C181" s="2">
        <v>6</v>
      </c>
      <c r="D181" s="2">
        <v>1</v>
      </c>
      <c r="E181" s="2">
        <v>0.74</v>
      </c>
      <c r="F181" s="2">
        <v>2</v>
      </c>
    </row>
    <row r="182" spans="1:6" ht="14.25" customHeight="1">
      <c r="A182" s="2">
        <v>9</v>
      </c>
      <c r="B182" s="2">
        <v>181</v>
      </c>
      <c r="C182" s="2">
        <v>4</v>
      </c>
      <c r="D182" s="2">
        <v>1</v>
      </c>
      <c r="E182" s="2">
        <v>0.85099999999999998</v>
      </c>
      <c r="F182" s="2">
        <v>1</v>
      </c>
    </row>
    <row r="183" spans="1:6" ht="14.25" customHeight="1">
      <c r="A183" s="2">
        <v>9</v>
      </c>
      <c r="B183" s="2">
        <v>182</v>
      </c>
      <c r="C183" s="2">
        <v>6</v>
      </c>
      <c r="D183" s="2">
        <v>0</v>
      </c>
      <c r="E183" s="2">
        <v>0.66900000000000004</v>
      </c>
      <c r="F183" s="2">
        <v>2</v>
      </c>
    </row>
    <row r="184" spans="1:6" ht="14.25" customHeight="1">
      <c r="A184" s="2">
        <v>9</v>
      </c>
      <c r="B184" s="2">
        <v>183</v>
      </c>
      <c r="C184" s="2">
        <v>1</v>
      </c>
      <c r="D184" s="2">
        <v>1</v>
      </c>
      <c r="E184" s="2">
        <v>0.82299999999999995</v>
      </c>
      <c r="F184" s="2">
        <v>2</v>
      </c>
    </row>
    <row r="185" spans="1:6" ht="14.25" customHeight="1">
      <c r="A185" s="2">
        <v>9</v>
      </c>
      <c r="B185" s="2">
        <v>184</v>
      </c>
      <c r="C185" s="2">
        <v>3</v>
      </c>
      <c r="D185" s="2">
        <v>1</v>
      </c>
      <c r="E185" s="2">
        <v>1.4419999999999999</v>
      </c>
      <c r="F185" s="2">
        <v>2</v>
      </c>
    </row>
    <row r="186" spans="1:6" ht="14.25" customHeight="1">
      <c r="A186" s="2">
        <v>9</v>
      </c>
      <c r="B186" s="2">
        <v>185</v>
      </c>
      <c r="C186" s="2">
        <v>2</v>
      </c>
      <c r="D186" s="2">
        <v>1</v>
      </c>
      <c r="E186" s="2">
        <v>1.645</v>
      </c>
      <c r="F186" s="2">
        <v>1</v>
      </c>
    </row>
    <row r="187" spans="1:6" ht="14.25" customHeight="1">
      <c r="A187" s="2">
        <v>9</v>
      </c>
      <c r="B187" s="2">
        <v>186</v>
      </c>
      <c r="C187" s="2">
        <v>1</v>
      </c>
      <c r="D187" s="2">
        <v>0</v>
      </c>
      <c r="E187" s="2">
        <v>1.0640000000000001</v>
      </c>
      <c r="F187" s="2">
        <v>1</v>
      </c>
    </row>
    <row r="188" spans="1:6" ht="14.25" customHeight="1">
      <c r="A188" s="2">
        <v>9</v>
      </c>
      <c r="B188" s="2">
        <v>187</v>
      </c>
      <c r="C188" s="2">
        <v>2</v>
      </c>
      <c r="D188" s="2">
        <v>0</v>
      </c>
      <c r="E188" s="2">
        <v>0.64100000000000001</v>
      </c>
      <c r="F188" s="2">
        <v>2</v>
      </c>
    </row>
    <row r="189" spans="1:6" ht="14.25" customHeight="1">
      <c r="A189" s="2">
        <v>9</v>
      </c>
      <c r="B189" s="2">
        <v>188</v>
      </c>
      <c r="C189" s="2">
        <v>6</v>
      </c>
      <c r="D189" s="2">
        <v>1</v>
      </c>
      <c r="E189" s="2">
        <v>1.3560000000000001</v>
      </c>
      <c r="F189" s="2">
        <v>1</v>
      </c>
    </row>
    <row r="190" spans="1:6" ht="14.25" customHeight="1">
      <c r="A190" s="2">
        <v>9</v>
      </c>
      <c r="B190" s="2">
        <v>189</v>
      </c>
      <c r="C190" s="2">
        <v>5</v>
      </c>
      <c r="D190" s="2">
        <v>1</v>
      </c>
      <c r="E190" s="2">
        <v>1.9379999999999999</v>
      </c>
      <c r="F190" s="2">
        <v>1</v>
      </c>
    </row>
    <row r="191" spans="1:6" ht="14.25" customHeight="1">
      <c r="A191" s="2">
        <v>9</v>
      </c>
      <c r="B191" s="2">
        <v>190</v>
      </c>
      <c r="C191" s="2">
        <v>1</v>
      </c>
      <c r="D191" s="2">
        <v>0</v>
      </c>
      <c r="E191" s="2">
        <v>1.4410000000000001</v>
      </c>
      <c r="F191" s="2">
        <v>2</v>
      </c>
    </row>
    <row r="192" spans="1:6" ht="14.25" customHeight="1">
      <c r="A192" s="2">
        <v>9</v>
      </c>
      <c r="B192" s="2">
        <v>191</v>
      </c>
      <c r="C192" s="2">
        <v>4</v>
      </c>
      <c r="D192" s="2">
        <v>1</v>
      </c>
      <c r="E192" s="2">
        <v>1.556</v>
      </c>
      <c r="F192" s="2">
        <v>2</v>
      </c>
    </row>
    <row r="193" spans="1:6" ht="14.25" customHeight="1">
      <c r="A193" s="2">
        <v>9</v>
      </c>
      <c r="B193" s="2">
        <v>192</v>
      </c>
      <c r="C193" s="2">
        <v>1</v>
      </c>
      <c r="D193" s="2">
        <v>0</v>
      </c>
      <c r="E193" s="2">
        <v>0.95399999999999996</v>
      </c>
      <c r="F193" s="2">
        <v>1</v>
      </c>
    </row>
    <row r="194" spans="1:6" ht="14.25" customHeight="1">
      <c r="A194" s="2">
        <v>9</v>
      </c>
      <c r="B194" s="2">
        <v>193</v>
      </c>
      <c r="C194" s="2">
        <v>2</v>
      </c>
      <c r="D194" s="2">
        <v>0</v>
      </c>
      <c r="E194" s="2">
        <v>0.56799999999999995</v>
      </c>
      <c r="F194" s="2">
        <v>1</v>
      </c>
    </row>
    <row r="195" spans="1:6" ht="14.25" customHeight="1">
      <c r="A195" s="2">
        <v>9</v>
      </c>
      <c r="B195" s="2">
        <v>194</v>
      </c>
      <c r="C195" s="2">
        <v>8</v>
      </c>
      <c r="D195" s="2">
        <v>0</v>
      </c>
      <c r="E195" s="2">
        <v>0.55700000000000005</v>
      </c>
      <c r="F195" s="2">
        <v>2</v>
      </c>
    </row>
    <row r="196" spans="1:6" ht="14.25" customHeight="1">
      <c r="A196" s="2">
        <v>9</v>
      </c>
      <c r="B196" s="2">
        <v>195</v>
      </c>
      <c r="C196" s="2">
        <v>4</v>
      </c>
      <c r="D196" s="2">
        <v>1</v>
      </c>
      <c r="E196" s="2">
        <v>0.93899999999999995</v>
      </c>
      <c r="F196" s="2">
        <v>1</v>
      </c>
    </row>
    <row r="197" spans="1:6" ht="14.25" customHeight="1">
      <c r="A197" s="2">
        <v>9</v>
      </c>
      <c r="B197" s="2">
        <v>196</v>
      </c>
      <c r="C197" s="2">
        <v>5</v>
      </c>
      <c r="D197" s="2">
        <v>1</v>
      </c>
      <c r="E197" s="2">
        <v>1.0349999999999999</v>
      </c>
      <c r="F197" s="2">
        <v>2</v>
      </c>
    </row>
    <row r="198" spans="1:6" ht="14.25" customHeight="1">
      <c r="A198" s="2">
        <v>9</v>
      </c>
      <c r="B198" s="2">
        <v>197</v>
      </c>
      <c r="C198" s="2">
        <v>4</v>
      </c>
      <c r="D198" s="2">
        <v>0</v>
      </c>
      <c r="E198" s="2">
        <v>1.365</v>
      </c>
      <c r="F198" s="2">
        <v>2</v>
      </c>
    </row>
    <row r="199" spans="1:6" ht="14.25" customHeight="1">
      <c r="A199" s="2">
        <v>9</v>
      </c>
      <c r="B199" s="2">
        <v>198</v>
      </c>
      <c r="C199" s="2">
        <v>7</v>
      </c>
      <c r="E199" s="2">
        <v>2.0009999999999999</v>
      </c>
    </row>
    <row r="200" spans="1:6" ht="14.25" customHeight="1">
      <c r="A200" s="2">
        <v>9</v>
      </c>
      <c r="B200" s="2">
        <v>199</v>
      </c>
      <c r="C200" s="2">
        <v>1</v>
      </c>
      <c r="D200" s="2">
        <v>1</v>
      </c>
      <c r="E200" s="2">
        <v>0.94499999999999995</v>
      </c>
      <c r="F200" s="2">
        <v>2</v>
      </c>
    </row>
    <row r="201" spans="1:6" ht="14.25" customHeight="1">
      <c r="A201" s="2">
        <v>9</v>
      </c>
      <c r="B201" s="2">
        <v>200</v>
      </c>
      <c r="C201" s="2">
        <v>7</v>
      </c>
      <c r="D201" s="2">
        <v>1</v>
      </c>
      <c r="E201" s="2">
        <v>1.327</v>
      </c>
      <c r="F201" s="2">
        <v>1</v>
      </c>
    </row>
    <row r="202" spans="1:6" ht="14.25" customHeight="1">
      <c r="A202" s="2">
        <v>9</v>
      </c>
      <c r="B202" s="2">
        <v>201</v>
      </c>
      <c r="C202" s="2">
        <v>8</v>
      </c>
      <c r="D202" s="2">
        <v>1</v>
      </c>
      <c r="E202" s="2">
        <v>0.997</v>
      </c>
      <c r="F202" s="2">
        <v>2</v>
      </c>
    </row>
    <row r="203" spans="1:6" ht="14.25" customHeight="1">
      <c r="A203" s="2">
        <v>9</v>
      </c>
      <c r="B203" s="2">
        <v>202</v>
      </c>
      <c r="C203" s="2">
        <v>2</v>
      </c>
      <c r="D203" s="2">
        <v>0</v>
      </c>
      <c r="E203" s="2">
        <v>0.85699999999999998</v>
      </c>
      <c r="F203" s="2">
        <v>1</v>
      </c>
    </row>
    <row r="204" spans="1:6" ht="14.25" customHeight="1">
      <c r="A204" s="2">
        <v>9</v>
      </c>
      <c r="B204" s="2">
        <v>203</v>
      </c>
      <c r="C204" s="2">
        <v>7</v>
      </c>
      <c r="D204" s="2">
        <v>1</v>
      </c>
      <c r="E204" s="2">
        <v>0.80300000000000005</v>
      </c>
      <c r="F204" s="2">
        <v>2</v>
      </c>
    </row>
    <row r="205" spans="1:6" ht="14.25" customHeight="1">
      <c r="A205" s="2">
        <v>9</v>
      </c>
      <c r="B205" s="2">
        <v>204</v>
      </c>
      <c r="C205" s="2">
        <v>4</v>
      </c>
      <c r="D205" s="2">
        <v>1</v>
      </c>
      <c r="E205" s="2">
        <v>1.4710000000000001</v>
      </c>
      <c r="F205" s="2">
        <v>1</v>
      </c>
    </row>
    <row r="206" spans="1:6" ht="14.25" customHeight="1">
      <c r="A206" s="2">
        <v>9</v>
      </c>
      <c r="B206" s="2">
        <v>205</v>
      </c>
      <c r="C206" s="2">
        <v>2</v>
      </c>
      <c r="D206" s="2">
        <v>1</v>
      </c>
      <c r="E206" s="2">
        <v>1.6639999999999999</v>
      </c>
      <c r="F206" s="2">
        <v>2</v>
      </c>
    </row>
    <row r="207" spans="1:6" ht="14.25" customHeight="1">
      <c r="A207" s="2">
        <v>9</v>
      </c>
      <c r="B207" s="2">
        <v>206</v>
      </c>
      <c r="C207" s="2">
        <v>3</v>
      </c>
      <c r="D207" s="2">
        <v>0</v>
      </c>
      <c r="E207" s="2">
        <v>0.755</v>
      </c>
      <c r="F207" s="2">
        <v>1</v>
      </c>
    </row>
    <row r="208" spans="1:6" ht="14.25" customHeight="1">
      <c r="A208" s="2">
        <v>9</v>
      </c>
      <c r="B208" s="2">
        <v>207</v>
      </c>
      <c r="C208" s="2">
        <v>5</v>
      </c>
      <c r="D208" s="2">
        <v>1</v>
      </c>
      <c r="E208" s="2">
        <v>1.3520000000000001</v>
      </c>
      <c r="F208" s="2">
        <v>1</v>
      </c>
    </row>
    <row r="209" spans="1:6" ht="14.25" customHeight="1">
      <c r="A209" s="2">
        <v>9</v>
      </c>
      <c r="B209" s="2">
        <v>208</v>
      </c>
      <c r="C209" s="2">
        <v>3</v>
      </c>
      <c r="D209" s="2">
        <v>1</v>
      </c>
      <c r="E209" s="2">
        <v>1.7589999999999999</v>
      </c>
      <c r="F209" s="2">
        <v>1</v>
      </c>
    </row>
    <row r="210" spans="1:6" ht="14.25" customHeight="1">
      <c r="A210" s="2">
        <v>9</v>
      </c>
      <c r="B210" s="2">
        <v>209</v>
      </c>
      <c r="C210" s="2">
        <v>2</v>
      </c>
      <c r="E210" s="2">
        <v>2</v>
      </c>
    </row>
    <row r="211" spans="1:6" ht="14.25" customHeight="1">
      <c r="A211" s="2">
        <v>9</v>
      </c>
      <c r="B211" s="2">
        <v>210</v>
      </c>
      <c r="C211" s="2">
        <v>7</v>
      </c>
      <c r="D211" s="2">
        <v>1</v>
      </c>
      <c r="E211" s="2">
        <v>0.70599999999999996</v>
      </c>
      <c r="F211" s="2">
        <v>2</v>
      </c>
    </row>
    <row r="212" spans="1:6" ht="14.25" customHeight="1">
      <c r="A212" s="2">
        <v>9</v>
      </c>
      <c r="B212" s="2">
        <v>211</v>
      </c>
      <c r="C212" s="2">
        <v>4</v>
      </c>
      <c r="E212" s="2">
        <v>2</v>
      </c>
    </row>
    <row r="213" spans="1:6" ht="14.25" customHeight="1">
      <c r="A213" s="2">
        <v>9</v>
      </c>
      <c r="B213" s="2">
        <v>212</v>
      </c>
      <c r="C213" s="2">
        <v>1</v>
      </c>
      <c r="E213" s="2">
        <v>2</v>
      </c>
    </row>
    <row r="214" spans="1:6" ht="14.25" customHeight="1">
      <c r="A214" s="2">
        <v>9</v>
      </c>
      <c r="B214" s="2">
        <v>213</v>
      </c>
      <c r="C214" s="2">
        <v>8</v>
      </c>
      <c r="D214" s="2">
        <v>1</v>
      </c>
      <c r="E214" s="2">
        <v>0.39400000000000002</v>
      </c>
      <c r="F214" s="2">
        <v>1</v>
      </c>
    </row>
    <row r="215" spans="1:6" ht="14.25" customHeight="1">
      <c r="A215" s="2">
        <v>9</v>
      </c>
      <c r="B215" s="2">
        <v>214</v>
      </c>
      <c r="C215" s="2">
        <v>6</v>
      </c>
      <c r="D215" s="2">
        <v>0</v>
      </c>
      <c r="E215" s="2">
        <v>0.64600000000000002</v>
      </c>
      <c r="F215" s="2">
        <v>2</v>
      </c>
    </row>
    <row r="216" spans="1:6" ht="14.25" customHeight="1">
      <c r="A216" s="2">
        <v>9</v>
      </c>
      <c r="B216" s="2">
        <v>215</v>
      </c>
      <c r="C216" s="2">
        <v>4</v>
      </c>
      <c r="D216" s="2">
        <v>1</v>
      </c>
      <c r="E216" s="2">
        <v>1.345</v>
      </c>
      <c r="F216" s="2">
        <v>1</v>
      </c>
    </row>
    <row r="217" spans="1:6" ht="14.25" customHeight="1">
      <c r="A217" s="2">
        <v>9</v>
      </c>
      <c r="B217" s="2">
        <v>216</v>
      </c>
      <c r="C217" s="2">
        <v>6</v>
      </c>
      <c r="D217" s="2">
        <v>0</v>
      </c>
      <c r="E217" s="2">
        <v>1</v>
      </c>
      <c r="F217" s="2">
        <v>2</v>
      </c>
    </row>
    <row r="218" spans="1:6" ht="14.25" customHeight="1">
      <c r="A218" s="2">
        <v>9</v>
      </c>
      <c r="B218" s="2">
        <v>217</v>
      </c>
      <c r="C218" s="2">
        <v>7</v>
      </c>
      <c r="D218" s="2">
        <v>1</v>
      </c>
      <c r="E218" s="2">
        <v>0.88400000000000001</v>
      </c>
      <c r="F218" s="2">
        <v>2</v>
      </c>
    </row>
    <row r="219" spans="1:6" ht="14.25" customHeight="1">
      <c r="A219" s="2">
        <v>9</v>
      </c>
      <c r="B219" s="2">
        <v>218</v>
      </c>
      <c r="C219" s="2">
        <v>5</v>
      </c>
      <c r="D219" s="2">
        <v>1</v>
      </c>
      <c r="E219" s="2">
        <v>0.97299999999999998</v>
      </c>
      <c r="F219" s="2">
        <v>1</v>
      </c>
    </row>
    <row r="220" spans="1:6" ht="14.25" customHeight="1">
      <c r="A220" s="2">
        <v>9</v>
      </c>
      <c r="B220" s="2">
        <v>219</v>
      </c>
      <c r="C220" s="2">
        <v>7</v>
      </c>
      <c r="D220" s="2">
        <v>0</v>
      </c>
      <c r="E220" s="2">
        <v>1.395</v>
      </c>
      <c r="F220" s="2">
        <v>1</v>
      </c>
    </row>
    <row r="221" spans="1:6" ht="14.25" customHeight="1">
      <c r="A221" s="2">
        <v>9</v>
      </c>
      <c r="B221" s="2">
        <v>220</v>
      </c>
      <c r="C221" s="2">
        <v>2</v>
      </c>
      <c r="D221" s="2">
        <v>0</v>
      </c>
      <c r="E221" s="2">
        <v>0.68799999999999994</v>
      </c>
      <c r="F221" s="2">
        <v>1</v>
      </c>
    </row>
    <row r="222" spans="1:6" ht="14.25" customHeight="1">
      <c r="A222" s="2">
        <v>9</v>
      </c>
      <c r="B222" s="2">
        <v>221</v>
      </c>
      <c r="C222" s="2">
        <v>7</v>
      </c>
      <c r="D222" s="2">
        <v>0</v>
      </c>
      <c r="E222" s="2">
        <v>1.0009999999999999</v>
      </c>
      <c r="F222" s="2">
        <v>2</v>
      </c>
    </row>
    <row r="223" spans="1:6" ht="14.25" customHeight="1">
      <c r="A223" s="2">
        <v>9</v>
      </c>
      <c r="B223" s="2">
        <v>222</v>
      </c>
      <c r="C223" s="2">
        <v>4</v>
      </c>
      <c r="D223" s="2">
        <v>1</v>
      </c>
      <c r="E223" s="2">
        <v>1.0609999999999999</v>
      </c>
      <c r="F223" s="2">
        <v>2</v>
      </c>
    </row>
    <row r="224" spans="1:6" ht="14.25" customHeight="1">
      <c r="A224" s="2">
        <v>9</v>
      </c>
      <c r="B224" s="2">
        <v>223</v>
      </c>
      <c r="C224" s="2">
        <v>8</v>
      </c>
      <c r="D224" s="2">
        <v>0</v>
      </c>
      <c r="E224" s="2">
        <v>0.78300000000000003</v>
      </c>
      <c r="F224" s="2">
        <v>1</v>
      </c>
    </row>
    <row r="225" spans="1:6" ht="14.25" customHeight="1">
      <c r="A225" s="2">
        <v>9</v>
      </c>
      <c r="B225" s="2">
        <v>224</v>
      </c>
      <c r="C225" s="2">
        <v>1</v>
      </c>
      <c r="D225" s="2">
        <v>1</v>
      </c>
      <c r="E225" s="2">
        <v>0.9</v>
      </c>
      <c r="F225" s="2">
        <v>2</v>
      </c>
    </row>
    <row r="226" spans="1:6" ht="14.25" customHeight="1">
      <c r="A226" s="2">
        <v>9</v>
      </c>
      <c r="B226" s="2">
        <v>225</v>
      </c>
      <c r="C226" s="2">
        <v>3</v>
      </c>
      <c r="D226" s="2">
        <v>0</v>
      </c>
      <c r="E226" s="2">
        <v>0.66900000000000004</v>
      </c>
      <c r="F226" s="2">
        <v>1</v>
      </c>
    </row>
    <row r="227" spans="1:6" ht="14.25" customHeight="1">
      <c r="A227" s="2">
        <v>9</v>
      </c>
      <c r="B227" s="2">
        <v>226</v>
      </c>
      <c r="C227" s="2">
        <v>6</v>
      </c>
      <c r="D227" s="2">
        <v>1</v>
      </c>
      <c r="E227" s="2">
        <v>0.623</v>
      </c>
      <c r="F227" s="2">
        <v>2</v>
      </c>
    </row>
    <row r="228" spans="1:6" ht="14.25" customHeight="1">
      <c r="A228" s="2">
        <v>9</v>
      </c>
      <c r="B228" s="2">
        <v>227</v>
      </c>
      <c r="C228" s="2">
        <v>4</v>
      </c>
      <c r="D228" s="2">
        <v>0</v>
      </c>
      <c r="E228" s="2">
        <v>0.53</v>
      </c>
      <c r="F228" s="2">
        <v>1</v>
      </c>
    </row>
    <row r="229" spans="1:6" ht="14.25" customHeight="1">
      <c r="A229" s="2">
        <v>9</v>
      </c>
      <c r="B229" s="2">
        <v>228</v>
      </c>
      <c r="C229" s="2">
        <v>5</v>
      </c>
      <c r="D229" s="2">
        <v>1</v>
      </c>
      <c r="E229" s="2">
        <v>0.86499999999999999</v>
      </c>
      <c r="F229" s="2">
        <v>1</v>
      </c>
    </row>
    <row r="230" spans="1:6" ht="14.25" customHeight="1">
      <c r="A230" s="2">
        <v>9</v>
      </c>
      <c r="B230" s="2">
        <v>229</v>
      </c>
      <c r="C230" s="2">
        <v>1</v>
      </c>
      <c r="D230" s="2">
        <v>0</v>
      </c>
      <c r="E230" s="2">
        <v>1.171</v>
      </c>
      <c r="F230" s="2">
        <v>2</v>
      </c>
    </row>
    <row r="231" spans="1:6" ht="14.25" customHeight="1">
      <c r="A231" s="2">
        <v>9</v>
      </c>
      <c r="B231" s="2">
        <v>230</v>
      </c>
      <c r="C231" s="2">
        <v>5</v>
      </c>
      <c r="D231" s="2">
        <v>1</v>
      </c>
      <c r="E231" s="2">
        <v>0.99299999999999999</v>
      </c>
      <c r="F231" s="2">
        <v>2</v>
      </c>
    </row>
    <row r="232" spans="1:6" ht="14.25" customHeight="1">
      <c r="A232" s="2">
        <v>9</v>
      </c>
      <c r="B232" s="2">
        <v>231</v>
      </c>
      <c r="C232" s="2">
        <v>6</v>
      </c>
      <c r="D232" s="2">
        <v>0</v>
      </c>
      <c r="E232" s="2">
        <v>0.749</v>
      </c>
      <c r="F232" s="2">
        <v>2</v>
      </c>
    </row>
    <row r="233" spans="1:6" ht="14.25" customHeight="1">
      <c r="A233" s="2">
        <v>9</v>
      </c>
      <c r="B233" s="2">
        <v>232</v>
      </c>
      <c r="C233" s="2">
        <v>3</v>
      </c>
      <c r="D233" s="2">
        <v>1</v>
      </c>
      <c r="E233" s="2">
        <v>0.748</v>
      </c>
      <c r="F233" s="2">
        <v>1</v>
      </c>
    </row>
    <row r="234" spans="1:6" ht="14.25" customHeight="1">
      <c r="A234" s="2">
        <v>9</v>
      </c>
      <c r="B234" s="2">
        <v>233</v>
      </c>
      <c r="C234" s="2">
        <v>2</v>
      </c>
      <c r="D234" s="2">
        <v>1</v>
      </c>
      <c r="E234" s="2">
        <v>1.6579999999999999</v>
      </c>
      <c r="F234" s="2">
        <v>2</v>
      </c>
    </row>
    <row r="235" spans="1:6" ht="14.25" customHeight="1">
      <c r="A235" s="2">
        <v>9</v>
      </c>
      <c r="B235" s="2">
        <v>234</v>
      </c>
      <c r="C235" s="2">
        <v>6</v>
      </c>
      <c r="D235" s="2">
        <v>1</v>
      </c>
      <c r="E235" s="2">
        <v>1.22</v>
      </c>
      <c r="F235" s="2">
        <v>2</v>
      </c>
    </row>
    <row r="236" spans="1:6" ht="14.25" customHeight="1">
      <c r="A236" s="2">
        <v>9</v>
      </c>
      <c r="B236" s="2">
        <v>235</v>
      </c>
      <c r="C236" s="2">
        <v>8</v>
      </c>
      <c r="D236" s="2">
        <v>1</v>
      </c>
      <c r="E236" s="2">
        <v>1.383</v>
      </c>
      <c r="F236" s="2">
        <v>1</v>
      </c>
    </row>
    <row r="237" spans="1:6" ht="14.25" customHeight="1">
      <c r="A237" s="2">
        <v>9</v>
      </c>
      <c r="B237" s="2">
        <v>236</v>
      </c>
      <c r="C237" s="2">
        <v>3</v>
      </c>
      <c r="D237" s="2">
        <v>0</v>
      </c>
      <c r="E237" s="2">
        <v>0.877</v>
      </c>
      <c r="F237" s="2">
        <v>1</v>
      </c>
    </row>
    <row r="238" spans="1:6" ht="14.25" customHeight="1">
      <c r="A238" s="2">
        <v>9</v>
      </c>
      <c r="B238" s="2">
        <v>237</v>
      </c>
      <c r="C238" s="2">
        <v>7</v>
      </c>
      <c r="D238" s="2">
        <v>1</v>
      </c>
      <c r="E238" s="2">
        <v>1.55</v>
      </c>
      <c r="F238" s="2">
        <v>1</v>
      </c>
    </row>
    <row r="239" spans="1:6" ht="14.25" customHeight="1">
      <c r="A239" s="2">
        <v>9</v>
      </c>
      <c r="B239" s="2">
        <v>238</v>
      </c>
      <c r="C239" s="2">
        <v>1</v>
      </c>
      <c r="D239" s="2">
        <v>1</v>
      </c>
      <c r="E239" s="2">
        <v>1.2130000000000001</v>
      </c>
      <c r="F239" s="2">
        <v>1</v>
      </c>
    </row>
    <row r="240" spans="1:6" ht="14.25" customHeight="1">
      <c r="A240" s="2">
        <v>9</v>
      </c>
      <c r="B240" s="2">
        <v>239</v>
      </c>
      <c r="C240" s="2">
        <v>4</v>
      </c>
      <c r="D240" s="2">
        <v>0</v>
      </c>
      <c r="E240" s="2">
        <v>1.0169999999999999</v>
      </c>
      <c r="F240" s="2">
        <v>2</v>
      </c>
    </row>
    <row r="241" spans="1:6" ht="14.25" customHeight="1">
      <c r="A241" s="2">
        <v>9</v>
      </c>
      <c r="B241" s="2">
        <v>240</v>
      </c>
      <c r="C241" s="2">
        <v>2</v>
      </c>
      <c r="E241" s="2">
        <v>2</v>
      </c>
    </row>
    <row r="242" spans="1:6" ht="14.25" customHeight="1">
      <c r="A242" s="2">
        <v>9</v>
      </c>
      <c r="B242" s="2">
        <v>241</v>
      </c>
      <c r="C242" s="2">
        <v>1</v>
      </c>
      <c r="D242" s="2">
        <v>1</v>
      </c>
      <c r="E242" s="2">
        <v>1.1220000000000001</v>
      </c>
      <c r="F242" s="2">
        <v>2</v>
      </c>
    </row>
    <row r="243" spans="1:6" ht="14.25" customHeight="1">
      <c r="A243" s="2">
        <v>9</v>
      </c>
      <c r="B243" s="2">
        <v>242</v>
      </c>
      <c r="C243" s="2">
        <v>8</v>
      </c>
      <c r="D243" s="2">
        <v>1</v>
      </c>
      <c r="E243" s="2">
        <v>1.5049999999999999</v>
      </c>
      <c r="F243" s="2">
        <v>2</v>
      </c>
    </row>
    <row r="244" spans="1:6" ht="14.25" customHeight="1">
      <c r="A244" s="2">
        <v>9</v>
      </c>
      <c r="B244" s="2">
        <v>243</v>
      </c>
      <c r="C244" s="2">
        <v>5</v>
      </c>
      <c r="D244" s="2">
        <v>0</v>
      </c>
      <c r="E244" s="2">
        <v>1.5289999999999999</v>
      </c>
      <c r="F244" s="2">
        <v>1</v>
      </c>
    </row>
    <row r="245" spans="1:6" ht="14.25" customHeight="1">
      <c r="A245" s="2">
        <v>9</v>
      </c>
      <c r="B245" s="2">
        <v>244</v>
      </c>
      <c r="C245" s="2">
        <v>4</v>
      </c>
      <c r="D245" s="2">
        <v>0</v>
      </c>
      <c r="E245" s="2">
        <v>1.1120000000000001</v>
      </c>
      <c r="F245" s="2">
        <v>2</v>
      </c>
    </row>
    <row r="246" spans="1:6" ht="14.25" customHeight="1">
      <c r="A246" s="2">
        <v>9</v>
      </c>
      <c r="B246" s="2">
        <v>245</v>
      </c>
      <c r="C246" s="2">
        <v>6</v>
      </c>
      <c r="D246" s="2">
        <v>1</v>
      </c>
      <c r="E246" s="2">
        <v>1.3919999999999999</v>
      </c>
      <c r="F246" s="2">
        <v>1</v>
      </c>
    </row>
    <row r="247" spans="1:6" ht="14.25" customHeight="1">
      <c r="A247" s="2">
        <v>9</v>
      </c>
      <c r="B247" s="2">
        <v>246</v>
      </c>
      <c r="C247" s="2">
        <v>3</v>
      </c>
      <c r="D247" s="2">
        <v>1</v>
      </c>
      <c r="E247" s="2">
        <v>0.63600000000000001</v>
      </c>
      <c r="F247" s="2">
        <v>2</v>
      </c>
    </row>
    <row r="248" spans="1:6" ht="14.25" customHeight="1">
      <c r="A248" s="2">
        <v>9</v>
      </c>
      <c r="B248" s="2">
        <v>247</v>
      </c>
      <c r="C248" s="2">
        <v>5</v>
      </c>
      <c r="D248" s="2">
        <v>1</v>
      </c>
      <c r="E248" s="2">
        <v>1.5589999999999999</v>
      </c>
      <c r="F248" s="2">
        <v>1</v>
      </c>
    </row>
    <row r="249" spans="1:6" ht="14.25" customHeight="1">
      <c r="A249" s="2">
        <v>9</v>
      </c>
      <c r="B249" s="2">
        <v>248</v>
      </c>
      <c r="C249" s="2">
        <v>1</v>
      </c>
      <c r="D249" s="2">
        <v>1</v>
      </c>
      <c r="E249" s="2">
        <v>1.2210000000000001</v>
      </c>
      <c r="F249" s="2">
        <v>2</v>
      </c>
    </row>
    <row r="250" spans="1:6" ht="14.25" customHeight="1">
      <c r="A250" s="2">
        <v>9</v>
      </c>
      <c r="B250" s="2">
        <v>249</v>
      </c>
      <c r="C250" s="2">
        <v>8</v>
      </c>
      <c r="D250" s="2">
        <v>0</v>
      </c>
      <c r="E250" s="2">
        <v>0.97599999999999998</v>
      </c>
      <c r="F250" s="2">
        <v>1</v>
      </c>
    </row>
    <row r="251" spans="1:6" ht="14.25" customHeight="1">
      <c r="A251" s="2">
        <v>9</v>
      </c>
      <c r="B251" s="2">
        <v>250</v>
      </c>
      <c r="C251" s="2">
        <v>1</v>
      </c>
      <c r="D251" s="2">
        <v>0</v>
      </c>
      <c r="E251" s="2">
        <v>1.294</v>
      </c>
      <c r="F251" s="2">
        <v>2</v>
      </c>
    </row>
    <row r="252" spans="1:6" ht="14.25" customHeight="1">
      <c r="A252" s="2">
        <v>9</v>
      </c>
      <c r="B252" s="2">
        <v>251</v>
      </c>
      <c r="C252" s="2">
        <v>3</v>
      </c>
      <c r="D252" s="2">
        <v>1</v>
      </c>
      <c r="E252" s="2">
        <v>0.79700000000000004</v>
      </c>
      <c r="F252" s="2">
        <v>2</v>
      </c>
    </row>
    <row r="253" spans="1:6" ht="14.25" customHeight="1">
      <c r="A253" s="2">
        <v>9</v>
      </c>
      <c r="B253" s="2">
        <v>252</v>
      </c>
      <c r="C253" s="2">
        <v>2</v>
      </c>
      <c r="D253" s="2">
        <v>0</v>
      </c>
      <c r="E253" s="2">
        <v>0.71399999999999997</v>
      </c>
      <c r="F253" s="2">
        <v>1</v>
      </c>
    </row>
    <row r="254" spans="1:6" ht="14.25" customHeight="1">
      <c r="A254" s="2">
        <v>9</v>
      </c>
      <c r="B254" s="2">
        <v>253</v>
      </c>
      <c r="C254" s="2">
        <v>5</v>
      </c>
      <c r="D254" s="2">
        <v>0</v>
      </c>
      <c r="E254" s="2">
        <v>0.66600000000000004</v>
      </c>
      <c r="F254" s="2">
        <v>1</v>
      </c>
    </row>
    <row r="255" spans="1:6" ht="14.25" customHeight="1">
      <c r="A255" s="2">
        <v>9</v>
      </c>
      <c r="B255" s="2">
        <v>254</v>
      </c>
      <c r="C255" s="2">
        <v>2</v>
      </c>
      <c r="D255" s="2">
        <v>0</v>
      </c>
      <c r="E255" s="2">
        <v>0.67600000000000005</v>
      </c>
      <c r="F255" s="2">
        <v>2</v>
      </c>
    </row>
    <row r="256" spans="1:6" ht="14.25" customHeight="1">
      <c r="A256" s="2">
        <v>9</v>
      </c>
      <c r="B256" s="2">
        <v>255</v>
      </c>
      <c r="C256" s="2">
        <v>1</v>
      </c>
      <c r="D256" s="2">
        <v>1</v>
      </c>
      <c r="E256" s="2">
        <v>0.63700000000000001</v>
      </c>
      <c r="F256" s="2">
        <v>2</v>
      </c>
    </row>
    <row r="257" spans="1:6" ht="14.25" customHeight="1">
      <c r="A257" s="2">
        <v>9</v>
      </c>
      <c r="B257" s="2">
        <v>256</v>
      </c>
      <c r="C257" s="2">
        <v>5</v>
      </c>
      <c r="D257" s="2">
        <v>0</v>
      </c>
      <c r="E257" s="2">
        <v>1.76</v>
      </c>
      <c r="F257" s="2">
        <v>1</v>
      </c>
    </row>
    <row r="258" spans="1:6" ht="14.25" customHeight="1">
      <c r="A258" s="2">
        <v>9</v>
      </c>
      <c r="B258" s="2">
        <v>257</v>
      </c>
      <c r="C258" s="2">
        <v>8</v>
      </c>
      <c r="D258" s="2">
        <v>0</v>
      </c>
      <c r="E258" s="2">
        <v>0.89400000000000002</v>
      </c>
      <c r="F258" s="2">
        <v>2</v>
      </c>
    </row>
    <row r="259" spans="1:6" ht="14.25" customHeight="1">
      <c r="A259" s="2">
        <v>9</v>
      </c>
      <c r="B259" s="2">
        <v>258</v>
      </c>
      <c r="C259" s="2">
        <v>7</v>
      </c>
      <c r="D259" s="2">
        <v>1</v>
      </c>
      <c r="E259" s="2">
        <v>1.151</v>
      </c>
      <c r="F259" s="2">
        <v>1</v>
      </c>
    </row>
    <row r="260" spans="1:6" ht="14.25" customHeight="1">
      <c r="A260" s="2">
        <v>9</v>
      </c>
      <c r="B260" s="2">
        <v>259</v>
      </c>
      <c r="C260" s="2">
        <v>1</v>
      </c>
      <c r="D260" s="2">
        <v>0</v>
      </c>
      <c r="E260" s="2">
        <v>1.165</v>
      </c>
      <c r="F260" s="2">
        <v>2</v>
      </c>
    </row>
    <row r="261" spans="1:6" ht="14.25" customHeight="1">
      <c r="A261" s="2">
        <v>9</v>
      </c>
      <c r="B261" s="2">
        <v>260</v>
      </c>
      <c r="C261" s="2">
        <v>8</v>
      </c>
      <c r="D261" s="2">
        <v>1</v>
      </c>
      <c r="E261" s="2">
        <v>1.82</v>
      </c>
      <c r="F261" s="2">
        <v>2</v>
      </c>
    </row>
    <row r="262" spans="1:6" ht="14.25" customHeight="1">
      <c r="A262" s="2">
        <v>9</v>
      </c>
      <c r="B262" s="2">
        <v>261</v>
      </c>
      <c r="C262" s="2">
        <v>7</v>
      </c>
      <c r="D262" s="2">
        <v>1</v>
      </c>
      <c r="E262" s="2">
        <v>0.61399999999999999</v>
      </c>
      <c r="F262" s="2">
        <v>1</v>
      </c>
    </row>
    <row r="263" spans="1:6" ht="14.25" customHeight="1">
      <c r="A263" s="2">
        <v>9</v>
      </c>
      <c r="B263" s="2">
        <v>262</v>
      </c>
      <c r="C263" s="2">
        <v>6</v>
      </c>
      <c r="D263" s="2">
        <v>1</v>
      </c>
      <c r="E263" s="2">
        <v>1.1060000000000001</v>
      </c>
      <c r="F263" s="2">
        <v>1</v>
      </c>
    </row>
    <row r="264" spans="1:6" ht="14.25" customHeight="1">
      <c r="A264" s="2">
        <v>9</v>
      </c>
      <c r="B264" s="2">
        <v>263</v>
      </c>
      <c r="C264" s="2">
        <v>4</v>
      </c>
      <c r="E264" s="2">
        <v>2</v>
      </c>
    </row>
    <row r="265" spans="1:6" ht="14.25" customHeight="1">
      <c r="A265" s="2">
        <v>9</v>
      </c>
      <c r="B265" s="2">
        <v>264</v>
      </c>
      <c r="C265" s="2">
        <v>3</v>
      </c>
      <c r="D265" s="2">
        <v>1</v>
      </c>
      <c r="E265" s="2">
        <v>0.80600000000000005</v>
      </c>
      <c r="F265" s="2">
        <v>1</v>
      </c>
    </row>
    <row r="266" spans="1:6" ht="14.25" customHeight="1">
      <c r="A266" s="2">
        <v>9</v>
      </c>
      <c r="B266" s="2">
        <v>265</v>
      </c>
      <c r="C266" s="2">
        <v>1</v>
      </c>
      <c r="D266" s="2">
        <v>1</v>
      </c>
      <c r="E266" s="2">
        <v>0.77900000000000003</v>
      </c>
      <c r="F266" s="2">
        <v>1</v>
      </c>
    </row>
    <row r="267" spans="1:6" ht="14.25" customHeight="1">
      <c r="A267" s="2">
        <v>9</v>
      </c>
      <c r="B267" s="2">
        <v>266</v>
      </c>
      <c r="C267" s="2">
        <v>7</v>
      </c>
      <c r="D267" s="2">
        <v>0</v>
      </c>
      <c r="E267" s="2">
        <v>0.90400000000000003</v>
      </c>
      <c r="F267" s="2">
        <v>2</v>
      </c>
    </row>
    <row r="268" spans="1:6" ht="14.25" customHeight="1">
      <c r="A268" s="2">
        <v>9</v>
      </c>
      <c r="B268" s="2">
        <v>267</v>
      </c>
      <c r="C268" s="2">
        <v>6</v>
      </c>
      <c r="D268" s="2">
        <v>1</v>
      </c>
      <c r="E268" s="2">
        <v>0.86399999999999999</v>
      </c>
      <c r="F268" s="2">
        <v>2</v>
      </c>
    </row>
    <row r="269" spans="1:6" ht="14.25" customHeight="1">
      <c r="A269" s="2">
        <v>9</v>
      </c>
      <c r="B269" s="2">
        <v>268</v>
      </c>
      <c r="C269" s="2">
        <v>1</v>
      </c>
      <c r="D269" s="2">
        <v>0</v>
      </c>
      <c r="E269" s="2">
        <v>1.698</v>
      </c>
      <c r="F269" s="2">
        <v>2</v>
      </c>
    </row>
    <row r="270" spans="1:6" ht="14.25" customHeight="1">
      <c r="A270" s="2">
        <v>9</v>
      </c>
      <c r="B270" s="2">
        <v>269</v>
      </c>
      <c r="C270" s="2">
        <v>6</v>
      </c>
      <c r="D270" s="2">
        <v>0</v>
      </c>
      <c r="E270" s="2">
        <v>1.1299999999999999</v>
      </c>
      <c r="F270" s="2">
        <v>1</v>
      </c>
    </row>
    <row r="271" spans="1:6" ht="14.25" customHeight="1">
      <c r="A271" s="2">
        <v>9</v>
      </c>
      <c r="B271" s="2">
        <v>270</v>
      </c>
      <c r="C271" s="2">
        <v>5</v>
      </c>
      <c r="D271" s="2">
        <v>1</v>
      </c>
      <c r="E271" s="2">
        <v>1.6020000000000001</v>
      </c>
      <c r="F271" s="2">
        <v>2</v>
      </c>
    </row>
    <row r="272" spans="1:6" ht="14.25" customHeight="1">
      <c r="A272" s="2">
        <v>9</v>
      </c>
      <c r="B272" s="2">
        <v>271</v>
      </c>
      <c r="C272" s="2">
        <v>8</v>
      </c>
      <c r="D272" s="2">
        <v>0</v>
      </c>
      <c r="E272" s="2">
        <v>0.99</v>
      </c>
      <c r="F272" s="2">
        <v>2</v>
      </c>
    </row>
    <row r="273" spans="1:6" ht="14.25" customHeight="1">
      <c r="A273" s="2">
        <v>9</v>
      </c>
      <c r="B273" s="2">
        <v>272</v>
      </c>
      <c r="C273" s="2">
        <v>4</v>
      </c>
      <c r="D273" s="2">
        <v>1</v>
      </c>
      <c r="E273" s="2">
        <v>1.1060000000000001</v>
      </c>
      <c r="F273" s="2">
        <v>2</v>
      </c>
    </row>
    <row r="274" spans="1:6" ht="14.25" customHeight="1">
      <c r="A274" s="2">
        <v>9</v>
      </c>
      <c r="B274" s="2">
        <v>273</v>
      </c>
      <c r="C274" s="2">
        <v>3</v>
      </c>
      <c r="D274" s="2">
        <v>0</v>
      </c>
      <c r="E274" s="2">
        <v>1.514</v>
      </c>
      <c r="F274" s="2">
        <v>1</v>
      </c>
    </row>
    <row r="275" spans="1:6" ht="14.25" customHeight="1">
      <c r="A275" s="2">
        <v>9</v>
      </c>
      <c r="B275" s="2">
        <v>274</v>
      </c>
      <c r="C275" s="2">
        <v>1</v>
      </c>
      <c r="D275" s="2">
        <v>1</v>
      </c>
      <c r="E275" s="2">
        <v>0.93799999999999994</v>
      </c>
      <c r="F275" s="2">
        <v>2</v>
      </c>
    </row>
    <row r="276" spans="1:6" ht="14.25" customHeight="1">
      <c r="A276" s="2">
        <v>9</v>
      </c>
      <c r="B276" s="2">
        <v>275</v>
      </c>
      <c r="C276" s="2">
        <v>2</v>
      </c>
      <c r="D276" s="2">
        <v>0</v>
      </c>
      <c r="E276" s="2">
        <v>1.4730000000000001</v>
      </c>
      <c r="F276" s="2">
        <v>1</v>
      </c>
    </row>
    <row r="277" spans="1:6" ht="14.25" customHeight="1">
      <c r="A277" s="2">
        <v>9</v>
      </c>
      <c r="B277" s="2">
        <v>276</v>
      </c>
      <c r="C277" s="2">
        <v>8</v>
      </c>
      <c r="D277" s="2">
        <v>0</v>
      </c>
      <c r="E277" s="2">
        <v>1.1060000000000001</v>
      </c>
      <c r="F277" s="2">
        <v>1</v>
      </c>
    </row>
    <row r="278" spans="1:6" ht="14.25" customHeight="1">
      <c r="A278" s="2">
        <v>9</v>
      </c>
      <c r="B278" s="2">
        <v>277</v>
      </c>
      <c r="C278" s="2">
        <v>6</v>
      </c>
      <c r="D278" s="2">
        <v>1</v>
      </c>
      <c r="E278" s="2">
        <v>0.73</v>
      </c>
      <c r="F278" s="2">
        <v>2</v>
      </c>
    </row>
    <row r="279" spans="1:6" ht="14.25" customHeight="1">
      <c r="A279" s="2">
        <v>9</v>
      </c>
      <c r="B279" s="2">
        <v>278</v>
      </c>
      <c r="C279" s="2">
        <v>4</v>
      </c>
      <c r="D279" s="2">
        <v>1</v>
      </c>
      <c r="E279" s="2">
        <v>1.522</v>
      </c>
      <c r="F279" s="2">
        <v>1</v>
      </c>
    </row>
    <row r="280" spans="1:6" ht="14.25" customHeight="1">
      <c r="A280" s="2">
        <v>9</v>
      </c>
      <c r="B280" s="2">
        <v>279</v>
      </c>
      <c r="C280" s="2">
        <v>8</v>
      </c>
      <c r="D280" s="2">
        <v>1</v>
      </c>
      <c r="E280" s="2">
        <v>1.4490000000000001</v>
      </c>
      <c r="F280" s="2">
        <v>1</v>
      </c>
    </row>
    <row r="281" spans="1:6" ht="14.25" customHeight="1">
      <c r="A281" s="2">
        <v>9</v>
      </c>
      <c r="B281" s="2">
        <v>280</v>
      </c>
      <c r="C281" s="2">
        <v>1</v>
      </c>
      <c r="D281" s="2">
        <v>1</v>
      </c>
      <c r="E281" s="2">
        <v>1.1479999999999999</v>
      </c>
      <c r="F281" s="2">
        <v>2</v>
      </c>
    </row>
    <row r="282" spans="1:6" ht="14.25" customHeight="1">
      <c r="A282" s="2">
        <v>9</v>
      </c>
      <c r="B282" s="2">
        <v>281</v>
      </c>
      <c r="C282" s="2">
        <v>5</v>
      </c>
      <c r="D282" s="2">
        <v>1</v>
      </c>
      <c r="E282" s="2">
        <v>1.0820000000000001</v>
      </c>
      <c r="F282" s="2">
        <v>1</v>
      </c>
    </row>
    <row r="283" spans="1:6" ht="14.25" customHeight="1">
      <c r="A283" s="2">
        <v>9</v>
      </c>
      <c r="B283" s="2">
        <v>282</v>
      </c>
      <c r="C283" s="2">
        <v>4</v>
      </c>
      <c r="D283" s="2">
        <v>1</v>
      </c>
      <c r="E283" s="2">
        <v>0.85099999999999998</v>
      </c>
      <c r="F283" s="2">
        <v>1</v>
      </c>
    </row>
    <row r="284" spans="1:6" ht="14.25" customHeight="1">
      <c r="A284" s="2">
        <v>9</v>
      </c>
      <c r="B284" s="2">
        <v>283</v>
      </c>
      <c r="C284" s="2">
        <v>2</v>
      </c>
      <c r="D284" s="2">
        <v>1</v>
      </c>
      <c r="E284" s="2">
        <v>1.855</v>
      </c>
      <c r="F284" s="2">
        <v>2</v>
      </c>
    </row>
    <row r="285" spans="1:6" ht="14.25" customHeight="1">
      <c r="A285" s="2">
        <v>9</v>
      </c>
      <c r="B285" s="2">
        <v>284</v>
      </c>
      <c r="C285" s="2">
        <v>4</v>
      </c>
      <c r="D285" s="2">
        <v>0</v>
      </c>
      <c r="E285" s="2">
        <v>0.84099999999999997</v>
      </c>
      <c r="F285" s="2">
        <v>1</v>
      </c>
    </row>
    <row r="286" spans="1:6" ht="14.25" customHeight="1">
      <c r="A286" s="2">
        <v>9</v>
      </c>
      <c r="B286" s="2">
        <v>285</v>
      </c>
      <c r="C286" s="2">
        <v>7</v>
      </c>
      <c r="D286" s="2">
        <v>0</v>
      </c>
      <c r="E286" s="2">
        <v>0.67500000000000004</v>
      </c>
      <c r="F286" s="2">
        <v>2</v>
      </c>
    </row>
    <row r="287" spans="1:6" ht="14.25" customHeight="1">
      <c r="A287" s="2">
        <v>9</v>
      </c>
      <c r="B287" s="2">
        <v>286</v>
      </c>
      <c r="C287" s="2">
        <v>5</v>
      </c>
      <c r="D287" s="2">
        <v>0</v>
      </c>
      <c r="E287" s="2">
        <v>1.196</v>
      </c>
      <c r="F287" s="2">
        <v>1</v>
      </c>
    </row>
    <row r="288" spans="1:6" ht="14.25" customHeight="1">
      <c r="A288" s="2">
        <v>9</v>
      </c>
      <c r="B288" s="2">
        <v>287</v>
      </c>
      <c r="C288" s="2">
        <v>4</v>
      </c>
      <c r="D288" s="2">
        <v>0</v>
      </c>
      <c r="E288" s="2">
        <v>1.177</v>
      </c>
      <c r="F288" s="2">
        <v>2</v>
      </c>
    </row>
    <row r="289" spans="1:6" ht="14.25" customHeight="1">
      <c r="A289" s="2">
        <v>9</v>
      </c>
      <c r="B289" s="2">
        <v>288</v>
      </c>
      <c r="C289" s="2">
        <v>5</v>
      </c>
      <c r="D289" s="2">
        <v>1</v>
      </c>
      <c r="E289" s="2">
        <v>0.91800000000000004</v>
      </c>
      <c r="F289" s="2">
        <v>1</v>
      </c>
    </row>
    <row r="290" spans="1:6" ht="14.25" customHeight="1">
      <c r="A290" s="2">
        <v>9</v>
      </c>
      <c r="B290" s="2">
        <v>289</v>
      </c>
      <c r="C290" s="2">
        <v>8</v>
      </c>
      <c r="D290" s="2">
        <v>0</v>
      </c>
      <c r="E290" s="2">
        <v>1.573</v>
      </c>
      <c r="F290" s="2">
        <v>2</v>
      </c>
    </row>
    <row r="291" spans="1:6" ht="14.25" customHeight="1">
      <c r="A291" s="2">
        <v>9</v>
      </c>
      <c r="B291" s="2">
        <v>290</v>
      </c>
      <c r="C291" s="2">
        <v>3</v>
      </c>
      <c r="D291" s="2">
        <v>1</v>
      </c>
      <c r="E291" s="2">
        <v>0.67500000000000004</v>
      </c>
      <c r="F291" s="2">
        <v>1</v>
      </c>
    </row>
    <row r="292" spans="1:6" ht="14.25" customHeight="1">
      <c r="A292" s="2">
        <v>9</v>
      </c>
      <c r="B292" s="2">
        <v>291</v>
      </c>
      <c r="C292" s="2">
        <v>2</v>
      </c>
      <c r="D292" s="2">
        <v>1</v>
      </c>
      <c r="E292" s="2">
        <v>0.77200000000000002</v>
      </c>
      <c r="F292" s="2">
        <v>2</v>
      </c>
    </row>
    <row r="293" spans="1:6" ht="14.25" customHeight="1">
      <c r="A293" s="2">
        <v>9</v>
      </c>
      <c r="B293" s="2">
        <v>292</v>
      </c>
      <c r="C293" s="2">
        <v>6</v>
      </c>
      <c r="D293" s="2">
        <v>0</v>
      </c>
      <c r="E293" s="2">
        <v>0.65</v>
      </c>
      <c r="F293" s="2">
        <v>1</v>
      </c>
    </row>
    <row r="294" spans="1:6" ht="14.25" customHeight="1">
      <c r="A294" s="2">
        <v>9</v>
      </c>
      <c r="B294" s="2">
        <v>293</v>
      </c>
      <c r="C294" s="2">
        <v>1</v>
      </c>
      <c r="D294" s="2">
        <v>0</v>
      </c>
      <c r="E294" s="2">
        <v>1.26</v>
      </c>
      <c r="F294" s="2">
        <v>1</v>
      </c>
    </row>
    <row r="295" spans="1:6" ht="14.25" customHeight="1">
      <c r="A295" s="2">
        <v>9</v>
      </c>
      <c r="B295" s="2">
        <v>294</v>
      </c>
      <c r="C295" s="2">
        <v>6</v>
      </c>
      <c r="D295" s="2">
        <v>0</v>
      </c>
      <c r="E295" s="2">
        <v>0.77400000000000002</v>
      </c>
      <c r="F295" s="2">
        <v>2</v>
      </c>
    </row>
    <row r="296" spans="1:6" ht="14.25" customHeight="1">
      <c r="A296" s="2">
        <v>9</v>
      </c>
      <c r="B296" s="2">
        <v>295</v>
      </c>
      <c r="C296" s="2">
        <v>2</v>
      </c>
      <c r="D296" s="2">
        <v>0</v>
      </c>
      <c r="E296" s="2">
        <v>1.323</v>
      </c>
      <c r="F296" s="2">
        <v>2</v>
      </c>
    </row>
    <row r="297" spans="1:6" ht="14.25" customHeight="1">
      <c r="A297" s="2">
        <v>9</v>
      </c>
      <c r="B297" s="2">
        <v>296</v>
      </c>
      <c r="C297" s="2">
        <v>7</v>
      </c>
      <c r="D297" s="2">
        <v>1</v>
      </c>
      <c r="E297" s="2">
        <v>0.89900000000000002</v>
      </c>
      <c r="F297" s="2">
        <v>2</v>
      </c>
    </row>
    <row r="298" spans="1:6" ht="14.25" customHeight="1">
      <c r="A298" s="2">
        <v>9</v>
      </c>
      <c r="B298" s="2">
        <v>297</v>
      </c>
      <c r="C298" s="2">
        <v>3</v>
      </c>
      <c r="D298" s="2">
        <v>1</v>
      </c>
      <c r="E298" s="2">
        <v>0.61199999999999999</v>
      </c>
      <c r="F298" s="2">
        <v>1</v>
      </c>
    </row>
    <row r="299" spans="1:6" ht="14.25" customHeight="1">
      <c r="A299" s="2">
        <v>9</v>
      </c>
      <c r="B299" s="2">
        <v>298</v>
      </c>
      <c r="C299" s="2">
        <v>7</v>
      </c>
      <c r="D299" s="2">
        <v>1</v>
      </c>
      <c r="E299" s="2">
        <v>0.70399999999999996</v>
      </c>
      <c r="F299" s="2">
        <v>2</v>
      </c>
    </row>
    <row r="300" spans="1:6" ht="14.25" customHeight="1">
      <c r="A300" s="2">
        <v>9</v>
      </c>
      <c r="B300" s="2">
        <v>299</v>
      </c>
      <c r="C300" s="2">
        <v>4</v>
      </c>
      <c r="D300" s="2">
        <v>1</v>
      </c>
      <c r="E300" s="2">
        <v>1.04</v>
      </c>
      <c r="F300" s="2">
        <v>2</v>
      </c>
    </row>
    <row r="301" spans="1:6" ht="14.25" customHeight="1">
      <c r="A301" s="2">
        <v>9</v>
      </c>
      <c r="B301" s="2">
        <v>300</v>
      </c>
      <c r="C301" s="2">
        <v>3</v>
      </c>
      <c r="D301" s="2">
        <v>1</v>
      </c>
      <c r="E301" s="2">
        <v>0.58599999999999997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>
        <v>10</v>
      </c>
      <c r="I1" s="3">
        <v>251</v>
      </c>
      <c r="J1" s="3">
        <v>2</v>
      </c>
      <c r="K1" s="3"/>
      <c r="L1" s="3">
        <v>2</v>
      </c>
      <c r="M1" s="3"/>
    </row>
    <row r="2" spans="1:22" ht="14.25" customHeight="1">
      <c r="A2" s="2">
        <v>10</v>
      </c>
      <c r="B2" s="2">
        <v>1</v>
      </c>
      <c r="C2" s="2">
        <v>7</v>
      </c>
      <c r="D2" s="2">
        <v>1</v>
      </c>
      <c r="E2" s="2">
        <v>1.196</v>
      </c>
      <c r="F2" s="2">
        <v>1</v>
      </c>
      <c r="H2" s="3">
        <v>10</v>
      </c>
      <c r="I2" s="3">
        <v>252</v>
      </c>
      <c r="J2" s="3">
        <v>8</v>
      </c>
      <c r="K2" s="3">
        <v>1</v>
      </c>
      <c r="L2" s="3">
        <v>1.516</v>
      </c>
      <c r="M2" s="3">
        <v>1</v>
      </c>
    </row>
    <row r="3" spans="1:22" ht="14.25" customHeight="1">
      <c r="A3" s="2">
        <v>10</v>
      </c>
      <c r="B3" s="2">
        <v>2</v>
      </c>
      <c r="C3" s="2">
        <v>4</v>
      </c>
      <c r="D3" s="2">
        <v>1</v>
      </c>
      <c r="E3" s="2">
        <v>0.86099999999999999</v>
      </c>
      <c r="F3" s="2">
        <v>1</v>
      </c>
      <c r="H3" s="3">
        <v>10</v>
      </c>
      <c r="I3" s="3">
        <v>253</v>
      </c>
      <c r="J3" s="3">
        <v>5</v>
      </c>
      <c r="K3" s="3">
        <v>1</v>
      </c>
      <c r="L3" s="3">
        <v>1.107</v>
      </c>
      <c r="M3" s="3">
        <v>1</v>
      </c>
    </row>
    <row r="4" spans="1:22" ht="14.25" customHeight="1">
      <c r="A4" s="2">
        <v>10</v>
      </c>
      <c r="B4" s="2">
        <v>3</v>
      </c>
      <c r="C4" s="2">
        <v>7</v>
      </c>
      <c r="D4" s="2">
        <v>0</v>
      </c>
      <c r="E4" s="2">
        <v>0.84699999999999998</v>
      </c>
      <c r="F4" s="2">
        <v>2</v>
      </c>
      <c r="H4" s="3">
        <v>10</v>
      </c>
      <c r="I4" s="3">
        <v>254</v>
      </c>
      <c r="J4" s="3">
        <v>3</v>
      </c>
      <c r="K4" s="3">
        <v>1</v>
      </c>
      <c r="L4" s="3">
        <v>1.0509999999999999</v>
      </c>
      <c r="M4" s="3">
        <v>1</v>
      </c>
      <c r="O4" s="2" t="s">
        <v>6</v>
      </c>
    </row>
    <row r="5" spans="1:22" ht="14.25" customHeight="1">
      <c r="A5" s="2">
        <v>10</v>
      </c>
      <c r="B5" s="2">
        <v>4</v>
      </c>
      <c r="C5" s="2">
        <v>4</v>
      </c>
      <c r="D5" s="2">
        <v>1</v>
      </c>
      <c r="E5" s="2">
        <v>0.91300000000000003</v>
      </c>
      <c r="F5" s="2">
        <v>1</v>
      </c>
      <c r="H5" s="3">
        <v>10</v>
      </c>
      <c r="I5" s="3">
        <v>255</v>
      </c>
      <c r="J5" s="3">
        <v>1</v>
      </c>
      <c r="K5" s="3">
        <v>1</v>
      </c>
      <c r="L5" s="3">
        <v>0.96499999999999997</v>
      </c>
      <c r="M5" s="3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10</v>
      </c>
      <c r="B6" s="2">
        <v>5</v>
      </c>
      <c r="C6" s="2">
        <v>7</v>
      </c>
      <c r="D6" s="2">
        <v>1</v>
      </c>
      <c r="E6" s="2">
        <v>1.026</v>
      </c>
      <c r="F6" s="2">
        <v>1</v>
      </c>
      <c r="H6" s="3">
        <v>10</v>
      </c>
      <c r="I6" s="3">
        <v>256</v>
      </c>
      <c r="J6" s="3">
        <v>4</v>
      </c>
      <c r="K6" s="3"/>
      <c r="L6" s="3">
        <v>2</v>
      </c>
      <c r="M6" s="3"/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10</v>
      </c>
      <c r="B7" s="2">
        <v>6</v>
      </c>
      <c r="C7" s="2">
        <v>5</v>
      </c>
      <c r="D7" s="2">
        <v>1</v>
      </c>
      <c r="E7" s="2">
        <v>0.93200000000000005</v>
      </c>
      <c r="F7" s="2">
        <v>2</v>
      </c>
      <c r="H7" s="3">
        <v>10</v>
      </c>
      <c r="I7" s="3">
        <v>257</v>
      </c>
      <c r="J7" s="3">
        <v>1</v>
      </c>
      <c r="K7" s="3"/>
      <c r="L7" s="3">
        <v>2.0009999999999999</v>
      </c>
      <c r="M7" s="3"/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10</v>
      </c>
      <c r="B8" s="2">
        <v>7</v>
      </c>
      <c r="C8" s="2">
        <v>1</v>
      </c>
      <c r="D8" s="2">
        <v>1</v>
      </c>
      <c r="E8" s="2">
        <v>1.028</v>
      </c>
      <c r="F8" s="2">
        <v>2</v>
      </c>
      <c r="H8" s="3">
        <v>10</v>
      </c>
      <c r="I8" s="3">
        <v>258</v>
      </c>
      <c r="J8" s="3">
        <v>7</v>
      </c>
      <c r="K8" s="3">
        <v>0</v>
      </c>
      <c r="L8" s="3">
        <v>1.6120000000000001</v>
      </c>
      <c r="M8" s="3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10</v>
      </c>
      <c r="B9" s="2">
        <v>8</v>
      </c>
      <c r="C9" s="2">
        <v>4</v>
      </c>
      <c r="D9" s="2">
        <v>1</v>
      </c>
      <c r="E9" s="2">
        <v>0.86299999999999999</v>
      </c>
      <c r="F9" s="2">
        <v>1</v>
      </c>
      <c r="H9" s="3">
        <v>10</v>
      </c>
      <c r="I9" s="3">
        <v>259</v>
      </c>
      <c r="J9" s="3">
        <v>4</v>
      </c>
      <c r="K9" s="4">
        <v>0</v>
      </c>
      <c r="L9" s="3">
        <v>1.0329999999999999</v>
      </c>
      <c r="M9" s="4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10</v>
      </c>
      <c r="B10" s="2">
        <v>9</v>
      </c>
      <c r="C10" s="2">
        <v>2</v>
      </c>
      <c r="D10" s="2">
        <v>0</v>
      </c>
      <c r="E10" s="2">
        <v>0.83299999999999996</v>
      </c>
      <c r="F10" s="2">
        <v>2</v>
      </c>
      <c r="H10" s="3">
        <v>10</v>
      </c>
      <c r="I10" s="3">
        <v>260</v>
      </c>
      <c r="J10" s="3">
        <v>5</v>
      </c>
      <c r="K10" s="3">
        <v>1</v>
      </c>
      <c r="L10" s="3">
        <v>0.93100000000000005</v>
      </c>
      <c r="M10" s="3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10</v>
      </c>
      <c r="B11" s="2">
        <v>10</v>
      </c>
      <c r="C11" s="2">
        <v>8</v>
      </c>
      <c r="D11" s="2">
        <v>0</v>
      </c>
      <c r="E11" s="2">
        <v>1.0840000000000001</v>
      </c>
      <c r="F11" s="2">
        <v>2</v>
      </c>
      <c r="H11" s="3">
        <v>10</v>
      </c>
      <c r="I11" s="3">
        <v>261</v>
      </c>
      <c r="J11" s="3">
        <v>4</v>
      </c>
      <c r="K11" s="3">
        <v>1</v>
      </c>
      <c r="L11" s="3">
        <v>1.2430000000000001</v>
      </c>
      <c r="M11" s="3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10</v>
      </c>
      <c r="B12" s="2">
        <v>11</v>
      </c>
      <c r="C12" s="2">
        <v>3</v>
      </c>
      <c r="D12" s="2">
        <v>0</v>
      </c>
      <c r="E12" s="2">
        <v>0.997</v>
      </c>
      <c r="F12" s="2">
        <v>1</v>
      </c>
      <c r="H12" s="3">
        <v>10</v>
      </c>
      <c r="I12" s="3">
        <v>262</v>
      </c>
      <c r="J12" s="3">
        <v>8</v>
      </c>
      <c r="K12" s="3">
        <v>0</v>
      </c>
      <c r="L12" s="3">
        <v>1.3320000000000001</v>
      </c>
      <c r="M12" s="3">
        <v>1</v>
      </c>
    </row>
    <row r="13" spans="1:22" ht="14.25" customHeight="1">
      <c r="A13" s="2">
        <v>10</v>
      </c>
      <c r="B13" s="2">
        <v>12</v>
      </c>
      <c r="C13" s="2">
        <v>6</v>
      </c>
      <c r="D13" s="2">
        <v>1</v>
      </c>
      <c r="E13" s="2">
        <v>1.5129999999999999</v>
      </c>
      <c r="F13" s="2">
        <v>2</v>
      </c>
      <c r="H13" s="3">
        <v>10</v>
      </c>
      <c r="I13" s="3">
        <v>263</v>
      </c>
      <c r="J13" s="3">
        <v>1</v>
      </c>
      <c r="K13" s="3">
        <v>1</v>
      </c>
      <c r="L13" s="3">
        <v>1.4670000000000001</v>
      </c>
      <c r="M13" s="3">
        <v>2</v>
      </c>
    </row>
    <row r="14" spans="1:22" ht="14.25" customHeight="1">
      <c r="A14" s="2">
        <v>10</v>
      </c>
      <c r="B14" s="2">
        <v>13</v>
      </c>
      <c r="C14" s="2">
        <v>5</v>
      </c>
      <c r="D14" s="2">
        <v>1</v>
      </c>
      <c r="E14" s="2">
        <v>1.0329999999999999</v>
      </c>
      <c r="F14" s="2">
        <v>2</v>
      </c>
      <c r="H14" s="3">
        <v>10</v>
      </c>
      <c r="I14" s="3">
        <v>264</v>
      </c>
      <c r="J14" s="3">
        <v>7</v>
      </c>
      <c r="K14" s="3">
        <v>1</v>
      </c>
      <c r="L14" s="3">
        <v>1.4850000000000001</v>
      </c>
      <c r="M14" s="3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10</v>
      </c>
      <c r="B15" s="2">
        <v>14</v>
      </c>
      <c r="C15" s="2">
        <v>3</v>
      </c>
      <c r="D15" s="2">
        <v>0</v>
      </c>
      <c r="E15" s="2">
        <v>0.95499999999999996</v>
      </c>
      <c r="F15" s="2">
        <v>1</v>
      </c>
      <c r="H15" s="3">
        <v>10</v>
      </c>
      <c r="I15" s="3">
        <v>265</v>
      </c>
      <c r="J15" s="3">
        <v>3</v>
      </c>
      <c r="K15" s="3">
        <v>1</v>
      </c>
      <c r="L15" s="3">
        <v>0.82899999999999996</v>
      </c>
      <c r="M15" s="3">
        <v>1</v>
      </c>
      <c r="O15" s="2" t="s">
        <v>9</v>
      </c>
    </row>
    <row r="16" spans="1:22" ht="14.25" customHeight="1">
      <c r="A16" s="2">
        <v>10</v>
      </c>
      <c r="B16" s="2">
        <v>15</v>
      </c>
      <c r="C16" s="2">
        <v>4</v>
      </c>
      <c r="D16" s="2">
        <v>0</v>
      </c>
      <c r="E16" s="2">
        <v>1.377</v>
      </c>
      <c r="F16" s="2">
        <v>2</v>
      </c>
      <c r="H16" s="3">
        <v>10</v>
      </c>
      <c r="I16" s="3">
        <v>266</v>
      </c>
      <c r="J16" s="3">
        <v>7</v>
      </c>
      <c r="K16" s="3">
        <v>1</v>
      </c>
      <c r="L16" s="3">
        <v>1.2809999999999999</v>
      </c>
      <c r="M16" s="3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10</v>
      </c>
      <c r="B17" s="2">
        <v>16</v>
      </c>
      <c r="C17" s="2">
        <v>2</v>
      </c>
      <c r="D17" s="2">
        <v>0</v>
      </c>
      <c r="E17" s="2">
        <v>1.1910000000000001</v>
      </c>
      <c r="F17" s="2">
        <v>2</v>
      </c>
      <c r="H17" s="3">
        <v>10</v>
      </c>
      <c r="I17" s="3">
        <v>267</v>
      </c>
      <c r="J17" s="3">
        <v>5</v>
      </c>
      <c r="K17" s="3">
        <v>1</v>
      </c>
      <c r="L17" s="3">
        <v>0.90600000000000003</v>
      </c>
      <c r="M17" s="3">
        <v>1</v>
      </c>
      <c r="N17" s="2">
        <v>1</v>
      </c>
      <c r="O17" s="2">
        <f t="shared" ref="O17:O22" si="0">(O6*COUNTIF($J$1:$J$100,O$16) - COUNTIFS($J$1:$J$100,O$16,$K$1:$K$100,"=1"))^2</f>
        <v>0.48999999999999899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9.0000000000000427E-2</v>
      </c>
      <c r="R17" s="2">
        <f t="shared" ref="R17:R22" si="3">(R6*COUNTIF($J$1:$J$100,R$16) - COUNTIFS($J$1:$J$100,R$16,$K$1:$K$100,"=0"))^2</f>
        <v>0.42249999999999988</v>
      </c>
      <c r="S17" s="2">
        <f t="shared" ref="S17:T17" si="4">(S6*COUNTIF($J$1:$J$100,S$16) - COUNTIFS($J$1:$J$100,S$16,$K$1:$K$100,"=1"))^2</f>
        <v>0.12250000000000037</v>
      </c>
      <c r="T17" s="2">
        <f t="shared" si="4"/>
        <v>0.48999999999999899</v>
      </c>
      <c r="U17" s="2">
        <f t="shared" ref="U17:V17" si="5">(U6*COUNTIF($J$1:$J$100,U$16) - COUNTIFS($J$1:$J$100,U$16,$K$1:$K$100,"=0"))^2</f>
        <v>0.48999999999999994</v>
      </c>
      <c r="V17" s="2">
        <f t="shared" si="5"/>
        <v>0.48999999999999994</v>
      </c>
    </row>
    <row r="18" spans="1:22" ht="14.25" customHeight="1">
      <c r="A18" s="2">
        <v>10</v>
      </c>
      <c r="B18" s="2">
        <v>17</v>
      </c>
      <c r="C18" s="2">
        <v>7</v>
      </c>
      <c r="D18" s="2">
        <v>1</v>
      </c>
      <c r="E18" s="2">
        <v>1.7949999999999999</v>
      </c>
      <c r="F18" s="2">
        <v>1</v>
      </c>
      <c r="H18" s="3">
        <v>10</v>
      </c>
      <c r="I18" s="3">
        <v>268</v>
      </c>
      <c r="J18" s="3">
        <v>3</v>
      </c>
      <c r="K18" s="3">
        <v>1</v>
      </c>
      <c r="L18" s="3">
        <v>0.93</v>
      </c>
      <c r="M18" s="3">
        <v>1</v>
      </c>
      <c r="N18" s="2">
        <v>2</v>
      </c>
      <c r="O18" s="2">
        <f t="shared" si="0"/>
        <v>0.48999999999999899</v>
      </c>
      <c r="P18" s="2">
        <f t="shared" si="1"/>
        <v>32.489999999999995</v>
      </c>
      <c r="Q18" s="2">
        <f t="shared" si="2"/>
        <v>32.49</v>
      </c>
      <c r="R18" s="2">
        <f t="shared" si="3"/>
        <v>0.42249999999999988</v>
      </c>
      <c r="S18" s="2">
        <f t="shared" ref="S18:T18" si="6">(S7*COUNTIF($J$1:$J$100,S$16) - COUNTIFS($J$1:$J$100,S$16,$K$1:$K$100,"=1"))^2</f>
        <v>0.12250000000000037</v>
      </c>
      <c r="T18" s="2">
        <f t="shared" si="6"/>
        <v>0.48999999999999899</v>
      </c>
      <c r="U18" s="2">
        <f t="shared" ref="U18:V18" si="7">(U7*COUNTIF($J$1:$J$100,U$16) - COUNTIFS($J$1:$J$100,U$16,$K$1:$K$100,"=0"))^2</f>
        <v>0.48999999999999994</v>
      </c>
      <c r="V18" s="2">
        <f t="shared" si="7"/>
        <v>0.48999999999999994</v>
      </c>
    </row>
    <row r="19" spans="1:22" ht="14.25" customHeight="1">
      <c r="A19" s="2">
        <v>10</v>
      </c>
      <c r="B19" s="2">
        <v>18</v>
      </c>
      <c r="C19" s="2">
        <v>2</v>
      </c>
      <c r="D19" s="2">
        <v>0</v>
      </c>
      <c r="E19" s="2">
        <v>1.296</v>
      </c>
      <c r="F19" s="2">
        <v>2</v>
      </c>
      <c r="H19" s="3">
        <v>10</v>
      </c>
      <c r="I19" s="3">
        <v>269</v>
      </c>
      <c r="J19" s="3">
        <v>2</v>
      </c>
      <c r="K19" s="3">
        <v>1</v>
      </c>
      <c r="L19" s="3">
        <v>0.68100000000000005</v>
      </c>
      <c r="M19" s="3">
        <v>1</v>
      </c>
      <c r="N19" s="2">
        <v>3</v>
      </c>
      <c r="O19" s="2">
        <f t="shared" si="0"/>
        <v>0.48999999999999899</v>
      </c>
      <c r="P19" s="2">
        <f t="shared" si="1"/>
        <v>9.0000000000000024E-2</v>
      </c>
      <c r="Q19" s="2">
        <f t="shared" si="2"/>
        <v>9.0000000000000427E-2</v>
      </c>
      <c r="R19" s="2">
        <f t="shared" si="3"/>
        <v>0.42249999999999988</v>
      </c>
      <c r="S19" s="2">
        <f t="shared" ref="S19:T19" si="8">(S8*COUNTIF($J$1:$J$100,S$16) - COUNTIFS($J$1:$J$100,S$16,$K$1:$K$100,"=1"))^2</f>
        <v>0.12250000000000037</v>
      </c>
      <c r="T19" s="2">
        <f t="shared" si="8"/>
        <v>22.090000000000003</v>
      </c>
      <c r="U19" s="2">
        <f t="shared" ref="U19:V19" si="9">(U8*COUNTIF($J$1:$J$100,U$16) - COUNTIFS($J$1:$J$100,U$16,$K$1:$K$100,"=0"))^2</f>
        <v>22.089999999999993</v>
      </c>
      <c r="V19" s="2">
        <f t="shared" si="9"/>
        <v>0.48999999999999994</v>
      </c>
    </row>
    <row r="20" spans="1:22" ht="14.25" customHeight="1">
      <c r="A20" s="2">
        <v>10</v>
      </c>
      <c r="B20" s="2">
        <v>19</v>
      </c>
      <c r="C20" s="2">
        <v>8</v>
      </c>
      <c r="D20" s="2">
        <v>0</v>
      </c>
      <c r="E20" s="2">
        <v>1.736</v>
      </c>
      <c r="F20" s="2">
        <v>2</v>
      </c>
      <c r="H20" s="3">
        <v>10</v>
      </c>
      <c r="I20" s="3">
        <v>270</v>
      </c>
      <c r="J20" s="3">
        <v>7</v>
      </c>
      <c r="K20" s="3">
        <v>1</v>
      </c>
      <c r="L20" s="3">
        <v>0.84199999999999997</v>
      </c>
      <c r="M20" s="3">
        <v>2</v>
      </c>
      <c r="N20" s="2">
        <v>4</v>
      </c>
      <c r="O20" s="2">
        <f t="shared" si="0"/>
        <v>4</v>
      </c>
      <c r="P20" s="2">
        <f t="shared" si="1"/>
        <v>9</v>
      </c>
      <c r="Q20" s="2">
        <f t="shared" si="2"/>
        <v>9</v>
      </c>
      <c r="R20" s="2">
        <f t="shared" si="3"/>
        <v>6.25</v>
      </c>
      <c r="S20" s="2">
        <f t="shared" ref="S20:T20" si="10">(S9*COUNTIF($J$1:$J$100,S$16) - COUNTIFS($J$1:$J$100,S$16,$K$1:$K$100,"=1"))^2</f>
        <v>0.12250000000000037</v>
      </c>
      <c r="T20" s="2">
        <f t="shared" si="10"/>
        <v>0.48999999999999899</v>
      </c>
      <c r="U20" s="2">
        <f t="shared" ref="U20:V20" si="11">(U9*COUNTIF($J$1:$J$100,U$16) - COUNTIFS($J$1:$J$100,U$16,$K$1:$K$100,"=0"))^2</f>
        <v>0.48999999999999994</v>
      </c>
      <c r="V20" s="2">
        <f t="shared" si="11"/>
        <v>0.48999999999999994</v>
      </c>
    </row>
    <row r="21" spans="1:22" ht="14.25" customHeight="1">
      <c r="A21" s="2">
        <v>10</v>
      </c>
      <c r="B21" s="2">
        <v>20</v>
      </c>
      <c r="C21" s="2">
        <v>6</v>
      </c>
      <c r="D21" s="2">
        <v>1</v>
      </c>
      <c r="E21" s="2">
        <v>1.095</v>
      </c>
      <c r="F21" s="2">
        <v>2</v>
      </c>
      <c r="H21" s="3">
        <v>10</v>
      </c>
      <c r="I21" s="3">
        <v>271</v>
      </c>
      <c r="J21" s="3">
        <v>5</v>
      </c>
      <c r="K21" s="3">
        <v>1</v>
      </c>
      <c r="L21" s="3">
        <v>0.91700000000000004</v>
      </c>
      <c r="M21" s="3">
        <v>1</v>
      </c>
      <c r="N21" s="2">
        <v>5</v>
      </c>
      <c r="O21" s="2">
        <f t="shared" si="0"/>
        <v>0.48999999999999899</v>
      </c>
      <c r="P21" s="2">
        <f t="shared" si="1"/>
        <v>9.0000000000000024E-2</v>
      </c>
      <c r="Q21" s="2">
        <f t="shared" si="2"/>
        <v>9.0000000000000427E-2</v>
      </c>
      <c r="R21" s="2">
        <f t="shared" si="3"/>
        <v>0.42249999999999988</v>
      </c>
      <c r="S21" s="2">
        <f t="shared" ref="S21:T21" si="12">(S10*COUNTIF($J$1:$J$100,S$16) - COUNTIFS($J$1:$J$100,S$16,$K$1:$K$100,"=1"))^2</f>
        <v>12.25</v>
      </c>
      <c r="T21" s="2">
        <f t="shared" si="12"/>
        <v>4</v>
      </c>
      <c r="U21" s="2">
        <f t="shared" ref="U21:V21" si="13">(U10*COUNTIF($J$1:$J$100,U$16) - COUNTIFS($J$1:$J$100,U$16,$K$1:$K$100,"=0"))^2</f>
        <v>4</v>
      </c>
      <c r="V21" s="2">
        <f t="shared" si="13"/>
        <v>4</v>
      </c>
    </row>
    <row r="22" spans="1:22" ht="14.25" customHeight="1">
      <c r="A22" s="2">
        <v>10</v>
      </c>
      <c r="B22" s="2">
        <v>21</v>
      </c>
      <c r="C22" s="2">
        <v>8</v>
      </c>
      <c r="D22" s="2">
        <v>1</v>
      </c>
      <c r="E22" s="2">
        <v>1.2</v>
      </c>
      <c r="F22" s="2">
        <v>1</v>
      </c>
      <c r="H22" s="3">
        <v>10</v>
      </c>
      <c r="I22" s="3">
        <v>272</v>
      </c>
      <c r="J22" s="3">
        <v>2</v>
      </c>
      <c r="K22" s="3">
        <v>1</v>
      </c>
      <c r="L22" s="3">
        <v>1.3080000000000001</v>
      </c>
      <c r="M22" s="3">
        <v>2</v>
      </c>
      <c r="N22" s="2">
        <v>6</v>
      </c>
      <c r="O22" s="2">
        <f t="shared" si="0"/>
        <v>4</v>
      </c>
      <c r="P22" s="2">
        <f t="shared" si="1"/>
        <v>9</v>
      </c>
      <c r="Q22" s="2">
        <f t="shared" si="2"/>
        <v>9</v>
      </c>
      <c r="R22" s="2">
        <f t="shared" si="3"/>
        <v>6.25</v>
      </c>
      <c r="S22" s="2">
        <f t="shared" ref="S22:T22" si="14">(S11*COUNTIF($J$1:$J$100,S$16) - COUNTIFS($J$1:$J$100,S$16,$K$1:$K$100,"=1"))^2</f>
        <v>12.25</v>
      </c>
      <c r="T22" s="2">
        <f t="shared" si="14"/>
        <v>4</v>
      </c>
      <c r="U22" s="2">
        <f t="shared" ref="U22:V22" si="15">(U11*COUNTIF($J$1:$J$100,U$16) - COUNTIFS($J$1:$J$100,U$16,$K$1:$K$100,"=0"))^2</f>
        <v>4</v>
      </c>
      <c r="V22" s="2">
        <f t="shared" si="15"/>
        <v>4</v>
      </c>
    </row>
    <row r="23" spans="1:22" ht="14.25" customHeight="1">
      <c r="A23" s="2">
        <v>10</v>
      </c>
      <c r="B23" s="2">
        <v>22</v>
      </c>
      <c r="C23" s="2">
        <v>3</v>
      </c>
      <c r="D23" s="2">
        <v>0</v>
      </c>
      <c r="E23" s="2">
        <v>1.268</v>
      </c>
      <c r="F23" s="2">
        <v>1</v>
      </c>
      <c r="H23" s="3">
        <v>10</v>
      </c>
      <c r="I23" s="3">
        <v>273</v>
      </c>
      <c r="J23" s="3">
        <v>6</v>
      </c>
      <c r="K23" s="3">
        <v>1</v>
      </c>
      <c r="L23" s="3">
        <v>1.62</v>
      </c>
      <c r="M23" s="3">
        <v>2</v>
      </c>
    </row>
    <row r="24" spans="1:22" ht="14.25" customHeight="1">
      <c r="A24" s="2">
        <v>10</v>
      </c>
      <c r="B24" s="2">
        <v>23</v>
      </c>
      <c r="C24" s="2">
        <v>6</v>
      </c>
      <c r="D24" s="2">
        <v>1</v>
      </c>
      <c r="E24" s="2">
        <v>1.0289999999999999</v>
      </c>
      <c r="F24" s="2">
        <v>2</v>
      </c>
      <c r="H24" s="3">
        <v>10</v>
      </c>
      <c r="I24" s="3">
        <v>274</v>
      </c>
      <c r="J24" s="3">
        <v>3</v>
      </c>
      <c r="K24" s="3">
        <v>1</v>
      </c>
      <c r="L24" s="3">
        <v>1.1200000000000001</v>
      </c>
      <c r="M24" s="3">
        <v>1</v>
      </c>
    </row>
    <row r="25" spans="1:22" ht="14.25" customHeight="1">
      <c r="A25" s="2">
        <v>10</v>
      </c>
      <c r="B25" s="2">
        <v>24</v>
      </c>
      <c r="C25" s="2">
        <v>8</v>
      </c>
      <c r="D25" s="2">
        <v>0</v>
      </c>
      <c r="E25" s="2">
        <v>1.512</v>
      </c>
      <c r="F25" s="2">
        <v>2</v>
      </c>
      <c r="H25" s="3">
        <v>10</v>
      </c>
      <c r="I25" s="3">
        <v>275</v>
      </c>
      <c r="J25" s="3">
        <v>1</v>
      </c>
      <c r="K25" s="3">
        <v>1</v>
      </c>
      <c r="L25" s="3">
        <v>1.3440000000000001</v>
      </c>
      <c r="M25" s="3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10</v>
      </c>
      <c r="B26" s="2">
        <v>25</v>
      </c>
      <c r="C26" s="2">
        <v>5</v>
      </c>
      <c r="D26" s="2">
        <v>1</v>
      </c>
      <c r="E26" s="2">
        <v>0.94399999999999995</v>
      </c>
      <c r="F26" s="2">
        <v>2</v>
      </c>
      <c r="H26" s="3">
        <v>10</v>
      </c>
      <c r="I26" s="3">
        <v>276</v>
      </c>
      <c r="J26" s="3">
        <v>2</v>
      </c>
      <c r="K26" s="3">
        <v>1</v>
      </c>
      <c r="L26" s="3">
        <v>1.246</v>
      </c>
      <c r="M26" s="3">
        <v>2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36</v>
      </c>
      <c r="R26" s="2">
        <f t="shared" si="16"/>
        <v>49</v>
      </c>
      <c r="S26" s="2">
        <f t="shared" si="16"/>
        <v>49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10</v>
      </c>
      <c r="B27" s="2">
        <v>26</v>
      </c>
      <c r="C27" s="2">
        <v>3</v>
      </c>
      <c r="D27" s="2">
        <v>0</v>
      </c>
      <c r="E27" s="2">
        <v>1.0229999999999999</v>
      </c>
      <c r="F27" s="2">
        <v>1</v>
      </c>
      <c r="H27" s="3">
        <v>10</v>
      </c>
      <c r="I27" s="3">
        <v>277</v>
      </c>
      <c r="J27" s="3">
        <v>4</v>
      </c>
      <c r="K27" s="3">
        <v>1</v>
      </c>
      <c r="L27" s="3">
        <v>1.024</v>
      </c>
      <c r="M27" s="3">
        <v>2</v>
      </c>
    </row>
    <row r="28" spans="1:22" ht="14.25" customHeight="1">
      <c r="A28" s="2">
        <v>10</v>
      </c>
      <c r="B28" s="2">
        <v>27</v>
      </c>
      <c r="C28" s="2">
        <v>1</v>
      </c>
      <c r="D28" s="2">
        <v>1</v>
      </c>
      <c r="E28" s="2">
        <v>0.76300000000000001</v>
      </c>
      <c r="F28" s="2">
        <v>2</v>
      </c>
      <c r="H28" s="3">
        <v>10</v>
      </c>
      <c r="I28" s="3">
        <v>278</v>
      </c>
      <c r="J28" s="3">
        <v>6</v>
      </c>
      <c r="K28" s="3">
        <v>1</v>
      </c>
      <c r="L28" s="3">
        <v>1.3720000000000001</v>
      </c>
      <c r="M28" s="3">
        <v>2</v>
      </c>
    </row>
    <row r="29" spans="1:22" ht="14.25" customHeight="1">
      <c r="A29" s="2">
        <v>10</v>
      </c>
      <c r="B29" s="2">
        <v>28</v>
      </c>
      <c r="C29" s="2">
        <v>3</v>
      </c>
      <c r="D29" s="2">
        <v>0</v>
      </c>
      <c r="E29" s="2">
        <v>1.36</v>
      </c>
      <c r="F29" s="2">
        <v>1</v>
      </c>
      <c r="H29" s="3">
        <v>10</v>
      </c>
      <c r="I29" s="3">
        <v>279</v>
      </c>
      <c r="J29" s="3">
        <v>8</v>
      </c>
      <c r="K29" s="3">
        <v>1</v>
      </c>
      <c r="L29" s="3">
        <v>0.69699999999999995</v>
      </c>
      <c r="M29" s="3">
        <v>1</v>
      </c>
    </row>
    <row r="30" spans="1:22" ht="14.25" customHeight="1">
      <c r="A30" s="2">
        <v>10</v>
      </c>
      <c r="B30" s="2">
        <v>29</v>
      </c>
      <c r="C30" s="2">
        <v>7</v>
      </c>
      <c r="D30" s="2">
        <v>0</v>
      </c>
      <c r="E30" s="2">
        <v>1.726</v>
      </c>
      <c r="F30" s="2">
        <v>2</v>
      </c>
      <c r="H30" s="3">
        <v>10</v>
      </c>
      <c r="I30" s="3">
        <v>280</v>
      </c>
      <c r="J30" s="3">
        <v>3</v>
      </c>
      <c r="K30" s="3">
        <v>1</v>
      </c>
      <c r="L30" s="3">
        <v>0.81</v>
      </c>
      <c r="M30" s="3">
        <v>2</v>
      </c>
    </row>
    <row r="31" spans="1:22" ht="14.25" customHeight="1">
      <c r="A31" s="2">
        <v>10</v>
      </c>
      <c r="B31" s="2">
        <v>30</v>
      </c>
      <c r="C31" s="2">
        <v>1</v>
      </c>
      <c r="D31" s="2">
        <v>1</v>
      </c>
      <c r="E31" s="2">
        <v>0.83799999999999997</v>
      </c>
      <c r="F31" s="2">
        <v>2</v>
      </c>
      <c r="H31" s="3">
        <v>10</v>
      </c>
      <c r="I31" s="3">
        <v>281</v>
      </c>
      <c r="J31" s="3">
        <v>8</v>
      </c>
      <c r="K31" s="3">
        <v>1</v>
      </c>
      <c r="L31" s="3">
        <v>0.70099999999999996</v>
      </c>
      <c r="M31" s="3">
        <v>1</v>
      </c>
      <c r="N31" s="2">
        <v>1</v>
      </c>
      <c r="O31" s="2">
        <f t="shared" ref="O31:O36" si="17">SUM(O17:V17)/(SUM($O$26:$V$26))</f>
        <v>8.5509554140127328E-3</v>
      </c>
    </row>
    <row r="32" spans="1:22" ht="14.25" customHeight="1">
      <c r="A32" s="2">
        <v>10</v>
      </c>
      <c r="B32" s="2">
        <v>31</v>
      </c>
      <c r="C32" s="2">
        <v>8</v>
      </c>
      <c r="D32" s="2">
        <v>1</v>
      </c>
      <c r="E32" s="2">
        <v>1.2889999999999999</v>
      </c>
      <c r="F32" s="2">
        <v>1</v>
      </c>
      <c r="H32" s="3">
        <v>10</v>
      </c>
      <c r="I32" s="3">
        <v>282</v>
      </c>
      <c r="J32" s="3">
        <v>5</v>
      </c>
      <c r="K32" s="3">
        <v>1</v>
      </c>
      <c r="L32" s="3">
        <v>1.589</v>
      </c>
      <c r="M32" s="3">
        <v>2</v>
      </c>
      <c r="N32" s="2">
        <v>2</v>
      </c>
      <c r="O32" s="2">
        <f t="shared" si="17"/>
        <v>0.21492038216560505</v>
      </c>
    </row>
    <row r="33" spans="1:22" ht="14.25" customHeight="1">
      <c r="A33" s="2">
        <v>10</v>
      </c>
      <c r="B33" s="2">
        <v>32</v>
      </c>
      <c r="C33" s="2">
        <v>5</v>
      </c>
      <c r="D33" s="2">
        <v>1</v>
      </c>
      <c r="E33" s="2">
        <v>0.83299999999999996</v>
      </c>
      <c r="F33" s="2">
        <v>2</v>
      </c>
      <c r="H33" s="3">
        <v>10</v>
      </c>
      <c r="I33" s="3">
        <v>283</v>
      </c>
      <c r="J33" s="3">
        <v>2</v>
      </c>
      <c r="K33" s="3">
        <v>1</v>
      </c>
      <c r="L33" s="3">
        <v>0.77</v>
      </c>
      <c r="M33" s="3">
        <v>1</v>
      </c>
      <c r="N33" s="2">
        <v>3</v>
      </c>
      <c r="O33" s="2">
        <f t="shared" si="17"/>
        <v>0.14613057324840764</v>
      </c>
    </row>
    <row r="34" spans="1:22" ht="14.25" customHeight="1">
      <c r="A34" s="2">
        <v>10</v>
      </c>
      <c r="B34" s="2">
        <v>33</v>
      </c>
      <c r="C34" s="2">
        <v>7</v>
      </c>
      <c r="D34" s="2">
        <v>1</v>
      </c>
      <c r="E34" s="2">
        <v>1.0669999999999999</v>
      </c>
      <c r="F34" s="2">
        <v>1</v>
      </c>
      <c r="H34" s="3">
        <v>10</v>
      </c>
      <c r="I34" s="3">
        <v>284</v>
      </c>
      <c r="J34" s="3">
        <v>6</v>
      </c>
      <c r="K34" s="3">
        <v>0</v>
      </c>
      <c r="L34" s="3">
        <v>0.91900000000000004</v>
      </c>
      <c r="M34" s="3">
        <v>2</v>
      </c>
      <c r="N34" s="2">
        <v>4</v>
      </c>
      <c r="O34" s="2">
        <f t="shared" si="17"/>
        <v>9.5039808917197433E-2</v>
      </c>
    </row>
    <row r="35" spans="1:22" ht="14.25" customHeight="1">
      <c r="A35" s="2">
        <v>10</v>
      </c>
      <c r="B35" s="2">
        <v>34</v>
      </c>
      <c r="C35" s="2">
        <v>2</v>
      </c>
      <c r="D35" s="2">
        <v>0</v>
      </c>
      <c r="E35" s="2">
        <v>0.79800000000000004</v>
      </c>
      <c r="F35" s="2">
        <v>2</v>
      </c>
      <c r="H35" s="3">
        <v>10</v>
      </c>
      <c r="I35" s="3">
        <v>285</v>
      </c>
      <c r="J35" s="3">
        <v>5</v>
      </c>
      <c r="K35" s="3">
        <v>1</v>
      </c>
      <c r="L35" s="3">
        <v>1.119</v>
      </c>
      <c r="M35" s="3">
        <v>1</v>
      </c>
      <c r="N35" s="2">
        <v>5</v>
      </c>
      <c r="O35" s="2">
        <f t="shared" si="17"/>
        <v>8.0708598726114647E-2</v>
      </c>
    </row>
    <row r="36" spans="1:22" ht="14.25" customHeight="1">
      <c r="A36" s="2">
        <v>10</v>
      </c>
      <c r="B36" s="2">
        <v>35</v>
      </c>
      <c r="C36" s="2">
        <v>4</v>
      </c>
      <c r="D36" s="2">
        <v>1</v>
      </c>
      <c r="E36" s="2">
        <v>1.2669999999999999</v>
      </c>
      <c r="F36" s="2">
        <v>1</v>
      </c>
      <c r="H36" s="3">
        <v>10</v>
      </c>
      <c r="I36" s="3">
        <v>286</v>
      </c>
      <c r="J36" s="3">
        <v>4</v>
      </c>
      <c r="K36" s="3">
        <v>1</v>
      </c>
      <c r="L36" s="3">
        <v>0.99099999999999999</v>
      </c>
      <c r="M36" s="3">
        <v>2</v>
      </c>
      <c r="N36" s="2">
        <v>6</v>
      </c>
      <c r="O36" s="2">
        <f t="shared" si="17"/>
        <v>0.16719745222929935</v>
      </c>
    </row>
    <row r="37" spans="1:22" ht="14.25" customHeight="1">
      <c r="A37" s="2">
        <v>10</v>
      </c>
      <c r="B37" s="2">
        <v>36</v>
      </c>
      <c r="C37" s="2">
        <v>1</v>
      </c>
      <c r="D37" s="2">
        <v>0</v>
      </c>
      <c r="E37" s="2">
        <v>1.573</v>
      </c>
      <c r="F37" s="2">
        <v>1</v>
      </c>
      <c r="H37" s="3">
        <v>10</v>
      </c>
      <c r="I37" s="3">
        <v>287</v>
      </c>
      <c r="J37" s="3">
        <v>8</v>
      </c>
      <c r="K37" s="4">
        <v>1</v>
      </c>
      <c r="L37" s="3">
        <v>1.355</v>
      </c>
      <c r="M37" s="4">
        <v>2</v>
      </c>
    </row>
    <row r="38" spans="1:22" ht="14.25" customHeight="1">
      <c r="A38" s="2">
        <v>10</v>
      </c>
      <c r="B38" s="2">
        <v>37</v>
      </c>
      <c r="C38" s="2">
        <v>6</v>
      </c>
      <c r="D38" s="2">
        <v>0</v>
      </c>
      <c r="E38" s="2">
        <v>1.1459999999999999</v>
      </c>
      <c r="F38" s="2">
        <v>1</v>
      </c>
      <c r="H38" s="3">
        <v>10</v>
      </c>
      <c r="I38" s="3">
        <v>288</v>
      </c>
      <c r="J38" s="3">
        <v>1</v>
      </c>
      <c r="K38" s="3">
        <v>1</v>
      </c>
      <c r="L38" s="3">
        <v>1.129</v>
      </c>
      <c r="M38" s="3">
        <v>2</v>
      </c>
    </row>
    <row r="39" spans="1:22" ht="14.25" customHeight="1">
      <c r="A39" s="2">
        <v>10</v>
      </c>
      <c r="B39" s="2">
        <v>38</v>
      </c>
      <c r="C39" s="2">
        <v>1</v>
      </c>
      <c r="D39" s="2">
        <v>1</v>
      </c>
      <c r="E39" s="2">
        <v>0.97699999999999998</v>
      </c>
      <c r="F39" s="2">
        <v>2</v>
      </c>
      <c r="H39" s="3">
        <v>10</v>
      </c>
      <c r="I39" s="3">
        <v>289</v>
      </c>
      <c r="J39" s="3">
        <v>6</v>
      </c>
      <c r="K39" s="3">
        <v>1</v>
      </c>
      <c r="L39" s="3">
        <v>1.04</v>
      </c>
      <c r="M39" s="3">
        <v>2</v>
      </c>
    </row>
    <row r="40" spans="1:22" ht="14.25" customHeight="1">
      <c r="A40" s="2">
        <v>10</v>
      </c>
      <c r="B40" s="2">
        <v>39</v>
      </c>
      <c r="C40" s="2">
        <v>5</v>
      </c>
      <c r="D40" s="2">
        <v>0</v>
      </c>
      <c r="E40" s="2">
        <v>1.1339999999999999</v>
      </c>
      <c r="F40" s="2">
        <v>1</v>
      </c>
      <c r="H40" s="3">
        <v>10</v>
      </c>
      <c r="I40" s="3">
        <v>290</v>
      </c>
      <c r="J40" s="3">
        <v>5</v>
      </c>
      <c r="K40" s="3">
        <v>1</v>
      </c>
      <c r="L40" s="3">
        <v>1.1950000000000001</v>
      </c>
      <c r="M40" s="3">
        <v>1</v>
      </c>
    </row>
    <row r="41" spans="1:22" ht="14.25" customHeight="1">
      <c r="A41" s="2">
        <v>10</v>
      </c>
      <c r="B41" s="2">
        <v>40</v>
      </c>
      <c r="C41" s="2">
        <v>2</v>
      </c>
      <c r="D41" s="2">
        <v>0</v>
      </c>
      <c r="E41" s="2">
        <v>1.109</v>
      </c>
      <c r="F41" s="2">
        <v>2</v>
      </c>
      <c r="H41" s="3">
        <v>10</v>
      </c>
      <c r="I41" s="3">
        <v>291</v>
      </c>
      <c r="J41" s="3">
        <v>1</v>
      </c>
      <c r="K41" s="3">
        <v>1</v>
      </c>
      <c r="L41" s="3">
        <v>1.016</v>
      </c>
      <c r="M41" s="3">
        <v>2</v>
      </c>
      <c r="Q41" s="2">
        <v>0.24740445859872609</v>
      </c>
      <c r="R41" s="2">
        <v>0.1368949044585987</v>
      </c>
      <c r="S41" s="2">
        <v>9.77229299363057E-2</v>
      </c>
      <c r="T41" s="2">
        <v>0.14262738853503185</v>
      </c>
      <c r="U41" s="2">
        <v>2.4792993630573228E-2</v>
      </c>
      <c r="V41" s="2">
        <v>8.5509554140127328E-3</v>
      </c>
    </row>
    <row r="42" spans="1:22" ht="14.25" customHeight="1">
      <c r="A42" s="2">
        <v>10</v>
      </c>
      <c r="B42" s="2">
        <v>41</v>
      </c>
      <c r="C42" s="2">
        <v>5</v>
      </c>
      <c r="D42" s="2">
        <v>1</v>
      </c>
      <c r="E42" s="2">
        <v>1.222</v>
      </c>
      <c r="F42" s="2">
        <v>2</v>
      </c>
      <c r="H42" s="3">
        <v>10</v>
      </c>
      <c r="I42" s="3">
        <v>292</v>
      </c>
      <c r="J42" s="3">
        <v>3</v>
      </c>
      <c r="K42" s="3">
        <v>1</v>
      </c>
      <c r="L42" s="3">
        <v>0.996</v>
      </c>
      <c r="M42" s="3">
        <v>1</v>
      </c>
      <c r="Q42" s="2">
        <v>7.542993630573247E-2</v>
      </c>
      <c r="R42" s="2">
        <v>0.20568471337579616</v>
      </c>
      <c r="S42" s="2">
        <v>0.2009076433121019</v>
      </c>
      <c r="T42" s="2">
        <v>0.24581210191082797</v>
      </c>
      <c r="U42" s="2">
        <v>0.1279777070063694</v>
      </c>
      <c r="V42" s="2">
        <v>0.21492038216560505</v>
      </c>
    </row>
    <row r="43" spans="1:22" ht="14.25" customHeight="1">
      <c r="A43" s="2">
        <v>10</v>
      </c>
      <c r="B43" s="2">
        <v>42</v>
      </c>
      <c r="C43" s="2">
        <v>4</v>
      </c>
      <c r="D43" s="2">
        <v>1</v>
      </c>
      <c r="E43" s="2">
        <v>0.95199999999999996</v>
      </c>
      <c r="F43" s="2">
        <v>1</v>
      </c>
      <c r="H43" s="3">
        <v>10</v>
      </c>
      <c r="I43" s="3">
        <v>293</v>
      </c>
      <c r="J43" s="3">
        <v>4</v>
      </c>
      <c r="K43" s="3">
        <v>1</v>
      </c>
      <c r="L43" s="3">
        <v>0.88</v>
      </c>
      <c r="M43" s="3">
        <v>1</v>
      </c>
      <c r="Q43" s="2">
        <v>0.3161942675159235</v>
      </c>
      <c r="R43" s="2">
        <v>0.24007961783439483</v>
      </c>
      <c r="S43" s="2">
        <v>0.20090764331210184</v>
      </c>
      <c r="T43" s="2">
        <v>0.24581210191082797</v>
      </c>
      <c r="U43" s="2">
        <v>0.19676751592356687</v>
      </c>
      <c r="V43" s="2">
        <v>0.14613057324840764</v>
      </c>
    </row>
    <row r="44" spans="1:22" ht="14.25" customHeight="1">
      <c r="A44" s="2">
        <v>10</v>
      </c>
      <c r="B44" s="2">
        <v>43</v>
      </c>
      <c r="C44" s="2">
        <v>8</v>
      </c>
      <c r="D44" s="2">
        <v>0</v>
      </c>
      <c r="E44" s="2">
        <v>1.5269999999999999</v>
      </c>
      <c r="F44" s="2">
        <v>2</v>
      </c>
      <c r="H44" s="3">
        <v>10</v>
      </c>
      <c r="I44" s="3">
        <v>294</v>
      </c>
      <c r="J44" s="3">
        <v>2</v>
      </c>
      <c r="K44" s="3">
        <v>1</v>
      </c>
      <c r="L44" s="3">
        <v>1.2969999999999999</v>
      </c>
      <c r="M44" s="3">
        <v>2</v>
      </c>
      <c r="Q44" s="2">
        <v>0.14472133757961783</v>
      </c>
      <c r="R44" s="2">
        <v>7.7205414012738852E-2</v>
      </c>
      <c r="S44" s="2">
        <v>9.822452229299361E-2</v>
      </c>
      <c r="T44" s="2">
        <v>7.7205414012738824E-2</v>
      </c>
      <c r="U44" s="2">
        <v>4.2492038216560508E-2</v>
      </c>
      <c r="V44" s="2">
        <v>9.5039808917197433E-2</v>
      </c>
    </row>
    <row r="45" spans="1:22" ht="14.25" customHeight="1">
      <c r="A45" s="2">
        <v>10</v>
      </c>
      <c r="B45" s="2">
        <v>44</v>
      </c>
      <c r="C45" s="2">
        <v>6</v>
      </c>
      <c r="D45" s="2">
        <v>1</v>
      </c>
      <c r="E45" s="2">
        <v>0.93400000000000005</v>
      </c>
      <c r="F45" s="2">
        <v>2</v>
      </c>
      <c r="H45" s="3">
        <v>10</v>
      </c>
      <c r="I45" s="3">
        <v>295</v>
      </c>
      <c r="J45" s="3">
        <v>6</v>
      </c>
      <c r="K45" s="3">
        <v>1</v>
      </c>
      <c r="L45" s="3">
        <v>0.98599999999999999</v>
      </c>
      <c r="M45" s="3">
        <v>2</v>
      </c>
      <c r="Q45" s="2">
        <v>0.19344745222929935</v>
      </c>
      <c r="R45" s="2">
        <v>0.13453025477707004</v>
      </c>
      <c r="S45" s="2">
        <v>5.5230891719745205E-2</v>
      </c>
      <c r="T45" s="2">
        <v>0.14026273885350318</v>
      </c>
      <c r="U45" s="2">
        <v>0.11128184713375795</v>
      </c>
      <c r="V45" s="2">
        <v>8.0708598726114647E-2</v>
      </c>
    </row>
    <row r="46" spans="1:22" ht="14.25" customHeight="1">
      <c r="A46" s="2">
        <v>10</v>
      </c>
      <c r="B46" s="2">
        <v>45</v>
      </c>
      <c r="C46" s="2">
        <v>5</v>
      </c>
      <c r="D46" s="2">
        <v>0</v>
      </c>
      <c r="E46" s="2">
        <v>1.637</v>
      </c>
      <c r="F46" s="2">
        <v>1</v>
      </c>
      <c r="H46" s="3">
        <v>10</v>
      </c>
      <c r="I46" s="3">
        <v>296</v>
      </c>
      <c r="J46" s="3">
        <v>7</v>
      </c>
      <c r="K46" s="3">
        <v>1</v>
      </c>
      <c r="L46" s="3">
        <v>1.119</v>
      </c>
      <c r="M46" s="3">
        <v>1</v>
      </c>
      <c r="Q46" s="2">
        <v>9.0764331210191077E-2</v>
      </c>
      <c r="R46" s="2">
        <v>7.4840764331210188E-2</v>
      </c>
      <c r="S46" s="2">
        <v>5.5732484076433123E-2</v>
      </c>
      <c r="T46" s="2">
        <v>7.4840764331210188E-2</v>
      </c>
      <c r="U46" s="2">
        <v>0.12898089171974522</v>
      </c>
      <c r="V46" s="2">
        <v>0.16719745222929935</v>
      </c>
    </row>
    <row r="47" spans="1:22" ht="14.25" customHeight="1">
      <c r="A47" s="2">
        <v>10</v>
      </c>
      <c r="B47" s="2">
        <v>46</v>
      </c>
      <c r="C47" s="2">
        <v>2</v>
      </c>
      <c r="D47" s="2">
        <v>0</v>
      </c>
      <c r="E47" s="2">
        <v>0.91200000000000003</v>
      </c>
      <c r="F47" s="2">
        <v>2</v>
      </c>
      <c r="H47" s="3">
        <v>10</v>
      </c>
      <c r="I47" s="3">
        <v>297</v>
      </c>
      <c r="J47" s="3">
        <v>8</v>
      </c>
      <c r="K47" s="3">
        <v>1</v>
      </c>
      <c r="L47" s="3">
        <v>1.1100000000000001</v>
      </c>
      <c r="M47" s="3">
        <v>1</v>
      </c>
    </row>
    <row r="48" spans="1:22" ht="14.25" customHeight="1">
      <c r="A48" s="2">
        <v>10</v>
      </c>
      <c r="B48" s="2">
        <v>47</v>
      </c>
      <c r="C48" s="2">
        <v>4</v>
      </c>
      <c r="E48" s="2">
        <v>2.0009999999999999</v>
      </c>
      <c r="H48" s="3">
        <v>10</v>
      </c>
      <c r="I48" s="3">
        <v>298</v>
      </c>
      <c r="J48" s="3">
        <v>4</v>
      </c>
      <c r="K48" s="3">
        <v>1</v>
      </c>
      <c r="L48" s="3">
        <v>1.167</v>
      </c>
      <c r="M48" s="3">
        <v>2</v>
      </c>
    </row>
    <row r="49" spans="1:13" ht="14.25" customHeight="1">
      <c r="A49" s="2">
        <v>10</v>
      </c>
      <c r="B49" s="2">
        <v>48</v>
      </c>
      <c r="C49" s="2">
        <v>3</v>
      </c>
      <c r="D49" s="2">
        <v>1</v>
      </c>
      <c r="E49" s="2">
        <v>1.397</v>
      </c>
      <c r="F49" s="2">
        <v>2</v>
      </c>
      <c r="H49" s="3">
        <v>10</v>
      </c>
      <c r="I49" s="3">
        <v>299</v>
      </c>
      <c r="J49" s="3">
        <v>6</v>
      </c>
      <c r="K49" s="3">
        <v>1</v>
      </c>
      <c r="L49" s="3">
        <v>1.123</v>
      </c>
      <c r="M49" s="3">
        <v>2</v>
      </c>
    </row>
    <row r="50" spans="1:13" ht="14.25" customHeight="1">
      <c r="A50" s="2">
        <v>10</v>
      </c>
      <c r="B50" s="2">
        <v>49</v>
      </c>
      <c r="C50" s="2">
        <v>1</v>
      </c>
      <c r="D50" s="2">
        <v>1</v>
      </c>
      <c r="E50" s="2">
        <v>1.097</v>
      </c>
      <c r="F50" s="2">
        <v>2</v>
      </c>
      <c r="H50" s="3">
        <v>10</v>
      </c>
      <c r="I50" s="3">
        <v>300</v>
      </c>
      <c r="J50" s="3">
        <v>7</v>
      </c>
      <c r="K50" s="3">
        <v>1</v>
      </c>
      <c r="L50" s="3">
        <v>1.2030000000000001</v>
      </c>
      <c r="M50" s="3">
        <v>2</v>
      </c>
    </row>
    <row r="51" spans="1:13" ht="14.25" customHeight="1">
      <c r="A51" s="2">
        <v>10</v>
      </c>
      <c r="B51" s="2">
        <v>50</v>
      </c>
      <c r="C51" s="2">
        <v>6</v>
      </c>
      <c r="D51" s="2">
        <v>0</v>
      </c>
      <c r="E51" s="2">
        <v>0.93</v>
      </c>
      <c r="F51" s="2">
        <v>1</v>
      </c>
      <c r="H51" s="3"/>
      <c r="I51" s="3"/>
      <c r="J51" s="3"/>
      <c r="K51" s="4"/>
      <c r="L51" s="3"/>
      <c r="M51" s="4"/>
    </row>
    <row r="52" spans="1:13" ht="14.25" customHeight="1">
      <c r="A52" s="2">
        <v>10</v>
      </c>
      <c r="B52" s="2">
        <v>51</v>
      </c>
      <c r="C52" s="2">
        <v>5</v>
      </c>
      <c r="D52" s="2">
        <v>0</v>
      </c>
      <c r="E52" s="2">
        <v>0.91200000000000003</v>
      </c>
      <c r="F52" s="2">
        <v>2</v>
      </c>
      <c r="H52" s="3"/>
      <c r="I52" s="3"/>
      <c r="J52" s="3"/>
      <c r="K52" s="3"/>
      <c r="L52" s="3"/>
      <c r="M52" s="3"/>
    </row>
    <row r="53" spans="1:13" ht="14.25" customHeight="1">
      <c r="A53" s="2">
        <v>10</v>
      </c>
      <c r="B53" s="2">
        <v>52</v>
      </c>
      <c r="C53" s="2">
        <v>3</v>
      </c>
      <c r="D53" s="2">
        <v>0</v>
      </c>
      <c r="E53" s="2">
        <v>1.1359999999999999</v>
      </c>
      <c r="F53" s="2">
        <v>2</v>
      </c>
      <c r="H53" s="3"/>
      <c r="I53" s="3"/>
      <c r="J53" s="3"/>
      <c r="K53" s="3"/>
      <c r="L53" s="3"/>
      <c r="M53" s="3"/>
    </row>
    <row r="54" spans="1:13" ht="14.25" customHeight="1">
      <c r="A54" s="2">
        <v>10</v>
      </c>
      <c r="B54" s="2">
        <v>53</v>
      </c>
      <c r="C54" s="2">
        <v>1</v>
      </c>
      <c r="D54" s="2">
        <v>1</v>
      </c>
      <c r="E54" s="2">
        <v>0.999</v>
      </c>
      <c r="F54" s="2">
        <v>1</v>
      </c>
      <c r="H54" s="3"/>
      <c r="I54" s="3"/>
      <c r="J54" s="3"/>
      <c r="K54" s="3"/>
      <c r="L54" s="3"/>
      <c r="M54" s="3"/>
    </row>
    <row r="55" spans="1:13" ht="14.25" customHeight="1">
      <c r="A55" s="2">
        <v>10</v>
      </c>
      <c r="B55" s="2">
        <v>54</v>
      </c>
      <c r="C55" s="2">
        <v>6</v>
      </c>
      <c r="D55" s="2">
        <v>1</v>
      </c>
      <c r="E55" s="2">
        <v>1.7470000000000001</v>
      </c>
      <c r="F55" s="2">
        <v>1</v>
      </c>
      <c r="H55" s="3"/>
      <c r="I55" s="3"/>
      <c r="J55" s="3"/>
      <c r="K55" s="3"/>
      <c r="L55" s="3"/>
      <c r="M55" s="3"/>
    </row>
    <row r="56" spans="1:13" ht="14.25" customHeight="1">
      <c r="A56" s="2">
        <v>10</v>
      </c>
      <c r="B56" s="2">
        <v>55</v>
      </c>
      <c r="C56" s="2">
        <v>5</v>
      </c>
      <c r="D56" s="2">
        <v>1</v>
      </c>
      <c r="E56" s="2">
        <v>1.113</v>
      </c>
      <c r="F56" s="2">
        <v>1</v>
      </c>
      <c r="H56" s="3"/>
      <c r="I56" s="3"/>
      <c r="J56" s="3"/>
      <c r="K56" s="4"/>
      <c r="L56" s="3"/>
      <c r="M56" s="4"/>
    </row>
    <row r="57" spans="1:13" ht="14.25" customHeight="1">
      <c r="A57" s="2">
        <v>10</v>
      </c>
      <c r="B57" s="2">
        <v>56</v>
      </c>
      <c r="C57" s="2">
        <v>2</v>
      </c>
      <c r="D57" s="2">
        <v>1</v>
      </c>
      <c r="E57" s="2">
        <v>0.95299999999999996</v>
      </c>
      <c r="F57" s="2">
        <v>2</v>
      </c>
      <c r="H57" s="3"/>
      <c r="I57" s="3"/>
      <c r="J57" s="3"/>
      <c r="K57" s="4"/>
      <c r="L57" s="3"/>
      <c r="M57" s="4"/>
    </row>
    <row r="58" spans="1:13" ht="14.25" customHeight="1">
      <c r="A58" s="2">
        <v>10</v>
      </c>
      <c r="B58" s="2">
        <v>57</v>
      </c>
      <c r="C58" s="2">
        <v>7</v>
      </c>
      <c r="D58" s="2">
        <v>0</v>
      </c>
      <c r="E58" s="2">
        <v>1.248</v>
      </c>
      <c r="F58" s="2">
        <v>1</v>
      </c>
      <c r="H58" s="3"/>
      <c r="I58" s="3"/>
      <c r="J58" s="3"/>
      <c r="K58" s="3"/>
      <c r="L58" s="3"/>
      <c r="M58" s="3"/>
    </row>
    <row r="59" spans="1:13" ht="14.25" customHeight="1">
      <c r="A59" s="2">
        <v>10</v>
      </c>
      <c r="B59" s="2">
        <v>58</v>
      </c>
      <c r="C59" s="2">
        <v>2</v>
      </c>
      <c r="D59" s="2">
        <v>1</v>
      </c>
      <c r="E59" s="2">
        <v>1.921</v>
      </c>
      <c r="F59" s="2">
        <v>1</v>
      </c>
      <c r="H59" s="3"/>
      <c r="I59" s="3"/>
      <c r="J59" s="3"/>
      <c r="K59" s="3"/>
      <c r="L59" s="3"/>
      <c r="M59" s="3"/>
    </row>
    <row r="60" spans="1:13" ht="14.25" customHeight="1">
      <c r="A60" s="2">
        <v>10</v>
      </c>
      <c r="B60" s="2">
        <v>59</v>
      </c>
      <c r="C60" s="2">
        <v>3</v>
      </c>
      <c r="D60" s="2">
        <v>0</v>
      </c>
      <c r="E60" s="2">
        <v>1.3759999999999999</v>
      </c>
      <c r="F60" s="2">
        <v>2</v>
      </c>
      <c r="H60" s="3"/>
      <c r="I60" s="3"/>
      <c r="J60" s="3"/>
      <c r="K60" s="3"/>
      <c r="L60" s="3"/>
      <c r="M60" s="3"/>
    </row>
    <row r="61" spans="1:13" ht="14.25" customHeight="1">
      <c r="A61" s="2">
        <v>10</v>
      </c>
      <c r="B61" s="2">
        <v>60</v>
      </c>
      <c r="C61" s="2">
        <v>8</v>
      </c>
      <c r="D61" s="2">
        <v>1</v>
      </c>
      <c r="E61" s="2">
        <v>1.518</v>
      </c>
      <c r="F61" s="2">
        <v>1</v>
      </c>
      <c r="H61" s="3"/>
      <c r="I61" s="3"/>
      <c r="J61" s="3"/>
      <c r="K61" s="3"/>
      <c r="L61" s="3"/>
      <c r="M61" s="3"/>
    </row>
    <row r="62" spans="1:13" ht="14.25" customHeight="1">
      <c r="A62" s="2">
        <v>10</v>
      </c>
      <c r="B62" s="2">
        <v>61</v>
      </c>
      <c r="C62" s="2">
        <v>7</v>
      </c>
      <c r="D62" s="2">
        <v>0</v>
      </c>
      <c r="E62" s="2">
        <v>1.2609999999999999</v>
      </c>
      <c r="F62" s="2">
        <v>1</v>
      </c>
      <c r="H62" s="3"/>
      <c r="I62" s="3"/>
      <c r="J62" s="3"/>
      <c r="K62" s="3"/>
      <c r="L62" s="3"/>
      <c r="M62" s="3"/>
    </row>
    <row r="63" spans="1:13" ht="14.25" customHeight="1">
      <c r="A63" s="2">
        <v>10</v>
      </c>
      <c r="B63" s="2">
        <v>62</v>
      </c>
      <c r="C63" s="2">
        <v>8</v>
      </c>
      <c r="D63" s="2">
        <v>0</v>
      </c>
      <c r="E63" s="2">
        <v>1.4630000000000001</v>
      </c>
      <c r="F63" s="2">
        <v>1</v>
      </c>
      <c r="H63" s="3"/>
      <c r="I63" s="3"/>
      <c r="J63" s="3"/>
      <c r="K63" s="3"/>
      <c r="L63" s="3"/>
      <c r="M63" s="3"/>
    </row>
    <row r="64" spans="1:13" ht="14.25" customHeight="1">
      <c r="A64" s="2">
        <v>10</v>
      </c>
      <c r="B64" s="2">
        <v>63</v>
      </c>
      <c r="C64" s="2">
        <v>6</v>
      </c>
      <c r="D64" s="2">
        <v>1</v>
      </c>
      <c r="E64" s="2">
        <v>1.2250000000000001</v>
      </c>
      <c r="F64" s="2">
        <v>2</v>
      </c>
      <c r="H64" s="3"/>
      <c r="I64" s="3"/>
      <c r="J64" s="3"/>
      <c r="K64" s="3"/>
      <c r="L64" s="3"/>
      <c r="M64" s="3"/>
    </row>
    <row r="65" spans="1:13" ht="14.25" customHeight="1">
      <c r="A65" s="2">
        <v>10</v>
      </c>
      <c r="B65" s="2">
        <v>64</v>
      </c>
      <c r="C65" s="2">
        <v>3</v>
      </c>
      <c r="D65" s="2">
        <v>0</v>
      </c>
      <c r="E65" s="2">
        <v>1.677</v>
      </c>
      <c r="F65" s="2">
        <v>1</v>
      </c>
      <c r="H65" s="3"/>
      <c r="I65" s="3"/>
      <c r="J65" s="3"/>
      <c r="K65" s="3"/>
      <c r="L65" s="3"/>
      <c r="M65" s="3"/>
    </row>
    <row r="66" spans="1:13" ht="14.25" customHeight="1">
      <c r="A66" s="2">
        <v>10</v>
      </c>
      <c r="B66" s="2">
        <v>65</v>
      </c>
      <c r="C66" s="2">
        <v>5</v>
      </c>
      <c r="D66" s="2">
        <v>1</v>
      </c>
      <c r="E66" s="2">
        <v>1.085</v>
      </c>
      <c r="F66" s="2">
        <v>1</v>
      </c>
      <c r="H66" s="3"/>
      <c r="I66" s="3"/>
      <c r="J66" s="3"/>
      <c r="K66" s="3"/>
      <c r="L66" s="3"/>
      <c r="M66" s="3"/>
    </row>
    <row r="67" spans="1:13" ht="14.25" customHeight="1">
      <c r="A67" s="2">
        <v>10</v>
      </c>
      <c r="B67" s="2">
        <v>66</v>
      </c>
      <c r="C67" s="2">
        <v>4</v>
      </c>
      <c r="D67" s="2">
        <v>0</v>
      </c>
      <c r="E67" s="2">
        <v>1.2629999999999999</v>
      </c>
      <c r="F67" s="2">
        <v>2</v>
      </c>
      <c r="H67" s="3"/>
      <c r="I67" s="3"/>
      <c r="J67" s="3"/>
      <c r="K67" s="3"/>
      <c r="L67" s="3"/>
      <c r="M67" s="3"/>
    </row>
    <row r="68" spans="1:13" ht="14.25" customHeight="1">
      <c r="A68" s="2">
        <v>10</v>
      </c>
      <c r="B68" s="2">
        <v>67</v>
      </c>
      <c r="C68" s="2">
        <v>8</v>
      </c>
      <c r="D68" s="2">
        <v>0</v>
      </c>
      <c r="E68" s="2">
        <v>1.865</v>
      </c>
      <c r="F68" s="2">
        <v>2</v>
      </c>
      <c r="H68" s="3"/>
      <c r="I68" s="3"/>
      <c r="J68" s="3"/>
      <c r="K68" s="3"/>
      <c r="L68" s="3"/>
      <c r="M68" s="3"/>
    </row>
    <row r="69" spans="1:13" ht="14.25" customHeight="1">
      <c r="A69" s="2">
        <v>10</v>
      </c>
      <c r="B69" s="2">
        <v>68</v>
      </c>
      <c r="C69" s="2">
        <v>4</v>
      </c>
      <c r="D69" s="2">
        <v>1</v>
      </c>
      <c r="E69" s="2">
        <v>1.4179999999999999</v>
      </c>
      <c r="F69" s="2">
        <v>1</v>
      </c>
      <c r="H69" s="3"/>
      <c r="I69" s="3"/>
      <c r="J69" s="3"/>
      <c r="K69" s="3"/>
      <c r="L69" s="3"/>
      <c r="M69" s="3"/>
    </row>
    <row r="70" spans="1:13" ht="14.25" customHeight="1">
      <c r="A70" s="2">
        <v>10</v>
      </c>
      <c r="B70" s="2">
        <v>69</v>
      </c>
      <c r="C70" s="2">
        <v>2</v>
      </c>
      <c r="D70" s="2">
        <v>1</v>
      </c>
      <c r="E70" s="2">
        <v>1.359</v>
      </c>
      <c r="F70" s="2">
        <v>1</v>
      </c>
      <c r="H70" s="3"/>
      <c r="I70" s="3"/>
      <c r="J70" s="3"/>
      <c r="K70" s="3"/>
      <c r="L70" s="3"/>
      <c r="M70" s="3"/>
    </row>
    <row r="71" spans="1:13" ht="14.25" customHeight="1">
      <c r="A71" s="2">
        <v>10</v>
      </c>
      <c r="B71" s="2">
        <v>70</v>
      </c>
      <c r="C71" s="2">
        <v>1</v>
      </c>
      <c r="D71" s="2">
        <v>0</v>
      </c>
      <c r="E71" s="2">
        <v>1.925</v>
      </c>
      <c r="F71" s="2">
        <v>1</v>
      </c>
      <c r="H71" s="3"/>
      <c r="I71" s="3"/>
      <c r="J71" s="3"/>
      <c r="K71" s="3"/>
      <c r="L71" s="3"/>
      <c r="M71" s="3"/>
    </row>
    <row r="72" spans="1:13" ht="14.25" customHeight="1">
      <c r="A72" s="2">
        <v>10</v>
      </c>
      <c r="B72" s="2">
        <v>71</v>
      </c>
      <c r="C72" s="2">
        <v>8</v>
      </c>
      <c r="D72" s="2">
        <v>1</v>
      </c>
      <c r="E72" s="2">
        <v>1.1719999999999999</v>
      </c>
      <c r="F72" s="2">
        <v>1</v>
      </c>
      <c r="H72" s="3"/>
      <c r="I72" s="3"/>
      <c r="J72" s="3"/>
      <c r="K72" s="3"/>
      <c r="L72" s="3"/>
      <c r="M72" s="3"/>
    </row>
    <row r="73" spans="1:13" ht="14.25" customHeight="1">
      <c r="A73" s="2">
        <v>10</v>
      </c>
      <c r="B73" s="2">
        <v>72</v>
      </c>
      <c r="C73" s="2">
        <v>4</v>
      </c>
      <c r="D73" s="2">
        <v>1</v>
      </c>
      <c r="E73" s="2">
        <v>1.649</v>
      </c>
      <c r="F73" s="2">
        <v>2</v>
      </c>
      <c r="H73" s="3"/>
      <c r="I73" s="3"/>
      <c r="J73" s="3"/>
      <c r="K73" s="3"/>
      <c r="L73" s="3"/>
      <c r="M73" s="3"/>
    </row>
    <row r="74" spans="1:13" ht="14.25" customHeight="1">
      <c r="A74" s="2">
        <v>10</v>
      </c>
      <c r="B74" s="2">
        <v>73</v>
      </c>
      <c r="C74" s="2">
        <v>6</v>
      </c>
      <c r="D74" s="2">
        <v>1</v>
      </c>
      <c r="E74" s="2">
        <v>1.284</v>
      </c>
      <c r="F74" s="2">
        <v>2</v>
      </c>
      <c r="H74" s="3"/>
      <c r="I74" s="3"/>
      <c r="J74" s="3"/>
      <c r="K74" s="3"/>
      <c r="L74" s="3"/>
      <c r="M74" s="3"/>
    </row>
    <row r="75" spans="1:13" ht="14.25" customHeight="1">
      <c r="A75" s="2">
        <v>10</v>
      </c>
      <c r="B75" s="2">
        <v>74</v>
      </c>
      <c r="C75" s="2">
        <v>1</v>
      </c>
      <c r="D75" s="2">
        <v>1</v>
      </c>
      <c r="E75" s="2">
        <v>1.0289999999999999</v>
      </c>
      <c r="F75" s="2">
        <v>1</v>
      </c>
      <c r="H75" s="3"/>
      <c r="I75" s="3"/>
      <c r="J75" s="3"/>
      <c r="K75" s="3"/>
      <c r="L75" s="3"/>
      <c r="M75" s="3"/>
    </row>
    <row r="76" spans="1:13" ht="14.25" customHeight="1">
      <c r="A76" s="2">
        <v>10</v>
      </c>
      <c r="B76" s="2">
        <v>75</v>
      </c>
      <c r="C76" s="2">
        <v>6</v>
      </c>
      <c r="D76" s="2">
        <v>1</v>
      </c>
      <c r="E76" s="2">
        <v>0.872</v>
      </c>
      <c r="F76" s="2">
        <v>2</v>
      </c>
      <c r="H76" s="3"/>
      <c r="I76" s="3"/>
      <c r="J76" s="3"/>
      <c r="K76" s="3"/>
      <c r="L76" s="3"/>
      <c r="M76" s="3"/>
    </row>
    <row r="77" spans="1:13" ht="14.25" customHeight="1">
      <c r="A77" s="2">
        <v>10</v>
      </c>
      <c r="B77" s="2">
        <v>76</v>
      </c>
      <c r="C77" s="2">
        <v>4</v>
      </c>
      <c r="D77" s="2">
        <v>0</v>
      </c>
      <c r="E77" s="2">
        <v>1.0569999999999999</v>
      </c>
      <c r="F77" s="2">
        <v>1</v>
      </c>
      <c r="H77" s="3"/>
      <c r="I77" s="3"/>
      <c r="J77" s="3"/>
      <c r="K77" s="3"/>
      <c r="L77" s="3"/>
      <c r="M77" s="3"/>
    </row>
    <row r="78" spans="1:13" ht="14.25" customHeight="1">
      <c r="A78" s="2">
        <v>10</v>
      </c>
      <c r="B78" s="2">
        <v>77</v>
      </c>
      <c r="C78" s="2">
        <v>5</v>
      </c>
      <c r="D78" s="2">
        <v>1</v>
      </c>
      <c r="E78" s="2">
        <v>1.4039999999999999</v>
      </c>
      <c r="F78" s="2">
        <v>2</v>
      </c>
      <c r="H78" s="3"/>
      <c r="I78" s="3"/>
      <c r="J78" s="3"/>
      <c r="K78" s="3"/>
      <c r="L78" s="3"/>
      <c r="M78" s="3"/>
    </row>
    <row r="79" spans="1:13" ht="14.25" customHeight="1">
      <c r="A79" s="2">
        <v>10</v>
      </c>
      <c r="B79" s="2">
        <v>78</v>
      </c>
      <c r="C79" s="2">
        <v>4</v>
      </c>
      <c r="D79" s="2">
        <v>0</v>
      </c>
      <c r="E79" s="2">
        <v>1.2390000000000001</v>
      </c>
      <c r="F79" s="2">
        <v>1</v>
      </c>
      <c r="H79" s="3"/>
      <c r="I79" s="3"/>
      <c r="J79" s="3"/>
      <c r="K79" s="3"/>
      <c r="L79" s="3"/>
      <c r="M79" s="3"/>
    </row>
    <row r="80" spans="1:13" ht="14.25" customHeight="1">
      <c r="A80" s="2">
        <v>10</v>
      </c>
      <c r="B80" s="2">
        <v>79</v>
      </c>
      <c r="C80" s="2">
        <v>7</v>
      </c>
      <c r="D80" s="2">
        <v>1</v>
      </c>
      <c r="E80" s="2">
        <v>1.226</v>
      </c>
      <c r="F80" s="2">
        <v>1</v>
      </c>
      <c r="H80" s="3"/>
      <c r="I80" s="3"/>
      <c r="J80" s="3"/>
      <c r="K80" s="3"/>
      <c r="L80" s="3"/>
      <c r="M80" s="3"/>
    </row>
    <row r="81" spans="1:13" ht="14.25" customHeight="1">
      <c r="A81" s="2">
        <v>10</v>
      </c>
      <c r="B81" s="2">
        <v>80</v>
      </c>
      <c r="C81" s="2">
        <v>4</v>
      </c>
      <c r="D81" s="2">
        <v>1</v>
      </c>
      <c r="E81" s="2">
        <v>1.5820000000000001</v>
      </c>
      <c r="F81" s="2">
        <v>2</v>
      </c>
      <c r="H81" s="3"/>
      <c r="I81" s="3"/>
      <c r="J81" s="3"/>
      <c r="K81" s="3"/>
      <c r="L81" s="3"/>
      <c r="M81" s="3"/>
    </row>
    <row r="82" spans="1:13" ht="14.25" customHeight="1">
      <c r="A82" s="2">
        <v>10</v>
      </c>
      <c r="B82" s="2">
        <v>81</v>
      </c>
      <c r="C82" s="2">
        <v>3</v>
      </c>
      <c r="D82" s="2">
        <v>1</v>
      </c>
      <c r="E82" s="2">
        <v>0.77900000000000003</v>
      </c>
      <c r="F82" s="2">
        <v>1</v>
      </c>
      <c r="H82" s="3"/>
      <c r="I82" s="3"/>
      <c r="J82" s="3"/>
      <c r="K82" s="3"/>
      <c r="L82" s="3"/>
      <c r="M82" s="3"/>
    </row>
    <row r="83" spans="1:13" ht="14.25" customHeight="1">
      <c r="A83" s="2">
        <v>10</v>
      </c>
      <c r="B83" s="2">
        <v>82</v>
      </c>
      <c r="C83" s="2">
        <v>5</v>
      </c>
      <c r="D83" s="2">
        <v>1</v>
      </c>
      <c r="E83" s="2">
        <v>1.8169999999999999</v>
      </c>
      <c r="F83" s="2">
        <v>2</v>
      </c>
      <c r="H83" s="3"/>
      <c r="I83" s="3"/>
      <c r="J83" s="3"/>
      <c r="K83" s="3"/>
      <c r="L83" s="3"/>
      <c r="M83" s="3"/>
    </row>
    <row r="84" spans="1:13" ht="14.25" customHeight="1">
      <c r="A84" s="2">
        <v>10</v>
      </c>
      <c r="B84" s="2">
        <v>83</v>
      </c>
      <c r="C84" s="2">
        <v>3</v>
      </c>
      <c r="D84" s="2">
        <v>1</v>
      </c>
      <c r="E84" s="2">
        <v>1.02</v>
      </c>
      <c r="F84" s="2">
        <v>1</v>
      </c>
      <c r="H84" s="3"/>
      <c r="I84" s="3"/>
      <c r="J84" s="3"/>
      <c r="K84" s="3"/>
      <c r="L84" s="3"/>
      <c r="M84" s="3"/>
    </row>
    <row r="85" spans="1:13" ht="14.25" customHeight="1">
      <c r="A85" s="2">
        <v>10</v>
      </c>
      <c r="B85" s="2">
        <v>84</v>
      </c>
      <c r="C85" s="2">
        <v>5</v>
      </c>
      <c r="D85" s="2">
        <v>0</v>
      </c>
      <c r="E85" s="2">
        <v>1.0229999999999999</v>
      </c>
      <c r="F85" s="2">
        <v>2</v>
      </c>
      <c r="H85" s="3"/>
      <c r="I85" s="3"/>
      <c r="J85" s="3"/>
      <c r="K85" s="3"/>
      <c r="L85" s="3"/>
      <c r="M85" s="3"/>
    </row>
    <row r="86" spans="1:13" ht="14.25" customHeight="1">
      <c r="A86" s="2">
        <v>10</v>
      </c>
      <c r="B86" s="2">
        <v>85</v>
      </c>
      <c r="C86" s="2">
        <v>6</v>
      </c>
      <c r="D86" s="2">
        <v>1</v>
      </c>
      <c r="E86" s="2">
        <v>0.63400000000000001</v>
      </c>
      <c r="F86" s="2">
        <v>1</v>
      </c>
      <c r="H86" s="3"/>
      <c r="I86" s="3"/>
      <c r="J86" s="3"/>
      <c r="K86" s="3"/>
      <c r="L86" s="3"/>
      <c r="M86" s="3"/>
    </row>
    <row r="87" spans="1:13" ht="14.25" customHeight="1">
      <c r="A87" s="2">
        <v>10</v>
      </c>
      <c r="B87" s="2">
        <v>86</v>
      </c>
      <c r="C87" s="2">
        <v>2</v>
      </c>
      <c r="D87" s="2">
        <v>1</v>
      </c>
      <c r="E87" s="2">
        <v>1.0609999999999999</v>
      </c>
      <c r="F87" s="2">
        <v>2</v>
      </c>
      <c r="H87" s="3"/>
      <c r="I87" s="3"/>
      <c r="J87" s="3"/>
      <c r="K87" s="3"/>
      <c r="L87" s="3"/>
      <c r="M87" s="3"/>
    </row>
    <row r="88" spans="1:13" ht="14.25" customHeight="1">
      <c r="A88" s="2">
        <v>10</v>
      </c>
      <c r="B88" s="2">
        <v>87</v>
      </c>
      <c r="C88" s="2">
        <v>1</v>
      </c>
      <c r="D88" s="2">
        <v>0</v>
      </c>
      <c r="E88" s="2">
        <v>1.583</v>
      </c>
      <c r="F88" s="2">
        <v>1</v>
      </c>
      <c r="H88" s="3"/>
      <c r="I88" s="3"/>
      <c r="J88" s="3"/>
      <c r="K88" s="3"/>
      <c r="L88" s="3"/>
      <c r="M88" s="3"/>
    </row>
    <row r="89" spans="1:13" ht="14.25" customHeight="1">
      <c r="A89" s="2">
        <v>10</v>
      </c>
      <c r="B89" s="2">
        <v>88</v>
      </c>
      <c r="C89" s="2">
        <v>8</v>
      </c>
      <c r="D89" s="2">
        <v>1</v>
      </c>
      <c r="E89" s="2">
        <v>1.212</v>
      </c>
      <c r="F89" s="2">
        <v>2</v>
      </c>
      <c r="H89" s="3"/>
      <c r="I89" s="3"/>
      <c r="J89" s="3"/>
      <c r="K89" s="3"/>
      <c r="L89" s="3"/>
      <c r="M89" s="3"/>
    </row>
    <row r="90" spans="1:13" ht="14.25" customHeight="1">
      <c r="A90" s="2">
        <v>10</v>
      </c>
      <c r="B90" s="2">
        <v>89</v>
      </c>
      <c r="C90" s="2">
        <v>7</v>
      </c>
      <c r="D90" s="2">
        <v>0</v>
      </c>
      <c r="E90" s="2">
        <v>0.83099999999999996</v>
      </c>
      <c r="F90" s="2">
        <v>1</v>
      </c>
      <c r="H90" s="3"/>
      <c r="I90" s="3"/>
      <c r="J90" s="3"/>
      <c r="K90" s="3"/>
      <c r="L90" s="3"/>
      <c r="M90" s="3"/>
    </row>
    <row r="91" spans="1:13" ht="14.25" customHeight="1">
      <c r="A91" s="2">
        <v>10</v>
      </c>
      <c r="B91" s="2">
        <v>90</v>
      </c>
      <c r="C91" s="2">
        <v>3</v>
      </c>
      <c r="D91" s="2">
        <v>0</v>
      </c>
      <c r="E91" s="2">
        <v>1.4670000000000001</v>
      </c>
      <c r="F91" s="2">
        <v>2</v>
      </c>
      <c r="H91" s="3"/>
      <c r="I91" s="3"/>
      <c r="J91" s="3"/>
      <c r="K91" s="3"/>
      <c r="L91" s="3"/>
      <c r="M91" s="3"/>
    </row>
    <row r="92" spans="1:13" ht="14.25" customHeight="1">
      <c r="A92" s="2">
        <v>10</v>
      </c>
      <c r="B92" s="2">
        <v>91</v>
      </c>
      <c r="C92" s="2">
        <v>2</v>
      </c>
      <c r="E92" s="2">
        <v>2</v>
      </c>
      <c r="H92" s="3"/>
      <c r="I92" s="3"/>
      <c r="J92" s="3"/>
      <c r="K92" s="3"/>
      <c r="L92" s="3"/>
      <c r="M92" s="3"/>
    </row>
    <row r="93" spans="1:13" ht="14.25" customHeight="1">
      <c r="A93" s="2">
        <v>10</v>
      </c>
      <c r="B93" s="2">
        <v>92</v>
      </c>
      <c r="C93" s="2">
        <v>7</v>
      </c>
      <c r="D93" s="2">
        <v>1</v>
      </c>
      <c r="E93" s="2">
        <v>0.745</v>
      </c>
      <c r="F93" s="2">
        <v>1</v>
      </c>
      <c r="H93" s="3"/>
      <c r="I93" s="3"/>
      <c r="J93" s="3"/>
      <c r="K93" s="3"/>
      <c r="L93" s="3"/>
      <c r="M93" s="3"/>
    </row>
    <row r="94" spans="1:13" ht="14.25" customHeight="1">
      <c r="A94" s="2">
        <v>10</v>
      </c>
      <c r="B94" s="2">
        <v>93</v>
      </c>
      <c r="C94" s="2">
        <v>1</v>
      </c>
      <c r="D94" s="2">
        <v>1</v>
      </c>
      <c r="E94" s="2">
        <v>0.79200000000000004</v>
      </c>
      <c r="F94" s="2">
        <v>1</v>
      </c>
      <c r="H94" s="3"/>
      <c r="I94" s="3"/>
      <c r="J94" s="3"/>
      <c r="K94" s="3"/>
      <c r="L94" s="3"/>
      <c r="M94" s="3"/>
    </row>
    <row r="95" spans="1:13" ht="14.25" customHeight="1">
      <c r="A95" s="2">
        <v>10</v>
      </c>
      <c r="B95" s="2">
        <v>94</v>
      </c>
      <c r="C95" s="2">
        <v>2</v>
      </c>
      <c r="D95" s="2">
        <v>1</v>
      </c>
      <c r="E95" s="2">
        <v>1.02</v>
      </c>
      <c r="F95" s="2">
        <v>2</v>
      </c>
      <c r="H95" s="3"/>
      <c r="I95" s="3"/>
      <c r="J95" s="3"/>
      <c r="K95" s="3"/>
      <c r="L95" s="3"/>
      <c r="M95" s="3"/>
    </row>
    <row r="96" spans="1:13" ht="14.25" customHeight="1">
      <c r="A96" s="2">
        <v>10</v>
      </c>
      <c r="B96" s="2">
        <v>95</v>
      </c>
      <c r="C96" s="2">
        <v>1</v>
      </c>
      <c r="D96" s="2">
        <v>1</v>
      </c>
      <c r="E96" s="2">
        <v>1.024</v>
      </c>
      <c r="F96" s="2">
        <v>2</v>
      </c>
      <c r="H96" s="3"/>
      <c r="I96" s="3"/>
      <c r="J96" s="3"/>
      <c r="K96" s="3"/>
      <c r="L96" s="3"/>
      <c r="M96" s="3"/>
    </row>
    <row r="97" spans="1:13" ht="14.25" customHeight="1">
      <c r="A97" s="2">
        <v>10</v>
      </c>
      <c r="B97" s="2">
        <v>96</v>
      </c>
      <c r="C97" s="2">
        <v>4</v>
      </c>
      <c r="D97" s="2">
        <v>0</v>
      </c>
      <c r="E97" s="2">
        <v>0.97899999999999998</v>
      </c>
      <c r="F97" s="2">
        <v>2</v>
      </c>
      <c r="H97" s="3"/>
      <c r="I97" s="3"/>
      <c r="J97" s="3"/>
      <c r="K97" s="3"/>
      <c r="L97" s="3"/>
      <c r="M97" s="3"/>
    </row>
    <row r="98" spans="1:13" ht="14.25" customHeight="1">
      <c r="A98" s="2">
        <v>10</v>
      </c>
      <c r="B98" s="2">
        <v>97</v>
      </c>
      <c r="C98" s="2">
        <v>8</v>
      </c>
      <c r="D98" s="2">
        <v>1</v>
      </c>
      <c r="E98" s="2">
        <v>0.92800000000000005</v>
      </c>
      <c r="F98" s="2">
        <v>1</v>
      </c>
      <c r="H98" s="3"/>
      <c r="I98" s="3"/>
      <c r="J98" s="3"/>
      <c r="K98" s="3"/>
      <c r="L98" s="3"/>
      <c r="M98" s="3"/>
    </row>
    <row r="99" spans="1:13" ht="14.25" customHeight="1">
      <c r="A99" s="2">
        <v>10</v>
      </c>
      <c r="B99" s="2">
        <v>98</v>
      </c>
      <c r="C99" s="2">
        <v>7</v>
      </c>
      <c r="D99" s="2">
        <v>1</v>
      </c>
      <c r="E99" s="2">
        <v>1.0960000000000001</v>
      </c>
      <c r="F99" s="2">
        <v>2</v>
      </c>
      <c r="H99" s="3"/>
      <c r="I99" s="3"/>
      <c r="J99" s="3"/>
      <c r="K99" s="3"/>
      <c r="L99" s="3"/>
      <c r="M99" s="3"/>
    </row>
    <row r="100" spans="1:13" ht="14.25" customHeight="1">
      <c r="A100" s="2">
        <v>10</v>
      </c>
      <c r="B100" s="2">
        <v>99</v>
      </c>
      <c r="C100" s="2">
        <v>6</v>
      </c>
      <c r="D100" s="2">
        <v>1</v>
      </c>
      <c r="E100" s="2">
        <v>1.1919999999999999</v>
      </c>
      <c r="F100" s="2">
        <v>2</v>
      </c>
      <c r="H100" s="3"/>
      <c r="I100" s="3"/>
      <c r="J100" s="3"/>
      <c r="K100" s="3"/>
      <c r="L100" s="3"/>
      <c r="M100" s="3"/>
    </row>
    <row r="101" spans="1:13" ht="14.25" customHeight="1">
      <c r="A101" s="2">
        <v>10</v>
      </c>
      <c r="B101" s="2">
        <v>100</v>
      </c>
      <c r="C101" s="2">
        <v>5</v>
      </c>
      <c r="D101" s="2">
        <v>1</v>
      </c>
      <c r="E101" s="2">
        <v>0.86099999999999999</v>
      </c>
      <c r="F101" s="2">
        <v>2</v>
      </c>
    </row>
    <row r="102" spans="1:13" ht="14.25" customHeight="1">
      <c r="A102" s="2">
        <v>10</v>
      </c>
      <c r="B102" s="2">
        <v>101</v>
      </c>
      <c r="C102" s="2">
        <v>5</v>
      </c>
      <c r="D102" s="2">
        <v>1</v>
      </c>
      <c r="E102" s="2">
        <v>1.998</v>
      </c>
      <c r="F102" s="2">
        <v>1</v>
      </c>
    </row>
    <row r="103" spans="1:13" ht="14.25" customHeight="1">
      <c r="A103" s="2">
        <v>10</v>
      </c>
      <c r="B103" s="2">
        <v>102</v>
      </c>
      <c r="C103" s="2">
        <v>7</v>
      </c>
      <c r="D103" s="2">
        <v>1</v>
      </c>
      <c r="E103" s="2">
        <v>0.78600000000000003</v>
      </c>
      <c r="F103" s="2">
        <v>1</v>
      </c>
    </row>
    <row r="104" spans="1:13" ht="14.25" customHeight="1">
      <c r="A104" s="2">
        <v>10</v>
      </c>
      <c r="B104" s="2">
        <v>103</v>
      </c>
      <c r="C104" s="2">
        <v>1</v>
      </c>
      <c r="D104" s="2">
        <v>0</v>
      </c>
      <c r="E104" s="2">
        <v>0.79100000000000004</v>
      </c>
      <c r="F104" s="2">
        <v>2</v>
      </c>
    </row>
    <row r="105" spans="1:13" ht="14.25" customHeight="1">
      <c r="A105" s="2">
        <v>10</v>
      </c>
      <c r="B105" s="2">
        <v>104</v>
      </c>
      <c r="C105" s="2">
        <v>6</v>
      </c>
      <c r="D105" s="2">
        <v>1</v>
      </c>
      <c r="E105" s="2">
        <v>0.77100000000000002</v>
      </c>
      <c r="F105" s="2">
        <v>1</v>
      </c>
    </row>
    <row r="106" spans="1:13" ht="14.25" customHeight="1">
      <c r="A106" s="2">
        <v>10</v>
      </c>
      <c r="B106" s="2">
        <v>105</v>
      </c>
      <c r="C106" s="2">
        <v>3</v>
      </c>
      <c r="D106" s="2">
        <v>1</v>
      </c>
      <c r="E106" s="2">
        <v>0.70499999999999996</v>
      </c>
      <c r="F106" s="2">
        <v>1</v>
      </c>
    </row>
    <row r="107" spans="1:13" ht="14.25" customHeight="1">
      <c r="A107" s="2">
        <v>10</v>
      </c>
      <c r="B107" s="2">
        <v>106</v>
      </c>
      <c r="C107" s="2">
        <v>4</v>
      </c>
      <c r="D107" s="2">
        <v>1</v>
      </c>
      <c r="E107" s="2">
        <v>0.77700000000000002</v>
      </c>
      <c r="F107" s="2">
        <v>2</v>
      </c>
    </row>
    <row r="108" spans="1:13" ht="14.25" customHeight="1">
      <c r="A108" s="2">
        <v>10</v>
      </c>
      <c r="B108" s="2">
        <v>107</v>
      </c>
      <c r="C108" s="2">
        <v>7</v>
      </c>
      <c r="D108" s="2">
        <v>1</v>
      </c>
      <c r="E108" s="2">
        <v>0.998</v>
      </c>
      <c r="F108" s="2">
        <v>2</v>
      </c>
    </row>
    <row r="109" spans="1:13" ht="14.25" customHeight="1">
      <c r="A109" s="2">
        <v>10</v>
      </c>
      <c r="B109" s="2">
        <v>108</v>
      </c>
      <c r="C109" s="2">
        <v>4</v>
      </c>
      <c r="D109" s="2">
        <v>1</v>
      </c>
      <c r="E109" s="2">
        <v>0.89900000000000002</v>
      </c>
      <c r="F109" s="2">
        <v>1</v>
      </c>
    </row>
    <row r="110" spans="1:13" ht="14.25" customHeight="1">
      <c r="A110" s="2">
        <v>10</v>
      </c>
      <c r="B110" s="2">
        <v>109</v>
      </c>
      <c r="C110" s="2">
        <v>8</v>
      </c>
      <c r="D110" s="2">
        <v>1</v>
      </c>
      <c r="E110" s="2">
        <v>1.7949999999999999</v>
      </c>
      <c r="F110" s="2">
        <v>1</v>
      </c>
    </row>
    <row r="111" spans="1:13" ht="14.25" customHeight="1">
      <c r="A111" s="2">
        <v>10</v>
      </c>
      <c r="B111" s="2">
        <v>110</v>
      </c>
      <c r="C111" s="2">
        <v>3</v>
      </c>
      <c r="D111" s="2">
        <v>0</v>
      </c>
      <c r="E111" s="2">
        <v>1.3280000000000001</v>
      </c>
      <c r="F111" s="2">
        <v>2</v>
      </c>
    </row>
    <row r="112" spans="1:13" ht="14.25" customHeight="1">
      <c r="A112" s="2">
        <v>10</v>
      </c>
      <c r="B112" s="2">
        <v>111</v>
      </c>
      <c r="C112" s="2">
        <v>7</v>
      </c>
      <c r="D112" s="2">
        <v>1</v>
      </c>
      <c r="E112" s="2">
        <v>1.2949999999999999</v>
      </c>
      <c r="F112" s="2">
        <v>2</v>
      </c>
    </row>
    <row r="113" spans="1:6" ht="14.25" customHeight="1">
      <c r="A113" s="2">
        <v>10</v>
      </c>
      <c r="B113" s="2">
        <v>112</v>
      </c>
      <c r="C113" s="2">
        <v>8</v>
      </c>
      <c r="D113" s="2">
        <v>0</v>
      </c>
      <c r="E113" s="2">
        <v>1.631</v>
      </c>
      <c r="F113" s="2">
        <v>1</v>
      </c>
    </row>
    <row r="114" spans="1:6" ht="14.25" customHeight="1">
      <c r="A114" s="2">
        <v>10</v>
      </c>
      <c r="B114" s="2">
        <v>113</v>
      </c>
      <c r="C114" s="2">
        <v>1</v>
      </c>
      <c r="D114" s="2">
        <v>1</v>
      </c>
      <c r="E114" s="2">
        <v>1.3140000000000001</v>
      </c>
      <c r="F114" s="2">
        <v>2</v>
      </c>
    </row>
    <row r="115" spans="1:6" ht="14.25" customHeight="1">
      <c r="A115" s="2">
        <v>10</v>
      </c>
      <c r="B115" s="2">
        <v>114</v>
      </c>
      <c r="C115" s="2">
        <v>5</v>
      </c>
      <c r="E115" s="2">
        <v>2</v>
      </c>
    </row>
    <row r="116" spans="1:6" ht="14.25" customHeight="1">
      <c r="A116" s="2">
        <v>10</v>
      </c>
      <c r="B116" s="2">
        <v>115</v>
      </c>
      <c r="C116" s="2">
        <v>4</v>
      </c>
      <c r="D116" s="2">
        <v>1</v>
      </c>
      <c r="E116" s="2">
        <v>0.81499999999999995</v>
      </c>
      <c r="F116" s="2">
        <v>1</v>
      </c>
    </row>
    <row r="117" spans="1:6" ht="14.25" customHeight="1">
      <c r="A117" s="2">
        <v>10</v>
      </c>
      <c r="B117" s="2">
        <v>116</v>
      </c>
      <c r="C117" s="2">
        <v>5</v>
      </c>
      <c r="D117" s="2">
        <v>0</v>
      </c>
      <c r="E117" s="2">
        <v>1.099</v>
      </c>
      <c r="F117" s="2">
        <v>2</v>
      </c>
    </row>
    <row r="118" spans="1:6" ht="14.25" customHeight="1">
      <c r="A118" s="2">
        <v>10</v>
      </c>
      <c r="B118" s="2">
        <v>117</v>
      </c>
      <c r="C118" s="2">
        <v>2</v>
      </c>
      <c r="D118" s="2">
        <v>1</v>
      </c>
      <c r="E118" s="2">
        <v>0.876</v>
      </c>
      <c r="F118" s="2">
        <v>1</v>
      </c>
    </row>
    <row r="119" spans="1:6" ht="14.25" customHeight="1">
      <c r="A119" s="2">
        <v>10</v>
      </c>
      <c r="B119" s="2">
        <v>118</v>
      </c>
      <c r="C119" s="2">
        <v>1</v>
      </c>
      <c r="D119" s="2">
        <v>0</v>
      </c>
      <c r="E119" s="2">
        <v>1.093</v>
      </c>
      <c r="F119" s="2">
        <v>2</v>
      </c>
    </row>
    <row r="120" spans="1:6" ht="14.25" customHeight="1">
      <c r="A120" s="2">
        <v>10</v>
      </c>
      <c r="B120" s="2">
        <v>119</v>
      </c>
      <c r="C120" s="2">
        <v>3</v>
      </c>
      <c r="D120" s="2">
        <v>1</v>
      </c>
      <c r="E120" s="2">
        <v>0.86899999999999999</v>
      </c>
      <c r="F120" s="2">
        <v>1</v>
      </c>
    </row>
    <row r="121" spans="1:6" ht="14.25" customHeight="1">
      <c r="A121" s="2">
        <v>10</v>
      </c>
      <c r="B121" s="2">
        <v>120</v>
      </c>
      <c r="C121" s="2">
        <v>1</v>
      </c>
      <c r="D121" s="2">
        <v>0</v>
      </c>
      <c r="E121" s="2">
        <v>1.383</v>
      </c>
      <c r="F121" s="2">
        <v>1</v>
      </c>
    </row>
    <row r="122" spans="1:6" ht="14.25" customHeight="1">
      <c r="A122" s="2">
        <v>10</v>
      </c>
      <c r="B122" s="2">
        <v>121</v>
      </c>
      <c r="C122" s="2">
        <v>4</v>
      </c>
      <c r="D122" s="2">
        <v>1</v>
      </c>
      <c r="E122" s="2">
        <v>1.268</v>
      </c>
      <c r="F122" s="2">
        <v>1</v>
      </c>
    </row>
    <row r="123" spans="1:6" ht="14.25" customHeight="1">
      <c r="A123" s="2">
        <v>10</v>
      </c>
      <c r="B123" s="2">
        <v>122</v>
      </c>
      <c r="C123" s="2">
        <v>1</v>
      </c>
      <c r="D123" s="2">
        <v>1</v>
      </c>
      <c r="E123" s="2">
        <v>1.397</v>
      </c>
      <c r="F123" s="2">
        <v>2</v>
      </c>
    </row>
    <row r="124" spans="1:6" ht="14.25" customHeight="1">
      <c r="A124" s="2">
        <v>10</v>
      </c>
      <c r="B124" s="2">
        <v>123</v>
      </c>
      <c r="C124" s="2">
        <v>3</v>
      </c>
      <c r="D124" s="2">
        <v>1</v>
      </c>
      <c r="E124" s="2">
        <v>1.6339999999999999</v>
      </c>
      <c r="F124" s="2">
        <v>2</v>
      </c>
    </row>
    <row r="125" spans="1:6" ht="14.25" customHeight="1">
      <c r="A125" s="2">
        <v>10</v>
      </c>
      <c r="B125" s="2">
        <v>124</v>
      </c>
      <c r="C125" s="2">
        <v>2</v>
      </c>
      <c r="D125" s="2">
        <v>1</v>
      </c>
      <c r="E125" s="2">
        <v>1.0049999999999999</v>
      </c>
      <c r="F125" s="2">
        <v>1</v>
      </c>
    </row>
    <row r="126" spans="1:6" ht="14.25" customHeight="1">
      <c r="A126" s="2">
        <v>10</v>
      </c>
      <c r="B126" s="2">
        <v>125</v>
      </c>
      <c r="C126" s="2">
        <v>8</v>
      </c>
      <c r="D126" s="2">
        <v>1</v>
      </c>
      <c r="E126" s="2">
        <v>1.145</v>
      </c>
      <c r="F126" s="2">
        <v>2</v>
      </c>
    </row>
    <row r="127" spans="1:6" ht="14.25" customHeight="1">
      <c r="A127" s="2">
        <v>10</v>
      </c>
      <c r="B127" s="2">
        <v>126</v>
      </c>
      <c r="C127" s="2">
        <v>7</v>
      </c>
      <c r="D127" s="2">
        <v>1</v>
      </c>
      <c r="E127" s="2">
        <v>1.4870000000000001</v>
      </c>
      <c r="F127" s="2">
        <v>2</v>
      </c>
    </row>
    <row r="128" spans="1:6" ht="14.25" customHeight="1">
      <c r="A128" s="2">
        <v>10</v>
      </c>
      <c r="B128" s="2">
        <v>127</v>
      </c>
      <c r="C128" s="2">
        <v>4</v>
      </c>
      <c r="D128" s="2">
        <v>1</v>
      </c>
      <c r="E128" s="2">
        <v>1.1279999999999999</v>
      </c>
      <c r="F128" s="2">
        <v>2</v>
      </c>
    </row>
    <row r="129" spans="1:6" ht="14.25" customHeight="1">
      <c r="A129" s="2">
        <v>10</v>
      </c>
      <c r="B129" s="2">
        <v>128</v>
      </c>
      <c r="C129" s="2">
        <v>6</v>
      </c>
      <c r="D129" s="2">
        <v>1</v>
      </c>
      <c r="E129" s="2">
        <v>1.296</v>
      </c>
      <c r="F129" s="2">
        <v>2</v>
      </c>
    </row>
    <row r="130" spans="1:6" ht="14.25" customHeight="1">
      <c r="A130" s="2">
        <v>10</v>
      </c>
      <c r="B130" s="2">
        <v>129</v>
      </c>
      <c r="C130" s="2">
        <v>5</v>
      </c>
      <c r="D130" s="2">
        <v>1</v>
      </c>
      <c r="E130" s="2">
        <v>1</v>
      </c>
      <c r="F130" s="2">
        <v>1</v>
      </c>
    </row>
    <row r="131" spans="1:6" ht="14.25" customHeight="1">
      <c r="A131" s="2">
        <v>10</v>
      </c>
      <c r="B131" s="2">
        <v>130</v>
      </c>
      <c r="C131" s="2">
        <v>2</v>
      </c>
      <c r="D131" s="2">
        <v>1</v>
      </c>
      <c r="E131" s="2">
        <v>1.556</v>
      </c>
      <c r="F131" s="2">
        <v>2</v>
      </c>
    </row>
    <row r="132" spans="1:6" ht="14.25" customHeight="1">
      <c r="A132" s="2">
        <v>10</v>
      </c>
      <c r="B132" s="2">
        <v>131</v>
      </c>
      <c r="C132" s="2">
        <v>6</v>
      </c>
      <c r="D132" s="2">
        <v>1</v>
      </c>
      <c r="E132" s="2">
        <v>1.0589999999999999</v>
      </c>
      <c r="F132" s="2">
        <v>1</v>
      </c>
    </row>
    <row r="133" spans="1:6" ht="14.25" customHeight="1">
      <c r="A133" s="2">
        <v>10</v>
      </c>
      <c r="B133" s="2">
        <v>132</v>
      </c>
      <c r="C133" s="2">
        <v>5</v>
      </c>
      <c r="D133" s="2">
        <v>0</v>
      </c>
      <c r="E133" s="2">
        <v>1.6359999999999999</v>
      </c>
      <c r="F133" s="2">
        <v>1</v>
      </c>
    </row>
    <row r="134" spans="1:6" ht="14.25" customHeight="1">
      <c r="A134" s="2">
        <v>10</v>
      </c>
      <c r="B134" s="2">
        <v>133</v>
      </c>
      <c r="C134" s="2">
        <v>7</v>
      </c>
      <c r="D134" s="2">
        <v>1</v>
      </c>
      <c r="E134" s="2">
        <v>0.74299999999999999</v>
      </c>
      <c r="F134" s="2">
        <v>1</v>
      </c>
    </row>
    <row r="135" spans="1:6" ht="14.25" customHeight="1">
      <c r="A135" s="2">
        <v>10</v>
      </c>
      <c r="B135" s="2">
        <v>134</v>
      </c>
      <c r="C135" s="2">
        <v>8</v>
      </c>
      <c r="D135" s="2">
        <v>0</v>
      </c>
      <c r="E135" s="2">
        <v>1.0620000000000001</v>
      </c>
      <c r="F135" s="2">
        <v>2</v>
      </c>
    </row>
    <row r="136" spans="1:6" ht="14.25" customHeight="1">
      <c r="A136" s="2">
        <v>10</v>
      </c>
      <c r="B136" s="2">
        <v>135</v>
      </c>
      <c r="C136" s="2">
        <v>2</v>
      </c>
      <c r="D136" s="2">
        <v>1</v>
      </c>
      <c r="E136" s="2">
        <v>0.96799999999999997</v>
      </c>
      <c r="F136" s="2">
        <v>1</v>
      </c>
    </row>
    <row r="137" spans="1:6" ht="14.25" customHeight="1">
      <c r="A137" s="2">
        <v>10</v>
      </c>
      <c r="B137" s="2">
        <v>136</v>
      </c>
      <c r="C137" s="2">
        <v>5</v>
      </c>
      <c r="D137" s="2">
        <v>1</v>
      </c>
      <c r="E137" s="2">
        <v>1.357</v>
      </c>
      <c r="F137" s="2">
        <v>2</v>
      </c>
    </row>
    <row r="138" spans="1:6" ht="14.25" customHeight="1">
      <c r="A138" s="2">
        <v>10</v>
      </c>
      <c r="B138" s="2">
        <v>137</v>
      </c>
      <c r="C138" s="2">
        <v>4</v>
      </c>
      <c r="D138" s="2">
        <v>0</v>
      </c>
      <c r="E138" s="2">
        <v>1.355</v>
      </c>
      <c r="F138" s="2">
        <v>1</v>
      </c>
    </row>
    <row r="139" spans="1:6" ht="14.25" customHeight="1">
      <c r="A139" s="2">
        <v>10</v>
      </c>
      <c r="B139" s="2">
        <v>138</v>
      </c>
      <c r="C139" s="2">
        <v>6</v>
      </c>
      <c r="D139" s="2">
        <v>1</v>
      </c>
      <c r="E139" s="2">
        <v>0.92900000000000005</v>
      </c>
      <c r="F139" s="2">
        <v>2</v>
      </c>
    </row>
    <row r="140" spans="1:6" ht="14.25" customHeight="1">
      <c r="A140" s="2">
        <v>10</v>
      </c>
      <c r="B140" s="2">
        <v>139</v>
      </c>
      <c r="C140" s="2">
        <v>8</v>
      </c>
      <c r="D140" s="2">
        <v>1</v>
      </c>
      <c r="E140" s="2">
        <v>1.153</v>
      </c>
      <c r="F140" s="2">
        <v>2</v>
      </c>
    </row>
    <row r="141" spans="1:6" ht="14.25" customHeight="1">
      <c r="A141" s="2">
        <v>10</v>
      </c>
      <c r="B141" s="2">
        <v>140</v>
      </c>
      <c r="C141" s="2">
        <v>2</v>
      </c>
      <c r="D141" s="2">
        <v>0</v>
      </c>
      <c r="E141" s="2">
        <v>0.91100000000000003</v>
      </c>
      <c r="F141" s="2">
        <v>2</v>
      </c>
    </row>
    <row r="142" spans="1:6" ht="14.25" customHeight="1">
      <c r="A142" s="2">
        <v>10</v>
      </c>
      <c r="B142" s="2">
        <v>141</v>
      </c>
      <c r="C142" s="2">
        <v>6</v>
      </c>
      <c r="D142" s="2">
        <v>0</v>
      </c>
      <c r="E142" s="2">
        <v>1.9339999999999999</v>
      </c>
      <c r="F142" s="2">
        <v>1</v>
      </c>
    </row>
    <row r="143" spans="1:6" ht="14.25" customHeight="1">
      <c r="A143" s="2">
        <v>10</v>
      </c>
      <c r="B143" s="2">
        <v>142</v>
      </c>
      <c r="C143" s="2">
        <v>4</v>
      </c>
      <c r="D143" s="2">
        <v>1</v>
      </c>
      <c r="E143" s="2">
        <v>1.486</v>
      </c>
      <c r="F143" s="2">
        <v>1</v>
      </c>
    </row>
    <row r="144" spans="1:6" ht="14.25" customHeight="1">
      <c r="A144" s="2">
        <v>10</v>
      </c>
      <c r="B144" s="2">
        <v>143</v>
      </c>
      <c r="C144" s="2">
        <v>1</v>
      </c>
      <c r="D144" s="2">
        <v>1</v>
      </c>
      <c r="E144" s="2">
        <v>1.383</v>
      </c>
      <c r="F144" s="2">
        <v>1</v>
      </c>
    </row>
    <row r="145" spans="1:6" ht="14.25" customHeight="1">
      <c r="A145" s="2">
        <v>10</v>
      </c>
      <c r="B145" s="2">
        <v>144</v>
      </c>
      <c r="C145" s="2">
        <v>8</v>
      </c>
      <c r="D145" s="2">
        <v>1</v>
      </c>
      <c r="E145" s="2">
        <v>1.1559999999999999</v>
      </c>
      <c r="F145" s="2">
        <v>2</v>
      </c>
    </row>
    <row r="146" spans="1:6" ht="14.25" customHeight="1">
      <c r="A146" s="2">
        <v>10</v>
      </c>
      <c r="B146" s="2">
        <v>145</v>
      </c>
      <c r="C146" s="2">
        <v>3</v>
      </c>
      <c r="E146" s="2">
        <v>2</v>
      </c>
    </row>
    <row r="147" spans="1:6" ht="14.25" customHeight="1">
      <c r="A147" s="2">
        <v>10</v>
      </c>
      <c r="B147" s="2">
        <v>146</v>
      </c>
      <c r="C147" s="2">
        <v>7</v>
      </c>
      <c r="D147" s="2">
        <v>0</v>
      </c>
      <c r="E147" s="2">
        <v>0.74299999999999999</v>
      </c>
      <c r="F147" s="2">
        <v>2</v>
      </c>
    </row>
    <row r="148" spans="1:6" ht="14.25" customHeight="1">
      <c r="A148" s="2">
        <v>10</v>
      </c>
      <c r="B148" s="2">
        <v>147</v>
      </c>
      <c r="C148" s="2">
        <v>3</v>
      </c>
      <c r="D148" s="2">
        <v>1</v>
      </c>
      <c r="E148" s="2">
        <v>1.125</v>
      </c>
      <c r="F148" s="2">
        <v>1</v>
      </c>
    </row>
    <row r="149" spans="1:6" ht="14.25" customHeight="1">
      <c r="A149" s="2">
        <v>10</v>
      </c>
      <c r="B149" s="2">
        <v>148</v>
      </c>
      <c r="C149" s="2">
        <v>6</v>
      </c>
      <c r="D149" s="2">
        <v>0</v>
      </c>
      <c r="E149" s="2">
        <v>0.96499999999999997</v>
      </c>
      <c r="F149" s="2">
        <v>1</v>
      </c>
    </row>
    <row r="150" spans="1:6" ht="14.25" customHeight="1">
      <c r="A150" s="2">
        <v>10</v>
      </c>
      <c r="B150" s="2">
        <v>149</v>
      </c>
      <c r="C150" s="2">
        <v>2</v>
      </c>
      <c r="D150" s="2">
        <v>1</v>
      </c>
      <c r="E150" s="2">
        <v>0.76200000000000001</v>
      </c>
      <c r="F150" s="2">
        <v>2</v>
      </c>
    </row>
    <row r="151" spans="1:6" ht="14.25" customHeight="1">
      <c r="A151" s="2">
        <v>10</v>
      </c>
      <c r="B151" s="2">
        <v>150</v>
      </c>
      <c r="C151" s="2">
        <v>5</v>
      </c>
      <c r="D151" s="2">
        <v>0</v>
      </c>
      <c r="E151" s="2">
        <v>1.448</v>
      </c>
      <c r="F151" s="2">
        <v>1</v>
      </c>
    </row>
    <row r="152" spans="1:6" ht="14.25" customHeight="1">
      <c r="A152" s="2">
        <v>10</v>
      </c>
      <c r="B152" s="2">
        <v>151</v>
      </c>
      <c r="C152" s="2">
        <v>4</v>
      </c>
      <c r="D152" s="2">
        <v>1</v>
      </c>
      <c r="E152" s="2">
        <v>0.79300000000000004</v>
      </c>
      <c r="F152" s="2">
        <v>1</v>
      </c>
    </row>
    <row r="153" spans="1:6" ht="14.25" customHeight="1">
      <c r="A153" s="2">
        <v>10</v>
      </c>
      <c r="B153" s="2">
        <v>152</v>
      </c>
      <c r="C153" s="2">
        <v>2</v>
      </c>
      <c r="D153" s="2">
        <v>1</v>
      </c>
      <c r="E153" s="2">
        <v>1.3180000000000001</v>
      </c>
      <c r="F153" s="2">
        <v>1</v>
      </c>
    </row>
    <row r="154" spans="1:6" ht="14.25" customHeight="1">
      <c r="A154" s="2">
        <v>10</v>
      </c>
      <c r="B154" s="2">
        <v>153</v>
      </c>
      <c r="C154" s="2">
        <v>3</v>
      </c>
      <c r="D154" s="2">
        <v>0</v>
      </c>
      <c r="E154" s="2">
        <v>1.0049999999999999</v>
      </c>
      <c r="F154" s="2">
        <v>2</v>
      </c>
    </row>
    <row r="155" spans="1:6" ht="14.25" customHeight="1">
      <c r="A155" s="2">
        <v>10</v>
      </c>
      <c r="B155" s="2">
        <v>154</v>
      </c>
      <c r="C155" s="2">
        <v>4</v>
      </c>
      <c r="D155" s="2">
        <v>0</v>
      </c>
      <c r="E155" s="2">
        <v>1.4330000000000001</v>
      </c>
      <c r="F155" s="2">
        <v>2</v>
      </c>
    </row>
    <row r="156" spans="1:6" ht="14.25" customHeight="1">
      <c r="A156" s="2">
        <v>10</v>
      </c>
      <c r="B156" s="2">
        <v>155</v>
      </c>
      <c r="C156" s="2">
        <v>5</v>
      </c>
      <c r="D156" s="2">
        <v>1</v>
      </c>
      <c r="E156" s="2">
        <v>0.84499999999999997</v>
      </c>
      <c r="F156" s="2">
        <v>1</v>
      </c>
    </row>
    <row r="157" spans="1:6" ht="14.25" customHeight="1">
      <c r="A157" s="2">
        <v>10</v>
      </c>
      <c r="B157" s="2">
        <v>156</v>
      </c>
      <c r="C157" s="2">
        <v>8</v>
      </c>
      <c r="D157" s="2">
        <v>1</v>
      </c>
      <c r="E157" s="2">
        <v>0.58299999999999996</v>
      </c>
      <c r="F157" s="2">
        <v>2</v>
      </c>
    </row>
    <row r="158" spans="1:6" ht="14.25" customHeight="1">
      <c r="A158" s="2">
        <v>10</v>
      </c>
      <c r="B158" s="2">
        <v>157</v>
      </c>
      <c r="C158" s="2">
        <v>3</v>
      </c>
      <c r="D158" s="2">
        <v>1</v>
      </c>
      <c r="E158" s="2">
        <v>1.1639999999999999</v>
      </c>
      <c r="F158" s="2">
        <v>2</v>
      </c>
    </row>
    <row r="159" spans="1:6" ht="14.25" customHeight="1">
      <c r="A159" s="2">
        <v>10</v>
      </c>
      <c r="B159" s="2">
        <v>158</v>
      </c>
      <c r="C159" s="2">
        <v>6</v>
      </c>
      <c r="D159" s="2">
        <v>0</v>
      </c>
      <c r="E159" s="2">
        <v>1.4019999999999999</v>
      </c>
      <c r="F159" s="2">
        <v>2</v>
      </c>
    </row>
    <row r="160" spans="1:6" ht="14.25" customHeight="1">
      <c r="A160" s="2">
        <v>10</v>
      </c>
      <c r="B160" s="2">
        <v>159</v>
      </c>
      <c r="C160" s="2">
        <v>5</v>
      </c>
      <c r="D160" s="2">
        <v>0</v>
      </c>
      <c r="E160" s="2">
        <v>0.81499999999999995</v>
      </c>
      <c r="F160" s="2">
        <v>2</v>
      </c>
    </row>
    <row r="161" spans="1:6" ht="14.25" customHeight="1">
      <c r="A161" s="2">
        <v>10</v>
      </c>
      <c r="B161" s="2">
        <v>160</v>
      </c>
      <c r="C161" s="2">
        <v>6</v>
      </c>
      <c r="D161" s="2">
        <v>1</v>
      </c>
      <c r="E161" s="2">
        <v>0.86699999999999999</v>
      </c>
      <c r="F161" s="2">
        <v>1</v>
      </c>
    </row>
    <row r="162" spans="1:6" ht="14.25" customHeight="1">
      <c r="A162" s="2">
        <v>10</v>
      </c>
      <c r="B162" s="2">
        <v>161</v>
      </c>
      <c r="C162" s="2">
        <v>2</v>
      </c>
      <c r="D162" s="2">
        <v>1</v>
      </c>
      <c r="E162" s="2">
        <v>0.94699999999999995</v>
      </c>
      <c r="F162" s="2">
        <v>2</v>
      </c>
    </row>
    <row r="163" spans="1:6" ht="14.25" customHeight="1">
      <c r="A163" s="2">
        <v>10</v>
      </c>
      <c r="B163" s="2">
        <v>162</v>
      </c>
      <c r="C163" s="2">
        <v>4</v>
      </c>
      <c r="D163" s="2">
        <v>0</v>
      </c>
      <c r="E163" s="2">
        <v>1.5449999999999999</v>
      </c>
      <c r="F163" s="2">
        <v>1</v>
      </c>
    </row>
    <row r="164" spans="1:6" ht="14.25" customHeight="1">
      <c r="A164" s="2">
        <v>10</v>
      </c>
      <c r="B164" s="2">
        <v>163</v>
      </c>
      <c r="C164" s="2">
        <v>7</v>
      </c>
      <c r="D164" s="2">
        <v>1</v>
      </c>
      <c r="E164" s="2">
        <v>1.2889999999999999</v>
      </c>
      <c r="F164" s="2">
        <v>2</v>
      </c>
    </row>
    <row r="165" spans="1:6" ht="14.25" customHeight="1">
      <c r="A165" s="2">
        <v>10</v>
      </c>
      <c r="B165" s="2">
        <v>164</v>
      </c>
      <c r="C165" s="2">
        <v>5</v>
      </c>
      <c r="D165" s="2">
        <v>1</v>
      </c>
      <c r="E165" s="2">
        <v>1.3049999999999999</v>
      </c>
      <c r="F165" s="2">
        <v>2</v>
      </c>
    </row>
    <row r="166" spans="1:6" ht="14.25" customHeight="1">
      <c r="A166" s="2">
        <v>10</v>
      </c>
      <c r="B166" s="2">
        <v>165</v>
      </c>
      <c r="C166" s="2">
        <v>2</v>
      </c>
      <c r="E166" s="2">
        <v>2.0009999999999999</v>
      </c>
    </row>
    <row r="167" spans="1:6" ht="14.25" customHeight="1">
      <c r="A167" s="2">
        <v>10</v>
      </c>
      <c r="B167" s="2">
        <v>166</v>
      </c>
      <c r="C167" s="2">
        <v>6</v>
      </c>
      <c r="D167" s="2">
        <v>0</v>
      </c>
      <c r="E167" s="2">
        <v>1.077</v>
      </c>
      <c r="F167" s="2">
        <v>2</v>
      </c>
    </row>
    <row r="168" spans="1:6" ht="14.25" customHeight="1">
      <c r="A168" s="2">
        <v>10</v>
      </c>
      <c r="B168" s="2">
        <v>167</v>
      </c>
      <c r="C168" s="2">
        <v>1</v>
      </c>
      <c r="D168" s="2">
        <v>1</v>
      </c>
      <c r="E168" s="2">
        <v>0.78300000000000003</v>
      </c>
      <c r="F168" s="2">
        <v>1</v>
      </c>
    </row>
    <row r="169" spans="1:6" ht="14.25" customHeight="1">
      <c r="A169" s="2">
        <v>10</v>
      </c>
      <c r="B169" s="2">
        <v>168</v>
      </c>
      <c r="C169" s="2">
        <v>5</v>
      </c>
      <c r="D169" s="2">
        <v>0</v>
      </c>
      <c r="E169" s="2">
        <v>0.94</v>
      </c>
      <c r="F169" s="2">
        <v>2</v>
      </c>
    </row>
    <row r="170" spans="1:6" ht="14.25" customHeight="1">
      <c r="A170" s="2">
        <v>10</v>
      </c>
      <c r="B170" s="2">
        <v>169</v>
      </c>
      <c r="C170" s="2">
        <v>1</v>
      </c>
      <c r="D170" s="2">
        <v>1</v>
      </c>
      <c r="E170" s="2">
        <v>0.81</v>
      </c>
      <c r="F170" s="2">
        <v>1</v>
      </c>
    </row>
    <row r="171" spans="1:6" ht="14.25" customHeight="1">
      <c r="A171" s="2">
        <v>10</v>
      </c>
      <c r="B171" s="2">
        <v>170</v>
      </c>
      <c r="C171" s="2">
        <v>4</v>
      </c>
      <c r="D171" s="2">
        <v>0</v>
      </c>
      <c r="E171" s="2">
        <v>1.478</v>
      </c>
      <c r="F171" s="2">
        <v>1</v>
      </c>
    </row>
    <row r="172" spans="1:6" ht="14.25" customHeight="1">
      <c r="A172" s="2">
        <v>10</v>
      </c>
      <c r="B172" s="2">
        <v>171</v>
      </c>
      <c r="C172" s="2">
        <v>2</v>
      </c>
      <c r="D172" s="2">
        <v>1</v>
      </c>
      <c r="E172" s="2">
        <v>0.76800000000000002</v>
      </c>
      <c r="F172" s="2">
        <v>1</v>
      </c>
    </row>
    <row r="173" spans="1:6" ht="14.25" customHeight="1">
      <c r="A173" s="2">
        <v>10</v>
      </c>
      <c r="B173" s="2">
        <v>172</v>
      </c>
      <c r="C173" s="2">
        <v>7</v>
      </c>
      <c r="D173" s="2">
        <v>1</v>
      </c>
      <c r="E173" s="2">
        <v>0.877</v>
      </c>
      <c r="F173" s="2">
        <v>2</v>
      </c>
    </row>
    <row r="174" spans="1:6" ht="14.25" customHeight="1">
      <c r="A174" s="2">
        <v>10</v>
      </c>
      <c r="B174" s="2">
        <v>173</v>
      </c>
      <c r="C174" s="2">
        <v>5</v>
      </c>
      <c r="D174" s="2">
        <v>1</v>
      </c>
      <c r="E174" s="2">
        <v>1.0069999999999999</v>
      </c>
      <c r="F174" s="2">
        <v>2</v>
      </c>
    </row>
    <row r="175" spans="1:6" ht="14.25" customHeight="1">
      <c r="A175" s="2">
        <v>10</v>
      </c>
      <c r="B175" s="2">
        <v>174</v>
      </c>
      <c r="C175" s="2">
        <v>7</v>
      </c>
      <c r="D175" s="2">
        <v>1</v>
      </c>
      <c r="E175" s="2">
        <v>0.97799999999999998</v>
      </c>
      <c r="F175" s="2">
        <v>1</v>
      </c>
    </row>
    <row r="176" spans="1:6" ht="14.25" customHeight="1">
      <c r="A176" s="2">
        <v>10</v>
      </c>
      <c r="B176" s="2">
        <v>175</v>
      </c>
      <c r="C176" s="2">
        <v>3</v>
      </c>
      <c r="D176" s="2">
        <v>0</v>
      </c>
      <c r="E176" s="2">
        <v>1.631</v>
      </c>
      <c r="F176" s="2">
        <v>1</v>
      </c>
    </row>
    <row r="177" spans="1:6" ht="14.25" customHeight="1">
      <c r="A177" s="2">
        <v>10</v>
      </c>
      <c r="B177" s="2">
        <v>176</v>
      </c>
      <c r="C177" s="2">
        <v>8</v>
      </c>
      <c r="D177" s="2">
        <v>1</v>
      </c>
      <c r="E177" s="2">
        <v>1.579</v>
      </c>
      <c r="F177" s="2">
        <v>2</v>
      </c>
    </row>
    <row r="178" spans="1:6" ht="14.25" customHeight="1">
      <c r="A178" s="2">
        <v>10</v>
      </c>
      <c r="B178" s="2">
        <v>177</v>
      </c>
      <c r="C178" s="2">
        <v>7</v>
      </c>
      <c r="D178" s="2">
        <v>1</v>
      </c>
      <c r="E178" s="2">
        <v>1.8959999999999999</v>
      </c>
      <c r="F178" s="2">
        <v>2</v>
      </c>
    </row>
    <row r="179" spans="1:6" ht="14.25" customHeight="1">
      <c r="A179" s="2">
        <v>10</v>
      </c>
      <c r="B179" s="2">
        <v>178</v>
      </c>
      <c r="C179" s="2">
        <v>5</v>
      </c>
      <c r="D179" s="2">
        <v>1</v>
      </c>
      <c r="E179" s="2">
        <v>1.321</v>
      </c>
      <c r="F179" s="2">
        <v>2</v>
      </c>
    </row>
    <row r="180" spans="1:6" ht="14.25" customHeight="1">
      <c r="A180" s="2">
        <v>10</v>
      </c>
      <c r="B180" s="2">
        <v>179</v>
      </c>
      <c r="C180" s="2">
        <v>8</v>
      </c>
      <c r="E180" s="2">
        <v>2</v>
      </c>
    </row>
    <row r="181" spans="1:6" ht="14.25" customHeight="1">
      <c r="A181" s="2">
        <v>10</v>
      </c>
      <c r="B181" s="2">
        <v>180</v>
      </c>
      <c r="C181" s="2">
        <v>2</v>
      </c>
      <c r="D181" s="2">
        <v>1</v>
      </c>
      <c r="E181" s="2">
        <v>1.573</v>
      </c>
      <c r="F181" s="2">
        <v>2</v>
      </c>
    </row>
    <row r="182" spans="1:6" ht="14.25" customHeight="1">
      <c r="A182" s="2">
        <v>10</v>
      </c>
      <c r="B182" s="2">
        <v>181</v>
      </c>
      <c r="C182" s="2">
        <v>6</v>
      </c>
      <c r="D182" s="2">
        <v>1</v>
      </c>
      <c r="E182" s="2">
        <v>1.226</v>
      </c>
      <c r="F182" s="2">
        <v>1</v>
      </c>
    </row>
    <row r="183" spans="1:6" ht="14.25" customHeight="1">
      <c r="A183" s="2">
        <v>10</v>
      </c>
      <c r="B183" s="2">
        <v>182</v>
      </c>
      <c r="C183" s="2">
        <v>8</v>
      </c>
      <c r="D183" s="2">
        <v>0</v>
      </c>
      <c r="E183" s="2">
        <v>1.6779999999999999</v>
      </c>
      <c r="F183" s="2">
        <v>1</v>
      </c>
    </row>
    <row r="184" spans="1:6" ht="14.25" customHeight="1">
      <c r="A184" s="2">
        <v>10</v>
      </c>
      <c r="B184" s="2">
        <v>183</v>
      </c>
      <c r="C184" s="2">
        <v>6</v>
      </c>
      <c r="D184" s="2">
        <v>1</v>
      </c>
      <c r="E184" s="2">
        <v>0.82299999999999995</v>
      </c>
      <c r="F184" s="2">
        <v>1</v>
      </c>
    </row>
    <row r="185" spans="1:6" ht="14.25" customHeight="1">
      <c r="A185" s="2">
        <v>10</v>
      </c>
      <c r="B185" s="2">
        <v>184</v>
      </c>
      <c r="C185" s="2">
        <v>4</v>
      </c>
      <c r="D185" s="2">
        <v>0</v>
      </c>
      <c r="E185" s="2">
        <v>1.4830000000000001</v>
      </c>
      <c r="F185" s="2">
        <v>2</v>
      </c>
    </row>
    <row r="186" spans="1:6" ht="14.25" customHeight="1">
      <c r="A186" s="2">
        <v>10</v>
      </c>
      <c r="B186" s="2">
        <v>185</v>
      </c>
      <c r="C186" s="2">
        <v>8</v>
      </c>
      <c r="D186" s="2">
        <v>0</v>
      </c>
      <c r="E186" s="2">
        <v>1.571</v>
      </c>
      <c r="F186" s="2">
        <v>2</v>
      </c>
    </row>
    <row r="187" spans="1:6" ht="14.25" customHeight="1">
      <c r="A187" s="2">
        <v>10</v>
      </c>
      <c r="B187" s="2">
        <v>186</v>
      </c>
      <c r="C187" s="2">
        <v>3</v>
      </c>
      <c r="D187" s="2">
        <v>1</v>
      </c>
      <c r="E187" s="2">
        <v>1.032</v>
      </c>
      <c r="F187" s="2">
        <v>2</v>
      </c>
    </row>
    <row r="188" spans="1:6" ht="14.25" customHeight="1">
      <c r="A188" s="2">
        <v>10</v>
      </c>
      <c r="B188" s="2">
        <v>187</v>
      </c>
      <c r="C188" s="2">
        <v>7</v>
      </c>
      <c r="D188" s="2">
        <v>0</v>
      </c>
      <c r="E188" s="2">
        <v>1.2829999999999999</v>
      </c>
      <c r="F188" s="2">
        <v>1</v>
      </c>
    </row>
    <row r="189" spans="1:6" ht="14.25" customHeight="1">
      <c r="A189" s="2">
        <v>10</v>
      </c>
      <c r="B189" s="2">
        <v>188</v>
      </c>
      <c r="C189" s="2">
        <v>1</v>
      </c>
      <c r="D189" s="2">
        <v>1</v>
      </c>
      <c r="E189" s="2">
        <v>1.036</v>
      </c>
      <c r="F189" s="2">
        <v>2</v>
      </c>
    </row>
    <row r="190" spans="1:6" ht="14.25" customHeight="1">
      <c r="A190" s="2">
        <v>10</v>
      </c>
      <c r="B190" s="2">
        <v>189</v>
      </c>
      <c r="C190" s="2">
        <v>5</v>
      </c>
      <c r="D190" s="2">
        <v>1</v>
      </c>
      <c r="E190" s="2">
        <v>1.8460000000000001</v>
      </c>
      <c r="F190" s="2">
        <v>2</v>
      </c>
    </row>
    <row r="191" spans="1:6" ht="14.25" customHeight="1">
      <c r="A191" s="2">
        <v>10</v>
      </c>
      <c r="B191" s="2">
        <v>190</v>
      </c>
      <c r="C191" s="2">
        <v>4</v>
      </c>
      <c r="D191" s="2">
        <v>0</v>
      </c>
      <c r="E191" s="2">
        <v>1.5049999999999999</v>
      </c>
      <c r="F191" s="2">
        <v>2</v>
      </c>
    </row>
    <row r="192" spans="1:6" ht="14.25" customHeight="1">
      <c r="A192" s="2">
        <v>10</v>
      </c>
      <c r="B192" s="2">
        <v>191</v>
      </c>
      <c r="C192" s="2">
        <v>6</v>
      </c>
      <c r="D192" s="2">
        <v>1</v>
      </c>
      <c r="E192" s="2">
        <v>1.385</v>
      </c>
      <c r="F192" s="2">
        <v>2</v>
      </c>
    </row>
    <row r="193" spans="1:6" ht="14.25" customHeight="1">
      <c r="A193" s="2">
        <v>10</v>
      </c>
      <c r="B193" s="2">
        <v>192</v>
      </c>
      <c r="C193" s="2">
        <v>3</v>
      </c>
      <c r="D193" s="2">
        <v>1</v>
      </c>
      <c r="E193" s="2">
        <v>1.446</v>
      </c>
      <c r="F193" s="2">
        <v>1</v>
      </c>
    </row>
    <row r="194" spans="1:6" ht="14.25" customHeight="1">
      <c r="A194" s="2">
        <v>10</v>
      </c>
      <c r="B194" s="2">
        <v>193</v>
      </c>
      <c r="C194" s="2">
        <v>1</v>
      </c>
      <c r="D194" s="2">
        <v>1</v>
      </c>
      <c r="E194" s="2">
        <v>1.345</v>
      </c>
      <c r="F194" s="2">
        <v>1</v>
      </c>
    </row>
    <row r="195" spans="1:6" ht="14.25" customHeight="1">
      <c r="A195" s="2">
        <v>10</v>
      </c>
      <c r="B195" s="2">
        <v>194</v>
      </c>
      <c r="C195" s="2">
        <v>3</v>
      </c>
      <c r="D195" s="2">
        <v>1</v>
      </c>
      <c r="E195" s="2">
        <v>0.99099999999999999</v>
      </c>
      <c r="F195" s="2">
        <v>2</v>
      </c>
    </row>
    <row r="196" spans="1:6" ht="14.25" customHeight="1">
      <c r="A196" s="2">
        <v>10</v>
      </c>
      <c r="B196" s="2">
        <v>195</v>
      </c>
      <c r="C196" s="2">
        <v>1</v>
      </c>
      <c r="D196" s="2">
        <v>1</v>
      </c>
      <c r="E196" s="2">
        <v>1.468</v>
      </c>
      <c r="F196" s="2">
        <v>2</v>
      </c>
    </row>
    <row r="197" spans="1:6" ht="14.25" customHeight="1">
      <c r="A197" s="2">
        <v>10</v>
      </c>
      <c r="B197" s="2">
        <v>196</v>
      </c>
      <c r="C197" s="2">
        <v>2</v>
      </c>
      <c r="D197" s="2">
        <v>0</v>
      </c>
      <c r="E197" s="2">
        <v>1.7410000000000001</v>
      </c>
      <c r="F197" s="2">
        <v>2</v>
      </c>
    </row>
    <row r="198" spans="1:6" ht="14.25" customHeight="1">
      <c r="A198" s="2">
        <v>10</v>
      </c>
      <c r="B198" s="2">
        <v>197</v>
      </c>
      <c r="C198" s="2">
        <v>7</v>
      </c>
      <c r="D198" s="2">
        <v>1</v>
      </c>
      <c r="E198" s="2">
        <v>1.252</v>
      </c>
      <c r="F198" s="2">
        <v>1</v>
      </c>
    </row>
    <row r="199" spans="1:6" ht="14.25" customHeight="1">
      <c r="A199" s="2">
        <v>10</v>
      </c>
      <c r="B199" s="2">
        <v>198</v>
      </c>
      <c r="C199" s="2">
        <v>1</v>
      </c>
      <c r="D199" s="2">
        <v>0</v>
      </c>
      <c r="E199" s="2">
        <v>1.5329999999999999</v>
      </c>
      <c r="F199" s="2">
        <v>1</v>
      </c>
    </row>
    <row r="200" spans="1:6" ht="14.25" customHeight="1">
      <c r="A200" s="2">
        <v>10</v>
      </c>
      <c r="B200" s="2">
        <v>199</v>
      </c>
      <c r="C200" s="2">
        <v>4</v>
      </c>
      <c r="D200" s="2">
        <v>0</v>
      </c>
      <c r="E200" s="2">
        <v>1.8520000000000001</v>
      </c>
      <c r="F200" s="2">
        <v>1</v>
      </c>
    </row>
    <row r="201" spans="1:6" ht="14.25" customHeight="1">
      <c r="A201" s="2">
        <v>10</v>
      </c>
      <c r="B201" s="2">
        <v>200</v>
      </c>
      <c r="C201" s="2">
        <v>8</v>
      </c>
      <c r="D201" s="2">
        <v>1</v>
      </c>
      <c r="E201" s="2">
        <v>1.2869999999999999</v>
      </c>
      <c r="F201" s="2">
        <v>2</v>
      </c>
    </row>
    <row r="202" spans="1:6" ht="14.25" customHeight="1">
      <c r="A202" s="2">
        <v>10</v>
      </c>
      <c r="B202" s="2">
        <v>201</v>
      </c>
      <c r="C202" s="2">
        <v>5</v>
      </c>
      <c r="D202" s="2">
        <v>1</v>
      </c>
      <c r="E202" s="2">
        <v>1.8620000000000001</v>
      </c>
      <c r="F202" s="2">
        <v>1</v>
      </c>
    </row>
    <row r="203" spans="1:6" ht="14.25" customHeight="1">
      <c r="A203" s="2">
        <v>10</v>
      </c>
      <c r="B203" s="2">
        <v>202</v>
      </c>
      <c r="C203" s="2">
        <v>7</v>
      </c>
      <c r="D203" s="2">
        <v>1</v>
      </c>
      <c r="E203" s="2">
        <v>1.32</v>
      </c>
      <c r="F203" s="2">
        <v>1</v>
      </c>
    </row>
    <row r="204" spans="1:6" ht="14.25" customHeight="1">
      <c r="A204" s="2">
        <v>10</v>
      </c>
      <c r="B204" s="2">
        <v>203</v>
      </c>
      <c r="C204" s="2">
        <v>5</v>
      </c>
      <c r="D204" s="2">
        <v>1</v>
      </c>
      <c r="E204" s="2">
        <v>1.3029999999999999</v>
      </c>
      <c r="F204" s="2">
        <v>1</v>
      </c>
    </row>
    <row r="205" spans="1:6" ht="14.25" customHeight="1">
      <c r="A205" s="2">
        <v>10</v>
      </c>
      <c r="B205" s="2">
        <v>204</v>
      </c>
      <c r="C205" s="2">
        <v>6</v>
      </c>
      <c r="D205" s="2">
        <v>1</v>
      </c>
      <c r="E205" s="2">
        <v>0.93500000000000005</v>
      </c>
      <c r="F205" s="2">
        <v>1</v>
      </c>
    </row>
    <row r="206" spans="1:6" ht="14.25" customHeight="1">
      <c r="A206" s="2">
        <v>10</v>
      </c>
      <c r="B206" s="2">
        <v>205</v>
      </c>
      <c r="C206" s="2">
        <v>8</v>
      </c>
      <c r="D206" s="2">
        <v>1</v>
      </c>
      <c r="E206" s="2">
        <v>1.1020000000000001</v>
      </c>
      <c r="F206" s="2">
        <v>1</v>
      </c>
    </row>
    <row r="207" spans="1:6" ht="14.25" customHeight="1">
      <c r="A207" s="2">
        <v>10</v>
      </c>
      <c r="B207" s="2">
        <v>206</v>
      </c>
      <c r="C207" s="2">
        <v>5</v>
      </c>
      <c r="D207" s="2">
        <v>1</v>
      </c>
      <c r="E207" s="2">
        <v>1.0940000000000001</v>
      </c>
      <c r="F207" s="2">
        <v>2</v>
      </c>
    </row>
    <row r="208" spans="1:6" ht="14.25" customHeight="1">
      <c r="A208" s="2">
        <v>10</v>
      </c>
      <c r="B208" s="2">
        <v>207</v>
      </c>
      <c r="C208" s="2">
        <v>2</v>
      </c>
      <c r="D208" s="2">
        <v>1</v>
      </c>
      <c r="E208" s="2">
        <v>1.327</v>
      </c>
      <c r="F208" s="2">
        <v>2</v>
      </c>
    </row>
    <row r="209" spans="1:6" ht="14.25" customHeight="1">
      <c r="A209" s="2">
        <v>10</v>
      </c>
      <c r="B209" s="2">
        <v>208</v>
      </c>
      <c r="C209" s="2">
        <v>3</v>
      </c>
      <c r="D209" s="2">
        <v>1</v>
      </c>
      <c r="E209" s="2">
        <v>1.3740000000000001</v>
      </c>
      <c r="F209" s="2">
        <v>1</v>
      </c>
    </row>
    <row r="210" spans="1:6" ht="14.25" customHeight="1">
      <c r="A210" s="2">
        <v>10</v>
      </c>
      <c r="B210" s="2">
        <v>209</v>
      </c>
      <c r="C210" s="2">
        <v>4</v>
      </c>
      <c r="E210" s="2">
        <v>2</v>
      </c>
    </row>
    <row r="211" spans="1:6" ht="14.25" customHeight="1">
      <c r="A211" s="2">
        <v>10</v>
      </c>
      <c r="B211" s="2">
        <v>210</v>
      </c>
      <c r="C211" s="2">
        <v>6</v>
      </c>
      <c r="D211" s="2">
        <v>1</v>
      </c>
      <c r="E211" s="2">
        <v>1.0640000000000001</v>
      </c>
      <c r="F211" s="2">
        <v>1</v>
      </c>
    </row>
    <row r="212" spans="1:6" ht="14.25" customHeight="1">
      <c r="A212" s="2">
        <v>10</v>
      </c>
      <c r="B212" s="2">
        <v>211</v>
      </c>
      <c r="C212" s="2">
        <v>3</v>
      </c>
      <c r="D212" s="2">
        <v>0</v>
      </c>
      <c r="E212" s="2">
        <v>1.7050000000000001</v>
      </c>
      <c r="F212" s="2">
        <v>1</v>
      </c>
    </row>
    <row r="213" spans="1:6" ht="14.25" customHeight="1">
      <c r="A213" s="2">
        <v>10</v>
      </c>
      <c r="B213" s="2">
        <v>212</v>
      </c>
      <c r="C213" s="2">
        <v>4</v>
      </c>
      <c r="D213" s="2">
        <v>1</v>
      </c>
      <c r="E213" s="2">
        <v>1.7290000000000001</v>
      </c>
      <c r="F213" s="2">
        <v>2</v>
      </c>
    </row>
    <row r="214" spans="1:6" ht="14.25" customHeight="1">
      <c r="A214" s="2">
        <v>10</v>
      </c>
      <c r="B214" s="2">
        <v>213</v>
      </c>
      <c r="C214" s="2">
        <v>7</v>
      </c>
      <c r="D214" s="2">
        <v>1</v>
      </c>
      <c r="E214" s="2">
        <v>0.95299999999999996</v>
      </c>
      <c r="F214" s="2">
        <v>2</v>
      </c>
    </row>
    <row r="215" spans="1:6" ht="14.25" customHeight="1">
      <c r="A215" s="2">
        <v>10</v>
      </c>
      <c r="B215" s="2">
        <v>214</v>
      </c>
      <c r="C215" s="2">
        <v>8</v>
      </c>
      <c r="D215" s="2">
        <v>1</v>
      </c>
      <c r="E215" s="2">
        <v>1.5509999999999999</v>
      </c>
      <c r="F215" s="2">
        <v>2</v>
      </c>
    </row>
    <row r="216" spans="1:6" ht="14.25" customHeight="1">
      <c r="A216" s="2">
        <v>10</v>
      </c>
      <c r="B216" s="2">
        <v>215</v>
      </c>
      <c r="C216" s="2">
        <v>3</v>
      </c>
      <c r="D216" s="2">
        <v>1</v>
      </c>
      <c r="E216" s="2">
        <v>0.92500000000000004</v>
      </c>
      <c r="F216" s="2">
        <v>1</v>
      </c>
    </row>
    <row r="217" spans="1:6" ht="14.25" customHeight="1">
      <c r="A217" s="2">
        <v>10</v>
      </c>
      <c r="B217" s="2">
        <v>216</v>
      </c>
      <c r="C217" s="2">
        <v>7</v>
      </c>
      <c r="D217" s="2">
        <v>0</v>
      </c>
      <c r="E217" s="2">
        <v>1.292</v>
      </c>
      <c r="F217" s="2">
        <v>2</v>
      </c>
    </row>
    <row r="218" spans="1:6" ht="14.25" customHeight="1">
      <c r="A218" s="2">
        <v>10</v>
      </c>
      <c r="B218" s="2">
        <v>217</v>
      </c>
      <c r="C218" s="2">
        <v>1</v>
      </c>
      <c r="D218" s="2">
        <v>0</v>
      </c>
      <c r="E218" s="2">
        <v>1.18</v>
      </c>
      <c r="F218" s="2">
        <v>2</v>
      </c>
    </row>
    <row r="219" spans="1:6" ht="14.25" customHeight="1">
      <c r="A219" s="2">
        <v>10</v>
      </c>
      <c r="B219" s="2">
        <v>218</v>
      </c>
      <c r="C219" s="2">
        <v>7</v>
      </c>
      <c r="D219" s="2">
        <v>1</v>
      </c>
      <c r="E219" s="2">
        <v>0.93799999999999994</v>
      </c>
      <c r="F219" s="2">
        <v>1</v>
      </c>
    </row>
    <row r="220" spans="1:6" ht="14.25" customHeight="1">
      <c r="A220" s="2">
        <v>10</v>
      </c>
      <c r="B220" s="2">
        <v>219</v>
      </c>
      <c r="C220" s="2">
        <v>1</v>
      </c>
      <c r="D220" s="2">
        <v>0</v>
      </c>
      <c r="E220" s="2">
        <v>1.0249999999999999</v>
      </c>
      <c r="F220" s="2">
        <v>2</v>
      </c>
    </row>
    <row r="221" spans="1:6" ht="14.25" customHeight="1">
      <c r="A221" s="2">
        <v>10</v>
      </c>
      <c r="B221" s="2">
        <v>220</v>
      </c>
      <c r="C221" s="2">
        <v>3</v>
      </c>
      <c r="D221" s="2">
        <v>1</v>
      </c>
      <c r="E221" s="2">
        <v>1.1479999999999999</v>
      </c>
      <c r="F221" s="2">
        <v>2</v>
      </c>
    </row>
    <row r="222" spans="1:6" ht="14.25" customHeight="1">
      <c r="A222" s="2">
        <v>10</v>
      </c>
      <c r="B222" s="2">
        <v>221</v>
      </c>
      <c r="C222" s="2">
        <v>1</v>
      </c>
      <c r="D222" s="2">
        <v>1</v>
      </c>
      <c r="E222" s="2">
        <v>1.05</v>
      </c>
      <c r="F222" s="2">
        <v>1</v>
      </c>
    </row>
    <row r="223" spans="1:6" ht="14.25" customHeight="1">
      <c r="A223" s="2">
        <v>10</v>
      </c>
      <c r="B223" s="2">
        <v>222</v>
      </c>
      <c r="C223" s="2">
        <v>8</v>
      </c>
      <c r="D223" s="2">
        <v>1</v>
      </c>
      <c r="E223" s="2">
        <v>1.804</v>
      </c>
      <c r="F223" s="2">
        <v>2</v>
      </c>
    </row>
    <row r="224" spans="1:6" ht="14.25" customHeight="1">
      <c r="A224" s="2">
        <v>10</v>
      </c>
      <c r="B224" s="2">
        <v>223</v>
      </c>
      <c r="C224" s="2">
        <v>1</v>
      </c>
      <c r="D224" s="2">
        <v>1</v>
      </c>
      <c r="E224" s="2">
        <v>0.98499999999999999</v>
      </c>
      <c r="F224" s="2">
        <v>2</v>
      </c>
    </row>
    <row r="225" spans="1:6" ht="14.25" customHeight="1">
      <c r="A225" s="2">
        <v>10</v>
      </c>
      <c r="B225" s="2">
        <v>224</v>
      </c>
      <c r="C225" s="2">
        <v>2</v>
      </c>
      <c r="D225" s="2">
        <v>1</v>
      </c>
      <c r="E225" s="2">
        <v>0.94099999999999995</v>
      </c>
      <c r="F225" s="2">
        <v>1</v>
      </c>
    </row>
    <row r="226" spans="1:6" ht="14.25" customHeight="1">
      <c r="A226" s="2">
        <v>10</v>
      </c>
      <c r="B226" s="2">
        <v>225</v>
      </c>
      <c r="C226" s="2">
        <v>4</v>
      </c>
      <c r="D226" s="2">
        <v>0</v>
      </c>
      <c r="E226" s="2">
        <v>1.86</v>
      </c>
      <c r="F226" s="2">
        <v>1</v>
      </c>
    </row>
    <row r="227" spans="1:6" ht="14.25" customHeight="1">
      <c r="A227" s="2">
        <v>10</v>
      </c>
      <c r="B227" s="2">
        <v>226</v>
      </c>
      <c r="C227" s="2">
        <v>8</v>
      </c>
      <c r="D227" s="2">
        <v>1</v>
      </c>
      <c r="E227" s="2">
        <v>1.645</v>
      </c>
      <c r="F227" s="2">
        <v>2</v>
      </c>
    </row>
    <row r="228" spans="1:6" ht="14.25" customHeight="1">
      <c r="A228" s="2">
        <v>10</v>
      </c>
      <c r="B228" s="2">
        <v>227</v>
      </c>
      <c r="C228" s="2">
        <v>2</v>
      </c>
      <c r="D228" s="2">
        <v>1</v>
      </c>
      <c r="E228" s="2">
        <v>1.649</v>
      </c>
      <c r="F228" s="2">
        <v>2</v>
      </c>
    </row>
    <row r="229" spans="1:6" ht="14.25" customHeight="1">
      <c r="A229" s="2">
        <v>10</v>
      </c>
      <c r="B229" s="2">
        <v>228</v>
      </c>
      <c r="C229" s="2">
        <v>4</v>
      </c>
      <c r="D229" s="2">
        <v>1</v>
      </c>
      <c r="E229" s="2">
        <v>1.667</v>
      </c>
      <c r="F229" s="2">
        <v>2</v>
      </c>
    </row>
    <row r="230" spans="1:6" ht="14.25" customHeight="1">
      <c r="A230" s="2">
        <v>10</v>
      </c>
      <c r="B230" s="2">
        <v>229</v>
      </c>
      <c r="C230" s="2">
        <v>5</v>
      </c>
      <c r="D230" s="2">
        <v>1</v>
      </c>
      <c r="E230" s="2">
        <v>0.89300000000000002</v>
      </c>
      <c r="F230" s="2">
        <v>1</v>
      </c>
    </row>
    <row r="231" spans="1:6" ht="14.25" customHeight="1">
      <c r="A231" s="2">
        <v>10</v>
      </c>
      <c r="B231" s="2">
        <v>230</v>
      </c>
      <c r="C231" s="2">
        <v>6</v>
      </c>
      <c r="D231" s="2">
        <v>1</v>
      </c>
      <c r="E231" s="2">
        <v>1.2450000000000001</v>
      </c>
      <c r="F231" s="2">
        <v>2</v>
      </c>
    </row>
    <row r="232" spans="1:6" ht="14.25" customHeight="1">
      <c r="A232" s="2">
        <v>10</v>
      </c>
      <c r="B232" s="2">
        <v>231</v>
      </c>
      <c r="C232" s="2">
        <v>8</v>
      </c>
      <c r="D232" s="2">
        <v>1</v>
      </c>
      <c r="E232" s="2">
        <v>0.76800000000000002</v>
      </c>
      <c r="F232" s="2">
        <v>1</v>
      </c>
    </row>
    <row r="233" spans="1:6" ht="14.25" customHeight="1">
      <c r="A233" s="2">
        <v>10</v>
      </c>
      <c r="B233" s="2">
        <v>232</v>
      </c>
      <c r="C233" s="2">
        <v>5</v>
      </c>
      <c r="D233" s="2">
        <v>1</v>
      </c>
      <c r="E233" s="2">
        <v>1.7090000000000001</v>
      </c>
      <c r="F233" s="2">
        <v>2</v>
      </c>
    </row>
    <row r="234" spans="1:6" ht="14.25" customHeight="1">
      <c r="A234" s="2">
        <v>10</v>
      </c>
      <c r="B234" s="2">
        <v>233</v>
      </c>
      <c r="C234" s="2">
        <v>1</v>
      </c>
      <c r="D234" s="2">
        <v>1</v>
      </c>
      <c r="E234" s="2">
        <v>0.85299999999999998</v>
      </c>
      <c r="F234" s="2">
        <v>1</v>
      </c>
    </row>
    <row r="235" spans="1:6" ht="14.25" customHeight="1">
      <c r="A235" s="2">
        <v>10</v>
      </c>
      <c r="B235" s="2">
        <v>234</v>
      </c>
      <c r="C235" s="2">
        <v>2</v>
      </c>
      <c r="D235" s="2">
        <v>0</v>
      </c>
      <c r="E235" s="2">
        <v>1.615</v>
      </c>
      <c r="F235" s="2">
        <v>2</v>
      </c>
    </row>
    <row r="236" spans="1:6" ht="14.25" customHeight="1">
      <c r="A236" s="2">
        <v>10</v>
      </c>
      <c r="B236" s="2">
        <v>235</v>
      </c>
      <c r="C236" s="2">
        <v>1</v>
      </c>
      <c r="D236" s="2">
        <v>1</v>
      </c>
      <c r="E236" s="2">
        <v>0.96299999999999997</v>
      </c>
      <c r="F236" s="2">
        <v>1</v>
      </c>
    </row>
    <row r="237" spans="1:6" ht="14.25" customHeight="1">
      <c r="A237" s="2">
        <v>10</v>
      </c>
      <c r="B237" s="2">
        <v>236</v>
      </c>
      <c r="C237" s="2">
        <v>6</v>
      </c>
      <c r="D237" s="2">
        <v>1</v>
      </c>
      <c r="E237" s="2">
        <v>1.4970000000000001</v>
      </c>
      <c r="F237" s="2">
        <v>2</v>
      </c>
    </row>
    <row r="238" spans="1:6" ht="14.25" customHeight="1">
      <c r="A238" s="2">
        <v>10</v>
      </c>
      <c r="B238" s="2">
        <v>237</v>
      </c>
      <c r="C238" s="2">
        <v>3</v>
      </c>
      <c r="E238" s="2">
        <v>2</v>
      </c>
    </row>
    <row r="239" spans="1:6" ht="14.25" customHeight="1">
      <c r="A239" s="2">
        <v>10</v>
      </c>
      <c r="B239" s="2">
        <v>238</v>
      </c>
      <c r="C239" s="2">
        <v>4</v>
      </c>
      <c r="D239" s="2">
        <v>1</v>
      </c>
      <c r="E239" s="2">
        <v>1.014</v>
      </c>
      <c r="F239" s="2">
        <v>2</v>
      </c>
    </row>
    <row r="240" spans="1:6" ht="14.25" customHeight="1">
      <c r="A240" s="2">
        <v>10</v>
      </c>
      <c r="B240" s="2">
        <v>239</v>
      </c>
      <c r="C240" s="2">
        <v>6</v>
      </c>
      <c r="D240" s="2">
        <v>1</v>
      </c>
      <c r="E240" s="2">
        <v>1.0669999999999999</v>
      </c>
      <c r="F240" s="2">
        <v>2</v>
      </c>
    </row>
    <row r="241" spans="1:6" ht="14.25" customHeight="1">
      <c r="A241" s="2">
        <v>10</v>
      </c>
      <c r="B241" s="2">
        <v>240</v>
      </c>
      <c r="C241" s="2">
        <v>4</v>
      </c>
      <c r="D241" s="2">
        <v>1</v>
      </c>
      <c r="E241" s="2">
        <v>1.091</v>
      </c>
      <c r="F241" s="2">
        <v>1</v>
      </c>
    </row>
    <row r="242" spans="1:6" ht="14.25" customHeight="1">
      <c r="A242" s="2">
        <v>10</v>
      </c>
      <c r="B242" s="2">
        <v>241</v>
      </c>
      <c r="C242" s="2">
        <v>7</v>
      </c>
      <c r="D242" s="2">
        <v>1</v>
      </c>
      <c r="E242" s="2">
        <v>1.1000000000000001</v>
      </c>
      <c r="F242" s="2">
        <v>2</v>
      </c>
    </row>
    <row r="243" spans="1:6" ht="14.25" customHeight="1">
      <c r="A243" s="2">
        <v>10</v>
      </c>
      <c r="B243" s="2">
        <v>242</v>
      </c>
      <c r="C243" s="2">
        <v>6</v>
      </c>
      <c r="D243" s="2">
        <v>1</v>
      </c>
      <c r="E243" s="2">
        <v>1.34</v>
      </c>
      <c r="F243" s="2">
        <v>1</v>
      </c>
    </row>
    <row r="244" spans="1:6" ht="14.25" customHeight="1">
      <c r="A244" s="2">
        <v>10</v>
      </c>
      <c r="B244" s="2">
        <v>243</v>
      </c>
      <c r="C244" s="2">
        <v>2</v>
      </c>
      <c r="D244" s="2">
        <v>1</v>
      </c>
      <c r="E244" s="2">
        <v>0.91500000000000004</v>
      </c>
      <c r="F244" s="2">
        <v>1</v>
      </c>
    </row>
    <row r="245" spans="1:6" ht="14.25" customHeight="1">
      <c r="A245" s="2">
        <v>10</v>
      </c>
      <c r="B245" s="2">
        <v>244</v>
      </c>
      <c r="C245" s="2">
        <v>3</v>
      </c>
      <c r="D245" s="2">
        <v>1</v>
      </c>
      <c r="E245" s="2">
        <v>1.556</v>
      </c>
      <c r="F245" s="2">
        <v>2</v>
      </c>
    </row>
    <row r="246" spans="1:6" ht="14.25" customHeight="1">
      <c r="A246" s="2">
        <v>10</v>
      </c>
      <c r="B246" s="2">
        <v>245</v>
      </c>
      <c r="C246" s="2">
        <v>2</v>
      </c>
      <c r="D246" s="2">
        <v>1</v>
      </c>
      <c r="E246" s="2">
        <v>1.4410000000000001</v>
      </c>
      <c r="F246" s="2">
        <v>2</v>
      </c>
    </row>
    <row r="247" spans="1:6" ht="14.25" customHeight="1">
      <c r="A247" s="2">
        <v>10</v>
      </c>
      <c r="B247" s="2">
        <v>246</v>
      </c>
      <c r="C247" s="2">
        <v>7</v>
      </c>
      <c r="D247" s="2">
        <v>1</v>
      </c>
      <c r="E247" s="2">
        <v>1.7</v>
      </c>
      <c r="F247" s="2">
        <v>1</v>
      </c>
    </row>
    <row r="248" spans="1:6" ht="14.25" customHeight="1">
      <c r="A248" s="2">
        <v>10</v>
      </c>
      <c r="B248" s="2">
        <v>247</v>
      </c>
      <c r="C248" s="2">
        <v>5</v>
      </c>
      <c r="D248" s="2">
        <v>0</v>
      </c>
      <c r="E248" s="2">
        <v>1.5629999999999999</v>
      </c>
      <c r="F248" s="2">
        <v>2</v>
      </c>
    </row>
    <row r="249" spans="1:6" ht="14.25" customHeight="1">
      <c r="A249" s="2">
        <v>10</v>
      </c>
      <c r="B249" s="2">
        <v>248</v>
      </c>
      <c r="C249" s="2">
        <v>8</v>
      </c>
      <c r="D249" s="2">
        <v>1</v>
      </c>
      <c r="E249" s="2">
        <v>1.1060000000000001</v>
      </c>
      <c r="F249" s="2">
        <v>2</v>
      </c>
    </row>
    <row r="250" spans="1:6" ht="14.25" customHeight="1">
      <c r="A250" s="2">
        <v>10</v>
      </c>
      <c r="B250" s="2">
        <v>249</v>
      </c>
      <c r="C250" s="2">
        <v>4</v>
      </c>
      <c r="D250" s="2">
        <v>1</v>
      </c>
      <c r="E250" s="2">
        <v>1.1619999999999999</v>
      </c>
      <c r="F250" s="2">
        <v>2</v>
      </c>
    </row>
    <row r="251" spans="1:6" ht="14.25" customHeight="1">
      <c r="A251" s="2">
        <v>10</v>
      </c>
      <c r="B251" s="2">
        <v>250</v>
      </c>
      <c r="C251" s="2">
        <v>5</v>
      </c>
      <c r="D251" s="2">
        <v>1</v>
      </c>
      <c r="E251" s="2">
        <v>1.879</v>
      </c>
      <c r="F251" s="2">
        <v>2</v>
      </c>
    </row>
    <row r="252" spans="1:6" ht="14.25" customHeight="1">
      <c r="A252" s="2">
        <v>10</v>
      </c>
      <c r="B252" s="2">
        <v>251</v>
      </c>
      <c r="C252" s="2">
        <v>2</v>
      </c>
      <c r="E252" s="2">
        <v>2</v>
      </c>
    </row>
    <row r="253" spans="1:6" ht="14.25" customHeight="1">
      <c r="A253" s="2">
        <v>10</v>
      </c>
      <c r="B253" s="2">
        <v>252</v>
      </c>
      <c r="C253" s="2">
        <v>8</v>
      </c>
      <c r="D253" s="2">
        <v>1</v>
      </c>
      <c r="E253" s="2">
        <v>1.516</v>
      </c>
      <c r="F253" s="2">
        <v>1</v>
      </c>
    </row>
    <row r="254" spans="1:6" ht="14.25" customHeight="1">
      <c r="A254" s="2">
        <v>10</v>
      </c>
      <c r="B254" s="2">
        <v>253</v>
      </c>
      <c r="C254" s="2">
        <v>5</v>
      </c>
      <c r="D254" s="2">
        <v>1</v>
      </c>
      <c r="E254" s="2">
        <v>1.107</v>
      </c>
      <c r="F254" s="2">
        <v>1</v>
      </c>
    </row>
    <row r="255" spans="1:6" ht="14.25" customHeight="1">
      <c r="A255" s="2">
        <v>10</v>
      </c>
      <c r="B255" s="2">
        <v>254</v>
      </c>
      <c r="C255" s="2">
        <v>3</v>
      </c>
      <c r="D255" s="2">
        <v>1</v>
      </c>
      <c r="E255" s="2">
        <v>1.0509999999999999</v>
      </c>
      <c r="F255" s="2">
        <v>1</v>
      </c>
    </row>
    <row r="256" spans="1:6" ht="14.25" customHeight="1">
      <c r="A256" s="2">
        <v>10</v>
      </c>
      <c r="B256" s="2">
        <v>255</v>
      </c>
      <c r="C256" s="2">
        <v>1</v>
      </c>
      <c r="D256" s="2">
        <v>1</v>
      </c>
      <c r="E256" s="2">
        <v>0.96499999999999997</v>
      </c>
      <c r="F256" s="2">
        <v>1</v>
      </c>
    </row>
    <row r="257" spans="1:6" ht="14.25" customHeight="1">
      <c r="A257" s="2">
        <v>10</v>
      </c>
      <c r="B257" s="2">
        <v>256</v>
      </c>
      <c r="C257" s="2">
        <v>4</v>
      </c>
      <c r="E257" s="2">
        <v>2</v>
      </c>
    </row>
    <row r="258" spans="1:6" ht="14.25" customHeight="1">
      <c r="A258" s="2">
        <v>10</v>
      </c>
      <c r="B258" s="2">
        <v>257</v>
      </c>
      <c r="C258" s="2">
        <v>1</v>
      </c>
      <c r="E258" s="2">
        <v>2.0009999999999999</v>
      </c>
    </row>
    <row r="259" spans="1:6" ht="14.25" customHeight="1">
      <c r="A259" s="2">
        <v>10</v>
      </c>
      <c r="B259" s="2">
        <v>258</v>
      </c>
      <c r="C259" s="2">
        <v>7</v>
      </c>
      <c r="D259" s="2">
        <v>0</v>
      </c>
      <c r="E259" s="2">
        <v>1.6120000000000001</v>
      </c>
      <c r="F259" s="2">
        <v>2</v>
      </c>
    </row>
    <row r="260" spans="1:6" ht="14.25" customHeight="1">
      <c r="A260" s="2">
        <v>10</v>
      </c>
      <c r="B260" s="2">
        <v>259</v>
      </c>
      <c r="C260" s="2">
        <v>4</v>
      </c>
      <c r="D260" s="2">
        <v>0</v>
      </c>
      <c r="E260" s="2">
        <v>1.0329999999999999</v>
      </c>
      <c r="F260" s="2">
        <v>2</v>
      </c>
    </row>
    <row r="261" spans="1:6" ht="14.25" customHeight="1">
      <c r="A261" s="2">
        <v>10</v>
      </c>
      <c r="B261" s="2">
        <v>260</v>
      </c>
      <c r="C261" s="2">
        <v>5</v>
      </c>
      <c r="D261" s="2">
        <v>1</v>
      </c>
      <c r="E261" s="2">
        <v>0.93100000000000005</v>
      </c>
      <c r="F261" s="2">
        <v>1</v>
      </c>
    </row>
    <row r="262" spans="1:6" ht="14.25" customHeight="1">
      <c r="A262" s="2">
        <v>10</v>
      </c>
      <c r="B262" s="2">
        <v>261</v>
      </c>
      <c r="C262" s="2">
        <v>4</v>
      </c>
      <c r="D262" s="2">
        <v>1</v>
      </c>
      <c r="E262" s="2">
        <v>1.2430000000000001</v>
      </c>
      <c r="F262" s="2">
        <v>2</v>
      </c>
    </row>
    <row r="263" spans="1:6" ht="14.25" customHeight="1">
      <c r="A263" s="2">
        <v>10</v>
      </c>
      <c r="B263" s="2">
        <v>262</v>
      </c>
      <c r="C263" s="2">
        <v>8</v>
      </c>
      <c r="D263" s="2">
        <v>0</v>
      </c>
      <c r="E263" s="2">
        <v>1.3320000000000001</v>
      </c>
      <c r="F263" s="2">
        <v>1</v>
      </c>
    </row>
    <row r="264" spans="1:6" ht="14.25" customHeight="1">
      <c r="A264" s="2">
        <v>10</v>
      </c>
      <c r="B264" s="2">
        <v>263</v>
      </c>
      <c r="C264" s="2">
        <v>1</v>
      </c>
      <c r="D264" s="2">
        <v>1</v>
      </c>
      <c r="E264" s="2">
        <v>1.4670000000000001</v>
      </c>
      <c r="F264" s="2">
        <v>2</v>
      </c>
    </row>
    <row r="265" spans="1:6" ht="14.25" customHeight="1">
      <c r="A265" s="2">
        <v>10</v>
      </c>
      <c r="B265" s="2">
        <v>264</v>
      </c>
      <c r="C265" s="2">
        <v>7</v>
      </c>
      <c r="D265" s="2">
        <v>1</v>
      </c>
      <c r="E265" s="2">
        <v>1.4850000000000001</v>
      </c>
      <c r="F265" s="2">
        <v>2</v>
      </c>
    </row>
    <row r="266" spans="1:6" ht="14.25" customHeight="1">
      <c r="A266" s="2">
        <v>10</v>
      </c>
      <c r="B266" s="2">
        <v>265</v>
      </c>
      <c r="C266" s="2">
        <v>3</v>
      </c>
      <c r="D266" s="2">
        <v>1</v>
      </c>
      <c r="E266" s="2">
        <v>0.82899999999999996</v>
      </c>
      <c r="F266" s="2">
        <v>1</v>
      </c>
    </row>
    <row r="267" spans="1:6" ht="14.25" customHeight="1">
      <c r="A267" s="2">
        <v>10</v>
      </c>
      <c r="B267" s="2">
        <v>266</v>
      </c>
      <c r="C267" s="2">
        <v>7</v>
      </c>
      <c r="D267" s="2">
        <v>1</v>
      </c>
      <c r="E267" s="2">
        <v>1.2809999999999999</v>
      </c>
      <c r="F267" s="2">
        <v>1</v>
      </c>
    </row>
    <row r="268" spans="1:6" ht="14.25" customHeight="1">
      <c r="A268" s="2">
        <v>10</v>
      </c>
      <c r="B268" s="2">
        <v>267</v>
      </c>
      <c r="C268" s="2">
        <v>5</v>
      </c>
      <c r="D268" s="2">
        <v>1</v>
      </c>
      <c r="E268" s="2">
        <v>0.90600000000000003</v>
      </c>
      <c r="F268" s="2">
        <v>1</v>
      </c>
    </row>
    <row r="269" spans="1:6" ht="14.25" customHeight="1">
      <c r="A269" s="2">
        <v>10</v>
      </c>
      <c r="B269" s="2">
        <v>268</v>
      </c>
      <c r="C269" s="2">
        <v>3</v>
      </c>
      <c r="D269" s="2">
        <v>1</v>
      </c>
      <c r="E269" s="2">
        <v>0.93</v>
      </c>
      <c r="F269" s="2">
        <v>1</v>
      </c>
    </row>
    <row r="270" spans="1:6" ht="14.25" customHeight="1">
      <c r="A270" s="2">
        <v>10</v>
      </c>
      <c r="B270" s="2">
        <v>269</v>
      </c>
      <c r="C270" s="2">
        <v>2</v>
      </c>
      <c r="D270" s="2">
        <v>1</v>
      </c>
      <c r="E270" s="2">
        <v>0.68100000000000005</v>
      </c>
      <c r="F270" s="2">
        <v>1</v>
      </c>
    </row>
    <row r="271" spans="1:6" ht="14.25" customHeight="1">
      <c r="A271" s="2">
        <v>10</v>
      </c>
      <c r="B271" s="2">
        <v>270</v>
      </c>
      <c r="C271" s="2">
        <v>7</v>
      </c>
      <c r="D271" s="2">
        <v>1</v>
      </c>
      <c r="E271" s="2">
        <v>0.84199999999999997</v>
      </c>
      <c r="F271" s="2">
        <v>2</v>
      </c>
    </row>
    <row r="272" spans="1:6" ht="14.25" customHeight="1">
      <c r="A272" s="2">
        <v>10</v>
      </c>
      <c r="B272" s="2">
        <v>271</v>
      </c>
      <c r="C272" s="2">
        <v>5</v>
      </c>
      <c r="D272" s="2">
        <v>1</v>
      </c>
      <c r="E272" s="2">
        <v>0.91700000000000004</v>
      </c>
      <c r="F272" s="2">
        <v>1</v>
      </c>
    </row>
    <row r="273" spans="1:6" ht="14.25" customHeight="1">
      <c r="A273" s="2">
        <v>10</v>
      </c>
      <c r="B273" s="2">
        <v>272</v>
      </c>
      <c r="C273" s="2">
        <v>2</v>
      </c>
      <c r="D273" s="2">
        <v>1</v>
      </c>
      <c r="E273" s="2">
        <v>1.3080000000000001</v>
      </c>
      <c r="F273" s="2">
        <v>2</v>
      </c>
    </row>
    <row r="274" spans="1:6" ht="14.25" customHeight="1">
      <c r="A274" s="2">
        <v>10</v>
      </c>
      <c r="B274" s="2">
        <v>273</v>
      </c>
      <c r="C274" s="2">
        <v>6</v>
      </c>
      <c r="D274" s="2">
        <v>1</v>
      </c>
      <c r="E274" s="2">
        <v>1.62</v>
      </c>
      <c r="F274" s="2">
        <v>2</v>
      </c>
    </row>
    <row r="275" spans="1:6" ht="14.25" customHeight="1">
      <c r="A275" s="2">
        <v>10</v>
      </c>
      <c r="B275" s="2">
        <v>274</v>
      </c>
      <c r="C275" s="2">
        <v>3</v>
      </c>
      <c r="D275" s="2">
        <v>1</v>
      </c>
      <c r="E275" s="2">
        <v>1.1200000000000001</v>
      </c>
      <c r="F275" s="2">
        <v>1</v>
      </c>
    </row>
    <row r="276" spans="1:6" ht="14.25" customHeight="1">
      <c r="A276" s="2">
        <v>10</v>
      </c>
      <c r="B276" s="2">
        <v>275</v>
      </c>
      <c r="C276" s="2">
        <v>1</v>
      </c>
      <c r="D276" s="2">
        <v>1</v>
      </c>
      <c r="E276" s="2">
        <v>1.3440000000000001</v>
      </c>
      <c r="F276" s="2">
        <v>2</v>
      </c>
    </row>
    <row r="277" spans="1:6" ht="14.25" customHeight="1">
      <c r="A277" s="2">
        <v>10</v>
      </c>
      <c r="B277" s="2">
        <v>276</v>
      </c>
      <c r="C277" s="2">
        <v>2</v>
      </c>
      <c r="D277" s="2">
        <v>1</v>
      </c>
      <c r="E277" s="2">
        <v>1.246</v>
      </c>
      <c r="F277" s="2">
        <v>2</v>
      </c>
    </row>
    <row r="278" spans="1:6" ht="14.25" customHeight="1">
      <c r="A278" s="2">
        <v>10</v>
      </c>
      <c r="B278" s="2">
        <v>277</v>
      </c>
      <c r="C278" s="2">
        <v>4</v>
      </c>
      <c r="D278" s="2">
        <v>1</v>
      </c>
      <c r="E278" s="2">
        <v>1.024</v>
      </c>
      <c r="F278" s="2">
        <v>2</v>
      </c>
    </row>
    <row r="279" spans="1:6" ht="14.25" customHeight="1">
      <c r="A279" s="2">
        <v>10</v>
      </c>
      <c r="B279" s="2">
        <v>278</v>
      </c>
      <c r="C279" s="2">
        <v>6</v>
      </c>
      <c r="D279" s="2">
        <v>1</v>
      </c>
      <c r="E279" s="2">
        <v>1.3720000000000001</v>
      </c>
      <c r="F279" s="2">
        <v>2</v>
      </c>
    </row>
    <row r="280" spans="1:6" ht="14.25" customHeight="1">
      <c r="A280" s="2">
        <v>10</v>
      </c>
      <c r="B280" s="2">
        <v>279</v>
      </c>
      <c r="C280" s="2">
        <v>8</v>
      </c>
      <c r="D280" s="2">
        <v>1</v>
      </c>
      <c r="E280" s="2">
        <v>0.69699999999999995</v>
      </c>
      <c r="F280" s="2">
        <v>1</v>
      </c>
    </row>
    <row r="281" spans="1:6" ht="14.25" customHeight="1">
      <c r="A281" s="2">
        <v>10</v>
      </c>
      <c r="B281" s="2">
        <v>280</v>
      </c>
      <c r="C281" s="2">
        <v>3</v>
      </c>
      <c r="D281" s="2">
        <v>1</v>
      </c>
      <c r="E281" s="2">
        <v>0.81</v>
      </c>
      <c r="F281" s="2">
        <v>2</v>
      </c>
    </row>
    <row r="282" spans="1:6" ht="14.25" customHeight="1">
      <c r="A282" s="2">
        <v>10</v>
      </c>
      <c r="B282" s="2">
        <v>281</v>
      </c>
      <c r="C282" s="2">
        <v>8</v>
      </c>
      <c r="D282" s="2">
        <v>1</v>
      </c>
      <c r="E282" s="2">
        <v>0.70099999999999996</v>
      </c>
      <c r="F282" s="2">
        <v>1</v>
      </c>
    </row>
    <row r="283" spans="1:6" ht="14.25" customHeight="1">
      <c r="A283" s="2">
        <v>10</v>
      </c>
      <c r="B283" s="2">
        <v>282</v>
      </c>
      <c r="C283" s="2">
        <v>5</v>
      </c>
      <c r="D283" s="2">
        <v>1</v>
      </c>
      <c r="E283" s="2">
        <v>1.589</v>
      </c>
      <c r="F283" s="2">
        <v>2</v>
      </c>
    </row>
    <row r="284" spans="1:6" ht="14.25" customHeight="1">
      <c r="A284" s="2">
        <v>10</v>
      </c>
      <c r="B284" s="2">
        <v>283</v>
      </c>
      <c r="C284" s="2">
        <v>2</v>
      </c>
      <c r="D284" s="2">
        <v>1</v>
      </c>
      <c r="E284" s="2">
        <v>0.77</v>
      </c>
      <c r="F284" s="2">
        <v>1</v>
      </c>
    </row>
    <row r="285" spans="1:6" ht="14.25" customHeight="1">
      <c r="A285" s="2">
        <v>10</v>
      </c>
      <c r="B285" s="2">
        <v>284</v>
      </c>
      <c r="C285" s="2">
        <v>6</v>
      </c>
      <c r="D285" s="2">
        <v>0</v>
      </c>
      <c r="E285" s="2">
        <v>0.91900000000000004</v>
      </c>
      <c r="F285" s="2">
        <v>2</v>
      </c>
    </row>
    <row r="286" spans="1:6" ht="14.25" customHeight="1">
      <c r="A286" s="2">
        <v>10</v>
      </c>
      <c r="B286" s="2">
        <v>285</v>
      </c>
      <c r="C286" s="2">
        <v>5</v>
      </c>
      <c r="D286" s="2">
        <v>1</v>
      </c>
      <c r="E286" s="2">
        <v>1.119</v>
      </c>
      <c r="F286" s="2">
        <v>1</v>
      </c>
    </row>
    <row r="287" spans="1:6" ht="14.25" customHeight="1">
      <c r="A287" s="2">
        <v>10</v>
      </c>
      <c r="B287" s="2">
        <v>286</v>
      </c>
      <c r="C287" s="2">
        <v>4</v>
      </c>
      <c r="D287" s="2">
        <v>1</v>
      </c>
      <c r="E287" s="2">
        <v>0.99099999999999999</v>
      </c>
      <c r="F287" s="2">
        <v>2</v>
      </c>
    </row>
    <row r="288" spans="1:6" ht="14.25" customHeight="1">
      <c r="A288" s="2">
        <v>10</v>
      </c>
      <c r="B288" s="2">
        <v>287</v>
      </c>
      <c r="C288" s="2">
        <v>8</v>
      </c>
      <c r="D288" s="2">
        <v>1</v>
      </c>
      <c r="E288" s="2">
        <v>1.355</v>
      </c>
      <c r="F288" s="2">
        <v>2</v>
      </c>
    </row>
    <row r="289" spans="1:6" ht="14.25" customHeight="1">
      <c r="A289" s="2">
        <v>10</v>
      </c>
      <c r="B289" s="2">
        <v>288</v>
      </c>
      <c r="C289" s="2">
        <v>1</v>
      </c>
      <c r="D289" s="2">
        <v>1</v>
      </c>
      <c r="E289" s="2">
        <v>1.129</v>
      </c>
      <c r="F289" s="2">
        <v>2</v>
      </c>
    </row>
    <row r="290" spans="1:6" ht="14.25" customHeight="1">
      <c r="A290" s="2">
        <v>10</v>
      </c>
      <c r="B290" s="2">
        <v>289</v>
      </c>
      <c r="C290" s="2">
        <v>6</v>
      </c>
      <c r="D290" s="2">
        <v>1</v>
      </c>
      <c r="E290" s="2">
        <v>1.04</v>
      </c>
      <c r="F290" s="2">
        <v>2</v>
      </c>
    </row>
    <row r="291" spans="1:6" ht="14.25" customHeight="1">
      <c r="A291" s="2">
        <v>10</v>
      </c>
      <c r="B291" s="2">
        <v>290</v>
      </c>
      <c r="C291" s="2">
        <v>5</v>
      </c>
      <c r="D291" s="2">
        <v>1</v>
      </c>
      <c r="E291" s="2">
        <v>1.1950000000000001</v>
      </c>
      <c r="F291" s="2">
        <v>1</v>
      </c>
    </row>
    <row r="292" spans="1:6" ht="14.25" customHeight="1">
      <c r="A292" s="2">
        <v>10</v>
      </c>
      <c r="B292" s="2">
        <v>291</v>
      </c>
      <c r="C292" s="2">
        <v>1</v>
      </c>
      <c r="D292" s="2">
        <v>1</v>
      </c>
      <c r="E292" s="2">
        <v>1.016</v>
      </c>
      <c r="F292" s="2">
        <v>2</v>
      </c>
    </row>
    <row r="293" spans="1:6" ht="14.25" customHeight="1">
      <c r="A293" s="2">
        <v>10</v>
      </c>
      <c r="B293" s="2">
        <v>292</v>
      </c>
      <c r="C293" s="2">
        <v>3</v>
      </c>
      <c r="D293" s="2">
        <v>1</v>
      </c>
      <c r="E293" s="2">
        <v>0.996</v>
      </c>
      <c r="F293" s="2">
        <v>1</v>
      </c>
    </row>
    <row r="294" spans="1:6" ht="14.25" customHeight="1">
      <c r="A294" s="2">
        <v>10</v>
      </c>
      <c r="B294" s="2">
        <v>293</v>
      </c>
      <c r="C294" s="2">
        <v>4</v>
      </c>
      <c r="D294" s="2">
        <v>1</v>
      </c>
      <c r="E294" s="2">
        <v>0.88</v>
      </c>
      <c r="F294" s="2">
        <v>1</v>
      </c>
    </row>
    <row r="295" spans="1:6" ht="14.25" customHeight="1">
      <c r="A295" s="2">
        <v>10</v>
      </c>
      <c r="B295" s="2">
        <v>294</v>
      </c>
      <c r="C295" s="2">
        <v>2</v>
      </c>
      <c r="D295" s="2">
        <v>1</v>
      </c>
      <c r="E295" s="2">
        <v>1.2969999999999999</v>
      </c>
      <c r="F295" s="2">
        <v>2</v>
      </c>
    </row>
    <row r="296" spans="1:6" ht="14.25" customHeight="1">
      <c r="A296" s="2">
        <v>10</v>
      </c>
      <c r="B296" s="2">
        <v>295</v>
      </c>
      <c r="C296" s="2">
        <v>6</v>
      </c>
      <c r="D296" s="2">
        <v>1</v>
      </c>
      <c r="E296" s="2">
        <v>0.98599999999999999</v>
      </c>
      <c r="F296" s="2">
        <v>2</v>
      </c>
    </row>
    <row r="297" spans="1:6" ht="14.25" customHeight="1">
      <c r="A297" s="2">
        <v>10</v>
      </c>
      <c r="B297" s="2">
        <v>296</v>
      </c>
      <c r="C297" s="2">
        <v>7</v>
      </c>
      <c r="D297" s="2">
        <v>1</v>
      </c>
      <c r="E297" s="2">
        <v>1.119</v>
      </c>
      <c r="F297" s="2">
        <v>1</v>
      </c>
    </row>
    <row r="298" spans="1:6" ht="14.25" customHeight="1">
      <c r="A298" s="2">
        <v>10</v>
      </c>
      <c r="B298" s="2">
        <v>297</v>
      </c>
      <c r="C298" s="2">
        <v>8</v>
      </c>
      <c r="D298" s="2">
        <v>1</v>
      </c>
      <c r="E298" s="2">
        <v>1.1100000000000001</v>
      </c>
      <c r="F298" s="2">
        <v>1</v>
      </c>
    </row>
    <row r="299" spans="1:6" ht="14.25" customHeight="1">
      <c r="A299" s="2">
        <v>10</v>
      </c>
      <c r="B299" s="2">
        <v>298</v>
      </c>
      <c r="C299" s="2">
        <v>4</v>
      </c>
      <c r="D299" s="2">
        <v>1</v>
      </c>
      <c r="E299" s="2">
        <v>1.167</v>
      </c>
      <c r="F299" s="2">
        <v>2</v>
      </c>
    </row>
    <row r="300" spans="1:6" ht="14.25" customHeight="1">
      <c r="A300" s="2">
        <v>10</v>
      </c>
      <c r="B300" s="2">
        <v>299</v>
      </c>
      <c r="C300" s="2">
        <v>6</v>
      </c>
      <c r="D300" s="2">
        <v>1</v>
      </c>
      <c r="E300" s="2">
        <v>1.123</v>
      </c>
      <c r="F300" s="2">
        <v>2</v>
      </c>
    </row>
    <row r="301" spans="1:6" ht="14.25" customHeight="1">
      <c r="A301" s="2">
        <v>10</v>
      </c>
      <c r="B301" s="2">
        <v>300</v>
      </c>
      <c r="C301" s="2">
        <v>7</v>
      </c>
      <c r="D301" s="2">
        <v>1</v>
      </c>
      <c r="E301" s="2">
        <v>1.2030000000000001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workbookViewId="0">
      <selection activeCell="F1" sqref="F1"/>
    </sheetView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11</v>
      </c>
      <c r="I1" s="2">
        <v>1</v>
      </c>
      <c r="J1" s="2">
        <v>6</v>
      </c>
      <c r="L1" s="2">
        <v>2.0009999999999999</v>
      </c>
    </row>
    <row r="2" spans="1:25" ht="14.25" customHeight="1">
      <c r="A2" s="2">
        <v>11</v>
      </c>
      <c r="B2" s="2">
        <v>1</v>
      </c>
      <c r="C2" s="2">
        <v>6</v>
      </c>
      <c r="E2" s="2">
        <v>2.0009999999999999</v>
      </c>
      <c r="H2" s="2">
        <v>11</v>
      </c>
      <c r="I2" s="2">
        <v>2</v>
      </c>
      <c r="J2" s="2">
        <v>5</v>
      </c>
      <c r="K2" s="2">
        <v>0</v>
      </c>
      <c r="L2" s="2">
        <v>0.86499999999999999</v>
      </c>
      <c r="M2" s="2">
        <v>2</v>
      </c>
    </row>
    <row r="3" spans="1:25" ht="14.25" customHeight="1">
      <c r="A3" s="2">
        <v>11</v>
      </c>
      <c r="B3" s="2">
        <v>2</v>
      </c>
      <c r="C3" s="2">
        <v>5</v>
      </c>
      <c r="D3" s="2">
        <v>0</v>
      </c>
      <c r="E3" s="2">
        <v>0.86499999999999999</v>
      </c>
      <c r="F3" s="2">
        <v>2</v>
      </c>
      <c r="H3" s="2">
        <v>11</v>
      </c>
      <c r="I3" s="2">
        <v>3</v>
      </c>
      <c r="J3" s="2">
        <v>2</v>
      </c>
      <c r="K3" s="2">
        <v>1</v>
      </c>
      <c r="L3" s="2">
        <v>1.3540000000000001</v>
      </c>
      <c r="M3" s="2">
        <v>2</v>
      </c>
    </row>
    <row r="4" spans="1:25" ht="14.25" customHeight="1">
      <c r="A4" s="2">
        <v>11</v>
      </c>
      <c r="B4" s="2">
        <v>3</v>
      </c>
      <c r="C4" s="2">
        <v>2</v>
      </c>
      <c r="D4" s="2">
        <v>1</v>
      </c>
      <c r="E4" s="2">
        <v>1.3540000000000001</v>
      </c>
      <c r="F4" s="2">
        <v>2</v>
      </c>
      <c r="H4" s="2">
        <v>11</v>
      </c>
      <c r="I4" s="2">
        <v>4</v>
      </c>
      <c r="J4" s="2">
        <v>3</v>
      </c>
      <c r="K4" s="2">
        <v>1</v>
      </c>
      <c r="L4" s="2">
        <v>1.1679999999999999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11</v>
      </c>
      <c r="B5" s="2">
        <v>4</v>
      </c>
      <c r="C5" s="2">
        <v>3</v>
      </c>
      <c r="D5" s="2">
        <v>1</v>
      </c>
      <c r="E5" s="2">
        <v>1.1679999999999999</v>
      </c>
      <c r="F5" s="2">
        <v>1</v>
      </c>
      <c r="H5" s="2">
        <v>11</v>
      </c>
      <c r="I5" s="2">
        <v>5</v>
      </c>
      <c r="J5" s="2">
        <v>4</v>
      </c>
      <c r="K5" s="2">
        <v>1</v>
      </c>
      <c r="L5" s="2">
        <v>1.4219999999999999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11</v>
      </c>
      <c r="B6" s="2">
        <v>5</v>
      </c>
      <c r="C6" s="2">
        <v>4</v>
      </c>
      <c r="D6" s="2">
        <v>1</v>
      </c>
      <c r="E6" s="2">
        <v>1.4219999999999999</v>
      </c>
      <c r="F6" s="2">
        <v>2</v>
      </c>
      <c r="H6" s="2">
        <v>11</v>
      </c>
      <c r="I6" s="2">
        <v>6</v>
      </c>
      <c r="J6" s="2">
        <v>7</v>
      </c>
      <c r="K6" s="2">
        <v>0</v>
      </c>
      <c r="L6" s="2">
        <v>1.113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11</v>
      </c>
      <c r="B7" s="2">
        <v>6</v>
      </c>
      <c r="C7" s="2">
        <v>7</v>
      </c>
      <c r="D7" s="2">
        <v>0</v>
      </c>
      <c r="E7" s="2">
        <v>1.113</v>
      </c>
      <c r="F7" s="2">
        <v>1</v>
      </c>
      <c r="H7" s="2">
        <v>11</v>
      </c>
      <c r="I7" s="2">
        <v>7</v>
      </c>
      <c r="J7" s="2">
        <v>5</v>
      </c>
      <c r="K7" s="2">
        <v>1</v>
      </c>
      <c r="L7" s="2">
        <v>1.0329999999999999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11</v>
      </c>
      <c r="B8" s="2">
        <v>7</v>
      </c>
      <c r="C8" s="2">
        <v>5</v>
      </c>
      <c r="D8" s="2">
        <v>1</v>
      </c>
      <c r="E8" s="2">
        <v>1.0329999999999999</v>
      </c>
      <c r="F8" s="2">
        <v>1</v>
      </c>
      <c r="H8" s="2">
        <v>11</v>
      </c>
      <c r="I8" s="2">
        <v>8</v>
      </c>
      <c r="J8" s="2">
        <v>6</v>
      </c>
      <c r="K8" s="2">
        <v>0</v>
      </c>
      <c r="L8" s="2">
        <v>1.212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11</v>
      </c>
      <c r="B9" s="2">
        <v>8</v>
      </c>
      <c r="C9" s="2">
        <v>6</v>
      </c>
      <c r="D9" s="2">
        <v>0</v>
      </c>
      <c r="E9" s="2">
        <v>1.212</v>
      </c>
      <c r="F9" s="2">
        <v>2</v>
      </c>
      <c r="H9" s="2">
        <v>11</v>
      </c>
      <c r="I9" s="2">
        <v>9</v>
      </c>
      <c r="J9" s="2">
        <v>3</v>
      </c>
      <c r="K9" s="2">
        <v>1</v>
      </c>
      <c r="L9" s="2">
        <v>1.52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11</v>
      </c>
      <c r="B10" s="2">
        <v>9</v>
      </c>
      <c r="C10" s="2">
        <v>3</v>
      </c>
      <c r="D10" s="2">
        <v>1</v>
      </c>
      <c r="E10" s="2">
        <v>1.52</v>
      </c>
      <c r="F10" s="2">
        <v>1</v>
      </c>
      <c r="H10" s="2">
        <v>11</v>
      </c>
      <c r="I10" s="2">
        <v>10</v>
      </c>
      <c r="J10" s="2">
        <v>1</v>
      </c>
      <c r="K10" s="2">
        <v>1</v>
      </c>
      <c r="L10" s="2">
        <v>1.647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11</v>
      </c>
      <c r="B11" s="2">
        <v>10</v>
      </c>
      <c r="C11" s="2">
        <v>1</v>
      </c>
      <c r="D11" s="2">
        <v>1</v>
      </c>
      <c r="E11" s="2">
        <v>1.647</v>
      </c>
      <c r="F11" s="2">
        <v>1</v>
      </c>
      <c r="H11" s="2">
        <v>11</v>
      </c>
      <c r="I11" s="2">
        <v>11</v>
      </c>
      <c r="J11" s="2">
        <v>2</v>
      </c>
      <c r="K11" s="2">
        <v>1</v>
      </c>
      <c r="L11" s="2">
        <v>1.353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11</v>
      </c>
      <c r="B12" s="2">
        <v>11</v>
      </c>
      <c r="C12" s="2">
        <v>2</v>
      </c>
      <c r="D12" s="2">
        <v>1</v>
      </c>
      <c r="E12" s="2">
        <v>1.353</v>
      </c>
      <c r="F12" s="2">
        <v>2</v>
      </c>
      <c r="H12" s="2">
        <v>11</v>
      </c>
      <c r="I12" s="2">
        <v>12</v>
      </c>
      <c r="J12" s="2">
        <v>5</v>
      </c>
      <c r="K12" s="2">
        <v>1</v>
      </c>
      <c r="L12" s="2">
        <v>1.5349999999999999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11</v>
      </c>
      <c r="B13" s="2">
        <v>12</v>
      </c>
      <c r="C13" s="2">
        <v>5</v>
      </c>
      <c r="D13" s="2">
        <v>1</v>
      </c>
      <c r="E13" s="2">
        <v>1.5349999999999999</v>
      </c>
      <c r="F13" s="2">
        <v>1</v>
      </c>
      <c r="H13" s="2">
        <v>11</v>
      </c>
      <c r="I13" s="2">
        <v>13</v>
      </c>
      <c r="J13" s="2">
        <v>8</v>
      </c>
      <c r="K13" s="2">
        <v>0</v>
      </c>
      <c r="L13" s="2">
        <v>1.534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11</v>
      </c>
      <c r="B14" s="2">
        <v>13</v>
      </c>
      <c r="C14" s="2">
        <v>8</v>
      </c>
      <c r="D14" s="2">
        <v>0</v>
      </c>
      <c r="E14" s="2">
        <v>1.534</v>
      </c>
      <c r="F14" s="2">
        <v>1</v>
      </c>
      <c r="H14" s="2">
        <v>11</v>
      </c>
      <c r="I14" s="2">
        <v>14</v>
      </c>
      <c r="J14" s="2">
        <v>6</v>
      </c>
      <c r="K14" s="2">
        <v>0</v>
      </c>
      <c r="L14" s="2">
        <v>1.5009999999999999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11</v>
      </c>
      <c r="B15" s="2">
        <v>14</v>
      </c>
      <c r="C15" s="2">
        <v>6</v>
      </c>
      <c r="D15" s="2">
        <v>0</v>
      </c>
      <c r="E15" s="2">
        <v>1.5009999999999999</v>
      </c>
      <c r="F15" s="2">
        <v>2</v>
      </c>
      <c r="H15" s="2">
        <v>11</v>
      </c>
      <c r="I15" s="2">
        <v>15</v>
      </c>
      <c r="J15" s="2">
        <v>2</v>
      </c>
      <c r="K15" s="2">
        <v>1</v>
      </c>
      <c r="L15" s="2">
        <v>1.077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11</v>
      </c>
      <c r="B16" s="2">
        <v>15</v>
      </c>
      <c r="C16" s="2">
        <v>2</v>
      </c>
      <c r="D16" s="2">
        <v>1</v>
      </c>
      <c r="E16" s="2">
        <v>1.077</v>
      </c>
      <c r="F16" s="2">
        <v>2</v>
      </c>
      <c r="H16" s="2">
        <v>11</v>
      </c>
      <c r="I16" s="2">
        <v>16</v>
      </c>
      <c r="J16" s="2">
        <v>7</v>
      </c>
      <c r="K16" s="2">
        <v>0</v>
      </c>
      <c r="L16" s="2">
        <v>1.43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11</v>
      </c>
      <c r="B17" s="2">
        <v>16</v>
      </c>
      <c r="C17" s="2">
        <v>7</v>
      </c>
      <c r="D17" s="2">
        <v>0</v>
      </c>
      <c r="E17" s="2">
        <v>1.43</v>
      </c>
      <c r="F17" s="2">
        <v>1</v>
      </c>
      <c r="H17" s="2">
        <v>11</v>
      </c>
      <c r="I17" s="2">
        <v>17</v>
      </c>
      <c r="J17" s="2">
        <v>8</v>
      </c>
      <c r="K17" s="2">
        <v>0</v>
      </c>
      <c r="L17" s="2">
        <v>1.8819999999999999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5.2899999999999991</v>
      </c>
      <c r="P17" s="3">
        <f t="shared" ref="P17:P22" si="1">(P6*COUNTIF($J$1:$J$101,P$16) - COUNTIFS($J$1:$J$101,P$16,$K$1:$K$101,"=1"))^2</f>
        <v>5.7599999999999936</v>
      </c>
      <c r="Q17" s="3">
        <f t="shared" ref="Q17:Q22" si="2">(Q6*COUNTIF($J$1:$J$101,Q$16) - COUNTIFS($J$1:$J$101,Q$16,$K$1:$K$101,"=0"))^2</f>
        <v>0.63999999999999968</v>
      </c>
      <c r="R17" s="3">
        <f t="shared" ref="R17:R22" si="3">(R6*COUNTIF($J$1:$J$101,R$16) - COUNTIFS($J$1:$J$101,R$16,$K$1:$K$101,"=1"))^2</f>
        <v>11.55999999999999</v>
      </c>
      <c r="S17" s="3">
        <f t="shared" ref="S17:T17" si="4">(S6*COUNTIF($J$1:$J$101,S$16) - COUNTIFS($J$1:$J$101,S$16,$K$1:$K$101,"=0"))^2</f>
        <v>11.559999999999999</v>
      </c>
      <c r="T17" s="3">
        <f t="shared" si="4"/>
        <v>5.2899999999999991</v>
      </c>
      <c r="U17" s="3">
        <f t="shared" ref="U17:V17" si="5">(U6*COUNTIF($J$1:$J$101,U$16) - COUNTIFS($J$1:$J$101,U$16,$K$1:$K$101,"=1"))^2</f>
        <v>5.7599999999999936</v>
      </c>
      <c r="V17" s="3">
        <f t="shared" si="5"/>
        <v>19.359999999999989</v>
      </c>
      <c r="W17" s="4"/>
      <c r="X17" s="4"/>
      <c r="Y17" s="4"/>
    </row>
    <row r="18" spans="1:25" ht="14.25" customHeight="1">
      <c r="A18" s="2">
        <v>11</v>
      </c>
      <c r="B18" s="2">
        <v>17</v>
      </c>
      <c r="C18" s="2">
        <v>8</v>
      </c>
      <c r="D18" s="2">
        <v>0</v>
      </c>
      <c r="E18" s="2">
        <v>1.8819999999999999</v>
      </c>
      <c r="F18" s="2">
        <v>1</v>
      </c>
      <c r="H18" s="2">
        <v>11</v>
      </c>
      <c r="I18" s="2">
        <v>18</v>
      </c>
      <c r="J18" s="2">
        <v>1</v>
      </c>
      <c r="K18" s="2">
        <v>1</v>
      </c>
      <c r="L18" s="2">
        <v>0.64300000000000002</v>
      </c>
      <c r="M18" s="2">
        <v>1</v>
      </c>
      <c r="N18" s="3">
        <v>2</v>
      </c>
      <c r="O18" s="3">
        <f t="shared" si="0"/>
        <v>5.2899999999999991</v>
      </c>
      <c r="P18" s="3">
        <f t="shared" si="1"/>
        <v>70.56</v>
      </c>
      <c r="Q18" s="6">
        <f t="shared" si="2"/>
        <v>100</v>
      </c>
      <c r="R18" s="3">
        <f t="shared" si="3"/>
        <v>11.55999999999999</v>
      </c>
      <c r="S18" s="6">
        <f t="shared" ref="S18:T18" si="6">(S7*COUNTIF($J$1:$J$101,S$16) - COUNTIFS($J$1:$J$101,S$16,$K$1:$K$101,"=0"))^2</f>
        <v>11.559999999999999</v>
      </c>
      <c r="T18" s="6">
        <f t="shared" si="6"/>
        <v>5.2899999999999991</v>
      </c>
      <c r="U18" s="6">
        <f t="shared" ref="U18:V18" si="7">(U7*COUNTIF($J$1:$J$101,U$16) - COUNTIFS($J$1:$J$101,U$16,$K$1:$K$101,"=1"))^2</f>
        <v>5.7599999999999936</v>
      </c>
      <c r="V18" s="6">
        <f t="shared" si="7"/>
        <v>19.359999999999989</v>
      </c>
      <c r="W18" s="4"/>
      <c r="X18" s="4"/>
      <c r="Y18" s="4"/>
    </row>
    <row r="19" spans="1:25" ht="14.25" customHeight="1">
      <c r="A19" s="2">
        <v>11</v>
      </c>
      <c r="B19" s="2">
        <v>18</v>
      </c>
      <c r="C19" s="2">
        <v>1</v>
      </c>
      <c r="D19" s="2">
        <v>1</v>
      </c>
      <c r="E19" s="2">
        <v>0.64300000000000002</v>
      </c>
      <c r="F19" s="2">
        <v>1</v>
      </c>
      <c r="H19" s="2">
        <v>11</v>
      </c>
      <c r="I19" s="2">
        <v>19</v>
      </c>
      <c r="J19" s="2">
        <v>7</v>
      </c>
      <c r="K19" s="2">
        <v>0</v>
      </c>
      <c r="L19" s="2">
        <v>1.6220000000000001</v>
      </c>
      <c r="M19" s="2">
        <v>1</v>
      </c>
      <c r="N19" s="3">
        <v>3</v>
      </c>
      <c r="O19" s="3">
        <f t="shared" si="0"/>
        <v>5.2899999999999991</v>
      </c>
      <c r="P19" s="3">
        <f t="shared" si="1"/>
        <v>5.7599999999999936</v>
      </c>
      <c r="Q19" s="3">
        <f t="shared" si="2"/>
        <v>0.63999999999999968</v>
      </c>
      <c r="R19" s="3">
        <f t="shared" si="3"/>
        <v>11.55999999999999</v>
      </c>
      <c r="S19" s="6">
        <f t="shared" ref="S19:T19" si="8">(S8*COUNTIF($J$1:$J$101,S$16) - COUNTIFS($J$1:$J$101,S$16,$K$1:$K$101,"=0"))^2</f>
        <v>11.559999999999999</v>
      </c>
      <c r="T19" s="6">
        <f t="shared" si="8"/>
        <v>106.08999999999997</v>
      </c>
      <c r="U19" s="3">
        <f t="shared" ref="U19:V19" si="9">(U8*COUNTIF($J$1:$J$101,U$16) - COUNTIFS($J$1:$J$101,U$16,$K$1:$K$101,"=1"))^2</f>
        <v>70.56</v>
      </c>
      <c r="V19" s="6">
        <f t="shared" si="9"/>
        <v>19.359999999999989</v>
      </c>
      <c r="W19" s="4"/>
      <c r="X19" s="4"/>
      <c r="Y19" s="4"/>
    </row>
    <row r="20" spans="1:25" ht="14.25" customHeight="1">
      <c r="A20" s="2">
        <v>11</v>
      </c>
      <c r="B20" s="2">
        <v>19</v>
      </c>
      <c r="C20" s="2">
        <v>7</v>
      </c>
      <c r="D20" s="2">
        <v>0</v>
      </c>
      <c r="E20" s="2">
        <v>1.6220000000000001</v>
      </c>
      <c r="F20" s="2">
        <v>1</v>
      </c>
      <c r="H20" s="2">
        <v>11</v>
      </c>
      <c r="I20" s="2">
        <v>20</v>
      </c>
      <c r="J20" s="2">
        <v>1</v>
      </c>
      <c r="K20" s="2">
        <v>0</v>
      </c>
      <c r="L20" s="2">
        <v>1.538</v>
      </c>
      <c r="M20" s="2">
        <v>2</v>
      </c>
      <c r="N20" s="3">
        <v>4</v>
      </c>
      <c r="O20" s="3">
        <f t="shared" si="0"/>
        <v>16</v>
      </c>
      <c r="P20" s="3">
        <f t="shared" si="1"/>
        <v>9</v>
      </c>
      <c r="Q20" s="3">
        <f t="shared" si="2"/>
        <v>16</v>
      </c>
      <c r="R20" s="3">
        <f t="shared" si="3"/>
        <v>4</v>
      </c>
      <c r="S20" s="6">
        <f t="shared" ref="S20:T20" si="10">(S9*COUNTIF($J$1:$J$101,S$16) - COUNTIFS($J$1:$J$101,S$16,$K$1:$K$101,"=0"))^2</f>
        <v>11.559999999999999</v>
      </c>
      <c r="T20" s="6">
        <f t="shared" si="10"/>
        <v>5.2899999999999991</v>
      </c>
      <c r="U20" s="6">
        <f t="shared" ref="U20:V20" si="11">(U9*COUNTIF($J$1:$J$101,U$16) - COUNTIFS($J$1:$J$101,U$16,$K$1:$K$101,"=1"))^2</f>
        <v>5.7599999999999936</v>
      </c>
      <c r="V20" s="6">
        <f t="shared" si="11"/>
        <v>19.359999999999989</v>
      </c>
      <c r="W20" s="4"/>
      <c r="X20" s="4"/>
      <c r="Y20" s="4"/>
    </row>
    <row r="21" spans="1:25" ht="14.25" customHeight="1">
      <c r="A21" s="2">
        <v>11</v>
      </c>
      <c r="B21" s="2">
        <v>20</v>
      </c>
      <c r="C21" s="2">
        <v>1</v>
      </c>
      <c r="D21" s="2">
        <v>0</v>
      </c>
      <c r="E21" s="2">
        <v>1.538</v>
      </c>
      <c r="F21" s="2">
        <v>2</v>
      </c>
      <c r="H21" s="2">
        <v>11</v>
      </c>
      <c r="I21" s="2">
        <v>21</v>
      </c>
      <c r="J21" s="2">
        <v>8</v>
      </c>
      <c r="K21" s="2">
        <v>0</v>
      </c>
      <c r="L21" s="2">
        <v>1.3759999999999999</v>
      </c>
      <c r="M21" s="2">
        <v>1</v>
      </c>
      <c r="N21" s="3">
        <v>5</v>
      </c>
      <c r="O21" s="3">
        <f t="shared" si="0"/>
        <v>5.2899999999999991</v>
      </c>
      <c r="P21" s="3">
        <f t="shared" si="1"/>
        <v>5.7599999999999936</v>
      </c>
      <c r="Q21" s="3">
        <f t="shared" si="2"/>
        <v>0.63999999999999968</v>
      </c>
      <c r="R21" s="3">
        <f t="shared" si="3"/>
        <v>11.55999999999999</v>
      </c>
      <c r="S21" s="6">
        <f t="shared" ref="S21:T21" si="12">(S10*COUNTIF($J$1:$J$101,S$16) - COUNTIFS($J$1:$J$101,S$16,$K$1:$K$101,"=0"))^2</f>
        <v>4</v>
      </c>
      <c r="T21" s="6">
        <f t="shared" si="12"/>
        <v>16</v>
      </c>
      <c r="U21" s="6">
        <f t="shared" ref="U21:V21" si="13">(U10*COUNTIF($J$1:$J$101,U$16) - COUNTIFS($J$1:$J$101,U$16,$K$1:$K$101,"=1"))^2</f>
        <v>9</v>
      </c>
      <c r="V21" s="6">
        <f t="shared" si="13"/>
        <v>1</v>
      </c>
      <c r="W21" s="4"/>
      <c r="X21" s="4"/>
      <c r="Y21" s="4"/>
    </row>
    <row r="22" spans="1:25" ht="14.25" customHeight="1">
      <c r="A22" s="2">
        <v>11</v>
      </c>
      <c r="B22" s="2">
        <v>21</v>
      </c>
      <c r="C22" s="2">
        <v>8</v>
      </c>
      <c r="D22" s="2">
        <v>0</v>
      </c>
      <c r="E22" s="2">
        <v>1.3759999999999999</v>
      </c>
      <c r="F22" s="2">
        <v>1</v>
      </c>
      <c r="H22" s="2">
        <v>11</v>
      </c>
      <c r="I22" s="2">
        <v>22</v>
      </c>
      <c r="J22" s="2">
        <v>4</v>
      </c>
      <c r="K22" s="2">
        <v>1</v>
      </c>
      <c r="L22" s="2">
        <v>1.621</v>
      </c>
      <c r="M22" s="2">
        <v>2</v>
      </c>
      <c r="N22" s="3">
        <v>6</v>
      </c>
      <c r="O22" s="3">
        <f t="shared" si="0"/>
        <v>16</v>
      </c>
      <c r="P22" s="3">
        <f t="shared" si="1"/>
        <v>9</v>
      </c>
      <c r="Q22" s="3">
        <f t="shared" si="2"/>
        <v>16</v>
      </c>
      <c r="R22" s="3">
        <f t="shared" si="3"/>
        <v>4</v>
      </c>
      <c r="S22" s="6">
        <f t="shared" ref="S22:T22" si="14">(S11*COUNTIF($J$1:$J$101,S$16) - COUNTIFS($J$1:$J$101,S$16,$K$1:$K$101,"=0"))^2</f>
        <v>4</v>
      </c>
      <c r="T22" s="6">
        <f t="shared" si="14"/>
        <v>16</v>
      </c>
      <c r="U22" s="6">
        <f t="shared" ref="U22:V22" si="15">(U11*COUNTIF($J$1:$J$101,U$16) - COUNTIFS($J$1:$J$101,U$16,$K$1:$K$101,"=1"))^2</f>
        <v>9</v>
      </c>
      <c r="V22" s="6">
        <f t="shared" si="15"/>
        <v>1</v>
      </c>
      <c r="W22" s="4"/>
      <c r="X22" s="4"/>
      <c r="Y22" s="4"/>
    </row>
    <row r="23" spans="1:25" ht="14.25" customHeight="1">
      <c r="A23" s="2">
        <v>11</v>
      </c>
      <c r="B23" s="2">
        <v>22</v>
      </c>
      <c r="C23" s="2">
        <v>4</v>
      </c>
      <c r="D23" s="2">
        <v>1</v>
      </c>
      <c r="E23" s="2">
        <v>1.621</v>
      </c>
      <c r="F23" s="2">
        <v>2</v>
      </c>
      <c r="H23" s="2">
        <v>11</v>
      </c>
      <c r="I23" s="2">
        <v>23</v>
      </c>
      <c r="J23" s="2">
        <v>7</v>
      </c>
      <c r="K23" s="2">
        <v>1</v>
      </c>
      <c r="L23" s="2">
        <v>1.5049999999999999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11</v>
      </c>
      <c r="B24" s="2">
        <v>23</v>
      </c>
      <c r="C24" s="2">
        <v>7</v>
      </c>
      <c r="D24" s="2">
        <v>1</v>
      </c>
      <c r="E24" s="2">
        <v>1.5049999999999999</v>
      </c>
      <c r="F24" s="2">
        <v>2</v>
      </c>
      <c r="H24" s="2">
        <v>11</v>
      </c>
      <c r="I24" s="2">
        <v>24</v>
      </c>
      <c r="J24" s="2">
        <v>1</v>
      </c>
      <c r="K24" s="2">
        <v>1</v>
      </c>
      <c r="L24" s="2">
        <v>1.169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11</v>
      </c>
      <c r="B25" s="2">
        <v>24</v>
      </c>
      <c r="C25" s="2">
        <v>1</v>
      </c>
      <c r="D25" s="2">
        <v>1</v>
      </c>
      <c r="E25" s="2">
        <v>1.169</v>
      </c>
      <c r="F25" s="2">
        <v>1</v>
      </c>
      <c r="H25" s="2">
        <v>11</v>
      </c>
      <c r="I25" s="2">
        <v>25</v>
      </c>
      <c r="J25" s="2">
        <v>2</v>
      </c>
      <c r="K25" s="2">
        <v>0</v>
      </c>
      <c r="L25" s="2">
        <v>1.3260000000000001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11</v>
      </c>
      <c r="B26" s="2">
        <v>25</v>
      </c>
      <c r="C26" s="2">
        <v>2</v>
      </c>
      <c r="D26" s="2">
        <v>0</v>
      </c>
      <c r="E26" s="2">
        <v>1.3260000000000001</v>
      </c>
      <c r="F26" s="2">
        <v>1</v>
      </c>
      <c r="H26" s="2">
        <v>11</v>
      </c>
      <c r="I26" s="2">
        <v>26</v>
      </c>
      <c r="J26" s="2">
        <v>4</v>
      </c>
      <c r="K26" s="2">
        <v>0</v>
      </c>
      <c r="L26" s="2">
        <v>1.5489999999999999</v>
      </c>
      <c r="M26" s="2">
        <v>1</v>
      </c>
      <c r="N26" s="4"/>
      <c r="O26" s="3">
        <f t="shared" ref="O26:V26" si="16">COUNTIF($J$1:$J$102,O16)*COUNTIF($J$1:$J$102,O16)</f>
        <v>196</v>
      </c>
      <c r="P26" s="3">
        <f t="shared" si="16"/>
        <v>144</v>
      </c>
      <c r="Q26" s="3">
        <f t="shared" si="16"/>
        <v>144</v>
      </c>
      <c r="R26" s="3">
        <f t="shared" si="16"/>
        <v>144</v>
      </c>
      <c r="S26" s="3">
        <f t="shared" si="16"/>
        <v>144</v>
      </c>
      <c r="T26" s="3">
        <f t="shared" si="16"/>
        <v>196</v>
      </c>
      <c r="U26" s="3">
        <f t="shared" si="16"/>
        <v>144</v>
      </c>
      <c r="V26" s="3">
        <f t="shared" si="16"/>
        <v>144</v>
      </c>
      <c r="W26" s="4"/>
      <c r="X26" s="4"/>
      <c r="Y26" s="4"/>
    </row>
    <row r="27" spans="1:25" ht="14.25" customHeight="1">
      <c r="A27" s="2">
        <v>11</v>
      </c>
      <c r="B27" s="2">
        <v>26</v>
      </c>
      <c r="C27" s="2">
        <v>4</v>
      </c>
      <c r="D27" s="2">
        <v>0</v>
      </c>
      <c r="E27" s="2">
        <v>1.5489999999999999</v>
      </c>
      <c r="F27" s="2">
        <v>1</v>
      </c>
      <c r="H27" s="2">
        <v>11</v>
      </c>
      <c r="I27" s="2">
        <v>27</v>
      </c>
      <c r="J27" s="2">
        <v>3</v>
      </c>
      <c r="K27" s="2">
        <v>1</v>
      </c>
      <c r="L27" s="2">
        <v>0.92400000000000004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11</v>
      </c>
      <c r="B28" s="2">
        <v>27</v>
      </c>
      <c r="C28" s="2">
        <v>3</v>
      </c>
      <c r="D28" s="2">
        <v>1</v>
      </c>
      <c r="E28" s="2">
        <v>0.92400000000000004</v>
      </c>
      <c r="F28" s="2">
        <v>1</v>
      </c>
      <c r="H28" s="2">
        <v>11</v>
      </c>
      <c r="I28" s="2">
        <v>28</v>
      </c>
      <c r="J28" s="2">
        <v>4</v>
      </c>
      <c r="K28" s="2">
        <v>1</v>
      </c>
      <c r="L28" s="2">
        <v>0.72299999999999998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11</v>
      </c>
      <c r="B29" s="2">
        <v>28</v>
      </c>
      <c r="C29" s="2">
        <v>4</v>
      </c>
      <c r="D29" s="2">
        <v>1</v>
      </c>
      <c r="E29" s="2">
        <v>0.72299999999999998</v>
      </c>
      <c r="F29" s="2">
        <v>2</v>
      </c>
      <c r="H29" s="2">
        <v>11</v>
      </c>
      <c r="I29" s="2">
        <v>29</v>
      </c>
      <c r="J29" s="2">
        <v>5</v>
      </c>
      <c r="K29" s="2">
        <v>1</v>
      </c>
      <c r="L29" s="2">
        <v>1.139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11</v>
      </c>
      <c r="B30" s="2">
        <v>29</v>
      </c>
      <c r="C30" s="2">
        <v>5</v>
      </c>
      <c r="D30" s="2">
        <v>1</v>
      </c>
      <c r="E30" s="2">
        <v>1.139</v>
      </c>
      <c r="F30" s="2">
        <v>1</v>
      </c>
      <c r="H30" s="2">
        <v>11</v>
      </c>
      <c r="I30" s="2">
        <v>30</v>
      </c>
      <c r="J30" s="2">
        <v>2</v>
      </c>
      <c r="K30" s="2">
        <v>0</v>
      </c>
      <c r="L30" s="2">
        <v>1.7529999999999999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11</v>
      </c>
      <c r="B31" s="2">
        <v>30</v>
      </c>
      <c r="C31" s="2">
        <v>2</v>
      </c>
      <c r="D31" s="2">
        <v>0</v>
      </c>
      <c r="E31" s="2">
        <v>1.7529999999999999</v>
      </c>
      <c r="F31" s="2">
        <v>1</v>
      </c>
      <c r="H31" s="2">
        <v>11</v>
      </c>
      <c r="I31" s="2">
        <v>31</v>
      </c>
      <c r="J31" s="2">
        <v>4</v>
      </c>
      <c r="K31" s="2">
        <v>1</v>
      </c>
      <c r="L31" s="2">
        <v>1.28</v>
      </c>
      <c r="M31" s="2">
        <v>2</v>
      </c>
      <c r="N31" s="3">
        <v>1</v>
      </c>
      <c r="O31" s="3">
        <f t="shared" ref="O31:O36" si="17">SUM(O17:V17)/SUM(O$26:V$26)</f>
        <v>5.1926751592356664E-2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11</v>
      </c>
      <c r="B32" s="2">
        <v>31</v>
      </c>
      <c r="C32" s="2">
        <v>4</v>
      </c>
      <c r="D32" s="2">
        <v>1</v>
      </c>
      <c r="E32" s="2">
        <v>1.28</v>
      </c>
      <c r="F32" s="2">
        <v>2</v>
      </c>
      <c r="H32" s="2">
        <v>11</v>
      </c>
      <c r="I32" s="2">
        <v>32</v>
      </c>
      <c r="J32" s="2">
        <v>7</v>
      </c>
      <c r="K32" s="2">
        <v>1</v>
      </c>
      <c r="L32" s="2">
        <v>0.69599999999999995</v>
      </c>
      <c r="M32" s="2">
        <v>2</v>
      </c>
      <c r="N32" s="3">
        <v>2</v>
      </c>
      <c r="O32" s="3">
        <f t="shared" si="17"/>
        <v>0.18262738853503183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11</v>
      </c>
      <c r="B33" s="2">
        <v>32</v>
      </c>
      <c r="C33" s="2">
        <v>7</v>
      </c>
      <c r="D33" s="2">
        <v>1</v>
      </c>
      <c r="E33" s="2">
        <v>0.69599999999999995</v>
      </c>
      <c r="F33" s="2">
        <v>2</v>
      </c>
      <c r="H33" s="2">
        <v>11</v>
      </c>
      <c r="I33" s="2">
        <v>33</v>
      </c>
      <c r="J33" s="2">
        <v>3</v>
      </c>
      <c r="K33" s="2">
        <v>1</v>
      </c>
      <c r="L33" s="2">
        <v>1.2330000000000001</v>
      </c>
      <c r="M33" s="2">
        <v>1</v>
      </c>
      <c r="N33" s="3">
        <v>3</v>
      </c>
      <c r="O33" s="3">
        <f t="shared" si="17"/>
        <v>0.18377388535031844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11</v>
      </c>
      <c r="B34" s="2">
        <v>33</v>
      </c>
      <c r="C34" s="2">
        <v>3</v>
      </c>
      <c r="D34" s="2">
        <v>1</v>
      </c>
      <c r="E34" s="2">
        <v>1.2330000000000001</v>
      </c>
      <c r="F34" s="2">
        <v>1</v>
      </c>
      <c r="H34" s="2">
        <v>11</v>
      </c>
      <c r="I34" s="2">
        <v>34</v>
      </c>
      <c r="J34" s="2">
        <v>1</v>
      </c>
      <c r="K34" s="2">
        <v>0</v>
      </c>
      <c r="L34" s="2">
        <v>0.72399999999999998</v>
      </c>
      <c r="M34" s="2">
        <v>2</v>
      </c>
      <c r="N34" s="3">
        <v>4</v>
      </c>
      <c r="O34" s="3">
        <f t="shared" si="17"/>
        <v>6.9243630573248394E-2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11</v>
      </c>
      <c r="B35" s="2">
        <v>34</v>
      </c>
      <c r="C35" s="2">
        <v>1</v>
      </c>
      <c r="D35" s="2">
        <v>0</v>
      </c>
      <c r="E35" s="2">
        <v>0.72399999999999998</v>
      </c>
      <c r="F35" s="2">
        <v>2</v>
      </c>
      <c r="H35" s="2">
        <v>11</v>
      </c>
      <c r="I35" s="2">
        <v>35</v>
      </c>
      <c r="J35" s="2">
        <v>5</v>
      </c>
      <c r="K35" s="2">
        <v>1</v>
      </c>
      <c r="L35" s="2">
        <v>1.532</v>
      </c>
      <c r="M35" s="2">
        <v>1</v>
      </c>
      <c r="N35" s="3">
        <v>5</v>
      </c>
      <c r="O35" s="3">
        <f t="shared" si="17"/>
        <v>4.2396496815286615E-2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11</v>
      </c>
      <c r="B36" s="2">
        <v>35</v>
      </c>
      <c r="C36" s="2">
        <v>5</v>
      </c>
      <c r="D36" s="2">
        <v>1</v>
      </c>
      <c r="E36" s="2">
        <v>1.532</v>
      </c>
      <c r="F36" s="2">
        <v>1</v>
      </c>
      <c r="H36" s="2">
        <v>11</v>
      </c>
      <c r="I36" s="2">
        <v>36</v>
      </c>
      <c r="J36" s="2">
        <v>8</v>
      </c>
      <c r="K36" s="2">
        <v>1</v>
      </c>
      <c r="L36" s="2">
        <v>1.5469999999999999</v>
      </c>
      <c r="M36" s="2">
        <v>2</v>
      </c>
      <c r="N36" s="3">
        <v>6</v>
      </c>
      <c r="O36" s="3">
        <f t="shared" si="17"/>
        <v>5.9713375796178345E-2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11</v>
      </c>
      <c r="B37" s="2">
        <v>36</v>
      </c>
      <c r="C37" s="2">
        <v>8</v>
      </c>
      <c r="D37" s="2">
        <v>1</v>
      </c>
      <c r="E37" s="2">
        <v>1.5469999999999999</v>
      </c>
      <c r="F37" s="2">
        <v>2</v>
      </c>
      <c r="H37" s="2">
        <v>11</v>
      </c>
      <c r="I37" s="2">
        <v>37</v>
      </c>
      <c r="J37" s="2">
        <v>5</v>
      </c>
      <c r="K37" s="2">
        <v>0</v>
      </c>
      <c r="L37" s="2">
        <v>1.7529999999999999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11</v>
      </c>
      <c r="B38" s="2">
        <v>37</v>
      </c>
      <c r="C38" s="2">
        <v>5</v>
      </c>
      <c r="D38" s="2">
        <v>0</v>
      </c>
      <c r="E38" s="2">
        <v>1.7529999999999999</v>
      </c>
      <c r="F38" s="2">
        <v>2</v>
      </c>
      <c r="H38" s="2">
        <v>11</v>
      </c>
      <c r="I38" s="2">
        <v>38</v>
      </c>
      <c r="J38" s="2">
        <v>6</v>
      </c>
      <c r="K38" s="2">
        <v>1</v>
      </c>
      <c r="L38" s="2">
        <v>1.623</v>
      </c>
      <c r="M38" s="2">
        <v>1</v>
      </c>
    </row>
    <row r="39" spans="1:25" ht="14.25" customHeight="1">
      <c r="A39" s="2">
        <v>11</v>
      </c>
      <c r="B39" s="2">
        <v>38</v>
      </c>
      <c r="C39" s="2">
        <v>6</v>
      </c>
      <c r="D39" s="2">
        <v>1</v>
      </c>
      <c r="E39" s="2">
        <v>1.623</v>
      </c>
      <c r="F39" s="2">
        <v>1</v>
      </c>
      <c r="H39" s="2">
        <v>11</v>
      </c>
      <c r="I39" s="2">
        <v>39</v>
      </c>
      <c r="J39" s="2">
        <v>4</v>
      </c>
      <c r="K39" s="2">
        <v>1</v>
      </c>
      <c r="L39" s="2">
        <v>1.4350000000000001</v>
      </c>
      <c r="M39" s="2">
        <v>2</v>
      </c>
    </row>
    <row r="40" spans="1:25" ht="14.25" customHeight="1">
      <c r="A40" s="2">
        <v>11</v>
      </c>
      <c r="B40" s="2">
        <v>39</v>
      </c>
      <c r="C40" s="2">
        <v>4</v>
      </c>
      <c r="D40" s="2">
        <v>1</v>
      </c>
      <c r="E40" s="2">
        <v>1.4350000000000001</v>
      </c>
      <c r="F40" s="2">
        <v>2</v>
      </c>
      <c r="H40" s="2">
        <v>11</v>
      </c>
      <c r="I40" s="2">
        <v>40</v>
      </c>
      <c r="J40" s="2">
        <v>6</v>
      </c>
      <c r="K40" s="2">
        <v>1</v>
      </c>
      <c r="L40" s="2">
        <v>1.99</v>
      </c>
      <c r="M40" s="2">
        <v>1</v>
      </c>
    </row>
    <row r="41" spans="1:25" ht="14.25" customHeight="1">
      <c r="A41" s="2">
        <v>11</v>
      </c>
      <c r="B41" s="2">
        <v>40</v>
      </c>
      <c r="C41" s="2">
        <v>6</v>
      </c>
      <c r="D41" s="2">
        <v>1</v>
      </c>
      <c r="E41" s="2">
        <v>1.99</v>
      </c>
      <c r="F41" s="2">
        <v>1</v>
      </c>
      <c r="H41" s="2">
        <v>11</v>
      </c>
      <c r="I41" s="2">
        <v>41</v>
      </c>
      <c r="J41" s="2">
        <v>3</v>
      </c>
      <c r="K41" s="2">
        <v>0</v>
      </c>
      <c r="L41" s="2">
        <v>1.762</v>
      </c>
      <c r="M41" s="2">
        <v>2</v>
      </c>
    </row>
    <row r="42" spans="1:25" ht="14.25" customHeight="1">
      <c r="A42" s="2">
        <v>11</v>
      </c>
      <c r="B42" s="2">
        <v>41</v>
      </c>
      <c r="C42" s="2">
        <v>3</v>
      </c>
      <c r="D42" s="2">
        <v>0</v>
      </c>
      <c r="E42" s="2">
        <v>1.762</v>
      </c>
      <c r="F42" s="2">
        <v>2</v>
      </c>
      <c r="H42" s="2">
        <v>11</v>
      </c>
      <c r="I42" s="2">
        <v>42</v>
      </c>
      <c r="J42" s="2">
        <v>8</v>
      </c>
      <c r="K42" s="2">
        <v>1</v>
      </c>
      <c r="L42" s="2">
        <v>1.6639999999999999</v>
      </c>
      <c r="M42" s="2">
        <v>2</v>
      </c>
    </row>
    <row r="43" spans="1:25" ht="14.25" customHeight="1">
      <c r="A43" s="2">
        <v>11</v>
      </c>
      <c r="B43" s="2">
        <v>42</v>
      </c>
      <c r="C43" s="2">
        <v>8</v>
      </c>
      <c r="D43" s="2">
        <v>1</v>
      </c>
      <c r="E43" s="2">
        <v>1.6639999999999999</v>
      </c>
      <c r="F43" s="2">
        <v>2</v>
      </c>
      <c r="H43" s="2">
        <v>11</v>
      </c>
      <c r="I43" s="2">
        <v>43</v>
      </c>
      <c r="J43" s="2">
        <v>7</v>
      </c>
      <c r="K43" s="2">
        <v>1</v>
      </c>
      <c r="L43" s="2">
        <v>0.92300000000000004</v>
      </c>
      <c r="M43" s="2">
        <v>2</v>
      </c>
    </row>
    <row r="44" spans="1:25" ht="14.25" customHeight="1">
      <c r="A44" s="2">
        <v>11</v>
      </c>
      <c r="B44" s="2">
        <v>43</v>
      </c>
      <c r="C44" s="2">
        <v>7</v>
      </c>
      <c r="D44" s="2">
        <v>1</v>
      </c>
      <c r="E44" s="2">
        <v>0.92300000000000004</v>
      </c>
      <c r="F44" s="2">
        <v>2</v>
      </c>
      <c r="H44" s="2">
        <v>11</v>
      </c>
      <c r="I44" s="2">
        <v>44</v>
      </c>
      <c r="J44" s="2">
        <v>1</v>
      </c>
      <c r="K44" s="2">
        <v>1</v>
      </c>
      <c r="L44" s="2">
        <v>1.3939999999999999</v>
      </c>
      <c r="M44" s="2">
        <v>1</v>
      </c>
    </row>
    <row r="45" spans="1:25" ht="14.25" customHeight="1">
      <c r="A45" s="2">
        <v>11</v>
      </c>
      <c r="B45" s="2">
        <v>44</v>
      </c>
      <c r="C45" s="2">
        <v>1</v>
      </c>
      <c r="D45" s="2">
        <v>1</v>
      </c>
      <c r="E45" s="2">
        <v>1.3939999999999999</v>
      </c>
      <c r="F45" s="2">
        <v>1</v>
      </c>
      <c r="H45" s="2">
        <v>11</v>
      </c>
      <c r="I45" s="2">
        <v>45</v>
      </c>
      <c r="J45" s="2">
        <v>6</v>
      </c>
      <c r="K45" s="2">
        <v>0</v>
      </c>
      <c r="L45" s="2">
        <v>1.486</v>
      </c>
      <c r="M45" s="2">
        <v>2</v>
      </c>
    </row>
    <row r="46" spans="1:25" ht="14.25" customHeight="1">
      <c r="A46" s="2">
        <v>11</v>
      </c>
      <c r="B46" s="2">
        <v>45</v>
      </c>
      <c r="C46" s="2">
        <v>6</v>
      </c>
      <c r="D46" s="2">
        <v>0</v>
      </c>
      <c r="E46" s="2">
        <v>1.486</v>
      </c>
      <c r="F46" s="2">
        <v>2</v>
      </c>
      <c r="H46" s="2">
        <v>11</v>
      </c>
      <c r="I46" s="2">
        <v>46</v>
      </c>
      <c r="J46" s="2">
        <v>8</v>
      </c>
      <c r="L46" s="2">
        <v>2</v>
      </c>
    </row>
    <row r="47" spans="1:25" ht="14.25" customHeight="1">
      <c r="A47" s="2">
        <v>11</v>
      </c>
      <c r="B47" s="2">
        <v>46</v>
      </c>
      <c r="C47" s="2">
        <v>8</v>
      </c>
      <c r="E47" s="2">
        <v>2</v>
      </c>
      <c r="H47" s="2">
        <v>11</v>
      </c>
      <c r="I47" s="2">
        <v>47</v>
      </c>
      <c r="J47" s="2">
        <v>1</v>
      </c>
      <c r="K47" s="2">
        <v>0</v>
      </c>
      <c r="L47" s="2">
        <v>1.036</v>
      </c>
      <c r="M47" s="2">
        <v>2</v>
      </c>
    </row>
    <row r="48" spans="1:25" ht="14.25" customHeight="1">
      <c r="A48" s="2">
        <v>11</v>
      </c>
      <c r="B48" s="2">
        <v>47</v>
      </c>
      <c r="C48" s="2">
        <v>1</v>
      </c>
      <c r="D48" s="2">
        <v>0</v>
      </c>
      <c r="E48" s="2">
        <v>1.036</v>
      </c>
      <c r="F48" s="2">
        <v>2</v>
      </c>
      <c r="H48" s="2">
        <v>11</v>
      </c>
      <c r="I48" s="2">
        <v>48</v>
      </c>
      <c r="J48" s="2">
        <v>6</v>
      </c>
      <c r="K48" s="2">
        <v>1</v>
      </c>
      <c r="L48" s="2">
        <v>1.75</v>
      </c>
      <c r="M48" s="2">
        <v>1</v>
      </c>
    </row>
    <row r="49" spans="1:13" ht="14.25" customHeight="1">
      <c r="A49" s="2">
        <v>11</v>
      </c>
      <c r="B49" s="2">
        <v>48</v>
      </c>
      <c r="C49" s="2">
        <v>6</v>
      </c>
      <c r="D49" s="2">
        <v>1</v>
      </c>
      <c r="E49" s="2">
        <v>1.75</v>
      </c>
      <c r="F49" s="2">
        <v>1</v>
      </c>
      <c r="H49" s="2">
        <v>11</v>
      </c>
      <c r="I49" s="2">
        <v>49</v>
      </c>
      <c r="J49" s="2">
        <v>2</v>
      </c>
      <c r="K49" s="2">
        <v>0</v>
      </c>
      <c r="L49" s="2">
        <v>1.9490000000000001</v>
      </c>
      <c r="M49" s="2">
        <v>1</v>
      </c>
    </row>
    <row r="50" spans="1:13" ht="14.25" customHeight="1">
      <c r="A50" s="2">
        <v>11</v>
      </c>
      <c r="B50" s="2">
        <v>49</v>
      </c>
      <c r="C50" s="2">
        <v>2</v>
      </c>
      <c r="D50" s="2">
        <v>0</v>
      </c>
      <c r="E50" s="2">
        <v>1.9490000000000001</v>
      </c>
      <c r="F50" s="2">
        <v>1</v>
      </c>
      <c r="H50" s="2">
        <v>11</v>
      </c>
      <c r="I50" s="2">
        <v>50</v>
      </c>
      <c r="J50" s="2">
        <v>3</v>
      </c>
      <c r="K50" s="2">
        <v>0</v>
      </c>
      <c r="L50" s="2">
        <v>1.1950000000000001</v>
      </c>
      <c r="M50" s="2">
        <v>2</v>
      </c>
    </row>
    <row r="51" spans="1:13" ht="14.25" customHeight="1">
      <c r="A51" s="2">
        <v>11</v>
      </c>
      <c r="B51" s="2">
        <v>50</v>
      </c>
      <c r="C51" s="2">
        <v>3</v>
      </c>
      <c r="D51" s="2">
        <v>0</v>
      </c>
      <c r="E51" s="2">
        <v>1.1950000000000001</v>
      </c>
      <c r="F51" s="2">
        <v>2</v>
      </c>
      <c r="H51" s="2">
        <v>11</v>
      </c>
      <c r="I51" s="2">
        <v>51</v>
      </c>
      <c r="J51" s="2">
        <v>2</v>
      </c>
      <c r="K51" s="2">
        <v>1</v>
      </c>
      <c r="L51" s="2">
        <v>1.391</v>
      </c>
      <c r="M51" s="2">
        <v>1</v>
      </c>
    </row>
    <row r="52" spans="1:13" ht="14.25" customHeight="1">
      <c r="A52" s="2">
        <v>11</v>
      </c>
      <c r="B52" s="2">
        <v>51</v>
      </c>
      <c r="C52" s="2">
        <v>2</v>
      </c>
      <c r="D52" s="2">
        <v>1</v>
      </c>
      <c r="E52" s="2">
        <v>1.391</v>
      </c>
      <c r="F52" s="2">
        <v>1</v>
      </c>
      <c r="H52" s="2">
        <v>11</v>
      </c>
      <c r="I52" s="2">
        <v>52</v>
      </c>
      <c r="J52" s="2">
        <v>4</v>
      </c>
      <c r="K52" s="2">
        <v>0</v>
      </c>
      <c r="L52" s="2">
        <v>1.276</v>
      </c>
      <c r="M52" s="2">
        <v>2</v>
      </c>
    </row>
    <row r="53" spans="1:13" ht="14.25" customHeight="1">
      <c r="A53" s="2">
        <v>11</v>
      </c>
      <c r="B53" s="2">
        <v>52</v>
      </c>
      <c r="C53" s="2">
        <v>4</v>
      </c>
      <c r="D53" s="2">
        <v>0</v>
      </c>
      <c r="E53" s="2">
        <v>1.276</v>
      </c>
      <c r="F53" s="2">
        <v>2</v>
      </c>
      <c r="H53" s="2">
        <v>11</v>
      </c>
      <c r="I53" s="2">
        <v>53</v>
      </c>
      <c r="J53" s="2">
        <v>2</v>
      </c>
      <c r="K53" s="2">
        <v>1</v>
      </c>
      <c r="L53" s="2">
        <v>0.85299999999999998</v>
      </c>
      <c r="M53" s="2">
        <v>2</v>
      </c>
    </row>
    <row r="54" spans="1:13" ht="14.25" customHeight="1">
      <c r="A54" s="2">
        <v>11</v>
      </c>
      <c r="B54" s="2">
        <v>53</v>
      </c>
      <c r="C54" s="2">
        <v>2</v>
      </c>
      <c r="D54" s="2">
        <v>1</v>
      </c>
      <c r="E54" s="2">
        <v>0.85299999999999998</v>
      </c>
      <c r="F54" s="2">
        <v>2</v>
      </c>
      <c r="H54" s="2">
        <v>11</v>
      </c>
      <c r="I54" s="2">
        <v>54</v>
      </c>
      <c r="J54" s="2">
        <v>5</v>
      </c>
      <c r="K54" s="2">
        <v>0</v>
      </c>
      <c r="L54" s="2">
        <v>0.91100000000000003</v>
      </c>
      <c r="M54" s="2">
        <v>2</v>
      </c>
    </row>
    <row r="55" spans="1:13" ht="14.25" customHeight="1">
      <c r="A55" s="2">
        <v>11</v>
      </c>
      <c r="B55" s="2">
        <v>54</v>
      </c>
      <c r="C55" s="2">
        <v>5</v>
      </c>
      <c r="D55" s="2">
        <v>0</v>
      </c>
      <c r="E55" s="2">
        <v>0.91100000000000003</v>
      </c>
      <c r="F55" s="2">
        <v>2</v>
      </c>
      <c r="H55" s="2">
        <v>11</v>
      </c>
      <c r="I55" s="2">
        <v>55</v>
      </c>
      <c r="J55" s="2">
        <v>3</v>
      </c>
      <c r="K55" s="2">
        <v>1</v>
      </c>
      <c r="L55" s="2">
        <v>1.2709999999999999</v>
      </c>
      <c r="M55" s="2">
        <v>2</v>
      </c>
    </row>
    <row r="56" spans="1:13" ht="14.25" customHeight="1">
      <c r="A56" s="2">
        <v>11</v>
      </c>
      <c r="B56" s="2">
        <v>55</v>
      </c>
      <c r="C56" s="2">
        <v>3</v>
      </c>
      <c r="D56" s="2">
        <v>1</v>
      </c>
      <c r="E56" s="2">
        <v>1.2709999999999999</v>
      </c>
      <c r="F56" s="2">
        <v>2</v>
      </c>
      <c r="H56" s="2">
        <v>11</v>
      </c>
      <c r="I56" s="2">
        <v>56</v>
      </c>
      <c r="J56" s="2">
        <v>6</v>
      </c>
      <c r="K56" s="2">
        <v>1</v>
      </c>
      <c r="L56" s="2">
        <v>1</v>
      </c>
      <c r="M56" s="2">
        <v>2</v>
      </c>
    </row>
    <row r="57" spans="1:13" ht="14.25" customHeight="1">
      <c r="A57" s="2">
        <v>11</v>
      </c>
      <c r="B57" s="2">
        <v>56</v>
      </c>
      <c r="C57" s="2">
        <v>6</v>
      </c>
      <c r="D57" s="2">
        <v>1</v>
      </c>
      <c r="E57" s="2">
        <v>1</v>
      </c>
      <c r="F57" s="2">
        <v>2</v>
      </c>
      <c r="H57" s="2">
        <v>11</v>
      </c>
      <c r="I57" s="2">
        <v>57</v>
      </c>
      <c r="J57" s="2">
        <v>1</v>
      </c>
      <c r="K57" s="2">
        <v>1</v>
      </c>
      <c r="L57" s="2">
        <v>1.9650000000000001</v>
      </c>
      <c r="M57" s="2">
        <v>1</v>
      </c>
    </row>
    <row r="58" spans="1:13" ht="14.25" customHeight="1">
      <c r="A58" s="2">
        <v>11</v>
      </c>
      <c r="B58" s="2">
        <v>57</v>
      </c>
      <c r="C58" s="2">
        <v>1</v>
      </c>
      <c r="D58" s="2">
        <v>1</v>
      </c>
      <c r="E58" s="2">
        <v>1.9650000000000001</v>
      </c>
      <c r="F58" s="2">
        <v>1</v>
      </c>
      <c r="H58" s="2">
        <v>11</v>
      </c>
      <c r="I58" s="2">
        <v>58</v>
      </c>
      <c r="J58" s="2">
        <v>4</v>
      </c>
      <c r="L58" s="2">
        <v>2</v>
      </c>
    </row>
    <row r="59" spans="1:13" ht="14.25" customHeight="1">
      <c r="A59" s="2">
        <v>11</v>
      </c>
      <c r="B59" s="2">
        <v>58</v>
      </c>
      <c r="C59" s="2">
        <v>4</v>
      </c>
      <c r="E59" s="2">
        <v>2</v>
      </c>
      <c r="H59" s="2">
        <v>11</v>
      </c>
      <c r="I59" s="2">
        <v>59</v>
      </c>
      <c r="J59" s="2">
        <v>5</v>
      </c>
      <c r="K59" s="2">
        <v>1</v>
      </c>
      <c r="L59" s="2">
        <v>1.44</v>
      </c>
      <c r="M59" s="2">
        <v>1</v>
      </c>
    </row>
    <row r="60" spans="1:13" ht="14.25" customHeight="1">
      <c r="A60" s="2">
        <v>11</v>
      </c>
      <c r="B60" s="2">
        <v>59</v>
      </c>
      <c r="C60" s="2">
        <v>5</v>
      </c>
      <c r="D60" s="2">
        <v>1</v>
      </c>
      <c r="E60" s="2">
        <v>1.44</v>
      </c>
      <c r="F60" s="2">
        <v>1</v>
      </c>
      <c r="H60" s="2">
        <v>11</v>
      </c>
      <c r="I60" s="2">
        <v>60</v>
      </c>
      <c r="J60" s="2">
        <v>8</v>
      </c>
      <c r="K60" s="2">
        <v>0</v>
      </c>
      <c r="L60" s="2">
        <v>1.179</v>
      </c>
      <c r="M60" s="2">
        <v>2</v>
      </c>
    </row>
    <row r="61" spans="1:13" ht="14.25" customHeight="1">
      <c r="A61" s="2">
        <v>11</v>
      </c>
      <c r="B61" s="2">
        <v>60</v>
      </c>
      <c r="C61" s="2">
        <v>8</v>
      </c>
      <c r="D61" s="2">
        <v>0</v>
      </c>
      <c r="E61" s="2">
        <v>1.179</v>
      </c>
      <c r="F61" s="2">
        <v>2</v>
      </c>
      <c r="H61" s="2">
        <v>11</v>
      </c>
      <c r="I61" s="2">
        <v>61</v>
      </c>
      <c r="J61" s="2">
        <v>6</v>
      </c>
      <c r="K61" s="2">
        <v>1</v>
      </c>
      <c r="L61" s="2">
        <v>1.0549999999999999</v>
      </c>
      <c r="M61" s="2">
        <v>2</v>
      </c>
    </row>
    <row r="62" spans="1:13" ht="14.25" customHeight="1">
      <c r="A62" s="2">
        <v>11</v>
      </c>
      <c r="B62" s="2">
        <v>61</v>
      </c>
      <c r="C62" s="2">
        <v>6</v>
      </c>
      <c r="D62" s="2">
        <v>1</v>
      </c>
      <c r="E62" s="2">
        <v>1.0549999999999999</v>
      </c>
      <c r="F62" s="2">
        <v>2</v>
      </c>
      <c r="H62" s="2">
        <v>11</v>
      </c>
      <c r="I62" s="2">
        <v>62</v>
      </c>
      <c r="J62" s="2">
        <v>1</v>
      </c>
      <c r="K62" s="2">
        <v>1</v>
      </c>
      <c r="L62" s="2">
        <v>1.649</v>
      </c>
      <c r="M62" s="2">
        <v>1</v>
      </c>
    </row>
    <row r="63" spans="1:13" ht="14.25" customHeight="1">
      <c r="A63" s="2">
        <v>11</v>
      </c>
      <c r="B63" s="2">
        <v>62</v>
      </c>
      <c r="C63" s="2">
        <v>1</v>
      </c>
      <c r="D63" s="2">
        <v>1</v>
      </c>
      <c r="E63" s="2">
        <v>1.649</v>
      </c>
      <c r="F63" s="2">
        <v>1</v>
      </c>
      <c r="H63" s="2">
        <v>11</v>
      </c>
      <c r="I63" s="2">
        <v>63</v>
      </c>
      <c r="J63" s="2">
        <v>5</v>
      </c>
      <c r="K63" s="2">
        <v>1</v>
      </c>
      <c r="L63" s="2">
        <v>0.9</v>
      </c>
      <c r="M63" s="2">
        <v>2</v>
      </c>
    </row>
    <row r="64" spans="1:13" ht="14.25" customHeight="1">
      <c r="A64" s="2">
        <v>11</v>
      </c>
      <c r="B64" s="2">
        <v>63</v>
      </c>
      <c r="C64" s="2">
        <v>5</v>
      </c>
      <c r="D64" s="2">
        <v>1</v>
      </c>
      <c r="E64" s="2">
        <v>0.9</v>
      </c>
      <c r="F64" s="2">
        <v>2</v>
      </c>
      <c r="H64" s="2">
        <v>11</v>
      </c>
      <c r="I64" s="2">
        <v>64</v>
      </c>
      <c r="J64" s="2">
        <v>8</v>
      </c>
      <c r="K64" s="2">
        <v>1</v>
      </c>
      <c r="L64" s="2">
        <v>1.5409999999999999</v>
      </c>
      <c r="M64" s="2">
        <v>1</v>
      </c>
    </row>
    <row r="65" spans="1:13" ht="14.25" customHeight="1">
      <c r="A65" s="2">
        <v>11</v>
      </c>
      <c r="B65" s="2">
        <v>64</v>
      </c>
      <c r="C65" s="2">
        <v>8</v>
      </c>
      <c r="D65" s="2">
        <v>1</v>
      </c>
      <c r="E65" s="2">
        <v>1.5409999999999999</v>
      </c>
      <c r="F65" s="2">
        <v>1</v>
      </c>
      <c r="H65" s="2">
        <v>11</v>
      </c>
      <c r="I65" s="2">
        <v>65</v>
      </c>
      <c r="J65" s="2">
        <v>5</v>
      </c>
      <c r="K65" s="2">
        <v>1</v>
      </c>
      <c r="L65" s="2">
        <v>1.5549999999999999</v>
      </c>
      <c r="M65" s="2">
        <v>2</v>
      </c>
    </row>
    <row r="66" spans="1:13" ht="14.25" customHeight="1">
      <c r="A66" s="2">
        <v>11</v>
      </c>
      <c r="B66" s="2">
        <v>65</v>
      </c>
      <c r="C66" s="2">
        <v>5</v>
      </c>
      <c r="D66" s="2">
        <v>1</v>
      </c>
      <c r="E66" s="2">
        <v>1.5549999999999999</v>
      </c>
      <c r="F66" s="2">
        <v>2</v>
      </c>
      <c r="H66" s="2">
        <v>11</v>
      </c>
      <c r="I66" s="2">
        <v>66</v>
      </c>
      <c r="J66" s="2">
        <v>3</v>
      </c>
      <c r="K66" s="2">
        <v>1</v>
      </c>
      <c r="L66" s="2">
        <v>0.57699999999999996</v>
      </c>
      <c r="M66" s="2">
        <v>2</v>
      </c>
    </row>
    <row r="67" spans="1:13" ht="14.25" customHeight="1">
      <c r="A67" s="2">
        <v>11</v>
      </c>
      <c r="B67" s="2">
        <v>66</v>
      </c>
      <c r="C67" s="2">
        <v>3</v>
      </c>
      <c r="D67" s="2">
        <v>1</v>
      </c>
      <c r="E67" s="2">
        <v>0.57699999999999996</v>
      </c>
      <c r="F67" s="2">
        <v>2</v>
      </c>
      <c r="H67" s="2">
        <v>11</v>
      </c>
      <c r="I67" s="2">
        <v>67</v>
      </c>
      <c r="J67" s="2">
        <v>1</v>
      </c>
      <c r="K67" s="2">
        <v>1</v>
      </c>
      <c r="L67" s="2">
        <v>0.81399999999999995</v>
      </c>
      <c r="M67" s="2">
        <v>2</v>
      </c>
    </row>
    <row r="68" spans="1:13" ht="14.25" customHeight="1">
      <c r="A68" s="2">
        <v>11</v>
      </c>
      <c r="B68" s="2">
        <v>67</v>
      </c>
      <c r="C68" s="2">
        <v>1</v>
      </c>
      <c r="D68" s="2">
        <v>1</v>
      </c>
      <c r="E68" s="2">
        <v>0.81399999999999995</v>
      </c>
      <c r="F68" s="2">
        <v>2</v>
      </c>
      <c r="H68" s="2">
        <v>11</v>
      </c>
      <c r="I68" s="2">
        <v>68</v>
      </c>
      <c r="J68" s="2">
        <v>7</v>
      </c>
      <c r="K68" s="2">
        <v>1</v>
      </c>
      <c r="L68" s="2">
        <v>0.76200000000000001</v>
      </c>
      <c r="M68" s="2">
        <v>1</v>
      </c>
    </row>
    <row r="69" spans="1:13" ht="14.25" customHeight="1">
      <c r="A69" s="2">
        <v>11</v>
      </c>
      <c r="B69" s="2">
        <v>68</v>
      </c>
      <c r="C69" s="2">
        <v>7</v>
      </c>
      <c r="D69" s="2">
        <v>1</v>
      </c>
      <c r="E69" s="2">
        <v>0.76200000000000001</v>
      </c>
      <c r="F69" s="2">
        <v>1</v>
      </c>
      <c r="H69" s="2">
        <v>11</v>
      </c>
      <c r="I69" s="2">
        <v>69</v>
      </c>
      <c r="J69" s="2">
        <v>3</v>
      </c>
      <c r="K69" s="2">
        <v>1</v>
      </c>
      <c r="L69" s="2">
        <v>1.032</v>
      </c>
      <c r="M69" s="2">
        <v>2</v>
      </c>
    </row>
    <row r="70" spans="1:13" ht="14.25" customHeight="1">
      <c r="A70" s="2">
        <v>11</v>
      </c>
      <c r="B70" s="2">
        <v>69</v>
      </c>
      <c r="C70" s="2">
        <v>3</v>
      </c>
      <c r="D70" s="2">
        <v>1</v>
      </c>
      <c r="E70" s="2">
        <v>1.032</v>
      </c>
      <c r="F70" s="2">
        <v>2</v>
      </c>
      <c r="H70" s="2">
        <v>11</v>
      </c>
      <c r="I70" s="2">
        <v>70</v>
      </c>
      <c r="J70" s="2">
        <v>2</v>
      </c>
      <c r="K70" s="2">
        <v>1</v>
      </c>
      <c r="L70" s="2">
        <v>0.82</v>
      </c>
      <c r="M70" s="2">
        <v>1</v>
      </c>
    </row>
    <row r="71" spans="1:13" ht="14.25" customHeight="1">
      <c r="A71" s="2">
        <v>11</v>
      </c>
      <c r="B71" s="2">
        <v>70</v>
      </c>
      <c r="C71" s="2">
        <v>2</v>
      </c>
      <c r="D71" s="2">
        <v>1</v>
      </c>
      <c r="E71" s="2">
        <v>0.82</v>
      </c>
      <c r="F71" s="2">
        <v>1</v>
      </c>
      <c r="H71" s="2">
        <v>11</v>
      </c>
      <c r="I71" s="2">
        <v>71</v>
      </c>
      <c r="J71" s="2">
        <v>1</v>
      </c>
      <c r="K71" s="2">
        <v>1</v>
      </c>
      <c r="L71" s="2">
        <v>0.84699999999999998</v>
      </c>
      <c r="M71" s="2">
        <v>2</v>
      </c>
    </row>
    <row r="72" spans="1:13" ht="14.25" customHeight="1">
      <c r="A72" s="2">
        <v>11</v>
      </c>
      <c r="B72" s="2">
        <v>71</v>
      </c>
      <c r="C72" s="2">
        <v>1</v>
      </c>
      <c r="D72" s="2">
        <v>1</v>
      </c>
      <c r="E72" s="2">
        <v>0.84699999999999998</v>
      </c>
      <c r="F72" s="2">
        <v>2</v>
      </c>
      <c r="H72" s="2">
        <v>11</v>
      </c>
      <c r="I72" s="2">
        <v>72</v>
      </c>
      <c r="J72" s="2">
        <v>4</v>
      </c>
      <c r="K72" s="2">
        <v>1</v>
      </c>
      <c r="L72" s="2">
        <v>1.4419999999999999</v>
      </c>
      <c r="M72" s="2">
        <v>2</v>
      </c>
    </row>
    <row r="73" spans="1:13" ht="14.25" customHeight="1">
      <c r="A73" s="2">
        <v>11</v>
      </c>
      <c r="B73" s="2">
        <v>72</v>
      </c>
      <c r="C73" s="2">
        <v>4</v>
      </c>
      <c r="D73" s="2">
        <v>1</v>
      </c>
      <c r="E73" s="2">
        <v>1.4419999999999999</v>
      </c>
      <c r="F73" s="2">
        <v>2</v>
      </c>
      <c r="H73" s="2">
        <v>11</v>
      </c>
      <c r="I73" s="2">
        <v>73</v>
      </c>
      <c r="J73" s="2">
        <v>7</v>
      </c>
      <c r="K73" s="2">
        <v>1</v>
      </c>
      <c r="L73" s="2">
        <v>0.76400000000000001</v>
      </c>
      <c r="M73" s="2">
        <v>2</v>
      </c>
    </row>
    <row r="74" spans="1:13" ht="14.25" customHeight="1">
      <c r="A74" s="2">
        <v>11</v>
      </c>
      <c r="B74" s="2">
        <v>73</v>
      </c>
      <c r="C74" s="2">
        <v>7</v>
      </c>
      <c r="D74" s="2">
        <v>1</v>
      </c>
      <c r="E74" s="2">
        <v>0.76400000000000001</v>
      </c>
      <c r="F74" s="2">
        <v>2</v>
      </c>
      <c r="H74" s="2">
        <v>11</v>
      </c>
      <c r="I74" s="2">
        <v>74</v>
      </c>
      <c r="J74" s="2">
        <v>3</v>
      </c>
      <c r="K74" s="2">
        <v>1</v>
      </c>
      <c r="L74" s="2">
        <v>0.875</v>
      </c>
      <c r="M74" s="2">
        <v>1</v>
      </c>
    </row>
    <row r="75" spans="1:13" ht="14.25" customHeight="1">
      <c r="A75" s="2">
        <v>11</v>
      </c>
      <c r="B75" s="2">
        <v>74</v>
      </c>
      <c r="C75" s="2">
        <v>3</v>
      </c>
      <c r="D75" s="2">
        <v>1</v>
      </c>
      <c r="E75" s="2">
        <v>0.875</v>
      </c>
      <c r="F75" s="2">
        <v>1</v>
      </c>
      <c r="H75" s="2">
        <v>11</v>
      </c>
      <c r="I75" s="2">
        <v>75</v>
      </c>
      <c r="J75" s="2">
        <v>6</v>
      </c>
      <c r="K75" s="2">
        <v>1</v>
      </c>
      <c r="L75" s="2">
        <v>0.91600000000000004</v>
      </c>
      <c r="M75" s="2">
        <v>2</v>
      </c>
    </row>
    <row r="76" spans="1:13" ht="14.25" customHeight="1">
      <c r="A76" s="2">
        <v>11</v>
      </c>
      <c r="B76" s="2">
        <v>75</v>
      </c>
      <c r="C76" s="2">
        <v>6</v>
      </c>
      <c r="D76" s="2">
        <v>1</v>
      </c>
      <c r="E76" s="2">
        <v>0.91600000000000004</v>
      </c>
      <c r="F76" s="2">
        <v>2</v>
      </c>
      <c r="H76" s="2">
        <v>11</v>
      </c>
      <c r="I76" s="2">
        <v>76</v>
      </c>
      <c r="J76" s="2">
        <v>7</v>
      </c>
      <c r="K76" s="2">
        <v>1</v>
      </c>
      <c r="L76" s="2">
        <v>1.411</v>
      </c>
      <c r="M76" s="2">
        <v>2</v>
      </c>
    </row>
    <row r="77" spans="1:13" ht="14.25" customHeight="1">
      <c r="A77" s="2">
        <v>11</v>
      </c>
      <c r="B77" s="2">
        <v>76</v>
      </c>
      <c r="C77" s="2">
        <v>7</v>
      </c>
      <c r="D77" s="2">
        <v>1</v>
      </c>
      <c r="E77" s="2">
        <v>1.411</v>
      </c>
      <c r="F77" s="2">
        <v>2</v>
      </c>
      <c r="H77" s="2">
        <v>11</v>
      </c>
      <c r="I77" s="2">
        <v>77</v>
      </c>
      <c r="J77" s="2">
        <v>4</v>
      </c>
      <c r="K77" s="2">
        <v>1</v>
      </c>
      <c r="L77" s="2">
        <v>0.96799999999999997</v>
      </c>
      <c r="M77" s="2">
        <v>1</v>
      </c>
    </row>
    <row r="78" spans="1:13" ht="14.25" customHeight="1">
      <c r="A78" s="2">
        <v>11</v>
      </c>
      <c r="B78" s="2">
        <v>77</v>
      </c>
      <c r="C78" s="2">
        <v>4</v>
      </c>
      <c r="D78" s="2">
        <v>1</v>
      </c>
      <c r="E78" s="2">
        <v>0.96799999999999997</v>
      </c>
      <c r="F78" s="2">
        <v>1</v>
      </c>
      <c r="H78" s="2">
        <v>11</v>
      </c>
      <c r="I78" s="2">
        <v>78</v>
      </c>
      <c r="J78" s="2">
        <v>6</v>
      </c>
      <c r="K78" s="2">
        <v>1</v>
      </c>
      <c r="L78" s="2">
        <v>0.79700000000000004</v>
      </c>
      <c r="M78" s="2">
        <v>2</v>
      </c>
    </row>
    <row r="79" spans="1:13" ht="14.25" customHeight="1">
      <c r="A79" s="2">
        <v>11</v>
      </c>
      <c r="B79" s="2">
        <v>78</v>
      </c>
      <c r="C79" s="2">
        <v>6</v>
      </c>
      <c r="D79" s="2">
        <v>1</v>
      </c>
      <c r="E79" s="2">
        <v>0.79700000000000004</v>
      </c>
      <c r="F79" s="2">
        <v>2</v>
      </c>
      <c r="H79" s="2">
        <v>11</v>
      </c>
      <c r="I79" s="2">
        <v>79</v>
      </c>
      <c r="J79" s="2">
        <v>1</v>
      </c>
      <c r="K79" s="2">
        <v>1</v>
      </c>
      <c r="L79" s="2">
        <v>0.98599999999999999</v>
      </c>
      <c r="M79" s="2">
        <v>1</v>
      </c>
    </row>
    <row r="80" spans="1:13" ht="14.25" customHeight="1">
      <c r="A80" s="2">
        <v>11</v>
      </c>
      <c r="B80" s="2">
        <v>79</v>
      </c>
      <c r="C80" s="2">
        <v>1</v>
      </c>
      <c r="D80" s="2">
        <v>1</v>
      </c>
      <c r="E80" s="2">
        <v>0.98599999999999999</v>
      </c>
      <c r="F80" s="2">
        <v>1</v>
      </c>
      <c r="H80" s="2">
        <v>11</v>
      </c>
      <c r="I80" s="2">
        <v>80</v>
      </c>
      <c r="J80" s="2">
        <v>6</v>
      </c>
      <c r="K80" s="2">
        <v>1</v>
      </c>
      <c r="L80" s="2">
        <v>0.83</v>
      </c>
      <c r="M80" s="2">
        <v>2</v>
      </c>
    </row>
    <row r="81" spans="1:13" ht="14.25" customHeight="1">
      <c r="A81" s="2">
        <v>11</v>
      </c>
      <c r="B81" s="2">
        <v>80</v>
      </c>
      <c r="C81" s="2">
        <v>6</v>
      </c>
      <c r="D81" s="2">
        <v>1</v>
      </c>
      <c r="E81" s="2">
        <v>0.83</v>
      </c>
      <c r="F81" s="2">
        <v>2</v>
      </c>
      <c r="H81" s="2">
        <v>11</v>
      </c>
      <c r="I81" s="2">
        <v>81</v>
      </c>
      <c r="J81" s="2">
        <v>7</v>
      </c>
      <c r="K81" s="2">
        <v>1</v>
      </c>
      <c r="L81" s="2">
        <v>1.4570000000000001</v>
      </c>
      <c r="M81" s="2">
        <v>2</v>
      </c>
    </row>
    <row r="82" spans="1:13" ht="14.25" customHeight="1">
      <c r="A82" s="2">
        <v>11</v>
      </c>
      <c r="B82" s="2">
        <v>81</v>
      </c>
      <c r="C82" s="2">
        <v>7</v>
      </c>
      <c r="D82" s="2">
        <v>1</v>
      </c>
      <c r="E82" s="2">
        <v>1.4570000000000001</v>
      </c>
      <c r="F82" s="2">
        <v>2</v>
      </c>
      <c r="H82" s="2">
        <v>11</v>
      </c>
      <c r="I82" s="2">
        <v>82</v>
      </c>
      <c r="J82" s="2">
        <v>8</v>
      </c>
      <c r="K82" s="2">
        <v>1</v>
      </c>
      <c r="L82" s="2">
        <v>1.0189999999999999</v>
      </c>
      <c r="M82" s="2">
        <v>2</v>
      </c>
    </row>
    <row r="83" spans="1:13" ht="14.25" customHeight="1">
      <c r="A83" s="2">
        <v>11</v>
      </c>
      <c r="B83" s="2">
        <v>82</v>
      </c>
      <c r="C83" s="2">
        <v>8</v>
      </c>
      <c r="D83" s="2">
        <v>1</v>
      </c>
      <c r="E83" s="2">
        <v>1.0189999999999999</v>
      </c>
      <c r="F83" s="2">
        <v>2</v>
      </c>
      <c r="H83" s="2">
        <v>11</v>
      </c>
      <c r="I83" s="2">
        <v>83</v>
      </c>
      <c r="J83" s="2">
        <v>2</v>
      </c>
      <c r="K83" s="2">
        <v>1</v>
      </c>
      <c r="L83" s="2">
        <v>1.264</v>
      </c>
      <c r="M83" s="2">
        <v>1</v>
      </c>
    </row>
    <row r="84" spans="1:13" ht="14.25" customHeight="1">
      <c r="A84" s="2">
        <v>11</v>
      </c>
      <c r="B84" s="2">
        <v>83</v>
      </c>
      <c r="C84" s="2">
        <v>2</v>
      </c>
      <c r="D84" s="2">
        <v>1</v>
      </c>
      <c r="E84" s="2">
        <v>1.264</v>
      </c>
      <c r="F84" s="2">
        <v>1</v>
      </c>
      <c r="H84" s="2">
        <v>11</v>
      </c>
      <c r="I84" s="2">
        <v>84</v>
      </c>
      <c r="J84" s="2">
        <v>3</v>
      </c>
      <c r="K84" s="2">
        <v>1</v>
      </c>
      <c r="L84" s="2">
        <v>1.0580000000000001</v>
      </c>
      <c r="M84" s="2">
        <v>1</v>
      </c>
    </row>
    <row r="85" spans="1:13" ht="14.25" customHeight="1">
      <c r="A85" s="2">
        <v>11</v>
      </c>
      <c r="B85" s="2">
        <v>84</v>
      </c>
      <c r="C85" s="2">
        <v>3</v>
      </c>
      <c r="D85" s="2">
        <v>1</v>
      </c>
      <c r="E85" s="2">
        <v>1.0580000000000001</v>
      </c>
      <c r="F85" s="2">
        <v>1</v>
      </c>
      <c r="H85" s="2">
        <v>11</v>
      </c>
      <c r="I85" s="2">
        <v>85</v>
      </c>
      <c r="J85" s="2">
        <v>4</v>
      </c>
      <c r="K85" s="2">
        <v>1</v>
      </c>
      <c r="L85" s="2">
        <v>1.667</v>
      </c>
      <c r="M85" s="2">
        <v>1</v>
      </c>
    </row>
    <row r="86" spans="1:13" ht="14.25" customHeight="1">
      <c r="A86" s="2">
        <v>11</v>
      </c>
      <c r="B86" s="2">
        <v>85</v>
      </c>
      <c r="C86" s="2">
        <v>4</v>
      </c>
      <c r="D86" s="2">
        <v>1</v>
      </c>
      <c r="E86" s="2">
        <v>1.667</v>
      </c>
      <c r="F86" s="2">
        <v>1</v>
      </c>
      <c r="H86" s="2">
        <v>11</v>
      </c>
      <c r="I86" s="2">
        <v>86</v>
      </c>
      <c r="J86" s="2">
        <v>6</v>
      </c>
      <c r="K86" s="2">
        <v>1</v>
      </c>
      <c r="L86" s="2">
        <v>0.69399999999999995</v>
      </c>
      <c r="M86" s="2">
        <v>2</v>
      </c>
    </row>
    <row r="87" spans="1:13" ht="14.25" customHeight="1">
      <c r="A87" s="2">
        <v>11</v>
      </c>
      <c r="B87" s="2">
        <v>86</v>
      </c>
      <c r="C87" s="2">
        <v>6</v>
      </c>
      <c r="D87" s="2">
        <v>1</v>
      </c>
      <c r="E87" s="2">
        <v>0.69399999999999995</v>
      </c>
      <c r="F87" s="2">
        <v>2</v>
      </c>
      <c r="H87" s="2">
        <v>11</v>
      </c>
      <c r="I87" s="2">
        <v>87</v>
      </c>
      <c r="J87" s="2">
        <v>2</v>
      </c>
      <c r="K87" s="2">
        <v>1</v>
      </c>
      <c r="L87" s="2">
        <v>0.998</v>
      </c>
      <c r="M87" s="2">
        <v>1</v>
      </c>
    </row>
    <row r="88" spans="1:13" ht="14.25" customHeight="1">
      <c r="A88" s="2">
        <v>11</v>
      </c>
      <c r="B88" s="2">
        <v>87</v>
      </c>
      <c r="C88" s="2">
        <v>2</v>
      </c>
      <c r="D88" s="2">
        <v>1</v>
      </c>
      <c r="E88" s="2">
        <v>0.998</v>
      </c>
      <c r="F88" s="2">
        <v>1</v>
      </c>
      <c r="H88" s="2">
        <v>11</v>
      </c>
      <c r="I88" s="2">
        <v>88</v>
      </c>
      <c r="J88" s="2">
        <v>5</v>
      </c>
      <c r="K88" s="2">
        <v>0</v>
      </c>
      <c r="L88" s="2">
        <v>1.107</v>
      </c>
      <c r="M88" s="2">
        <v>2</v>
      </c>
    </row>
    <row r="89" spans="1:13" ht="14.25" customHeight="1">
      <c r="A89" s="2">
        <v>11</v>
      </c>
      <c r="B89" s="2">
        <v>88</v>
      </c>
      <c r="C89" s="2">
        <v>5</v>
      </c>
      <c r="D89" s="2">
        <v>0</v>
      </c>
      <c r="E89" s="2">
        <v>1.107</v>
      </c>
      <c r="F89" s="2">
        <v>2</v>
      </c>
      <c r="H89" s="2">
        <v>11</v>
      </c>
      <c r="I89" s="2">
        <v>89</v>
      </c>
      <c r="J89" s="2">
        <v>1</v>
      </c>
      <c r="K89" s="2">
        <v>1</v>
      </c>
      <c r="L89" s="2">
        <v>1.0509999999999999</v>
      </c>
      <c r="M89" s="2">
        <v>2</v>
      </c>
    </row>
    <row r="90" spans="1:13" ht="14.25" customHeight="1">
      <c r="A90" s="2">
        <v>11</v>
      </c>
      <c r="B90" s="2">
        <v>89</v>
      </c>
      <c r="C90" s="2">
        <v>1</v>
      </c>
      <c r="D90" s="2">
        <v>1</v>
      </c>
      <c r="E90" s="2">
        <v>1.0509999999999999</v>
      </c>
      <c r="F90" s="2">
        <v>2</v>
      </c>
      <c r="H90" s="2">
        <v>11</v>
      </c>
      <c r="I90" s="2">
        <v>90</v>
      </c>
      <c r="J90" s="2">
        <v>2</v>
      </c>
      <c r="K90" s="2">
        <v>1</v>
      </c>
      <c r="L90" s="2">
        <v>0.75</v>
      </c>
      <c r="M90" s="2">
        <v>1</v>
      </c>
    </row>
    <row r="91" spans="1:13" ht="14.25" customHeight="1">
      <c r="A91" s="2">
        <v>11</v>
      </c>
      <c r="B91" s="2">
        <v>90</v>
      </c>
      <c r="C91" s="2">
        <v>2</v>
      </c>
      <c r="D91" s="2">
        <v>1</v>
      </c>
      <c r="E91" s="2">
        <v>0.75</v>
      </c>
      <c r="F91" s="2">
        <v>1</v>
      </c>
      <c r="H91" s="2">
        <v>11</v>
      </c>
      <c r="I91" s="2">
        <v>91</v>
      </c>
      <c r="J91" s="2">
        <v>7</v>
      </c>
      <c r="K91" s="2">
        <v>1</v>
      </c>
      <c r="L91" s="2">
        <v>1.077</v>
      </c>
      <c r="M91" s="2">
        <v>1</v>
      </c>
    </row>
    <row r="92" spans="1:13" ht="14.25" customHeight="1">
      <c r="A92" s="2">
        <v>11</v>
      </c>
      <c r="B92" s="2">
        <v>91</v>
      </c>
      <c r="C92" s="2">
        <v>7</v>
      </c>
      <c r="D92" s="2">
        <v>1</v>
      </c>
      <c r="E92" s="2">
        <v>1.077</v>
      </c>
      <c r="F92" s="2">
        <v>1</v>
      </c>
      <c r="H92" s="2">
        <v>11</v>
      </c>
      <c r="I92" s="2">
        <v>92</v>
      </c>
      <c r="J92" s="2">
        <v>8</v>
      </c>
      <c r="K92" s="2">
        <v>1</v>
      </c>
      <c r="L92" s="2">
        <v>1.181</v>
      </c>
      <c r="M92" s="2">
        <v>2</v>
      </c>
    </row>
    <row r="93" spans="1:13" ht="14.25" customHeight="1">
      <c r="A93" s="2">
        <v>11</v>
      </c>
      <c r="B93" s="2">
        <v>92</v>
      </c>
      <c r="C93" s="2">
        <v>8</v>
      </c>
      <c r="D93" s="2">
        <v>1</v>
      </c>
      <c r="E93" s="2">
        <v>1.181</v>
      </c>
      <c r="F93" s="2">
        <v>2</v>
      </c>
      <c r="H93" s="2">
        <v>11</v>
      </c>
      <c r="I93" s="2">
        <v>93</v>
      </c>
      <c r="J93" s="2">
        <v>5</v>
      </c>
      <c r="K93" s="2">
        <v>1</v>
      </c>
      <c r="L93" s="2">
        <v>0.69899999999999995</v>
      </c>
      <c r="M93" s="2">
        <v>2</v>
      </c>
    </row>
    <row r="94" spans="1:13" ht="14.25" customHeight="1">
      <c r="A94" s="2">
        <v>11</v>
      </c>
      <c r="B94" s="2">
        <v>93</v>
      </c>
      <c r="C94" s="2">
        <v>5</v>
      </c>
      <c r="D94" s="2">
        <v>1</v>
      </c>
      <c r="E94" s="2">
        <v>0.69899999999999995</v>
      </c>
      <c r="F94" s="2">
        <v>2</v>
      </c>
      <c r="H94" s="2">
        <v>11</v>
      </c>
      <c r="I94" s="2">
        <v>94</v>
      </c>
      <c r="J94" s="2">
        <v>8</v>
      </c>
      <c r="K94" s="2">
        <v>1</v>
      </c>
      <c r="L94" s="2">
        <v>0.86</v>
      </c>
      <c r="M94" s="2">
        <v>1</v>
      </c>
    </row>
    <row r="95" spans="1:13" ht="14.25" customHeight="1">
      <c r="A95" s="2">
        <v>11</v>
      </c>
      <c r="B95" s="2">
        <v>94</v>
      </c>
      <c r="C95" s="2">
        <v>8</v>
      </c>
      <c r="D95" s="2">
        <v>1</v>
      </c>
      <c r="E95" s="2">
        <v>0.86</v>
      </c>
      <c r="F95" s="2">
        <v>1</v>
      </c>
      <c r="H95" s="2">
        <v>11</v>
      </c>
      <c r="I95" s="2">
        <v>95</v>
      </c>
      <c r="J95" s="2">
        <v>3</v>
      </c>
      <c r="K95" s="2">
        <v>1</v>
      </c>
      <c r="L95" s="2">
        <v>0.70899999999999996</v>
      </c>
      <c r="M95" s="2">
        <v>1</v>
      </c>
    </row>
    <row r="96" spans="1:13" ht="14.25" customHeight="1">
      <c r="A96" s="2">
        <v>11</v>
      </c>
      <c r="B96" s="2">
        <v>95</v>
      </c>
      <c r="C96" s="2">
        <v>3</v>
      </c>
      <c r="D96" s="2">
        <v>1</v>
      </c>
      <c r="E96" s="2">
        <v>0.70899999999999996</v>
      </c>
      <c r="F96" s="2">
        <v>1</v>
      </c>
      <c r="H96" s="2">
        <v>11</v>
      </c>
      <c r="I96" s="2">
        <v>96</v>
      </c>
      <c r="J96" s="2">
        <v>8</v>
      </c>
      <c r="K96" s="2">
        <v>1</v>
      </c>
      <c r="L96" s="2">
        <v>0.77300000000000002</v>
      </c>
      <c r="M96" s="2">
        <v>2</v>
      </c>
    </row>
    <row r="97" spans="1:13" ht="14.25" customHeight="1">
      <c r="A97" s="2">
        <v>11</v>
      </c>
      <c r="B97" s="2">
        <v>96</v>
      </c>
      <c r="C97" s="2">
        <v>8</v>
      </c>
      <c r="D97" s="2">
        <v>1</v>
      </c>
      <c r="E97" s="2">
        <v>0.77300000000000002</v>
      </c>
      <c r="F97" s="2">
        <v>2</v>
      </c>
      <c r="H97" s="2">
        <v>11</v>
      </c>
      <c r="I97" s="2">
        <v>97</v>
      </c>
      <c r="J97" s="2">
        <v>6</v>
      </c>
      <c r="K97" s="2">
        <v>1</v>
      </c>
      <c r="L97" s="2">
        <v>0.69899999999999995</v>
      </c>
      <c r="M97" s="2">
        <v>1</v>
      </c>
    </row>
    <row r="98" spans="1:13" ht="14.25" customHeight="1">
      <c r="A98" s="2">
        <v>11</v>
      </c>
      <c r="B98" s="2">
        <v>97</v>
      </c>
      <c r="C98" s="2">
        <v>6</v>
      </c>
      <c r="D98" s="2">
        <v>1</v>
      </c>
      <c r="E98" s="2">
        <v>0.69899999999999995</v>
      </c>
      <c r="F98" s="2">
        <v>1</v>
      </c>
      <c r="H98" s="2">
        <v>11</v>
      </c>
      <c r="I98" s="2">
        <v>98</v>
      </c>
      <c r="J98" s="2">
        <v>7</v>
      </c>
      <c r="K98" s="2">
        <v>1</v>
      </c>
      <c r="L98" s="2">
        <v>1.748</v>
      </c>
      <c r="M98" s="2">
        <v>1</v>
      </c>
    </row>
    <row r="99" spans="1:13" ht="14.25" customHeight="1">
      <c r="A99" s="2">
        <v>11</v>
      </c>
      <c r="B99" s="2">
        <v>98</v>
      </c>
      <c r="C99" s="2">
        <v>7</v>
      </c>
      <c r="D99" s="2">
        <v>1</v>
      </c>
      <c r="E99" s="2">
        <v>1.748</v>
      </c>
      <c r="F99" s="2">
        <v>1</v>
      </c>
      <c r="H99" s="2">
        <v>11</v>
      </c>
      <c r="I99" s="2">
        <v>99</v>
      </c>
      <c r="J99" s="2">
        <v>4</v>
      </c>
      <c r="K99" s="2">
        <v>0</v>
      </c>
      <c r="L99" s="2">
        <v>0.72199999999999998</v>
      </c>
      <c r="M99" s="2">
        <v>1</v>
      </c>
    </row>
    <row r="100" spans="1:13" ht="14.25" customHeight="1">
      <c r="A100" s="2">
        <v>11</v>
      </c>
      <c r="B100" s="2">
        <v>99</v>
      </c>
      <c r="C100" s="2">
        <v>4</v>
      </c>
      <c r="D100" s="2">
        <v>0</v>
      </c>
      <c r="E100" s="2">
        <v>0.72199999999999998</v>
      </c>
      <c r="F100" s="2">
        <v>1</v>
      </c>
      <c r="H100" s="2">
        <v>11</v>
      </c>
      <c r="I100" s="2">
        <v>100</v>
      </c>
      <c r="J100" s="2">
        <v>1</v>
      </c>
      <c r="K100" s="2">
        <v>1</v>
      </c>
      <c r="L100" s="2">
        <v>1.4490000000000001</v>
      </c>
      <c r="M100" s="2">
        <v>1</v>
      </c>
    </row>
    <row r="101" spans="1:13" ht="14.25" customHeight="1">
      <c r="A101" s="2">
        <v>11</v>
      </c>
      <c r="B101" s="2">
        <v>100</v>
      </c>
      <c r="C101" s="2">
        <v>1</v>
      </c>
      <c r="D101" s="2">
        <v>1</v>
      </c>
      <c r="E101" s="2">
        <v>1.4490000000000001</v>
      </c>
      <c r="F101" s="2">
        <v>1</v>
      </c>
    </row>
    <row r="102" spans="1:13" ht="14.25" customHeight="1">
      <c r="A102" s="2">
        <v>11</v>
      </c>
      <c r="B102" s="2">
        <v>101</v>
      </c>
      <c r="C102" s="2">
        <v>8</v>
      </c>
      <c r="D102" s="2">
        <v>1</v>
      </c>
      <c r="E102" s="2">
        <v>1.044</v>
      </c>
      <c r="F102" s="2">
        <v>1</v>
      </c>
    </row>
    <row r="103" spans="1:13" ht="14.25" customHeight="1">
      <c r="A103" s="2">
        <v>11</v>
      </c>
      <c r="B103" s="2">
        <v>102</v>
      </c>
      <c r="C103" s="2">
        <v>2</v>
      </c>
      <c r="D103" s="2">
        <v>1</v>
      </c>
      <c r="E103" s="2">
        <v>0.84499999999999997</v>
      </c>
      <c r="F103" s="2">
        <v>1</v>
      </c>
    </row>
    <row r="104" spans="1:13" ht="14.25" customHeight="1">
      <c r="A104" s="2">
        <v>11</v>
      </c>
      <c r="B104" s="2">
        <v>103</v>
      </c>
      <c r="C104" s="2">
        <v>6</v>
      </c>
      <c r="D104" s="2">
        <v>0</v>
      </c>
      <c r="E104" s="2">
        <v>1.129</v>
      </c>
      <c r="F104" s="2">
        <v>1</v>
      </c>
    </row>
    <row r="105" spans="1:13" ht="14.25" customHeight="1">
      <c r="A105" s="2">
        <v>11</v>
      </c>
      <c r="B105" s="2">
        <v>104</v>
      </c>
      <c r="C105" s="2">
        <v>7</v>
      </c>
      <c r="D105" s="2">
        <v>1</v>
      </c>
      <c r="E105" s="2">
        <v>1.512</v>
      </c>
      <c r="F105" s="2">
        <v>1</v>
      </c>
    </row>
    <row r="106" spans="1:13" ht="14.25" customHeight="1">
      <c r="A106" s="2">
        <v>11</v>
      </c>
      <c r="B106" s="2">
        <v>105</v>
      </c>
      <c r="C106" s="2">
        <v>6</v>
      </c>
      <c r="D106" s="2">
        <v>1</v>
      </c>
      <c r="E106" s="2">
        <v>1.1040000000000001</v>
      </c>
      <c r="F106" s="2">
        <v>2</v>
      </c>
    </row>
    <row r="107" spans="1:13" ht="14.25" customHeight="1">
      <c r="A107" s="2">
        <v>11</v>
      </c>
      <c r="B107" s="2">
        <v>106</v>
      </c>
      <c r="C107" s="2">
        <v>2</v>
      </c>
      <c r="D107" s="2">
        <v>1</v>
      </c>
      <c r="E107" s="2">
        <v>1.024</v>
      </c>
      <c r="F107" s="2">
        <v>2</v>
      </c>
    </row>
    <row r="108" spans="1:13" ht="14.25" customHeight="1">
      <c r="A108" s="2">
        <v>11</v>
      </c>
      <c r="B108" s="2">
        <v>107</v>
      </c>
      <c r="C108" s="2">
        <v>3</v>
      </c>
      <c r="D108" s="2">
        <v>1</v>
      </c>
      <c r="E108" s="2">
        <v>1.2989999999999999</v>
      </c>
      <c r="F108" s="2">
        <v>1</v>
      </c>
    </row>
    <row r="109" spans="1:13" ht="14.25" customHeight="1">
      <c r="A109" s="2">
        <v>11</v>
      </c>
      <c r="B109" s="2">
        <v>108</v>
      </c>
      <c r="C109" s="2">
        <v>5</v>
      </c>
      <c r="D109" s="2">
        <v>0</v>
      </c>
      <c r="E109" s="2">
        <v>0.97899999999999998</v>
      </c>
      <c r="F109" s="2">
        <v>2</v>
      </c>
    </row>
    <row r="110" spans="1:13" ht="14.25" customHeight="1">
      <c r="A110" s="2">
        <v>11</v>
      </c>
      <c r="B110" s="2">
        <v>109</v>
      </c>
      <c r="C110" s="2">
        <v>6</v>
      </c>
      <c r="D110" s="2">
        <v>1</v>
      </c>
      <c r="E110" s="2">
        <v>1.345</v>
      </c>
      <c r="F110" s="2">
        <v>1</v>
      </c>
    </row>
    <row r="111" spans="1:13" ht="14.25" customHeight="1">
      <c r="A111" s="2">
        <v>11</v>
      </c>
      <c r="B111" s="2">
        <v>110</v>
      </c>
      <c r="C111" s="2">
        <v>4</v>
      </c>
      <c r="D111" s="2">
        <v>1</v>
      </c>
      <c r="E111" s="2">
        <v>1.3440000000000001</v>
      </c>
      <c r="F111" s="2">
        <v>1</v>
      </c>
    </row>
    <row r="112" spans="1:13" ht="14.25" customHeight="1">
      <c r="A112" s="2">
        <v>11</v>
      </c>
      <c r="B112" s="2">
        <v>111</v>
      </c>
      <c r="C112" s="2">
        <v>7</v>
      </c>
      <c r="D112" s="2">
        <v>1</v>
      </c>
      <c r="E112" s="2">
        <v>0.98199999999999998</v>
      </c>
      <c r="F112" s="2">
        <v>2</v>
      </c>
    </row>
    <row r="113" spans="1:6" ht="14.25" customHeight="1">
      <c r="A113" s="2">
        <v>11</v>
      </c>
      <c r="B113" s="2">
        <v>112</v>
      </c>
      <c r="C113" s="2">
        <v>6</v>
      </c>
      <c r="D113" s="2">
        <v>1</v>
      </c>
      <c r="E113" s="2">
        <v>0.93899999999999995</v>
      </c>
      <c r="F113" s="2">
        <v>1</v>
      </c>
    </row>
    <row r="114" spans="1:6" ht="14.25" customHeight="1">
      <c r="A114" s="2">
        <v>11</v>
      </c>
      <c r="B114" s="2">
        <v>113</v>
      </c>
      <c r="C114" s="2">
        <v>1</v>
      </c>
      <c r="D114" s="2">
        <v>1</v>
      </c>
      <c r="E114" s="2">
        <v>1.042</v>
      </c>
      <c r="F114" s="2">
        <v>2</v>
      </c>
    </row>
    <row r="115" spans="1:6" ht="14.25" customHeight="1">
      <c r="A115" s="2">
        <v>11</v>
      </c>
      <c r="B115" s="2">
        <v>114</v>
      </c>
      <c r="C115" s="2">
        <v>3</v>
      </c>
      <c r="D115" s="2">
        <v>0</v>
      </c>
      <c r="E115" s="2">
        <v>1.3640000000000001</v>
      </c>
      <c r="F115" s="2">
        <v>2</v>
      </c>
    </row>
    <row r="116" spans="1:6" ht="14.25" customHeight="1">
      <c r="A116" s="2">
        <v>11</v>
      </c>
      <c r="B116" s="2">
        <v>115</v>
      </c>
      <c r="C116" s="2">
        <v>2</v>
      </c>
      <c r="D116" s="2">
        <v>1</v>
      </c>
      <c r="E116" s="2">
        <v>0.94699999999999995</v>
      </c>
      <c r="F116" s="2">
        <v>2</v>
      </c>
    </row>
    <row r="117" spans="1:6" ht="14.25" customHeight="1">
      <c r="A117" s="2">
        <v>11</v>
      </c>
      <c r="B117" s="2">
        <v>116</v>
      </c>
      <c r="C117" s="2">
        <v>8</v>
      </c>
      <c r="D117" s="2">
        <v>1</v>
      </c>
      <c r="E117" s="2">
        <v>0.96099999999999997</v>
      </c>
      <c r="F117" s="2">
        <v>2</v>
      </c>
    </row>
    <row r="118" spans="1:6" ht="14.25" customHeight="1">
      <c r="A118" s="2">
        <v>11</v>
      </c>
      <c r="B118" s="2">
        <v>117</v>
      </c>
      <c r="C118" s="2">
        <v>5</v>
      </c>
      <c r="D118" s="2">
        <v>1</v>
      </c>
      <c r="E118" s="2">
        <v>0.79900000000000004</v>
      </c>
      <c r="F118" s="2">
        <v>2</v>
      </c>
    </row>
    <row r="119" spans="1:6" ht="14.25" customHeight="1">
      <c r="A119" s="2">
        <v>11</v>
      </c>
      <c r="B119" s="2">
        <v>118</v>
      </c>
      <c r="C119" s="2">
        <v>3</v>
      </c>
      <c r="D119" s="2">
        <v>1</v>
      </c>
      <c r="E119" s="2">
        <v>1.395</v>
      </c>
      <c r="F119" s="2">
        <v>1</v>
      </c>
    </row>
    <row r="120" spans="1:6" ht="14.25" customHeight="1">
      <c r="A120" s="2">
        <v>11</v>
      </c>
      <c r="B120" s="2">
        <v>119</v>
      </c>
      <c r="C120" s="2">
        <v>4</v>
      </c>
      <c r="D120" s="2">
        <v>1</v>
      </c>
      <c r="E120" s="2">
        <v>0.80900000000000005</v>
      </c>
      <c r="F120" s="2">
        <v>2</v>
      </c>
    </row>
    <row r="121" spans="1:6" ht="14.25" customHeight="1">
      <c r="A121" s="2">
        <v>11</v>
      </c>
      <c r="B121" s="2">
        <v>120</v>
      </c>
      <c r="C121" s="2">
        <v>1</v>
      </c>
      <c r="D121" s="2">
        <v>1</v>
      </c>
      <c r="E121" s="2">
        <v>0.88400000000000001</v>
      </c>
      <c r="F121" s="2">
        <v>1</v>
      </c>
    </row>
    <row r="122" spans="1:6" ht="14.25" customHeight="1">
      <c r="A122" s="2">
        <v>11</v>
      </c>
      <c r="B122" s="2">
        <v>121</v>
      </c>
      <c r="C122" s="2">
        <v>7</v>
      </c>
      <c r="D122" s="2">
        <v>1</v>
      </c>
      <c r="E122" s="2">
        <v>0.63800000000000001</v>
      </c>
      <c r="F122" s="2">
        <v>2</v>
      </c>
    </row>
    <row r="123" spans="1:6" ht="14.25" customHeight="1">
      <c r="A123" s="2">
        <v>11</v>
      </c>
      <c r="B123" s="2">
        <v>122</v>
      </c>
      <c r="C123" s="2">
        <v>2</v>
      </c>
      <c r="D123" s="2">
        <v>1</v>
      </c>
      <c r="E123" s="2">
        <v>1.488</v>
      </c>
      <c r="F123" s="2">
        <v>2</v>
      </c>
    </row>
    <row r="124" spans="1:6" ht="14.25" customHeight="1">
      <c r="A124" s="2">
        <v>11</v>
      </c>
      <c r="B124" s="2">
        <v>123</v>
      </c>
      <c r="C124" s="2">
        <v>7</v>
      </c>
      <c r="D124" s="2">
        <v>1</v>
      </c>
      <c r="E124" s="2">
        <v>0.81699999999999995</v>
      </c>
      <c r="F124" s="2">
        <v>2</v>
      </c>
    </row>
    <row r="125" spans="1:6" ht="14.25" customHeight="1">
      <c r="A125" s="2">
        <v>11</v>
      </c>
      <c r="B125" s="2">
        <v>124</v>
      </c>
      <c r="C125" s="2">
        <v>3</v>
      </c>
      <c r="D125" s="2">
        <v>1</v>
      </c>
      <c r="E125" s="2">
        <v>0.92500000000000004</v>
      </c>
      <c r="F125" s="2">
        <v>1</v>
      </c>
    </row>
    <row r="126" spans="1:6" ht="14.25" customHeight="1">
      <c r="A126" s="2">
        <v>11</v>
      </c>
      <c r="B126" s="2">
        <v>125</v>
      </c>
      <c r="C126" s="2">
        <v>4</v>
      </c>
      <c r="D126" s="2">
        <v>1</v>
      </c>
      <c r="E126" s="2">
        <v>1.3320000000000001</v>
      </c>
      <c r="F126" s="2">
        <v>2</v>
      </c>
    </row>
    <row r="127" spans="1:6" ht="14.25" customHeight="1">
      <c r="A127" s="2">
        <v>11</v>
      </c>
      <c r="B127" s="2">
        <v>126</v>
      </c>
      <c r="C127" s="2">
        <v>8</v>
      </c>
      <c r="D127" s="2">
        <v>1</v>
      </c>
      <c r="E127" s="2">
        <v>1.0349999999999999</v>
      </c>
      <c r="F127" s="2">
        <v>2</v>
      </c>
    </row>
    <row r="128" spans="1:6" ht="14.25" customHeight="1">
      <c r="A128" s="2">
        <v>11</v>
      </c>
      <c r="B128" s="2">
        <v>127</v>
      </c>
      <c r="C128" s="2">
        <v>1</v>
      </c>
      <c r="D128" s="2">
        <v>1</v>
      </c>
      <c r="E128" s="2">
        <v>0.85499999999999998</v>
      </c>
      <c r="F128" s="2">
        <v>1</v>
      </c>
    </row>
    <row r="129" spans="1:6" ht="14.25" customHeight="1">
      <c r="A129" s="2">
        <v>11</v>
      </c>
      <c r="B129" s="2">
        <v>128</v>
      </c>
      <c r="C129" s="2">
        <v>3</v>
      </c>
      <c r="D129" s="2">
        <v>1</v>
      </c>
      <c r="E129" s="2">
        <v>0.72899999999999998</v>
      </c>
      <c r="F129" s="2">
        <v>2</v>
      </c>
    </row>
    <row r="130" spans="1:6" ht="14.25" customHeight="1">
      <c r="A130" s="2">
        <v>11</v>
      </c>
      <c r="B130" s="2">
        <v>129</v>
      </c>
      <c r="C130" s="2">
        <v>5</v>
      </c>
      <c r="D130" s="2">
        <v>1</v>
      </c>
      <c r="E130" s="2">
        <v>1.385</v>
      </c>
      <c r="F130" s="2">
        <v>1</v>
      </c>
    </row>
    <row r="131" spans="1:6" ht="14.25" customHeight="1">
      <c r="A131" s="2">
        <v>11</v>
      </c>
      <c r="B131" s="2">
        <v>130</v>
      </c>
      <c r="C131" s="2">
        <v>6</v>
      </c>
      <c r="D131" s="2">
        <v>0</v>
      </c>
      <c r="E131" s="2">
        <v>1.302</v>
      </c>
      <c r="F131" s="2">
        <v>1</v>
      </c>
    </row>
    <row r="132" spans="1:6" ht="14.25" customHeight="1">
      <c r="A132" s="2">
        <v>11</v>
      </c>
      <c r="B132" s="2">
        <v>131</v>
      </c>
      <c r="C132" s="2">
        <v>2</v>
      </c>
      <c r="D132" s="2">
        <v>1</v>
      </c>
      <c r="E132" s="2">
        <v>1.022</v>
      </c>
      <c r="F132" s="2">
        <v>2</v>
      </c>
    </row>
    <row r="133" spans="1:6" ht="14.25" customHeight="1">
      <c r="A133" s="2">
        <v>11</v>
      </c>
      <c r="B133" s="2">
        <v>132</v>
      </c>
      <c r="C133" s="2">
        <v>6</v>
      </c>
      <c r="D133" s="2">
        <v>1</v>
      </c>
      <c r="E133" s="2">
        <v>1.242</v>
      </c>
      <c r="F133" s="2">
        <v>2</v>
      </c>
    </row>
    <row r="134" spans="1:6" ht="14.25" customHeight="1">
      <c r="A134" s="2">
        <v>11</v>
      </c>
      <c r="B134" s="2">
        <v>133</v>
      </c>
      <c r="C134" s="2">
        <v>4</v>
      </c>
      <c r="D134" s="2">
        <v>1</v>
      </c>
      <c r="E134" s="2">
        <v>1.2450000000000001</v>
      </c>
      <c r="F134" s="2">
        <v>1</v>
      </c>
    </row>
    <row r="135" spans="1:6" ht="14.25" customHeight="1">
      <c r="A135" s="2">
        <v>11</v>
      </c>
      <c r="B135" s="2">
        <v>134</v>
      </c>
      <c r="C135" s="2">
        <v>1</v>
      </c>
      <c r="D135" s="2">
        <v>1</v>
      </c>
      <c r="E135" s="2">
        <v>1.583</v>
      </c>
      <c r="F135" s="2">
        <v>1</v>
      </c>
    </row>
    <row r="136" spans="1:6" ht="14.25" customHeight="1">
      <c r="A136" s="2">
        <v>11</v>
      </c>
      <c r="B136" s="2">
        <v>135</v>
      </c>
      <c r="C136" s="2">
        <v>3</v>
      </c>
      <c r="D136" s="2">
        <v>1</v>
      </c>
      <c r="E136" s="2">
        <v>0.92500000000000004</v>
      </c>
      <c r="F136" s="2">
        <v>1</v>
      </c>
    </row>
    <row r="137" spans="1:6" ht="14.25" customHeight="1">
      <c r="A137" s="2">
        <v>11</v>
      </c>
      <c r="B137" s="2">
        <v>136</v>
      </c>
      <c r="C137" s="2">
        <v>1</v>
      </c>
      <c r="D137" s="2">
        <v>1</v>
      </c>
      <c r="E137" s="2">
        <v>0.96399999999999997</v>
      </c>
      <c r="F137" s="2">
        <v>2</v>
      </c>
    </row>
    <row r="138" spans="1:6" ht="14.25" customHeight="1">
      <c r="A138" s="2">
        <v>11</v>
      </c>
      <c r="B138" s="2">
        <v>137</v>
      </c>
      <c r="C138" s="2">
        <v>4</v>
      </c>
      <c r="D138" s="2">
        <v>1</v>
      </c>
      <c r="E138" s="2">
        <v>1.274</v>
      </c>
      <c r="F138" s="2">
        <v>1</v>
      </c>
    </row>
    <row r="139" spans="1:6" ht="14.25" customHeight="1">
      <c r="A139" s="2">
        <v>11</v>
      </c>
      <c r="B139" s="2">
        <v>138</v>
      </c>
      <c r="C139" s="2">
        <v>8</v>
      </c>
      <c r="D139" s="2">
        <v>0</v>
      </c>
      <c r="E139" s="2">
        <v>1.0349999999999999</v>
      </c>
      <c r="F139" s="2">
        <v>2</v>
      </c>
    </row>
    <row r="140" spans="1:6" ht="14.25" customHeight="1">
      <c r="A140" s="2">
        <v>11</v>
      </c>
      <c r="B140" s="2">
        <v>139</v>
      </c>
      <c r="C140" s="2">
        <v>4</v>
      </c>
      <c r="D140" s="2">
        <v>1</v>
      </c>
      <c r="E140" s="2">
        <v>1.07</v>
      </c>
      <c r="F140" s="2">
        <v>2</v>
      </c>
    </row>
    <row r="141" spans="1:6" ht="14.25" customHeight="1">
      <c r="A141" s="2">
        <v>11</v>
      </c>
      <c r="B141" s="2">
        <v>140</v>
      </c>
      <c r="C141" s="2">
        <v>5</v>
      </c>
      <c r="D141" s="2">
        <v>1</v>
      </c>
      <c r="E141" s="2">
        <v>1.3440000000000001</v>
      </c>
      <c r="F141" s="2">
        <v>1</v>
      </c>
    </row>
    <row r="142" spans="1:6" ht="14.25" customHeight="1">
      <c r="A142" s="2">
        <v>11</v>
      </c>
      <c r="B142" s="2">
        <v>141</v>
      </c>
      <c r="C142" s="2">
        <v>1</v>
      </c>
      <c r="D142" s="2">
        <v>1</v>
      </c>
      <c r="E142" s="2">
        <v>1.014</v>
      </c>
      <c r="F142" s="2">
        <v>1</v>
      </c>
    </row>
    <row r="143" spans="1:6" ht="14.25" customHeight="1">
      <c r="A143" s="2">
        <v>11</v>
      </c>
      <c r="B143" s="2">
        <v>142</v>
      </c>
      <c r="C143" s="2">
        <v>5</v>
      </c>
      <c r="D143" s="2">
        <v>1</v>
      </c>
      <c r="E143" s="2">
        <v>0.97899999999999998</v>
      </c>
      <c r="F143" s="2">
        <v>2</v>
      </c>
    </row>
    <row r="144" spans="1:6" ht="14.25" customHeight="1">
      <c r="A144" s="2">
        <v>11</v>
      </c>
      <c r="B144" s="2">
        <v>143</v>
      </c>
      <c r="C144" s="2">
        <v>2</v>
      </c>
      <c r="D144" s="2">
        <v>1</v>
      </c>
      <c r="E144" s="2">
        <v>0.80700000000000005</v>
      </c>
      <c r="F144" s="2">
        <v>2</v>
      </c>
    </row>
    <row r="145" spans="1:6" ht="14.25" customHeight="1">
      <c r="A145" s="2">
        <v>11</v>
      </c>
      <c r="B145" s="2">
        <v>144</v>
      </c>
      <c r="C145" s="2">
        <v>5</v>
      </c>
      <c r="D145" s="2">
        <v>1</v>
      </c>
      <c r="E145" s="2">
        <v>0.90800000000000003</v>
      </c>
      <c r="F145" s="2">
        <v>1</v>
      </c>
    </row>
    <row r="146" spans="1:6" ht="14.25" customHeight="1">
      <c r="A146" s="2">
        <v>11</v>
      </c>
      <c r="B146" s="2">
        <v>145</v>
      </c>
      <c r="C146" s="2">
        <v>7</v>
      </c>
      <c r="D146" s="2">
        <v>1</v>
      </c>
      <c r="E146" s="2">
        <v>1.012</v>
      </c>
      <c r="F146" s="2">
        <v>1</v>
      </c>
    </row>
    <row r="147" spans="1:6" ht="14.25" customHeight="1">
      <c r="A147" s="2">
        <v>11</v>
      </c>
      <c r="B147" s="2">
        <v>146</v>
      </c>
      <c r="C147" s="2">
        <v>8</v>
      </c>
      <c r="D147" s="2">
        <v>1</v>
      </c>
      <c r="E147" s="2">
        <v>1.016</v>
      </c>
      <c r="F147" s="2">
        <v>2</v>
      </c>
    </row>
    <row r="148" spans="1:6" ht="14.25" customHeight="1">
      <c r="A148" s="2">
        <v>11</v>
      </c>
      <c r="B148" s="2">
        <v>147</v>
      </c>
      <c r="C148" s="2">
        <v>6</v>
      </c>
      <c r="D148" s="2">
        <v>1</v>
      </c>
      <c r="E148" s="2">
        <v>1.0109999999999999</v>
      </c>
      <c r="F148" s="2">
        <v>1</v>
      </c>
    </row>
    <row r="149" spans="1:6" ht="14.25" customHeight="1">
      <c r="A149" s="2">
        <v>11</v>
      </c>
      <c r="B149" s="2">
        <v>148</v>
      </c>
      <c r="C149" s="2">
        <v>1</v>
      </c>
      <c r="D149" s="2">
        <v>1</v>
      </c>
      <c r="E149" s="2">
        <v>1.0389999999999999</v>
      </c>
      <c r="F149" s="2">
        <v>1</v>
      </c>
    </row>
    <row r="150" spans="1:6" ht="14.25" customHeight="1">
      <c r="A150" s="2">
        <v>11</v>
      </c>
      <c r="B150" s="2">
        <v>149</v>
      </c>
      <c r="C150" s="2">
        <v>8</v>
      </c>
      <c r="D150" s="2">
        <v>1</v>
      </c>
      <c r="E150" s="2">
        <v>0.79500000000000004</v>
      </c>
      <c r="F150" s="2">
        <v>2</v>
      </c>
    </row>
    <row r="151" spans="1:6" ht="14.25" customHeight="1">
      <c r="A151" s="2">
        <v>11</v>
      </c>
      <c r="B151" s="2">
        <v>150</v>
      </c>
      <c r="C151" s="2">
        <v>7</v>
      </c>
      <c r="D151" s="2">
        <v>1</v>
      </c>
      <c r="E151" s="2">
        <v>1.599</v>
      </c>
      <c r="F151" s="2">
        <v>1</v>
      </c>
    </row>
    <row r="152" spans="1:6" ht="14.25" customHeight="1">
      <c r="A152" s="2">
        <v>11</v>
      </c>
      <c r="B152" s="2">
        <v>151</v>
      </c>
      <c r="C152" s="2">
        <v>8</v>
      </c>
      <c r="D152" s="2">
        <v>1</v>
      </c>
      <c r="E152" s="2">
        <v>1.204</v>
      </c>
    </row>
    <row r="153" spans="1:6" ht="14.25" customHeight="1">
      <c r="A153" s="2">
        <v>11</v>
      </c>
      <c r="B153" s="2">
        <v>152</v>
      </c>
      <c r="C153" s="2">
        <v>1</v>
      </c>
      <c r="D153" s="2">
        <v>1</v>
      </c>
      <c r="E153" s="2">
        <v>1.208</v>
      </c>
    </row>
    <row r="154" spans="1:6" ht="14.25" customHeight="1">
      <c r="A154" s="2">
        <v>11</v>
      </c>
      <c r="B154" s="2">
        <v>153</v>
      </c>
      <c r="C154" s="2">
        <v>8</v>
      </c>
      <c r="D154" s="2">
        <v>1</v>
      </c>
      <c r="E154" s="2">
        <v>0.82699999999999996</v>
      </c>
    </row>
    <row r="155" spans="1:6" ht="14.25" customHeight="1">
      <c r="A155" s="2">
        <v>11</v>
      </c>
      <c r="B155" s="2">
        <v>154</v>
      </c>
      <c r="C155" s="2">
        <v>5</v>
      </c>
      <c r="D155" s="2">
        <v>1</v>
      </c>
      <c r="E155" s="2">
        <v>0.97499999999999998</v>
      </c>
    </row>
    <row r="156" spans="1:6" ht="14.25" customHeight="1">
      <c r="A156" s="2">
        <v>11</v>
      </c>
      <c r="B156" s="2">
        <v>155</v>
      </c>
      <c r="C156" s="2">
        <v>6</v>
      </c>
      <c r="D156" s="2">
        <v>1</v>
      </c>
      <c r="E156" s="2">
        <v>0.98</v>
      </c>
    </row>
    <row r="157" spans="1:6" ht="14.25" customHeight="1">
      <c r="A157" s="2">
        <v>11</v>
      </c>
      <c r="B157" s="2">
        <v>156</v>
      </c>
      <c r="C157" s="2">
        <v>5</v>
      </c>
      <c r="D157" s="2">
        <v>1</v>
      </c>
      <c r="E157" s="2">
        <v>0.745</v>
      </c>
    </row>
    <row r="158" spans="1:6" ht="14.25" customHeight="1">
      <c r="A158" s="2">
        <v>11</v>
      </c>
      <c r="B158" s="2">
        <v>157</v>
      </c>
      <c r="C158" s="2">
        <v>6</v>
      </c>
      <c r="D158" s="2">
        <v>1</v>
      </c>
      <c r="E158" s="2">
        <v>0.68</v>
      </c>
    </row>
    <row r="159" spans="1:6" ht="14.25" customHeight="1">
      <c r="A159" s="2">
        <v>11</v>
      </c>
      <c r="B159" s="2">
        <v>158</v>
      </c>
      <c r="C159" s="2">
        <v>8</v>
      </c>
      <c r="D159" s="2">
        <v>1</v>
      </c>
      <c r="E159" s="2">
        <v>0.85</v>
      </c>
    </row>
    <row r="160" spans="1:6" ht="14.25" customHeight="1">
      <c r="A160" s="2">
        <v>11</v>
      </c>
      <c r="B160" s="2">
        <v>159</v>
      </c>
      <c r="C160" s="2">
        <v>3</v>
      </c>
      <c r="D160" s="2">
        <v>1</v>
      </c>
      <c r="E160" s="2">
        <v>0.997</v>
      </c>
    </row>
    <row r="161" spans="1:5" ht="14.25" customHeight="1">
      <c r="A161" s="2">
        <v>11</v>
      </c>
      <c r="B161" s="2">
        <v>160</v>
      </c>
      <c r="C161" s="2">
        <v>7</v>
      </c>
      <c r="D161" s="2">
        <v>1</v>
      </c>
      <c r="E161" s="2">
        <v>0.98499999999999999</v>
      </c>
    </row>
    <row r="162" spans="1:5" ht="14.25" customHeight="1">
      <c r="A162" s="2">
        <v>11</v>
      </c>
      <c r="B162" s="2">
        <v>161</v>
      </c>
      <c r="C162" s="2">
        <v>8</v>
      </c>
      <c r="D162" s="2">
        <v>1</v>
      </c>
      <c r="E162" s="2">
        <v>1.1020000000000001</v>
      </c>
    </row>
    <row r="163" spans="1:5" ht="14.25" customHeight="1">
      <c r="A163" s="2">
        <v>11</v>
      </c>
      <c r="B163" s="2">
        <v>162</v>
      </c>
      <c r="C163" s="2">
        <v>6</v>
      </c>
      <c r="D163" s="2">
        <v>1</v>
      </c>
      <c r="E163" s="2">
        <v>0.79700000000000004</v>
      </c>
    </row>
    <row r="164" spans="1:5" ht="14.25" customHeight="1">
      <c r="A164" s="2">
        <v>11</v>
      </c>
      <c r="B164" s="2">
        <v>163</v>
      </c>
      <c r="C164" s="2">
        <v>8</v>
      </c>
      <c r="D164" s="2">
        <v>1</v>
      </c>
      <c r="E164" s="2">
        <v>0.64200000000000002</v>
      </c>
    </row>
    <row r="165" spans="1:5" ht="14.25" customHeight="1">
      <c r="A165" s="2">
        <v>11</v>
      </c>
      <c r="B165" s="2">
        <v>164</v>
      </c>
      <c r="C165" s="2">
        <v>1</v>
      </c>
      <c r="D165" s="2">
        <v>1</v>
      </c>
      <c r="E165" s="2">
        <v>1.069</v>
      </c>
    </row>
    <row r="166" spans="1:5" ht="14.25" customHeight="1">
      <c r="A166" s="2">
        <v>11</v>
      </c>
      <c r="B166" s="2">
        <v>165</v>
      </c>
      <c r="C166" s="2">
        <v>7</v>
      </c>
      <c r="D166" s="2">
        <v>1</v>
      </c>
      <c r="E166" s="2">
        <v>0.90200000000000002</v>
      </c>
    </row>
    <row r="167" spans="1:5" ht="14.25" customHeight="1">
      <c r="A167" s="2">
        <v>11</v>
      </c>
      <c r="B167" s="2">
        <v>166</v>
      </c>
      <c r="C167" s="2">
        <v>6</v>
      </c>
      <c r="D167" s="2">
        <v>1</v>
      </c>
      <c r="E167" s="2">
        <v>1.2869999999999999</v>
      </c>
    </row>
    <row r="168" spans="1:5" ht="14.25" customHeight="1">
      <c r="A168" s="2">
        <v>11</v>
      </c>
      <c r="B168" s="2">
        <v>167</v>
      </c>
      <c r="C168" s="2">
        <v>7</v>
      </c>
      <c r="D168" s="2">
        <v>1</v>
      </c>
      <c r="E168" s="2">
        <v>0.624</v>
      </c>
    </row>
    <row r="169" spans="1:5" ht="14.25" customHeight="1">
      <c r="A169" s="2">
        <v>11</v>
      </c>
      <c r="B169" s="2">
        <v>168</v>
      </c>
      <c r="C169" s="2">
        <v>2</v>
      </c>
      <c r="D169" s="2">
        <v>1</v>
      </c>
      <c r="E169" s="2">
        <v>0.93100000000000005</v>
      </c>
    </row>
    <row r="170" spans="1:5" ht="14.25" customHeight="1">
      <c r="A170" s="2">
        <v>11</v>
      </c>
      <c r="B170" s="2">
        <v>169</v>
      </c>
      <c r="C170" s="2">
        <v>4</v>
      </c>
      <c r="D170" s="2">
        <v>1</v>
      </c>
      <c r="E170" s="2">
        <v>0.65800000000000003</v>
      </c>
    </row>
    <row r="171" spans="1:5" ht="14.25" customHeight="1">
      <c r="A171" s="2">
        <v>11</v>
      </c>
      <c r="B171" s="2">
        <v>170</v>
      </c>
      <c r="C171" s="2">
        <v>5</v>
      </c>
      <c r="D171" s="2">
        <v>1</v>
      </c>
      <c r="E171" s="2">
        <v>0.95699999999999996</v>
      </c>
    </row>
    <row r="172" spans="1:5" ht="14.25" customHeight="1">
      <c r="A172" s="2">
        <v>11</v>
      </c>
      <c r="B172" s="2">
        <v>171</v>
      </c>
      <c r="C172" s="2">
        <v>3</v>
      </c>
      <c r="D172" s="2">
        <v>1</v>
      </c>
      <c r="E172" s="2">
        <v>0.70699999999999996</v>
      </c>
    </row>
    <row r="173" spans="1:5" ht="14.25" customHeight="1">
      <c r="A173" s="2">
        <v>11</v>
      </c>
      <c r="B173" s="2">
        <v>172</v>
      </c>
      <c r="C173" s="2">
        <v>7</v>
      </c>
      <c r="D173" s="2">
        <v>1</v>
      </c>
      <c r="E173" s="2">
        <v>1.1379999999999999</v>
      </c>
    </row>
    <row r="174" spans="1:5" ht="14.25" customHeight="1">
      <c r="A174" s="2">
        <v>11</v>
      </c>
      <c r="B174" s="2">
        <v>173</v>
      </c>
      <c r="C174" s="2">
        <v>5</v>
      </c>
      <c r="D174" s="2">
        <v>1</v>
      </c>
      <c r="E174" s="2">
        <v>0.85699999999999998</v>
      </c>
    </row>
    <row r="175" spans="1:5" ht="14.25" customHeight="1">
      <c r="A175" s="2">
        <v>11</v>
      </c>
      <c r="B175" s="2">
        <v>174</v>
      </c>
      <c r="C175" s="2">
        <v>3</v>
      </c>
      <c r="D175" s="2">
        <v>1</v>
      </c>
      <c r="E175" s="2">
        <v>0.76300000000000001</v>
      </c>
    </row>
    <row r="176" spans="1:5" ht="14.25" customHeight="1">
      <c r="A176" s="2">
        <v>11</v>
      </c>
      <c r="B176" s="2">
        <v>175</v>
      </c>
      <c r="C176" s="2">
        <v>4</v>
      </c>
      <c r="D176" s="2">
        <v>1</v>
      </c>
      <c r="E176" s="2">
        <v>1.2170000000000001</v>
      </c>
    </row>
    <row r="177" spans="1:5" ht="14.25" customHeight="1">
      <c r="A177" s="2">
        <v>11</v>
      </c>
      <c r="B177" s="2">
        <v>176</v>
      </c>
      <c r="C177" s="2">
        <v>1</v>
      </c>
      <c r="D177" s="2">
        <v>1</v>
      </c>
      <c r="E177" s="2">
        <v>1.2210000000000001</v>
      </c>
    </row>
    <row r="178" spans="1:5" ht="14.25" customHeight="1">
      <c r="A178" s="2">
        <v>11</v>
      </c>
      <c r="B178" s="2">
        <v>177</v>
      </c>
      <c r="C178" s="2">
        <v>3</v>
      </c>
      <c r="D178" s="2">
        <v>1</v>
      </c>
      <c r="E178" s="2">
        <v>1.2490000000000001</v>
      </c>
    </row>
    <row r="179" spans="1:5" ht="14.25" customHeight="1">
      <c r="A179" s="2">
        <v>11</v>
      </c>
      <c r="B179" s="2">
        <v>178</v>
      </c>
      <c r="C179" s="2">
        <v>2</v>
      </c>
      <c r="D179" s="2">
        <v>1</v>
      </c>
      <c r="E179" s="2">
        <v>0.78700000000000003</v>
      </c>
    </row>
    <row r="180" spans="1:5" ht="14.25" customHeight="1">
      <c r="A180" s="2">
        <v>11</v>
      </c>
      <c r="B180" s="2">
        <v>179</v>
      </c>
      <c r="C180" s="2">
        <v>3</v>
      </c>
      <c r="D180" s="2">
        <v>1</v>
      </c>
      <c r="E180" s="2">
        <v>0.88800000000000001</v>
      </c>
    </row>
    <row r="181" spans="1:5" ht="14.25" customHeight="1">
      <c r="A181" s="2">
        <v>11</v>
      </c>
      <c r="B181" s="2">
        <v>180</v>
      </c>
      <c r="C181" s="2">
        <v>1</v>
      </c>
      <c r="D181" s="2">
        <v>1</v>
      </c>
      <c r="E181" s="2">
        <v>1.0409999999999999</v>
      </c>
    </row>
    <row r="182" spans="1:5" ht="14.25" customHeight="1">
      <c r="A182" s="2">
        <v>11</v>
      </c>
      <c r="B182" s="2">
        <v>181</v>
      </c>
      <c r="C182" s="2">
        <v>7</v>
      </c>
      <c r="D182" s="2">
        <v>1</v>
      </c>
      <c r="E182" s="2">
        <v>1.0189999999999999</v>
      </c>
    </row>
    <row r="183" spans="1:5" ht="14.25" customHeight="1">
      <c r="A183" s="2">
        <v>11</v>
      </c>
      <c r="B183" s="2">
        <v>182</v>
      </c>
      <c r="C183" s="2">
        <v>3</v>
      </c>
      <c r="D183" s="2">
        <v>1</v>
      </c>
      <c r="E183" s="2">
        <v>0.82299999999999995</v>
      </c>
    </row>
    <row r="184" spans="1:5" ht="14.25" customHeight="1">
      <c r="A184" s="2">
        <v>11</v>
      </c>
      <c r="B184" s="2">
        <v>183</v>
      </c>
      <c r="C184" s="2">
        <v>5</v>
      </c>
      <c r="D184" s="2">
        <v>1</v>
      </c>
      <c r="E184" s="2">
        <v>1.1060000000000001</v>
      </c>
    </row>
    <row r="185" spans="1:5" ht="14.25" customHeight="1">
      <c r="A185" s="2">
        <v>11</v>
      </c>
      <c r="B185" s="2">
        <v>184</v>
      </c>
      <c r="C185" s="2">
        <v>1</v>
      </c>
      <c r="D185" s="2">
        <v>1</v>
      </c>
      <c r="E185" s="2">
        <v>1.2350000000000001</v>
      </c>
    </row>
    <row r="186" spans="1:5" ht="14.25" customHeight="1">
      <c r="A186" s="2">
        <v>11</v>
      </c>
      <c r="B186" s="2">
        <v>185</v>
      </c>
      <c r="C186" s="2">
        <v>2</v>
      </c>
      <c r="D186" s="2">
        <v>1</v>
      </c>
      <c r="E186" s="2">
        <v>0.93400000000000005</v>
      </c>
    </row>
    <row r="187" spans="1:5" ht="14.25" customHeight="1">
      <c r="A187" s="2">
        <v>11</v>
      </c>
      <c r="B187" s="2">
        <v>186</v>
      </c>
      <c r="C187" s="2">
        <v>4</v>
      </c>
      <c r="D187" s="2">
        <v>1</v>
      </c>
      <c r="E187" s="2">
        <v>0.76500000000000001</v>
      </c>
    </row>
    <row r="188" spans="1:5" ht="14.25" customHeight="1">
      <c r="A188" s="2">
        <v>11</v>
      </c>
      <c r="B188" s="2">
        <v>187</v>
      </c>
      <c r="C188" s="2">
        <v>1</v>
      </c>
      <c r="D188" s="2">
        <v>1</v>
      </c>
      <c r="E188" s="2">
        <v>1.099</v>
      </c>
    </row>
    <row r="189" spans="1:5" ht="14.25" customHeight="1">
      <c r="A189" s="2">
        <v>11</v>
      </c>
      <c r="B189" s="2">
        <v>188</v>
      </c>
      <c r="C189" s="2">
        <v>5</v>
      </c>
      <c r="D189" s="2">
        <v>1</v>
      </c>
      <c r="E189" s="2">
        <v>0.78800000000000003</v>
      </c>
    </row>
    <row r="190" spans="1:5" ht="14.25" customHeight="1">
      <c r="A190" s="2">
        <v>11</v>
      </c>
      <c r="B190" s="2">
        <v>189</v>
      </c>
      <c r="C190" s="2">
        <v>4</v>
      </c>
      <c r="D190" s="2">
        <v>1</v>
      </c>
      <c r="E190" s="2">
        <v>1.1839999999999999</v>
      </c>
    </row>
    <row r="191" spans="1:5" ht="14.25" customHeight="1">
      <c r="A191" s="2">
        <v>11</v>
      </c>
      <c r="B191" s="2">
        <v>190</v>
      </c>
      <c r="C191" s="2">
        <v>7</v>
      </c>
      <c r="D191" s="2">
        <v>1</v>
      </c>
      <c r="E191" s="2">
        <v>0.77400000000000002</v>
      </c>
    </row>
    <row r="192" spans="1:5" ht="14.25" customHeight="1">
      <c r="A192" s="2">
        <v>11</v>
      </c>
      <c r="B192" s="2">
        <v>191</v>
      </c>
      <c r="C192" s="2">
        <v>8</v>
      </c>
      <c r="D192" s="2">
        <v>1</v>
      </c>
      <c r="E192" s="2">
        <v>1.0109999999999999</v>
      </c>
    </row>
    <row r="193" spans="1:5" ht="14.25" customHeight="1">
      <c r="A193" s="2">
        <v>11</v>
      </c>
      <c r="B193" s="2">
        <v>192</v>
      </c>
      <c r="C193" s="2">
        <v>2</v>
      </c>
      <c r="D193" s="2">
        <v>1</v>
      </c>
      <c r="E193" s="2">
        <v>0.72699999999999998</v>
      </c>
    </row>
    <row r="194" spans="1:5" ht="14.25" customHeight="1">
      <c r="A194" s="2">
        <v>11</v>
      </c>
      <c r="B194" s="2">
        <v>193</v>
      </c>
      <c r="C194" s="2">
        <v>1</v>
      </c>
      <c r="D194" s="2">
        <v>1</v>
      </c>
      <c r="E194" s="2">
        <v>0.72699999999999998</v>
      </c>
    </row>
    <row r="195" spans="1:5" ht="14.25" customHeight="1">
      <c r="A195" s="2">
        <v>11</v>
      </c>
      <c r="B195" s="2">
        <v>194</v>
      </c>
      <c r="C195" s="2">
        <v>6</v>
      </c>
      <c r="D195" s="2">
        <v>1</v>
      </c>
      <c r="E195" s="2">
        <v>0.85399999999999998</v>
      </c>
    </row>
    <row r="196" spans="1:5" ht="14.25" customHeight="1">
      <c r="A196" s="2">
        <v>11</v>
      </c>
      <c r="B196" s="2">
        <v>195</v>
      </c>
      <c r="C196" s="2">
        <v>4</v>
      </c>
      <c r="D196" s="2">
        <v>1</v>
      </c>
      <c r="E196" s="2">
        <v>1.008</v>
      </c>
    </row>
    <row r="197" spans="1:5" ht="14.25" customHeight="1">
      <c r="A197" s="2">
        <v>11</v>
      </c>
      <c r="B197" s="2">
        <v>196</v>
      </c>
      <c r="C197" s="2">
        <v>2</v>
      </c>
      <c r="D197" s="2">
        <v>1</v>
      </c>
      <c r="E197" s="2">
        <v>0.70099999999999996</v>
      </c>
    </row>
    <row r="198" spans="1:5" ht="14.25" customHeight="1">
      <c r="A198" s="2">
        <v>11</v>
      </c>
      <c r="B198" s="2">
        <v>197</v>
      </c>
      <c r="C198" s="2">
        <v>4</v>
      </c>
      <c r="D198" s="2">
        <v>1</v>
      </c>
      <c r="E198" s="2">
        <v>0.81299999999999994</v>
      </c>
    </row>
    <row r="199" spans="1:5" ht="14.25" customHeight="1">
      <c r="A199" s="2">
        <v>11</v>
      </c>
      <c r="B199" s="2">
        <v>198</v>
      </c>
      <c r="C199" s="2">
        <v>6</v>
      </c>
      <c r="D199" s="2">
        <v>1</v>
      </c>
      <c r="E199" s="2">
        <v>1.0169999999999999</v>
      </c>
    </row>
    <row r="200" spans="1:5" ht="14.25" customHeight="1">
      <c r="A200" s="2">
        <v>11</v>
      </c>
      <c r="B200" s="2">
        <v>199</v>
      </c>
      <c r="C200" s="2">
        <v>2</v>
      </c>
      <c r="D200" s="2">
        <v>1</v>
      </c>
      <c r="E200" s="2">
        <v>0.94899999999999995</v>
      </c>
    </row>
    <row r="201" spans="1:5" ht="14.25" customHeight="1">
      <c r="A201" s="2">
        <v>11</v>
      </c>
      <c r="B201" s="2">
        <v>200</v>
      </c>
      <c r="C201" s="2">
        <v>6</v>
      </c>
      <c r="D201" s="2">
        <v>1</v>
      </c>
      <c r="E201" s="2">
        <v>1.036</v>
      </c>
    </row>
    <row r="202" spans="1:5" ht="14.25" customHeight="1">
      <c r="A202" s="2">
        <v>11</v>
      </c>
      <c r="B202" s="2">
        <v>201</v>
      </c>
      <c r="C202" s="2">
        <v>3</v>
      </c>
    </row>
    <row r="203" spans="1:5" ht="14.25" customHeight="1">
      <c r="A203" s="2">
        <v>11</v>
      </c>
      <c r="B203" s="2">
        <v>202</v>
      </c>
      <c r="C203" s="2">
        <v>4</v>
      </c>
    </row>
    <row r="204" spans="1:5" ht="14.25" customHeight="1">
      <c r="A204" s="2">
        <v>11</v>
      </c>
      <c r="B204" s="2">
        <v>203</v>
      </c>
      <c r="C204" s="2">
        <v>8</v>
      </c>
    </row>
    <row r="205" spans="1:5" ht="14.25" customHeight="1">
      <c r="A205" s="2">
        <v>11</v>
      </c>
      <c r="B205" s="2">
        <v>204</v>
      </c>
      <c r="C205" s="2">
        <v>1</v>
      </c>
    </row>
    <row r="206" spans="1:5" ht="14.25" customHeight="1">
      <c r="A206" s="2">
        <v>11</v>
      </c>
      <c r="B206" s="2">
        <v>205</v>
      </c>
      <c r="C206" s="2">
        <v>2</v>
      </c>
    </row>
    <row r="207" spans="1:5" ht="14.25" customHeight="1">
      <c r="A207" s="2">
        <v>11</v>
      </c>
      <c r="B207" s="2">
        <v>206</v>
      </c>
      <c r="C207" s="2">
        <v>7</v>
      </c>
    </row>
    <row r="208" spans="1:5" ht="14.25" customHeight="1">
      <c r="A208" s="2">
        <v>11</v>
      </c>
      <c r="B208" s="2">
        <v>207</v>
      </c>
      <c r="C208" s="2">
        <v>8</v>
      </c>
    </row>
    <row r="209" spans="1:3" ht="14.25" customHeight="1">
      <c r="A209" s="2">
        <v>11</v>
      </c>
      <c r="B209" s="2">
        <v>208</v>
      </c>
      <c r="C209" s="2">
        <v>6</v>
      </c>
    </row>
    <row r="210" spans="1:3" ht="14.25" customHeight="1">
      <c r="A210" s="2">
        <v>11</v>
      </c>
      <c r="B210" s="2">
        <v>209</v>
      </c>
      <c r="C210" s="2">
        <v>5</v>
      </c>
    </row>
    <row r="211" spans="1:3" ht="14.25" customHeight="1">
      <c r="A211" s="2">
        <v>11</v>
      </c>
      <c r="B211" s="2">
        <v>210</v>
      </c>
      <c r="C211" s="2">
        <v>7</v>
      </c>
    </row>
    <row r="212" spans="1:3" ht="14.25" customHeight="1">
      <c r="A212" s="2">
        <v>11</v>
      </c>
      <c r="B212" s="2">
        <v>211</v>
      </c>
      <c r="C212" s="2">
        <v>4</v>
      </c>
    </row>
    <row r="213" spans="1:3" ht="14.25" customHeight="1">
      <c r="A213" s="2">
        <v>11</v>
      </c>
      <c r="B213" s="2">
        <v>212</v>
      </c>
      <c r="C213" s="2">
        <v>7</v>
      </c>
    </row>
    <row r="214" spans="1:3" ht="14.25" customHeight="1">
      <c r="A214" s="2">
        <v>11</v>
      </c>
      <c r="B214" s="2">
        <v>213</v>
      </c>
      <c r="C214" s="2">
        <v>3</v>
      </c>
    </row>
    <row r="215" spans="1:3" ht="14.25" customHeight="1">
      <c r="A215" s="2">
        <v>11</v>
      </c>
      <c r="B215" s="2">
        <v>214</v>
      </c>
      <c r="C215" s="2">
        <v>5</v>
      </c>
    </row>
    <row r="216" spans="1:3" ht="14.25" customHeight="1">
      <c r="A216" s="2">
        <v>11</v>
      </c>
      <c r="B216" s="2">
        <v>215</v>
      </c>
      <c r="C216" s="2">
        <v>8</v>
      </c>
    </row>
    <row r="217" spans="1:3" ht="14.25" customHeight="1">
      <c r="A217" s="2">
        <v>11</v>
      </c>
      <c r="B217" s="2">
        <v>216</v>
      </c>
      <c r="C217" s="2">
        <v>3</v>
      </c>
    </row>
    <row r="218" spans="1:3" ht="14.25" customHeight="1">
      <c r="A218" s="2">
        <v>11</v>
      </c>
      <c r="B218" s="2">
        <v>217</v>
      </c>
      <c r="C218" s="2">
        <v>7</v>
      </c>
    </row>
    <row r="219" spans="1:3" ht="14.25" customHeight="1">
      <c r="A219" s="2">
        <v>11</v>
      </c>
      <c r="B219" s="2">
        <v>218</v>
      </c>
      <c r="C219" s="2">
        <v>1</v>
      </c>
    </row>
    <row r="220" spans="1:3" ht="14.25" customHeight="1">
      <c r="A220" s="2">
        <v>11</v>
      </c>
      <c r="B220" s="2">
        <v>219</v>
      </c>
      <c r="C220" s="2">
        <v>4</v>
      </c>
    </row>
    <row r="221" spans="1:3" ht="14.25" customHeight="1">
      <c r="A221" s="2">
        <v>11</v>
      </c>
      <c r="B221" s="2">
        <v>220</v>
      </c>
      <c r="C221" s="2">
        <v>1</v>
      </c>
    </row>
    <row r="222" spans="1:3" ht="14.25" customHeight="1">
      <c r="A222" s="2">
        <v>11</v>
      </c>
      <c r="B222" s="2">
        <v>221</v>
      </c>
      <c r="C222" s="2">
        <v>5</v>
      </c>
    </row>
    <row r="223" spans="1:3" ht="14.25" customHeight="1">
      <c r="A223" s="2">
        <v>11</v>
      </c>
      <c r="B223" s="2">
        <v>222</v>
      </c>
      <c r="C223" s="2">
        <v>7</v>
      </c>
    </row>
    <row r="224" spans="1:3" ht="14.25" customHeight="1">
      <c r="A224" s="2">
        <v>11</v>
      </c>
      <c r="B224" s="2">
        <v>223</v>
      </c>
      <c r="C224" s="2">
        <v>4</v>
      </c>
    </row>
    <row r="225" spans="1:3" ht="14.25" customHeight="1">
      <c r="A225" s="2">
        <v>11</v>
      </c>
      <c r="B225" s="2">
        <v>224</v>
      </c>
      <c r="C225" s="2">
        <v>1</v>
      </c>
    </row>
    <row r="226" spans="1:3" ht="14.25" customHeight="1">
      <c r="A226" s="2">
        <v>11</v>
      </c>
      <c r="B226" s="2">
        <v>225</v>
      </c>
      <c r="C226" s="2">
        <v>2</v>
      </c>
    </row>
    <row r="227" spans="1:3" ht="14.25" customHeight="1">
      <c r="A227" s="2">
        <v>11</v>
      </c>
      <c r="B227" s="2">
        <v>226</v>
      </c>
      <c r="C227" s="2">
        <v>5</v>
      </c>
    </row>
    <row r="228" spans="1:3" ht="14.25" customHeight="1">
      <c r="A228" s="2">
        <v>11</v>
      </c>
      <c r="B228" s="2">
        <v>227</v>
      </c>
      <c r="C228" s="2">
        <v>1</v>
      </c>
    </row>
    <row r="229" spans="1:3" ht="14.25" customHeight="1">
      <c r="A229" s="2">
        <v>11</v>
      </c>
      <c r="B229" s="2">
        <v>228</v>
      </c>
      <c r="C229" s="2">
        <v>5</v>
      </c>
    </row>
    <row r="230" spans="1:3" ht="14.25" customHeight="1">
      <c r="A230" s="2">
        <v>11</v>
      </c>
      <c r="B230" s="2">
        <v>229</v>
      </c>
      <c r="C230" s="2">
        <v>2</v>
      </c>
    </row>
    <row r="231" spans="1:3" ht="14.25" customHeight="1">
      <c r="A231" s="2">
        <v>11</v>
      </c>
      <c r="B231" s="2">
        <v>230</v>
      </c>
      <c r="C231" s="2">
        <v>3</v>
      </c>
    </row>
    <row r="232" spans="1:3" ht="14.25" customHeight="1">
      <c r="A232" s="2">
        <v>11</v>
      </c>
      <c r="B232" s="2">
        <v>231</v>
      </c>
      <c r="C232" s="2">
        <v>6</v>
      </c>
    </row>
    <row r="233" spans="1:3" ht="14.25" customHeight="1">
      <c r="A233" s="2">
        <v>11</v>
      </c>
      <c r="B233" s="2">
        <v>232</v>
      </c>
      <c r="C233" s="2">
        <v>8</v>
      </c>
    </row>
    <row r="234" spans="1:3" ht="14.25" customHeight="1">
      <c r="A234" s="2">
        <v>11</v>
      </c>
      <c r="B234" s="2">
        <v>233</v>
      </c>
      <c r="C234" s="2">
        <v>6</v>
      </c>
    </row>
    <row r="235" spans="1:3" ht="14.25" customHeight="1">
      <c r="A235" s="2">
        <v>11</v>
      </c>
      <c r="B235" s="2">
        <v>234</v>
      </c>
      <c r="C235" s="2">
        <v>2</v>
      </c>
    </row>
    <row r="236" spans="1:3" ht="14.25" customHeight="1">
      <c r="A236" s="2">
        <v>11</v>
      </c>
      <c r="B236" s="2">
        <v>235</v>
      </c>
      <c r="C236" s="2">
        <v>6</v>
      </c>
    </row>
    <row r="237" spans="1:3" ht="14.25" customHeight="1">
      <c r="A237" s="2">
        <v>11</v>
      </c>
      <c r="B237" s="2">
        <v>236</v>
      </c>
      <c r="C237" s="2">
        <v>2</v>
      </c>
    </row>
    <row r="238" spans="1:3" ht="14.25" customHeight="1">
      <c r="A238" s="2">
        <v>11</v>
      </c>
      <c r="B238" s="2">
        <v>237</v>
      </c>
      <c r="C238" s="2">
        <v>4</v>
      </c>
    </row>
    <row r="239" spans="1:3" ht="14.25" customHeight="1">
      <c r="A239" s="2">
        <v>11</v>
      </c>
      <c r="B239" s="2">
        <v>238</v>
      </c>
      <c r="C239" s="2">
        <v>2</v>
      </c>
    </row>
    <row r="240" spans="1:3" ht="14.25" customHeight="1">
      <c r="A240" s="2">
        <v>11</v>
      </c>
      <c r="B240" s="2">
        <v>239</v>
      </c>
      <c r="C240" s="2">
        <v>1</v>
      </c>
    </row>
    <row r="241" spans="1:3" ht="14.25" customHeight="1">
      <c r="A241" s="2">
        <v>11</v>
      </c>
      <c r="B241" s="2">
        <v>240</v>
      </c>
      <c r="C241" s="2">
        <v>8</v>
      </c>
    </row>
    <row r="242" spans="1:3" ht="14.25" customHeight="1">
      <c r="A242" s="2">
        <v>11</v>
      </c>
      <c r="B242" s="2">
        <v>241</v>
      </c>
      <c r="C242" s="2">
        <v>3</v>
      </c>
    </row>
    <row r="243" spans="1:3" ht="14.25" customHeight="1">
      <c r="A243" s="2">
        <v>11</v>
      </c>
      <c r="B243" s="2">
        <v>242</v>
      </c>
      <c r="C243" s="2">
        <v>1</v>
      </c>
    </row>
    <row r="244" spans="1:3" ht="14.25" customHeight="1">
      <c r="A244" s="2">
        <v>11</v>
      </c>
      <c r="B244" s="2">
        <v>243</v>
      </c>
      <c r="C244" s="2">
        <v>7</v>
      </c>
    </row>
    <row r="245" spans="1:3" ht="14.25" customHeight="1">
      <c r="A245" s="2">
        <v>11</v>
      </c>
      <c r="B245" s="2">
        <v>244</v>
      </c>
      <c r="C245" s="2">
        <v>6</v>
      </c>
    </row>
    <row r="246" spans="1:3" ht="14.25" customHeight="1">
      <c r="A246" s="2">
        <v>11</v>
      </c>
      <c r="B246" s="2">
        <v>245</v>
      </c>
      <c r="C246" s="2">
        <v>5</v>
      </c>
    </row>
    <row r="247" spans="1:3" ht="14.25" customHeight="1">
      <c r="A247" s="2">
        <v>11</v>
      </c>
      <c r="B247" s="2">
        <v>246</v>
      </c>
      <c r="C247" s="2">
        <v>6</v>
      </c>
    </row>
    <row r="248" spans="1:3" ht="14.25" customHeight="1">
      <c r="A248" s="2">
        <v>11</v>
      </c>
      <c r="B248" s="2">
        <v>247</v>
      </c>
      <c r="C248" s="2">
        <v>4</v>
      </c>
    </row>
    <row r="249" spans="1:3" ht="14.25" customHeight="1">
      <c r="A249" s="2">
        <v>11</v>
      </c>
      <c r="B249" s="2">
        <v>248</v>
      </c>
      <c r="C249" s="2">
        <v>3</v>
      </c>
    </row>
    <row r="250" spans="1:3" ht="14.25" customHeight="1">
      <c r="A250" s="2">
        <v>11</v>
      </c>
      <c r="B250" s="2">
        <v>249</v>
      </c>
      <c r="C250" s="2">
        <v>8</v>
      </c>
    </row>
    <row r="251" spans="1:3" ht="14.25" customHeight="1">
      <c r="A251" s="2">
        <v>11</v>
      </c>
      <c r="B251" s="2">
        <v>250</v>
      </c>
      <c r="C251" s="2">
        <v>6</v>
      </c>
    </row>
    <row r="252" spans="1:3" ht="14.25" customHeight="1">
      <c r="A252" s="2">
        <v>11</v>
      </c>
      <c r="B252" s="2">
        <v>251</v>
      </c>
      <c r="C252" s="2">
        <v>4</v>
      </c>
    </row>
    <row r="253" spans="1:3" ht="14.25" customHeight="1">
      <c r="A253" s="2">
        <v>11</v>
      </c>
      <c r="B253" s="2">
        <v>252</v>
      </c>
      <c r="C253" s="2">
        <v>6</v>
      </c>
    </row>
    <row r="254" spans="1:3" ht="14.25" customHeight="1">
      <c r="A254" s="2">
        <v>11</v>
      </c>
      <c r="B254" s="2">
        <v>253</v>
      </c>
      <c r="C254" s="2">
        <v>5</v>
      </c>
    </row>
    <row r="255" spans="1:3" ht="14.25" customHeight="1">
      <c r="A255" s="2">
        <v>11</v>
      </c>
      <c r="B255" s="2">
        <v>254</v>
      </c>
      <c r="C255" s="2">
        <v>8</v>
      </c>
    </row>
    <row r="256" spans="1:3" ht="14.25" customHeight="1">
      <c r="A256" s="2">
        <v>11</v>
      </c>
      <c r="B256" s="2">
        <v>255</v>
      </c>
      <c r="C256" s="2">
        <v>7</v>
      </c>
    </row>
    <row r="257" spans="1:3" ht="14.25" customHeight="1">
      <c r="A257" s="2">
        <v>11</v>
      </c>
      <c r="B257" s="2">
        <v>256</v>
      </c>
      <c r="C257" s="2">
        <v>6</v>
      </c>
    </row>
    <row r="258" spans="1:3" ht="14.25" customHeight="1">
      <c r="A258" s="2">
        <v>11</v>
      </c>
      <c r="B258" s="2">
        <v>257</v>
      </c>
      <c r="C258" s="2">
        <v>1</v>
      </c>
    </row>
    <row r="259" spans="1:3" ht="14.25" customHeight="1">
      <c r="A259" s="2">
        <v>11</v>
      </c>
      <c r="B259" s="2">
        <v>258</v>
      </c>
      <c r="C259" s="2">
        <v>7</v>
      </c>
    </row>
    <row r="260" spans="1:3" ht="14.25" customHeight="1">
      <c r="A260" s="2">
        <v>11</v>
      </c>
      <c r="B260" s="2">
        <v>259</v>
      </c>
      <c r="C260" s="2">
        <v>8</v>
      </c>
    </row>
    <row r="261" spans="1:3" ht="14.25" customHeight="1">
      <c r="A261" s="2">
        <v>11</v>
      </c>
      <c r="B261" s="2">
        <v>260</v>
      </c>
      <c r="C261" s="2">
        <v>5</v>
      </c>
    </row>
    <row r="262" spans="1:3" ht="14.25" customHeight="1">
      <c r="A262" s="2">
        <v>11</v>
      </c>
      <c r="B262" s="2">
        <v>261</v>
      </c>
      <c r="C262" s="2">
        <v>3</v>
      </c>
    </row>
    <row r="263" spans="1:3" ht="14.25" customHeight="1">
      <c r="A263" s="2">
        <v>11</v>
      </c>
      <c r="B263" s="2">
        <v>262</v>
      </c>
      <c r="C263" s="2">
        <v>2</v>
      </c>
    </row>
    <row r="264" spans="1:3" ht="14.25" customHeight="1">
      <c r="A264" s="2">
        <v>11</v>
      </c>
      <c r="B264" s="2">
        <v>263</v>
      </c>
      <c r="C264" s="2">
        <v>5</v>
      </c>
    </row>
    <row r="265" spans="1:3" ht="14.25" customHeight="1">
      <c r="A265" s="2">
        <v>11</v>
      </c>
      <c r="B265" s="2">
        <v>264</v>
      </c>
      <c r="C265" s="2">
        <v>3</v>
      </c>
    </row>
    <row r="266" spans="1:3" ht="14.25" customHeight="1">
      <c r="A266" s="2">
        <v>11</v>
      </c>
      <c r="B266" s="2">
        <v>265</v>
      </c>
      <c r="C266" s="2">
        <v>4</v>
      </c>
    </row>
    <row r="267" spans="1:3" ht="14.25" customHeight="1">
      <c r="A267" s="2">
        <v>11</v>
      </c>
      <c r="B267" s="2">
        <v>266</v>
      </c>
      <c r="C267" s="2">
        <v>5</v>
      </c>
    </row>
    <row r="268" spans="1:3" ht="14.25" customHeight="1">
      <c r="A268" s="2">
        <v>11</v>
      </c>
      <c r="B268" s="2">
        <v>267</v>
      </c>
      <c r="C268" s="2">
        <v>8</v>
      </c>
    </row>
    <row r="269" spans="1:3" ht="14.25" customHeight="1">
      <c r="A269" s="2">
        <v>11</v>
      </c>
      <c r="B269" s="2">
        <v>268</v>
      </c>
      <c r="C269" s="2">
        <v>7</v>
      </c>
    </row>
    <row r="270" spans="1:3" ht="14.25" customHeight="1">
      <c r="A270" s="2">
        <v>11</v>
      </c>
      <c r="B270" s="2">
        <v>269</v>
      </c>
      <c r="C270" s="2">
        <v>3</v>
      </c>
    </row>
    <row r="271" spans="1:3" ht="14.25" customHeight="1">
      <c r="A271" s="2">
        <v>11</v>
      </c>
      <c r="B271" s="2">
        <v>270</v>
      </c>
      <c r="C271" s="2">
        <v>2</v>
      </c>
    </row>
    <row r="272" spans="1:3" ht="14.25" customHeight="1">
      <c r="A272" s="2">
        <v>11</v>
      </c>
      <c r="B272" s="2">
        <v>271</v>
      </c>
      <c r="C272" s="2">
        <v>6</v>
      </c>
    </row>
    <row r="273" spans="1:3" ht="14.25" customHeight="1">
      <c r="A273" s="2">
        <v>11</v>
      </c>
      <c r="B273" s="2">
        <v>272</v>
      </c>
      <c r="C273" s="2">
        <v>4</v>
      </c>
    </row>
    <row r="274" spans="1:3" ht="14.25" customHeight="1">
      <c r="A274" s="2">
        <v>11</v>
      </c>
      <c r="B274" s="2">
        <v>273</v>
      </c>
      <c r="C274" s="2">
        <v>2</v>
      </c>
    </row>
    <row r="275" spans="1:3" ht="14.25" customHeight="1">
      <c r="A275" s="2">
        <v>11</v>
      </c>
      <c r="B275" s="2">
        <v>274</v>
      </c>
      <c r="C275" s="2">
        <v>3</v>
      </c>
    </row>
    <row r="276" spans="1:3" ht="14.25" customHeight="1">
      <c r="A276" s="2">
        <v>11</v>
      </c>
      <c r="B276" s="2">
        <v>275</v>
      </c>
      <c r="C276" s="2">
        <v>5</v>
      </c>
    </row>
    <row r="277" spans="1:3" ht="14.25" customHeight="1">
      <c r="A277" s="2">
        <v>11</v>
      </c>
      <c r="B277" s="2">
        <v>276</v>
      </c>
      <c r="C277" s="2">
        <v>6</v>
      </c>
    </row>
    <row r="278" spans="1:3" ht="14.25" customHeight="1">
      <c r="A278" s="2">
        <v>11</v>
      </c>
      <c r="B278" s="2">
        <v>277</v>
      </c>
      <c r="C278" s="2">
        <v>8</v>
      </c>
    </row>
    <row r="279" spans="1:3" ht="14.25" customHeight="1">
      <c r="A279" s="2">
        <v>11</v>
      </c>
      <c r="B279" s="2">
        <v>278</v>
      </c>
      <c r="C279" s="2">
        <v>6</v>
      </c>
    </row>
    <row r="280" spans="1:3" ht="14.25" customHeight="1">
      <c r="A280" s="2">
        <v>11</v>
      </c>
      <c r="B280" s="2">
        <v>279</v>
      </c>
      <c r="C280" s="2">
        <v>1</v>
      </c>
    </row>
    <row r="281" spans="1:3" ht="14.25" customHeight="1">
      <c r="A281" s="2">
        <v>11</v>
      </c>
      <c r="B281" s="2">
        <v>280</v>
      </c>
      <c r="C281" s="2">
        <v>4</v>
      </c>
    </row>
    <row r="282" spans="1:3" ht="14.25" customHeight="1">
      <c r="A282" s="2">
        <v>11</v>
      </c>
      <c r="B282" s="2">
        <v>281</v>
      </c>
      <c r="C282" s="2">
        <v>1</v>
      </c>
    </row>
    <row r="283" spans="1:3" ht="14.25" customHeight="1">
      <c r="A283" s="2">
        <v>11</v>
      </c>
      <c r="B283" s="2">
        <v>282</v>
      </c>
      <c r="C283" s="2">
        <v>4</v>
      </c>
    </row>
    <row r="284" spans="1:3" ht="14.25" customHeight="1">
      <c r="A284" s="2">
        <v>11</v>
      </c>
      <c r="B284" s="2">
        <v>283</v>
      </c>
      <c r="C284" s="2">
        <v>6</v>
      </c>
    </row>
    <row r="285" spans="1:3" ht="14.25" customHeight="1">
      <c r="A285" s="2">
        <v>11</v>
      </c>
      <c r="B285" s="2">
        <v>284</v>
      </c>
      <c r="C285" s="2">
        <v>3</v>
      </c>
    </row>
    <row r="286" spans="1:3" ht="14.25" customHeight="1">
      <c r="A286" s="2">
        <v>11</v>
      </c>
      <c r="B286" s="2">
        <v>285</v>
      </c>
      <c r="C286" s="2">
        <v>4</v>
      </c>
    </row>
    <row r="287" spans="1:3" ht="14.25" customHeight="1">
      <c r="A287" s="2">
        <v>11</v>
      </c>
      <c r="B287" s="2">
        <v>286</v>
      </c>
      <c r="C287" s="2">
        <v>1</v>
      </c>
    </row>
    <row r="288" spans="1:3" ht="14.25" customHeight="1">
      <c r="A288" s="2">
        <v>11</v>
      </c>
      <c r="B288" s="2">
        <v>287</v>
      </c>
      <c r="C288" s="2">
        <v>7</v>
      </c>
    </row>
    <row r="289" spans="1:4" ht="14.25" customHeight="1">
      <c r="A289" s="2">
        <v>11</v>
      </c>
      <c r="B289" s="2">
        <v>288</v>
      </c>
      <c r="C289" s="2">
        <v>1</v>
      </c>
    </row>
    <row r="290" spans="1:4" ht="14.25" customHeight="1">
      <c r="A290" s="2">
        <v>11</v>
      </c>
      <c r="B290" s="2">
        <v>289</v>
      </c>
      <c r="C290" s="2">
        <v>2</v>
      </c>
    </row>
    <row r="291" spans="1:4" ht="14.25" customHeight="1">
      <c r="A291" s="2">
        <v>11</v>
      </c>
      <c r="B291" s="2">
        <v>290</v>
      </c>
      <c r="C291" s="2">
        <v>1</v>
      </c>
    </row>
    <row r="292" spans="1:4" ht="14.25" customHeight="1">
      <c r="A292" s="2">
        <v>11</v>
      </c>
      <c r="B292" s="2">
        <v>291</v>
      </c>
      <c r="C292" s="2">
        <v>2</v>
      </c>
    </row>
    <row r="293" spans="1:4" ht="14.25" customHeight="1">
      <c r="A293" s="2">
        <v>11</v>
      </c>
      <c r="B293" s="2">
        <v>292</v>
      </c>
      <c r="C293" s="2">
        <v>6</v>
      </c>
    </row>
    <row r="294" spans="1:4" ht="14.25" customHeight="1">
      <c r="A294" s="2">
        <v>11</v>
      </c>
      <c r="B294" s="2">
        <v>293</v>
      </c>
      <c r="C294" s="2">
        <v>3</v>
      </c>
    </row>
    <row r="295" spans="1:4" ht="14.25" customHeight="1">
      <c r="A295" s="2">
        <v>11</v>
      </c>
      <c r="B295" s="2">
        <v>294</v>
      </c>
      <c r="C295" s="2">
        <v>8</v>
      </c>
    </row>
    <row r="296" spans="1:4" ht="14.25" customHeight="1">
      <c r="A296" s="2">
        <v>11</v>
      </c>
      <c r="B296" s="2">
        <v>295</v>
      </c>
      <c r="C296" s="2">
        <v>5</v>
      </c>
    </row>
    <row r="297" spans="1:4" ht="14.25" customHeight="1">
      <c r="A297" s="2">
        <v>11</v>
      </c>
      <c r="B297" s="2">
        <v>296</v>
      </c>
      <c r="C297" s="2">
        <v>7</v>
      </c>
    </row>
    <row r="298" spans="1:4" ht="14.25" customHeight="1">
      <c r="A298" s="2">
        <v>11</v>
      </c>
      <c r="B298" s="2">
        <v>297</v>
      </c>
      <c r="C298" s="2">
        <v>8</v>
      </c>
    </row>
    <row r="299" spans="1:4" ht="14.25" customHeight="1">
      <c r="A299" s="2">
        <v>11</v>
      </c>
      <c r="B299" s="2">
        <v>298</v>
      </c>
      <c r="C299" s="2">
        <v>7</v>
      </c>
    </row>
    <row r="300" spans="1:4" ht="14.25" customHeight="1">
      <c r="A300" s="2">
        <v>11</v>
      </c>
      <c r="B300" s="2">
        <v>299</v>
      </c>
      <c r="C300" s="2">
        <v>1</v>
      </c>
    </row>
    <row r="301" spans="1:4" ht="14.25" customHeight="1">
      <c r="A301" s="2">
        <v>11</v>
      </c>
      <c r="B301" s="2">
        <v>300</v>
      </c>
      <c r="C301" s="2">
        <v>2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12</v>
      </c>
      <c r="I1" s="2">
        <v>100</v>
      </c>
      <c r="J1" s="2">
        <v>7</v>
      </c>
      <c r="K1" s="2">
        <v>1</v>
      </c>
      <c r="L1" s="2">
        <v>0.74099999999999999</v>
      </c>
      <c r="M1" s="2">
        <v>2</v>
      </c>
    </row>
    <row r="2" spans="1:25" ht="14.25" customHeight="1">
      <c r="A2" s="2">
        <v>12</v>
      </c>
      <c r="B2" s="2">
        <v>1</v>
      </c>
      <c r="C2" s="2">
        <v>2</v>
      </c>
      <c r="E2" s="2">
        <v>2.0009999999999999</v>
      </c>
      <c r="H2" s="2">
        <v>12</v>
      </c>
      <c r="I2" s="2">
        <v>101</v>
      </c>
      <c r="J2" s="2">
        <v>4</v>
      </c>
      <c r="K2" s="2">
        <v>0</v>
      </c>
      <c r="L2" s="2">
        <v>1.385</v>
      </c>
      <c r="M2" s="2">
        <v>1</v>
      </c>
    </row>
    <row r="3" spans="1:25" ht="14.25" customHeight="1">
      <c r="A3" s="2">
        <v>12</v>
      </c>
      <c r="B3" s="2">
        <v>2</v>
      </c>
      <c r="C3" s="2">
        <v>8</v>
      </c>
      <c r="E3" s="2">
        <v>2.0009999999999999</v>
      </c>
      <c r="H3" s="2">
        <v>12</v>
      </c>
      <c r="I3" s="2">
        <v>102</v>
      </c>
      <c r="J3" s="2">
        <v>3</v>
      </c>
      <c r="K3" s="2">
        <v>1</v>
      </c>
      <c r="L3" s="2">
        <v>0.67800000000000005</v>
      </c>
      <c r="M3" s="2">
        <v>2</v>
      </c>
    </row>
    <row r="4" spans="1:25" ht="14.25" customHeight="1">
      <c r="A4" s="2">
        <v>12</v>
      </c>
      <c r="B4" s="2">
        <v>3</v>
      </c>
      <c r="C4" s="2">
        <v>7</v>
      </c>
      <c r="D4" s="2">
        <v>1</v>
      </c>
      <c r="E4" s="2">
        <v>0.92100000000000004</v>
      </c>
      <c r="F4" s="2">
        <v>2</v>
      </c>
      <c r="H4" s="2">
        <v>12</v>
      </c>
      <c r="I4" s="2">
        <v>103</v>
      </c>
      <c r="J4" s="2">
        <v>7</v>
      </c>
      <c r="K4" s="2">
        <v>1</v>
      </c>
      <c r="L4" s="2">
        <v>0.63100000000000001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12</v>
      </c>
      <c r="B5" s="2">
        <v>4</v>
      </c>
      <c r="C5" s="2">
        <v>8</v>
      </c>
      <c r="D5" s="2">
        <v>1</v>
      </c>
      <c r="E5" s="2">
        <v>0.80700000000000005</v>
      </c>
      <c r="F5" s="2">
        <v>2</v>
      </c>
      <c r="H5" s="2">
        <v>12</v>
      </c>
      <c r="I5" s="2">
        <v>104</v>
      </c>
      <c r="J5" s="2">
        <v>1</v>
      </c>
      <c r="K5" s="2">
        <v>1</v>
      </c>
      <c r="L5" s="2">
        <v>0.55400000000000005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12</v>
      </c>
      <c r="B6" s="2">
        <v>5</v>
      </c>
      <c r="C6" s="2">
        <v>4</v>
      </c>
      <c r="D6" s="2">
        <v>0</v>
      </c>
      <c r="E6" s="2">
        <v>1.091</v>
      </c>
      <c r="F6" s="2">
        <v>1</v>
      </c>
      <c r="H6" s="2">
        <v>12</v>
      </c>
      <c r="I6" s="2">
        <v>105</v>
      </c>
      <c r="J6" s="2">
        <v>5</v>
      </c>
      <c r="K6" s="2">
        <v>1</v>
      </c>
      <c r="L6" s="2">
        <v>0.71299999999999997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12</v>
      </c>
      <c r="B7" s="2">
        <v>6</v>
      </c>
      <c r="C7" s="2">
        <v>6</v>
      </c>
      <c r="D7" s="2">
        <v>1</v>
      </c>
      <c r="E7" s="2">
        <v>0.76300000000000001</v>
      </c>
      <c r="F7" s="2">
        <v>1</v>
      </c>
      <c r="H7" s="2">
        <v>12</v>
      </c>
      <c r="I7" s="2">
        <v>106</v>
      </c>
      <c r="J7" s="2">
        <v>4</v>
      </c>
      <c r="K7" s="2">
        <v>1</v>
      </c>
      <c r="L7" s="2">
        <v>1.153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12</v>
      </c>
      <c r="B8" s="2">
        <v>7</v>
      </c>
      <c r="C8" s="2">
        <v>5</v>
      </c>
      <c r="D8" s="2">
        <v>1</v>
      </c>
      <c r="E8" s="2">
        <v>0.84199999999999997</v>
      </c>
      <c r="F8" s="2">
        <v>1</v>
      </c>
      <c r="H8" s="2">
        <v>12</v>
      </c>
      <c r="I8" s="2">
        <v>107</v>
      </c>
      <c r="J8" s="2">
        <v>2</v>
      </c>
      <c r="K8" s="2">
        <v>1</v>
      </c>
      <c r="L8" s="2">
        <v>1.6060000000000001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12</v>
      </c>
      <c r="B9" s="2">
        <v>8</v>
      </c>
      <c r="C9" s="2">
        <v>2</v>
      </c>
      <c r="D9" s="2">
        <v>0</v>
      </c>
      <c r="E9" s="2">
        <v>0.86</v>
      </c>
      <c r="F9" s="2">
        <v>1</v>
      </c>
      <c r="H9" s="2">
        <v>12</v>
      </c>
      <c r="I9" s="2">
        <v>108</v>
      </c>
      <c r="J9" s="2">
        <v>7</v>
      </c>
      <c r="K9" s="2">
        <v>1</v>
      </c>
      <c r="L9" s="2">
        <v>1.5549999999999999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12</v>
      </c>
      <c r="B10" s="2">
        <v>9</v>
      </c>
      <c r="C10" s="2">
        <v>1</v>
      </c>
      <c r="D10" s="2">
        <v>1</v>
      </c>
      <c r="E10" s="2">
        <v>1.198</v>
      </c>
      <c r="F10" s="2">
        <v>1</v>
      </c>
      <c r="H10" s="2">
        <v>12</v>
      </c>
      <c r="I10" s="2">
        <v>109</v>
      </c>
      <c r="J10" s="2">
        <v>2</v>
      </c>
      <c r="L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12</v>
      </c>
      <c r="B11" s="2">
        <v>10</v>
      </c>
      <c r="C11" s="2">
        <v>2</v>
      </c>
      <c r="D11" s="2">
        <v>0</v>
      </c>
      <c r="E11" s="2">
        <v>1.155</v>
      </c>
      <c r="F11" s="2">
        <v>1</v>
      </c>
      <c r="H11" s="2">
        <v>12</v>
      </c>
      <c r="I11" s="2">
        <v>110</v>
      </c>
      <c r="J11" s="2">
        <v>4</v>
      </c>
      <c r="K11" s="2">
        <v>1</v>
      </c>
      <c r="L11" s="2">
        <v>1.0049999999999999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12</v>
      </c>
      <c r="B12" s="2">
        <v>11</v>
      </c>
      <c r="C12" s="2">
        <v>5</v>
      </c>
      <c r="D12" s="2">
        <v>1</v>
      </c>
      <c r="E12" s="2">
        <v>1.0449999999999999</v>
      </c>
      <c r="F12" s="2">
        <v>1</v>
      </c>
      <c r="H12" s="2">
        <v>12</v>
      </c>
      <c r="I12" s="2">
        <v>111</v>
      </c>
      <c r="J12" s="2">
        <v>6</v>
      </c>
      <c r="K12" s="2">
        <v>1</v>
      </c>
      <c r="L12" s="2">
        <v>0.92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12</v>
      </c>
      <c r="B13" s="2">
        <v>12</v>
      </c>
      <c r="C13" s="2">
        <v>7</v>
      </c>
      <c r="D13" s="2">
        <v>1</v>
      </c>
      <c r="E13" s="2">
        <v>0.78300000000000003</v>
      </c>
      <c r="F13" s="2">
        <v>2</v>
      </c>
      <c r="H13" s="2">
        <v>12</v>
      </c>
      <c r="I13" s="2">
        <v>112</v>
      </c>
      <c r="J13" s="2">
        <v>7</v>
      </c>
      <c r="K13" s="2">
        <v>1</v>
      </c>
      <c r="L13" s="2">
        <v>0.56799999999999995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12</v>
      </c>
      <c r="B14" s="2">
        <v>13</v>
      </c>
      <c r="C14" s="2">
        <v>6</v>
      </c>
      <c r="D14" s="2">
        <v>1</v>
      </c>
      <c r="E14" s="2">
        <v>1.339</v>
      </c>
      <c r="F14" s="2">
        <v>1</v>
      </c>
      <c r="H14" s="2">
        <v>12</v>
      </c>
      <c r="I14" s="2">
        <v>113</v>
      </c>
      <c r="J14" s="2">
        <v>2</v>
      </c>
      <c r="K14" s="2">
        <v>1</v>
      </c>
      <c r="L14" s="2">
        <v>1.006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12</v>
      </c>
      <c r="B15" s="2">
        <v>14</v>
      </c>
      <c r="C15" s="2">
        <v>2</v>
      </c>
      <c r="D15" s="2">
        <v>1</v>
      </c>
      <c r="E15" s="2">
        <v>0.55400000000000005</v>
      </c>
      <c r="F15" s="2">
        <v>2</v>
      </c>
      <c r="H15" s="2">
        <v>12</v>
      </c>
      <c r="I15" s="2">
        <v>114</v>
      </c>
      <c r="J15" s="2">
        <v>5</v>
      </c>
      <c r="K15" s="2">
        <v>1</v>
      </c>
      <c r="L15" s="2">
        <v>1.298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12</v>
      </c>
      <c r="B16" s="2">
        <v>15</v>
      </c>
      <c r="C16" s="2">
        <v>1</v>
      </c>
      <c r="D16" s="2">
        <v>0</v>
      </c>
      <c r="E16" s="2">
        <v>1.0880000000000001</v>
      </c>
      <c r="F16" s="2">
        <v>2</v>
      </c>
      <c r="H16" s="2">
        <v>12</v>
      </c>
      <c r="I16" s="2">
        <v>115</v>
      </c>
      <c r="J16" s="2">
        <v>6</v>
      </c>
      <c r="K16" s="2">
        <v>1</v>
      </c>
      <c r="L16" s="2">
        <v>1.522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12</v>
      </c>
      <c r="B17" s="2">
        <v>16</v>
      </c>
      <c r="C17" s="2">
        <v>2</v>
      </c>
      <c r="D17" s="2">
        <v>0</v>
      </c>
      <c r="E17" s="2">
        <v>1.2410000000000001</v>
      </c>
      <c r="F17" s="2">
        <v>1</v>
      </c>
      <c r="H17" s="2">
        <v>12</v>
      </c>
      <c r="I17" s="2">
        <v>116</v>
      </c>
      <c r="J17" s="2">
        <v>8</v>
      </c>
      <c r="L17" s="2">
        <v>2.0009999999999999</v>
      </c>
      <c r="N17" s="3">
        <v>1</v>
      </c>
      <c r="O17" s="3">
        <f t="shared" ref="O17:O22" si="0">(O6*COUNTIF($J$1:$J$101,O$16) - COUNTIFS($J$1:$J$101,O$16,$K$1:$K$101,"=0"))^2</f>
        <v>0.48999999999999994</v>
      </c>
      <c r="P17" s="3">
        <f t="shared" ref="P17:P22" si="1">(P6*COUNTIF($J$1:$J$101,P$16) - COUNTIFS($J$1:$J$101,P$16,$K$1:$K$101,"=1"))^2</f>
        <v>0.42249999999999932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2.8899999999999975</v>
      </c>
      <c r="S17" s="3">
        <f t="shared" ref="S17:T17" si="4">(S6*COUNTIF($J$1:$J$101,S$16) - COUNTIFS($J$1:$J$101,S$16,$K$1:$K$101,"=0"))^2</f>
        <v>7.0225</v>
      </c>
      <c r="T17" s="3">
        <f t="shared" si="4"/>
        <v>9.0000000000000024E-2</v>
      </c>
      <c r="U17" s="3">
        <f t="shared" ref="U17:V17" si="5">(U6*COUNTIF($J$1:$J$101,U$16) - COUNTIFS($J$1:$J$101,U$16,$K$1:$K$101,"=1"))^2</f>
        <v>0.12250000000000037</v>
      </c>
      <c r="V17" s="3">
        <f t="shared" si="5"/>
        <v>0.48999999999999899</v>
      </c>
      <c r="W17" s="4"/>
      <c r="X17" s="4"/>
      <c r="Y17" s="4"/>
    </row>
    <row r="18" spans="1:25" ht="14.25" customHeight="1">
      <c r="A18" s="2">
        <v>12</v>
      </c>
      <c r="B18" s="2">
        <v>17</v>
      </c>
      <c r="C18" s="2">
        <v>1</v>
      </c>
      <c r="D18" s="2">
        <v>0</v>
      </c>
      <c r="E18" s="2">
        <v>0.89100000000000001</v>
      </c>
      <c r="F18" s="2">
        <v>2</v>
      </c>
      <c r="H18" s="2">
        <v>12</v>
      </c>
      <c r="I18" s="2">
        <v>117</v>
      </c>
      <c r="J18" s="2">
        <v>5</v>
      </c>
      <c r="K18" s="2">
        <v>1</v>
      </c>
      <c r="L18" s="2">
        <v>1.47</v>
      </c>
      <c r="M18" s="2">
        <v>1</v>
      </c>
      <c r="N18" s="3">
        <v>2</v>
      </c>
      <c r="O18" s="3">
        <f t="shared" si="0"/>
        <v>0.48999999999999994</v>
      </c>
      <c r="P18" s="3">
        <f t="shared" si="1"/>
        <v>31.922500000000003</v>
      </c>
      <c r="Q18" s="6">
        <f t="shared" si="2"/>
        <v>25</v>
      </c>
      <c r="R18" s="3">
        <f t="shared" si="3"/>
        <v>2.8899999999999975</v>
      </c>
      <c r="S18" s="6">
        <f t="shared" ref="S18:T18" si="6">(S7*COUNTIF($J$1:$J$101,S$16) - COUNTIFS($J$1:$J$101,S$16,$K$1:$K$101,"=0"))^2</f>
        <v>7.0225</v>
      </c>
      <c r="T18" s="6">
        <f t="shared" si="6"/>
        <v>9.0000000000000024E-2</v>
      </c>
      <c r="U18" s="6">
        <f t="shared" ref="U18:V18" si="7">(U7*COUNTIF($J$1:$J$101,U$16) - COUNTIFS($J$1:$J$101,U$16,$K$1:$K$101,"=1"))^2</f>
        <v>0.12250000000000037</v>
      </c>
      <c r="V18" s="6">
        <f t="shared" si="7"/>
        <v>0.48999999999999899</v>
      </c>
      <c r="W18" s="4"/>
      <c r="X18" s="4"/>
      <c r="Y18" s="4"/>
    </row>
    <row r="19" spans="1:25" ht="14.25" customHeight="1">
      <c r="A19" s="2">
        <v>12</v>
      </c>
      <c r="B19" s="2">
        <v>18</v>
      </c>
      <c r="C19" s="2">
        <v>7</v>
      </c>
      <c r="D19" s="2">
        <v>1</v>
      </c>
      <c r="E19" s="2">
        <v>0.78800000000000003</v>
      </c>
      <c r="F19" s="2">
        <v>2</v>
      </c>
      <c r="H19" s="2">
        <v>12</v>
      </c>
      <c r="I19" s="2">
        <v>118</v>
      </c>
      <c r="J19" s="2">
        <v>8</v>
      </c>
      <c r="K19" s="2">
        <v>1</v>
      </c>
      <c r="L19" s="2">
        <v>0.60799999999999998</v>
      </c>
      <c r="M19" s="2">
        <v>2</v>
      </c>
      <c r="N19" s="3">
        <v>3</v>
      </c>
      <c r="O19" s="3">
        <f t="shared" si="0"/>
        <v>0.48999999999999994</v>
      </c>
      <c r="P19" s="3">
        <f t="shared" si="1"/>
        <v>0.42249999999999932</v>
      </c>
      <c r="Q19" s="3">
        <f t="shared" si="2"/>
        <v>0.15999999999999992</v>
      </c>
      <c r="R19" s="3">
        <f t="shared" si="3"/>
        <v>2.8899999999999975</v>
      </c>
      <c r="S19" s="6">
        <f t="shared" ref="S19:T19" si="8">(S8*COUNTIF($J$1:$J$101,S$16) - COUNTIFS($J$1:$J$101,S$16,$K$1:$K$101,"=0"))^2</f>
        <v>7.0225</v>
      </c>
      <c r="T19" s="6">
        <f t="shared" si="8"/>
        <v>32.489999999999995</v>
      </c>
      <c r="U19" s="3">
        <f t="shared" ref="U19:V19" si="9">(U8*COUNTIF($J$1:$J$101,U$16) - COUNTIFS($J$1:$J$101,U$16,$K$1:$K$101,"=1"))^2</f>
        <v>44.222500000000004</v>
      </c>
      <c r="V19" s="6">
        <f t="shared" si="9"/>
        <v>0.48999999999999899</v>
      </c>
      <c r="W19" s="4"/>
      <c r="X19" s="4"/>
      <c r="Y19" s="4"/>
    </row>
    <row r="20" spans="1:25" ht="14.25" customHeight="1">
      <c r="A20" s="2">
        <v>12</v>
      </c>
      <c r="B20" s="2">
        <v>19</v>
      </c>
      <c r="C20" s="2">
        <v>6</v>
      </c>
      <c r="D20" s="2">
        <v>1</v>
      </c>
      <c r="E20" s="2">
        <v>0.80100000000000005</v>
      </c>
      <c r="F20" s="2">
        <v>1</v>
      </c>
      <c r="H20" s="2">
        <v>12</v>
      </c>
      <c r="I20" s="2">
        <v>119</v>
      </c>
      <c r="J20" s="2">
        <v>1</v>
      </c>
      <c r="K20" s="2">
        <v>1</v>
      </c>
      <c r="L20" s="2">
        <v>0.89100000000000001</v>
      </c>
      <c r="M20" s="2">
        <v>1</v>
      </c>
      <c r="N20" s="3">
        <v>4</v>
      </c>
      <c r="O20" s="3">
        <f t="shared" si="0"/>
        <v>4</v>
      </c>
      <c r="P20" s="3">
        <f t="shared" si="1"/>
        <v>6.25</v>
      </c>
      <c r="Q20" s="3">
        <f t="shared" si="2"/>
        <v>4</v>
      </c>
      <c r="R20" s="3">
        <f t="shared" si="3"/>
        <v>1</v>
      </c>
      <c r="S20" s="6">
        <f t="shared" ref="S20:T20" si="10">(S9*COUNTIF($J$1:$J$101,S$16) - COUNTIFS($J$1:$J$101,S$16,$K$1:$K$101,"=0"))^2</f>
        <v>7.0225</v>
      </c>
      <c r="T20" s="6">
        <f t="shared" si="10"/>
        <v>9.0000000000000024E-2</v>
      </c>
      <c r="U20" s="6">
        <f t="shared" ref="U20:V20" si="11">(U9*COUNTIF($J$1:$J$101,U$16) - COUNTIFS($J$1:$J$101,U$16,$K$1:$K$101,"=1"))^2</f>
        <v>0.12250000000000037</v>
      </c>
      <c r="V20" s="6">
        <f t="shared" si="11"/>
        <v>0.48999999999999899</v>
      </c>
      <c r="W20" s="4"/>
      <c r="X20" s="4"/>
      <c r="Y20" s="4"/>
    </row>
    <row r="21" spans="1:25" ht="14.25" customHeight="1">
      <c r="A21" s="2">
        <v>12</v>
      </c>
      <c r="B21" s="2">
        <v>20</v>
      </c>
      <c r="C21" s="2">
        <v>8</v>
      </c>
      <c r="D21" s="2">
        <v>1</v>
      </c>
      <c r="E21" s="2">
        <v>0.57999999999999996</v>
      </c>
      <c r="F21" s="2">
        <v>2</v>
      </c>
      <c r="H21" s="2">
        <v>12</v>
      </c>
      <c r="I21" s="2">
        <v>120</v>
      </c>
      <c r="J21" s="2">
        <v>5</v>
      </c>
      <c r="K21" s="2">
        <v>0</v>
      </c>
      <c r="L21" s="2">
        <v>0.91600000000000004</v>
      </c>
      <c r="M21" s="2">
        <v>1</v>
      </c>
      <c r="N21" s="3">
        <v>5</v>
      </c>
      <c r="O21" s="3">
        <f t="shared" si="0"/>
        <v>0.48999999999999994</v>
      </c>
      <c r="P21" s="3">
        <f t="shared" si="1"/>
        <v>0.42249999999999932</v>
      </c>
      <c r="Q21" s="3">
        <f t="shared" si="2"/>
        <v>0.15999999999999992</v>
      </c>
      <c r="R21" s="3">
        <f t="shared" si="3"/>
        <v>2.8899999999999975</v>
      </c>
      <c r="S21" s="6">
        <f t="shared" ref="S21:T21" si="12">(S10*COUNTIF($J$1:$J$101,S$16) - COUNTIFS($J$1:$J$101,S$16,$K$1:$K$101,"=0"))^2</f>
        <v>0.25</v>
      </c>
      <c r="T21" s="6">
        <f t="shared" si="12"/>
        <v>9</v>
      </c>
      <c r="U21" s="6">
        <f t="shared" ref="U21:V21" si="13">(U10*COUNTIF($J$1:$J$101,U$16) - COUNTIFS($J$1:$J$101,U$16,$K$1:$K$101,"=1"))^2</f>
        <v>12.25</v>
      </c>
      <c r="V21" s="6">
        <f t="shared" si="13"/>
        <v>4</v>
      </c>
      <c r="W21" s="4"/>
      <c r="X21" s="4"/>
      <c r="Y21" s="4"/>
    </row>
    <row r="22" spans="1:25" ht="14.25" customHeight="1">
      <c r="A22" s="2">
        <v>12</v>
      </c>
      <c r="B22" s="2">
        <v>21</v>
      </c>
      <c r="C22" s="2">
        <v>5</v>
      </c>
      <c r="D22" s="2">
        <v>1</v>
      </c>
      <c r="E22" s="2">
        <v>1.274</v>
      </c>
      <c r="F22" s="2">
        <v>1</v>
      </c>
      <c r="H22" s="2">
        <v>12</v>
      </c>
      <c r="I22" s="2">
        <v>121</v>
      </c>
      <c r="J22" s="2">
        <v>8</v>
      </c>
      <c r="K22" s="2">
        <v>1</v>
      </c>
      <c r="L22" s="2">
        <v>0.89200000000000002</v>
      </c>
      <c r="M22" s="2">
        <v>1</v>
      </c>
      <c r="N22" s="3">
        <v>6</v>
      </c>
      <c r="O22" s="3">
        <f t="shared" si="0"/>
        <v>4</v>
      </c>
      <c r="P22" s="3">
        <f t="shared" si="1"/>
        <v>6.25</v>
      </c>
      <c r="Q22" s="3">
        <f t="shared" si="2"/>
        <v>4</v>
      </c>
      <c r="R22" s="3">
        <f t="shared" si="3"/>
        <v>1</v>
      </c>
      <c r="S22" s="6">
        <f t="shared" ref="S22:T22" si="14">(S11*COUNTIF($J$1:$J$101,S$16) - COUNTIFS($J$1:$J$101,S$16,$K$1:$K$101,"=0"))^2</f>
        <v>0.25</v>
      </c>
      <c r="T22" s="6">
        <f t="shared" si="14"/>
        <v>9</v>
      </c>
      <c r="U22" s="6">
        <f t="shared" ref="U22:V22" si="15">(U11*COUNTIF($J$1:$J$101,U$16) - COUNTIFS($J$1:$J$101,U$16,$K$1:$K$101,"=1"))^2</f>
        <v>12.25</v>
      </c>
      <c r="V22" s="6">
        <f t="shared" si="15"/>
        <v>4</v>
      </c>
      <c r="W22" s="4"/>
      <c r="X22" s="4"/>
      <c r="Y22" s="4"/>
    </row>
    <row r="23" spans="1:25" ht="14.25" customHeight="1">
      <c r="A23" s="2">
        <v>12</v>
      </c>
      <c r="B23" s="2">
        <v>22</v>
      </c>
      <c r="C23" s="2">
        <v>4</v>
      </c>
      <c r="D23" s="2">
        <v>1</v>
      </c>
      <c r="E23" s="2">
        <v>0.94799999999999995</v>
      </c>
      <c r="F23" s="2">
        <v>2</v>
      </c>
      <c r="H23" s="2">
        <v>12</v>
      </c>
      <c r="I23" s="2">
        <v>122</v>
      </c>
      <c r="J23" s="2">
        <v>2</v>
      </c>
      <c r="K23" s="2">
        <v>1</v>
      </c>
      <c r="L23" s="2">
        <v>1.7010000000000001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12</v>
      </c>
      <c r="B24" s="2">
        <v>23</v>
      </c>
      <c r="C24" s="2">
        <v>3</v>
      </c>
      <c r="D24" s="2">
        <v>0</v>
      </c>
      <c r="E24" s="2">
        <v>0.92200000000000004</v>
      </c>
      <c r="F24" s="2">
        <v>2</v>
      </c>
      <c r="H24" s="2">
        <v>12</v>
      </c>
      <c r="I24" s="2">
        <v>123</v>
      </c>
      <c r="J24" s="2">
        <v>7</v>
      </c>
      <c r="K24" s="2">
        <v>1</v>
      </c>
      <c r="L24" s="2">
        <v>0.83699999999999997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12</v>
      </c>
      <c r="B25" s="2">
        <v>24</v>
      </c>
      <c r="C25" s="2">
        <v>8</v>
      </c>
      <c r="D25" s="2">
        <v>1</v>
      </c>
      <c r="E25" s="2">
        <v>0.71299999999999997</v>
      </c>
      <c r="F25" s="2">
        <v>2</v>
      </c>
      <c r="H25" s="2">
        <v>12</v>
      </c>
      <c r="I25" s="2">
        <v>124</v>
      </c>
      <c r="J25" s="2">
        <v>1</v>
      </c>
      <c r="K25" s="2">
        <v>1</v>
      </c>
      <c r="L25" s="2">
        <v>1.08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12</v>
      </c>
      <c r="B26" s="2">
        <v>25</v>
      </c>
      <c r="C26" s="2">
        <v>4</v>
      </c>
      <c r="D26" s="2">
        <v>1</v>
      </c>
      <c r="E26" s="2">
        <v>1.0569999999999999</v>
      </c>
      <c r="F26" s="2">
        <v>2</v>
      </c>
      <c r="H26" s="2">
        <v>12</v>
      </c>
      <c r="I26" s="2">
        <v>125</v>
      </c>
      <c r="J26" s="2">
        <v>4</v>
      </c>
      <c r="K26" s="2">
        <v>0</v>
      </c>
      <c r="L26" s="2">
        <v>1.113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49</v>
      </c>
      <c r="Q26" s="3">
        <f t="shared" si="16"/>
        <v>36</v>
      </c>
      <c r="R26" s="3">
        <f t="shared" si="16"/>
        <v>36</v>
      </c>
      <c r="S26" s="3">
        <f t="shared" si="16"/>
        <v>49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12</v>
      </c>
      <c r="B27" s="2">
        <v>26</v>
      </c>
      <c r="C27" s="2">
        <v>3</v>
      </c>
      <c r="D27" s="2">
        <v>1</v>
      </c>
      <c r="E27" s="2">
        <v>0.57899999999999996</v>
      </c>
      <c r="F27" s="2">
        <v>1</v>
      </c>
      <c r="H27" s="2">
        <v>12</v>
      </c>
      <c r="I27" s="2">
        <v>126</v>
      </c>
      <c r="J27" s="2">
        <v>5</v>
      </c>
      <c r="K27" s="2">
        <v>1</v>
      </c>
      <c r="L27" s="2">
        <v>0.91300000000000003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12</v>
      </c>
      <c r="B28" s="2">
        <v>27</v>
      </c>
      <c r="C28" s="2">
        <v>4</v>
      </c>
      <c r="D28" s="2">
        <v>1</v>
      </c>
      <c r="E28" s="2">
        <v>0.88100000000000001</v>
      </c>
      <c r="F28" s="2">
        <v>2</v>
      </c>
      <c r="H28" s="2">
        <v>12</v>
      </c>
      <c r="I28" s="2">
        <v>127</v>
      </c>
      <c r="J28" s="2">
        <v>3</v>
      </c>
      <c r="K28" s="2">
        <v>1</v>
      </c>
      <c r="L28" s="2">
        <v>1.5289999999999999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12</v>
      </c>
      <c r="B29" s="2">
        <v>28</v>
      </c>
      <c r="C29" s="2">
        <v>8</v>
      </c>
      <c r="D29" s="2">
        <v>1</v>
      </c>
      <c r="E29" s="2">
        <v>0.81799999999999995</v>
      </c>
      <c r="F29" s="2">
        <v>2</v>
      </c>
      <c r="H29" s="2">
        <v>12</v>
      </c>
      <c r="I29" s="2">
        <v>128</v>
      </c>
      <c r="J29" s="2">
        <v>1</v>
      </c>
      <c r="K29" s="2">
        <v>1</v>
      </c>
      <c r="L29" s="2">
        <v>0.88800000000000001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12</v>
      </c>
      <c r="B30" s="2">
        <v>29</v>
      </c>
      <c r="C30" s="2">
        <v>1</v>
      </c>
      <c r="D30" s="2">
        <v>1</v>
      </c>
      <c r="E30" s="2">
        <v>1.0369999999999999</v>
      </c>
      <c r="F30" s="2">
        <v>1</v>
      </c>
      <c r="H30" s="2">
        <v>12</v>
      </c>
      <c r="I30" s="2">
        <v>129</v>
      </c>
      <c r="J30" s="2">
        <v>3</v>
      </c>
      <c r="K30" s="2">
        <v>0</v>
      </c>
      <c r="L30" s="2">
        <v>1.4570000000000001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12</v>
      </c>
      <c r="B31" s="2">
        <v>30</v>
      </c>
      <c r="C31" s="2">
        <v>7</v>
      </c>
      <c r="D31" s="2">
        <v>1</v>
      </c>
      <c r="E31" s="2">
        <v>0.69599999999999995</v>
      </c>
      <c r="F31" s="2">
        <v>2</v>
      </c>
      <c r="H31" s="2">
        <v>12</v>
      </c>
      <c r="I31" s="2">
        <v>130</v>
      </c>
      <c r="J31" s="2">
        <v>6</v>
      </c>
      <c r="K31" s="2">
        <v>1</v>
      </c>
      <c r="L31" s="2">
        <v>0.65200000000000002</v>
      </c>
      <c r="M31" s="2">
        <v>2</v>
      </c>
      <c r="N31" s="3">
        <v>1</v>
      </c>
      <c r="O31" s="3">
        <f t="shared" ref="O31:O36" si="17">SUM(O17:V17)/SUM(O$26:V$26)</f>
        <v>3.5741590214067261E-2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12</v>
      </c>
      <c r="B32" s="2">
        <v>31</v>
      </c>
      <c r="C32" s="2">
        <v>4</v>
      </c>
      <c r="D32" s="2">
        <v>1</v>
      </c>
      <c r="E32" s="2">
        <v>0.82399999999999995</v>
      </c>
      <c r="F32" s="2">
        <v>2</v>
      </c>
      <c r="H32" s="2">
        <v>12</v>
      </c>
      <c r="I32" s="2">
        <v>131</v>
      </c>
      <c r="J32" s="2">
        <v>1</v>
      </c>
      <c r="K32" s="2">
        <v>0</v>
      </c>
      <c r="L32" s="2">
        <v>1.7350000000000001</v>
      </c>
      <c r="M32" s="2">
        <v>1</v>
      </c>
      <c r="N32" s="3">
        <v>2</v>
      </c>
      <c r="O32" s="3">
        <f t="shared" si="17"/>
        <v>0.20803516819571866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12</v>
      </c>
      <c r="B33" s="2">
        <v>32</v>
      </c>
      <c r="C33" s="2">
        <v>5</v>
      </c>
      <c r="D33" s="2">
        <v>0</v>
      </c>
      <c r="E33" s="2">
        <v>0.82799999999999996</v>
      </c>
      <c r="F33" s="2">
        <v>2</v>
      </c>
      <c r="H33" s="2">
        <v>12</v>
      </c>
      <c r="I33" s="2">
        <v>132</v>
      </c>
      <c r="J33" s="2">
        <v>8</v>
      </c>
      <c r="K33" s="2">
        <v>1</v>
      </c>
      <c r="L33" s="2">
        <v>1.1639999999999999</v>
      </c>
      <c r="M33" s="2">
        <v>1</v>
      </c>
      <c r="N33" s="3">
        <v>3</v>
      </c>
      <c r="O33" s="3">
        <f t="shared" si="17"/>
        <v>0.26968654434250761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12</v>
      </c>
      <c r="B34" s="2">
        <v>33</v>
      </c>
      <c r="C34" s="2">
        <v>1</v>
      </c>
      <c r="D34" s="2">
        <v>1</v>
      </c>
      <c r="E34" s="2">
        <v>0.97599999999999998</v>
      </c>
      <c r="F34" s="2">
        <v>1</v>
      </c>
      <c r="H34" s="2">
        <v>12</v>
      </c>
      <c r="I34" s="2">
        <v>133</v>
      </c>
      <c r="J34" s="2">
        <v>5</v>
      </c>
      <c r="K34" s="2">
        <v>0</v>
      </c>
      <c r="L34" s="2">
        <v>1.9790000000000001</v>
      </c>
      <c r="M34" s="2">
        <v>2</v>
      </c>
      <c r="N34" s="3">
        <v>4</v>
      </c>
      <c r="O34" s="3">
        <f t="shared" si="17"/>
        <v>7.0259938837920477E-2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12</v>
      </c>
      <c r="B35" s="2">
        <v>34</v>
      </c>
      <c r="C35" s="2">
        <v>7</v>
      </c>
      <c r="D35" s="2">
        <v>1</v>
      </c>
      <c r="E35" s="2">
        <v>0.86899999999999999</v>
      </c>
      <c r="F35" s="2">
        <v>2</v>
      </c>
      <c r="H35" s="2">
        <v>12</v>
      </c>
      <c r="I35" s="2">
        <v>134</v>
      </c>
      <c r="J35" s="2">
        <v>6</v>
      </c>
      <c r="K35" s="2">
        <v>1</v>
      </c>
      <c r="L35" s="2">
        <v>0.64800000000000002</v>
      </c>
      <c r="M35" s="2">
        <v>2</v>
      </c>
      <c r="N35" s="3">
        <v>5</v>
      </c>
      <c r="O35" s="3">
        <f t="shared" si="17"/>
        <v>9.0099388379204892E-2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12</v>
      </c>
      <c r="B36" s="2">
        <v>35</v>
      </c>
      <c r="C36" s="2">
        <v>6</v>
      </c>
      <c r="D36" s="2">
        <v>1</v>
      </c>
      <c r="E36" s="2">
        <v>1.071</v>
      </c>
      <c r="F36" s="2">
        <v>1</v>
      </c>
      <c r="H36" s="2">
        <v>12</v>
      </c>
      <c r="I36" s="2">
        <v>135</v>
      </c>
      <c r="J36" s="2">
        <v>3</v>
      </c>
      <c r="K36" s="2">
        <v>1</v>
      </c>
      <c r="L36" s="2">
        <v>1.0349999999999999</v>
      </c>
      <c r="M36" s="2">
        <v>1</v>
      </c>
      <c r="N36" s="3">
        <v>6</v>
      </c>
      <c r="O36" s="3">
        <f t="shared" si="17"/>
        <v>0.1246177370030581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12</v>
      </c>
      <c r="B37" s="2">
        <v>36</v>
      </c>
      <c r="C37" s="2">
        <v>2</v>
      </c>
      <c r="D37" s="2">
        <v>0</v>
      </c>
      <c r="E37" s="2">
        <v>1.0069999999999999</v>
      </c>
      <c r="F37" s="2">
        <v>1</v>
      </c>
      <c r="H37" s="2">
        <v>12</v>
      </c>
      <c r="I37" s="2">
        <v>136</v>
      </c>
      <c r="J37" s="2">
        <v>7</v>
      </c>
      <c r="K37" s="2">
        <v>1</v>
      </c>
      <c r="L37" s="2">
        <v>1.5660000000000001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12</v>
      </c>
      <c r="B38" s="2">
        <v>37</v>
      </c>
      <c r="C38" s="2">
        <v>3</v>
      </c>
      <c r="D38" s="2">
        <v>0</v>
      </c>
      <c r="E38" s="2">
        <v>0.72399999999999998</v>
      </c>
      <c r="F38" s="2">
        <v>2</v>
      </c>
      <c r="H38" s="2">
        <v>12</v>
      </c>
      <c r="I38" s="2">
        <v>137</v>
      </c>
      <c r="J38" s="2">
        <v>1</v>
      </c>
      <c r="K38" s="2">
        <v>1</v>
      </c>
      <c r="L38" s="2">
        <v>0.90700000000000003</v>
      </c>
      <c r="M38" s="2">
        <v>1</v>
      </c>
    </row>
    <row r="39" spans="1:25" ht="14.25" customHeight="1">
      <c r="A39" s="2">
        <v>12</v>
      </c>
      <c r="B39" s="2">
        <v>38</v>
      </c>
      <c r="C39" s="2">
        <v>2</v>
      </c>
      <c r="D39" s="2">
        <v>0</v>
      </c>
      <c r="E39" s="2">
        <v>1.1379999999999999</v>
      </c>
      <c r="F39" s="2">
        <v>1</v>
      </c>
      <c r="H39" s="2">
        <v>12</v>
      </c>
      <c r="I39" s="2">
        <v>138</v>
      </c>
      <c r="J39" s="2">
        <v>3</v>
      </c>
      <c r="K39" s="2">
        <v>1</v>
      </c>
      <c r="L39" s="2">
        <v>1.6519999999999999</v>
      </c>
      <c r="M39" s="2">
        <v>2</v>
      </c>
    </row>
    <row r="40" spans="1:25" ht="14.25" customHeight="1">
      <c r="A40" s="2">
        <v>12</v>
      </c>
      <c r="B40" s="2">
        <v>39</v>
      </c>
      <c r="C40" s="2">
        <v>3</v>
      </c>
      <c r="D40" s="2">
        <v>0</v>
      </c>
      <c r="E40" s="2">
        <v>0.98599999999999999</v>
      </c>
      <c r="F40" s="2">
        <v>2</v>
      </c>
      <c r="H40" s="2">
        <v>12</v>
      </c>
      <c r="I40" s="2">
        <v>139</v>
      </c>
      <c r="J40" s="2">
        <v>4</v>
      </c>
      <c r="K40" s="2">
        <v>1</v>
      </c>
      <c r="L40" s="2">
        <v>1.9810000000000001</v>
      </c>
      <c r="M40" s="2">
        <v>1</v>
      </c>
    </row>
    <row r="41" spans="1:25" ht="14.25" customHeight="1">
      <c r="A41" s="2">
        <v>12</v>
      </c>
      <c r="B41" s="2">
        <v>40</v>
      </c>
      <c r="C41" s="2">
        <v>8</v>
      </c>
      <c r="D41" s="2">
        <v>1</v>
      </c>
      <c r="E41" s="2">
        <v>0.82199999999999995</v>
      </c>
      <c r="F41" s="2">
        <v>2</v>
      </c>
      <c r="H41" s="2">
        <v>12</v>
      </c>
      <c r="I41" s="2">
        <v>140</v>
      </c>
      <c r="J41" s="2">
        <v>8</v>
      </c>
      <c r="K41" s="2">
        <v>1</v>
      </c>
      <c r="L41" s="2">
        <v>0.83399999999999996</v>
      </c>
      <c r="M41" s="2">
        <v>2</v>
      </c>
    </row>
    <row r="42" spans="1:25" ht="14.25" customHeight="1">
      <c r="A42" s="2">
        <v>12</v>
      </c>
      <c r="B42" s="2">
        <v>41</v>
      </c>
      <c r="C42" s="2">
        <v>4</v>
      </c>
      <c r="D42" s="2">
        <v>1</v>
      </c>
      <c r="E42" s="2">
        <v>0.72099999999999997</v>
      </c>
      <c r="F42" s="2">
        <v>2</v>
      </c>
      <c r="H42" s="2">
        <v>12</v>
      </c>
      <c r="I42" s="2">
        <v>141</v>
      </c>
      <c r="J42" s="2">
        <v>2</v>
      </c>
      <c r="K42" s="2">
        <v>1</v>
      </c>
      <c r="L42" s="2">
        <v>1.702</v>
      </c>
      <c r="M42" s="2">
        <v>2</v>
      </c>
    </row>
    <row r="43" spans="1:25" ht="14.25" customHeight="1">
      <c r="A43" s="2">
        <v>12</v>
      </c>
      <c r="B43" s="2">
        <v>42</v>
      </c>
      <c r="C43" s="2">
        <v>5</v>
      </c>
      <c r="D43" s="2">
        <v>0</v>
      </c>
      <c r="E43" s="2">
        <v>1.232</v>
      </c>
      <c r="F43" s="2">
        <v>2</v>
      </c>
      <c r="H43" s="2">
        <v>12</v>
      </c>
      <c r="I43" s="2">
        <v>142</v>
      </c>
      <c r="J43" s="2">
        <v>7</v>
      </c>
      <c r="K43" s="2">
        <v>1</v>
      </c>
      <c r="L43" s="2">
        <v>1.734</v>
      </c>
      <c r="M43" s="2">
        <v>1</v>
      </c>
    </row>
    <row r="44" spans="1:25" ht="14.25" customHeight="1">
      <c r="A44" s="2">
        <v>12</v>
      </c>
      <c r="B44" s="2">
        <v>43</v>
      </c>
      <c r="C44" s="2">
        <v>3</v>
      </c>
      <c r="D44" s="2">
        <v>0</v>
      </c>
      <c r="E44" s="2">
        <v>0.82799999999999996</v>
      </c>
      <c r="F44" s="2">
        <v>2</v>
      </c>
      <c r="H44" s="2">
        <v>12</v>
      </c>
      <c r="I44" s="2">
        <v>143</v>
      </c>
      <c r="J44" s="2">
        <v>3</v>
      </c>
      <c r="K44" s="2">
        <v>1</v>
      </c>
      <c r="L44" s="2">
        <v>1.5249999999999999</v>
      </c>
      <c r="M44" s="2">
        <v>1</v>
      </c>
    </row>
    <row r="45" spans="1:25" ht="14.25" customHeight="1">
      <c r="A45" s="2">
        <v>12</v>
      </c>
      <c r="B45" s="2">
        <v>44</v>
      </c>
      <c r="C45" s="2">
        <v>6</v>
      </c>
      <c r="D45" s="2">
        <v>1</v>
      </c>
      <c r="E45" s="2">
        <v>0.751</v>
      </c>
      <c r="F45" s="2">
        <v>1</v>
      </c>
      <c r="H45" s="2">
        <v>12</v>
      </c>
      <c r="I45" s="2">
        <v>144</v>
      </c>
      <c r="J45" s="2">
        <v>6</v>
      </c>
      <c r="K45" s="2">
        <v>1</v>
      </c>
      <c r="L45" s="2">
        <v>0.94</v>
      </c>
      <c r="M45" s="2">
        <v>1</v>
      </c>
    </row>
    <row r="46" spans="1:25" ht="14.25" customHeight="1">
      <c r="A46" s="2">
        <v>12</v>
      </c>
      <c r="B46" s="2">
        <v>45</v>
      </c>
      <c r="C46" s="2">
        <v>3</v>
      </c>
      <c r="D46" s="2">
        <v>1</v>
      </c>
      <c r="E46" s="2">
        <v>1.2370000000000001</v>
      </c>
      <c r="F46" s="2">
        <v>1</v>
      </c>
      <c r="H46" s="2">
        <v>12</v>
      </c>
      <c r="I46" s="2">
        <v>145</v>
      </c>
      <c r="J46" s="2">
        <v>4</v>
      </c>
      <c r="K46" s="2">
        <v>1</v>
      </c>
      <c r="L46" s="2">
        <v>1.194</v>
      </c>
      <c r="M46" s="2">
        <v>1</v>
      </c>
    </row>
    <row r="47" spans="1:25" ht="14.25" customHeight="1">
      <c r="A47" s="2">
        <v>12</v>
      </c>
      <c r="B47" s="2">
        <v>46</v>
      </c>
      <c r="C47" s="2">
        <v>5</v>
      </c>
      <c r="D47" s="2">
        <v>0</v>
      </c>
      <c r="E47" s="2">
        <v>1.1679999999999999</v>
      </c>
      <c r="F47" s="2">
        <v>2</v>
      </c>
      <c r="H47" s="2">
        <v>12</v>
      </c>
      <c r="I47" s="2">
        <v>146</v>
      </c>
      <c r="J47" s="2">
        <v>2</v>
      </c>
      <c r="K47" s="2">
        <v>1</v>
      </c>
      <c r="L47" s="2">
        <v>1.0629999999999999</v>
      </c>
      <c r="M47" s="2">
        <v>1</v>
      </c>
    </row>
    <row r="48" spans="1:25" ht="14.25" customHeight="1">
      <c r="A48" s="2">
        <v>12</v>
      </c>
      <c r="B48" s="2">
        <v>47</v>
      </c>
      <c r="C48" s="2">
        <v>6</v>
      </c>
      <c r="D48" s="2">
        <v>1</v>
      </c>
      <c r="E48" s="2">
        <v>1.2609999999999999</v>
      </c>
      <c r="F48" s="2">
        <v>1</v>
      </c>
      <c r="H48" s="2">
        <v>12</v>
      </c>
      <c r="I48" s="2">
        <v>147</v>
      </c>
      <c r="J48" s="2">
        <v>6</v>
      </c>
      <c r="K48" s="2">
        <v>1</v>
      </c>
      <c r="L48" s="2">
        <v>0.71299999999999997</v>
      </c>
      <c r="M48" s="2">
        <v>1</v>
      </c>
    </row>
    <row r="49" spans="1:13" ht="14.25" customHeight="1">
      <c r="A49" s="2">
        <v>12</v>
      </c>
      <c r="B49" s="2">
        <v>48</v>
      </c>
      <c r="C49" s="2">
        <v>5</v>
      </c>
      <c r="D49" s="2">
        <v>0</v>
      </c>
      <c r="E49" s="2">
        <v>1.319</v>
      </c>
      <c r="F49" s="2">
        <v>2</v>
      </c>
      <c r="H49" s="2">
        <v>12</v>
      </c>
      <c r="I49" s="2">
        <v>148</v>
      </c>
      <c r="J49" s="2">
        <v>8</v>
      </c>
      <c r="K49" s="2">
        <v>1</v>
      </c>
      <c r="L49" s="2">
        <v>0.80900000000000005</v>
      </c>
      <c r="M49" s="2">
        <v>1</v>
      </c>
    </row>
    <row r="50" spans="1:13" ht="14.25" customHeight="1">
      <c r="A50" s="2">
        <v>12</v>
      </c>
      <c r="B50" s="2">
        <v>49</v>
      </c>
      <c r="C50" s="2">
        <v>1</v>
      </c>
      <c r="D50" s="2">
        <v>1</v>
      </c>
      <c r="E50" s="2">
        <v>1.4390000000000001</v>
      </c>
      <c r="F50" s="2">
        <v>1</v>
      </c>
      <c r="H50" s="2">
        <v>12</v>
      </c>
      <c r="I50" s="2">
        <v>149</v>
      </c>
      <c r="J50" s="2">
        <v>5</v>
      </c>
      <c r="K50" s="2">
        <v>0</v>
      </c>
      <c r="L50" s="2">
        <v>1.8129999999999999</v>
      </c>
      <c r="M50" s="2">
        <v>2</v>
      </c>
    </row>
    <row r="51" spans="1:13" ht="14.25" customHeight="1">
      <c r="A51" s="2">
        <v>12</v>
      </c>
      <c r="B51" s="2">
        <v>50</v>
      </c>
      <c r="C51" s="2">
        <v>7</v>
      </c>
      <c r="D51" s="2">
        <v>1</v>
      </c>
      <c r="E51" s="2">
        <v>1.0489999999999999</v>
      </c>
      <c r="F51" s="2">
        <v>2</v>
      </c>
      <c r="H51" s="2">
        <v>12</v>
      </c>
      <c r="I51" s="2">
        <v>150</v>
      </c>
      <c r="J51" s="2">
        <v>2</v>
      </c>
      <c r="K51" s="2">
        <v>1</v>
      </c>
      <c r="L51" s="2">
        <v>0.85699999999999998</v>
      </c>
      <c r="M51" s="2">
        <v>2</v>
      </c>
    </row>
    <row r="52" spans="1:13" ht="14.25" customHeight="1">
      <c r="A52" s="2">
        <v>12</v>
      </c>
      <c r="B52" s="2">
        <v>51</v>
      </c>
      <c r="C52" s="2">
        <v>6</v>
      </c>
      <c r="D52" s="2">
        <v>0</v>
      </c>
      <c r="E52" s="2">
        <v>1.0409999999999999</v>
      </c>
      <c r="F52" s="2">
        <v>1</v>
      </c>
    </row>
    <row r="53" spans="1:13" ht="14.25" customHeight="1">
      <c r="A53" s="2">
        <v>12</v>
      </c>
      <c r="B53" s="2">
        <v>52</v>
      </c>
      <c r="C53" s="2">
        <v>1</v>
      </c>
      <c r="D53" s="2">
        <v>1</v>
      </c>
      <c r="E53" s="2">
        <v>0.66</v>
      </c>
      <c r="F53" s="2">
        <v>2</v>
      </c>
    </row>
    <row r="54" spans="1:13" ht="14.25" customHeight="1">
      <c r="A54" s="2">
        <v>12</v>
      </c>
      <c r="B54" s="2">
        <v>53</v>
      </c>
      <c r="C54" s="2">
        <v>3</v>
      </c>
      <c r="D54" s="2">
        <v>1</v>
      </c>
      <c r="E54" s="2">
        <v>0.71</v>
      </c>
      <c r="F54" s="2">
        <v>2</v>
      </c>
    </row>
    <row r="55" spans="1:13" ht="14.25" customHeight="1">
      <c r="A55" s="2">
        <v>12</v>
      </c>
      <c r="B55" s="2">
        <v>54</v>
      </c>
      <c r="C55" s="2">
        <v>4</v>
      </c>
      <c r="D55" s="2">
        <v>1</v>
      </c>
      <c r="E55" s="2">
        <v>0.55000000000000004</v>
      </c>
      <c r="F55" s="2">
        <v>2</v>
      </c>
    </row>
    <row r="56" spans="1:13" ht="14.25" customHeight="1">
      <c r="A56" s="2">
        <v>12</v>
      </c>
      <c r="B56" s="2">
        <v>55</v>
      </c>
      <c r="C56" s="2">
        <v>6</v>
      </c>
      <c r="D56" s="2">
        <v>1</v>
      </c>
      <c r="E56" s="2">
        <v>0.74</v>
      </c>
      <c r="F56" s="2">
        <v>2</v>
      </c>
    </row>
    <row r="57" spans="1:13" ht="14.25" customHeight="1">
      <c r="A57" s="2">
        <v>12</v>
      </c>
      <c r="B57" s="2">
        <v>56</v>
      </c>
      <c r="C57" s="2">
        <v>5</v>
      </c>
      <c r="D57" s="2">
        <v>1</v>
      </c>
      <c r="E57" s="2">
        <v>1.002</v>
      </c>
      <c r="F57" s="2">
        <v>1</v>
      </c>
    </row>
    <row r="58" spans="1:13" ht="14.25" customHeight="1">
      <c r="A58" s="2">
        <v>12</v>
      </c>
      <c r="B58" s="2">
        <v>57</v>
      </c>
      <c r="C58" s="2">
        <v>6</v>
      </c>
      <c r="D58" s="2">
        <v>0</v>
      </c>
      <c r="E58" s="2">
        <v>1.623</v>
      </c>
      <c r="F58" s="2">
        <v>2</v>
      </c>
    </row>
    <row r="59" spans="1:13" ht="14.25" customHeight="1">
      <c r="A59" s="2">
        <v>12</v>
      </c>
      <c r="B59" s="2">
        <v>58</v>
      </c>
      <c r="C59" s="2">
        <v>5</v>
      </c>
      <c r="D59" s="2">
        <v>1</v>
      </c>
      <c r="E59" s="2">
        <v>1.458</v>
      </c>
      <c r="F59" s="2">
        <v>2</v>
      </c>
    </row>
    <row r="60" spans="1:13" ht="14.25" customHeight="1">
      <c r="A60" s="2">
        <v>12</v>
      </c>
      <c r="B60" s="2">
        <v>59</v>
      </c>
      <c r="C60" s="2">
        <v>4</v>
      </c>
      <c r="D60" s="2">
        <v>1</v>
      </c>
      <c r="E60" s="2">
        <v>1.4039999999999999</v>
      </c>
      <c r="F60" s="2">
        <v>1</v>
      </c>
    </row>
    <row r="61" spans="1:13" ht="14.25" customHeight="1">
      <c r="A61" s="2">
        <v>12</v>
      </c>
      <c r="B61" s="2">
        <v>60</v>
      </c>
      <c r="C61" s="2">
        <v>8</v>
      </c>
      <c r="D61" s="2">
        <v>1</v>
      </c>
      <c r="E61" s="2">
        <v>1.44</v>
      </c>
      <c r="F61" s="2">
        <v>2</v>
      </c>
    </row>
    <row r="62" spans="1:13" ht="14.25" customHeight="1">
      <c r="A62" s="2">
        <v>12</v>
      </c>
      <c r="B62" s="2">
        <v>61</v>
      </c>
      <c r="C62" s="2">
        <v>5</v>
      </c>
      <c r="D62" s="2">
        <v>1</v>
      </c>
      <c r="E62" s="2">
        <v>1.61</v>
      </c>
      <c r="F62" s="2">
        <v>1</v>
      </c>
    </row>
    <row r="63" spans="1:13" ht="14.25" customHeight="1">
      <c r="A63" s="2">
        <v>12</v>
      </c>
      <c r="B63" s="2">
        <v>62</v>
      </c>
      <c r="C63" s="2">
        <v>2</v>
      </c>
      <c r="D63" s="2">
        <v>1</v>
      </c>
      <c r="E63" s="2">
        <v>0.77400000000000002</v>
      </c>
      <c r="F63" s="2">
        <v>2</v>
      </c>
    </row>
    <row r="64" spans="1:13" ht="14.25" customHeight="1">
      <c r="A64" s="2">
        <v>12</v>
      </c>
      <c r="B64" s="2">
        <v>63</v>
      </c>
      <c r="C64" s="2">
        <v>1</v>
      </c>
      <c r="D64" s="2">
        <v>0</v>
      </c>
      <c r="E64" s="2">
        <v>1.4670000000000001</v>
      </c>
      <c r="F64" s="2">
        <v>2</v>
      </c>
    </row>
    <row r="65" spans="1:6" ht="14.25" customHeight="1">
      <c r="A65" s="2">
        <v>12</v>
      </c>
      <c r="B65" s="2">
        <v>64</v>
      </c>
      <c r="C65" s="2">
        <v>8</v>
      </c>
      <c r="D65" s="2">
        <v>0</v>
      </c>
      <c r="E65" s="2">
        <v>1.8120000000000001</v>
      </c>
      <c r="F65" s="2">
        <v>1</v>
      </c>
    </row>
    <row r="66" spans="1:6" ht="14.25" customHeight="1">
      <c r="A66" s="2">
        <v>12</v>
      </c>
      <c r="B66" s="2">
        <v>65</v>
      </c>
      <c r="C66" s="2">
        <v>7</v>
      </c>
      <c r="D66" s="2">
        <v>0</v>
      </c>
      <c r="E66" s="2">
        <v>1.0409999999999999</v>
      </c>
      <c r="F66" s="2">
        <v>2</v>
      </c>
    </row>
    <row r="67" spans="1:6" ht="14.25" customHeight="1">
      <c r="A67" s="2">
        <v>12</v>
      </c>
      <c r="B67" s="2">
        <v>66</v>
      </c>
      <c r="C67" s="2">
        <v>5</v>
      </c>
      <c r="D67" s="2">
        <v>1</v>
      </c>
      <c r="E67" s="2">
        <v>0.94699999999999995</v>
      </c>
      <c r="F67" s="2">
        <v>2</v>
      </c>
    </row>
    <row r="68" spans="1:6" ht="14.25" customHeight="1">
      <c r="A68" s="2">
        <v>12</v>
      </c>
      <c r="B68" s="2">
        <v>67</v>
      </c>
      <c r="C68" s="2">
        <v>1</v>
      </c>
      <c r="D68" s="2">
        <v>1</v>
      </c>
      <c r="E68" s="2">
        <v>1.266</v>
      </c>
      <c r="F68" s="2">
        <v>1</v>
      </c>
    </row>
    <row r="69" spans="1:6" ht="14.25" customHeight="1">
      <c r="A69" s="2">
        <v>12</v>
      </c>
      <c r="B69" s="2">
        <v>68</v>
      </c>
      <c r="C69" s="2">
        <v>2</v>
      </c>
      <c r="D69" s="2">
        <v>1</v>
      </c>
      <c r="E69" s="2">
        <v>0.76400000000000001</v>
      </c>
      <c r="F69" s="2">
        <v>2</v>
      </c>
    </row>
    <row r="70" spans="1:6" ht="14.25" customHeight="1">
      <c r="A70" s="2">
        <v>12</v>
      </c>
      <c r="B70" s="2">
        <v>69</v>
      </c>
      <c r="C70" s="2">
        <v>4</v>
      </c>
      <c r="D70" s="2">
        <v>1</v>
      </c>
      <c r="E70" s="2">
        <v>1.49</v>
      </c>
      <c r="F70" s="2">
        <v>1</v>
      </c>
    </row>
    <row r="71" spans="1:6" ht="14.25" customHeight="1">
      <c r="A71" s="2">
        <v>12</v>
      </c>
      <c r="B71" s="2">
        <v>70</v>
      </c>
      <c r="C71" s="2">
        <v>8</v>
      </c>
      <c r="D71" s="2">
        <v>1</v>
      </c>
      <c r="E71" s="2">
        <v>0.77</v>
      </c>
      <c r="F71" s="2">
        <v>2</v>
      </c>
    </row>
    <row r="72" spans="1:6" ht="14.25" customHeight="1">
      <c r="A72" s="2">
        <v>12</v>
      </c>
      <c r="B72" s="2">
        <v>71</v>
      </c>
      <c r="C72" s="2">
        <v>3</v>
      </c>
      <c r="D72" s="2">
        <v>1</v>
      </c>
      <c r="E72" s="2">
        <v>1.6719999999999999</v>
      </c>
      <c r="F72" s="2">
        <v>1</v>
      </c>
    </row>
    <row r="73" spans="1:6" ht="14.25" customHeight="1">
      <c r="A73" s="2">
        <v>12</v>
      </c>
      <c r="B73" s="2">
        <v>72</v>
      </c>
      <c r="C73" s="2">
        <v>7</v>
      </c>
      <c r="D73" s="2">
        <v>1</v>
      </c>
      <c r="E73" s="2">
        <v>0.48099999999999998</v>
      </c>
      <c r="F73" s="2">
        <v>2</v>
      </c>
    </row>
    <row r="74" spans="1:6" ht="14.25" customHeight="1">
      <c r="A74" s="2">
        <v>12</v>
      </c>
      <c r="B74" s="2">
        <v>73</v>
      </c>
      <c r="C74" s="2">
        <v>3</v>
      </c>
      <c r="D74" s="2">
        <v>0</v>
      </c>
      <c r="E74" s="2">
        <v>1.33</v>
      </c>
      <c r="F74" s="2">
        <v>2</v>
      </c>
    </row>
    <row r="75" spans="1:6" ht="14.25" customHeight="1">
      <c r="A75" s="2">
        <v>12</v>
      </c>
      <c r="B75" s="2">
        <v>74</v>
      </c>
      <c r="C75" s="2">
        <v>2</v>
      </c>
      <c r="D75" s="2">
        <v>1</v>
      </c>
      <c r="E75" s="2">
        <v>0.69699999999999995</v>
      </c>
      <c r="F75" s="2">
        <v>2</v>
      </c>
    </row>
    <row r="76" spans="1:6" ht="14.25" customHeight="1">
      <c r="A76" s="2">
        <v>12</v>
      </c>
      <c r="B76" s="2">
        <v>75</v>
      </c>
      <c r="C76" s="2">
        <v>3</v>
      </c>
      <c r="D76" s="2">
        <v>1</v>
      </c>
      <c r="E76" s="2">
        <v>0.754</v>
      </c>
      <c r="F76" s="2">
        <v>2</v>
      </c>
    </row>
    <row r="77" spans="1:6" ht="14.25" customHeight="1">
      <c r="A77" s="2">
        <v>12</v>
      </c>
      <c r="B77" s="2">
        <v>76</v>
      </c>
      <c r="C77" s="2">
        <v>2</v>
      </c>
      <c r="D77" s="2">
        <v>1</v>
      </c>
      <c r="E77" s="2">
        <v>0.69599999999999995</v>
      </c>
      <c r="F77" s="2">
        <v>1</v>
      </c>
    </row>
    <row r="78" spans="1:6" ht="14.25" customHeight="1">
      <c r="A78" s="2">
        <v>12</v>
      </c>
      <c r="B78" s="2">
        <v>77</v>
      </c>
      <c r="C78" s="2">
        <v>8</v>
      </c>
      <c r="D78" s="2">
        <v>1</v>
      </c>
      <c r="E78" s="2">
        <v>1.4970000000000001</v>
      </c>
      <c r="F78" s="2">
        <v>2</v>
      </c>
    </row>
    <row r="79" spans="1:6" ht="14.25" customHeight="1">
      <c r="A79" s="2">
        <v>12</v>
      </c>
      <c r="B79" s="2">
        <v>78</v>
      </c>
      <c r="C79" s="2">
        <v>2</v>
      </c>
      <c r="D79" s="2">
        <v>1</v>
      </c>
      <c r="E79" s="2">
        <v>0.745</v>
      </c>
      <c r="F79" s="2">
        <v>2</v>
      </c>
    </row>
    <row r="80" spans="1:6" ht="14.25" customHeight="1">
      <c r="A80" s="2">
        <v>12</v>
      </c>
      <c r="B80" s="2">
        <v>79</v>
      </c>
      <c r="C80" s="2">
        <v>7</v>
      </c>
      <c r="D80" s="2">
        <v>0</v>
      </c>
      <c r="E80" s="2">
        <v>1.232</v>
      </c>
      <c r="F80" s="2">
        <v>2</v>
      </c>
    </row>
    <row r="81" spans="1:6" ht="14.25" customHeight="1">
      <c r="A81" s="2">
        <v>12</v>
      </c>
      <c r="B81" s="2">
        <v>80</v>
      </c>
      <c r="C81" s="2">
        <v>5</v>
      </c>
      <c r="D81" s="2">
        <v>1</v>
      </c>
      <c r="E81" s="2">
        <v>0.77200000000000002</v>
      </c>
      <c r="F81" s="2">
        <v>2</v>
      </c>
    </row>
    <row r="82" spans="1:6" ht="14.25" customHeight="1">
      <c r="A82" s="2">
        <v>12</v>
      </c>
      <c r="B82" s="2">
        <v>81</v>
      </c>
      <c r="C82" s="2">
        <v>8</v>
      </c>
      <c r="D82" s="2">
        <v>1</v>
      </c>
      <c r="E82" s="2">
        <v>1.129</v>
      </c>
      <c r="F82" s="2">
        <v>2</v>
      </c>
    </row>
    <row r="83" spans="1:6" ht="14.25" customHeight="1">
      <c r="A83" s="2">
        <v>12</v>
      </c>
      <c r="B83" s="2">
        <v>82</v>
      </c>
      <c r="C83" s="2">
        <v>2</v>
      </c>
      <c r="D83" s="2">
        <v>1</v>
      </c>
      <c r="E83" s="2">
        <v>1.216</v>
      </c>
      <c r="F83" s="2">
        <v>1</v>
      </c>
    </row>
    <row r="84" spans="1:6" ht="14.25" customHeight="1">
      <c r="A84" s="2">
        <v>12</v>
      </c>
      <c r="B84" s="2">
        <v>83</v>
      </c>
      <c r="C84" s="2">
        <v>5</v>
      </c>
      <c r="D84" s="2">
        <v>0</v>
      </c>
      <c r="E84" s="2">
        <v>1.42</v>
      </c>
      <c r="F84" s="2">
        <v>2</v>
      </c>
    </row>
    <row r="85" spans="1:6" ht="14.25" customHeight="1">
      <c r="A85" s="2">
        <v>12</v>
      </c>
      <c r="B85" s="2">
        <v>84</v>
      </c>
      <c r="C85" s="2">
        <v>4</v>
      </c>
      <c r="D85" s="2">
        <v>1</v>
      </c>
      <c r="E85" s="2">
        <v>0.65500000000000003</v>
      </c>
      <c r="F85" s="2">
        <v>2</v>
      </c>
    </row>
    <row r="86" spans="1:6" ht="14.25" customHeight="1">
      <c r="A86" s="2">
        <v>12</v>
      </c>
      <c r="B86" s="2">
        <v>85</v>
      </c>
      <c r="C86" s="2">
        <v>1</v>
      </c>
      <c r="D86" s="2">
        <v>1</v>
      </c>
      <c r="E86" s="2">
        <v>1.8089999999999999</v>
      </c>
      <c r="F86" s="2">
        <v>1</v>
      </c>
    </row>
    <row r="87" spans="1:6" ht="14.25" customHeight="1">
      <c r="A87" s="2">
        <v>12</v>
      </c>
      <c r="B87" s="2">
        <v>86</v>
      </c>
      <c r="C87" s="2">
        <v>8</v>
      </c>
      <c r="D87" s="2">
        <v>1</v>
      </c>
      <c r="E87" s="2">
        <v>1.669</v>
      </c>
      <c r="F87" s="2">
        <v>2</v>
      </c>
    </row>
    <row r="88" spans="1:6" ht="14.25" customHeight="1">
      <c r="A88" s="2">
        <v>12</v>
      </c>
      <c r="B88" s="2">
        <v>87</v>
      </c>
      <c r="C88" s="2">
        <v>2</v>
      </c>
      <c r="D88" s="2">
        <v>0</v>
      </c>
      <c r="E88" s="2">
        <v>1.351</v>
      </c>
      <c r="F88" s="2">
        <v>2</v>
      </c>
    </row>
    <row r="89" spans="1:6" ht="14.25" customHeight="1">
      <c r="A89" s="2">
        <v>12</v>
      </c>
      <c r="B89" s="2">
        <v>88</v>
      </c>
      <c r="C89" s="2">
        <v>3</v>
      </c>
      <c r="D89" s="2">
        <v>0</v>
      </c>
      <c r="E89" s="2">
        <v>1.3640000000000001</v>
      </c>
      <c r="F89" s="2">
        <v>1</v>
      </c>
    </row>
    <row r="90" spans="1:6" ht="14.25" customHeight="1">
      <c r="A90" s="2">
        <v>12</v>
      </c>
      <c r="B90" s="2">
        <v>89</v>
      </c>
      <c r="C90" s="2">
        <v>6</v>
      </c>
      <c r="D90" s="2">
        <v>0</v>
      </c>
      <c r="E90" s="2">
        <v>1.323</v>
      </c>
      <c r="F90" s="2">
        <v>2</v>
      </c>
    </row>
    <row r="91" spans="1:6" ht="14.25" customHeight="1">
      <c r="A91" s="2">
        <v>12</v>
      </c>
      <c r="B91" s="2">
        <v>90</v>
      </c>
      <c r="C91" s="2">
        <v>5</v>
      </c>
      <c r="D91" s="2">
        <v>1</v>
      </c>
      <c r="E91" s="2">
        <v>0.82599999999999996</v>
      </c>
      <c r="F91" s="2">
        <v>2</v>
      </c>
    </row>
    <row r="92" spans="1:6" ht="14.25" customHeight="1">
      <c r="A92" s="2">
        <v>12</v>
      </c>
      <c r="B92" s="2">
        <v>91</v>
      </c>
      <c r="C92" s="2">
        <v>7</v>
      </c>
      <c r="D92" s="2">
        <v>1</v>
      </c>
      <c r="E92" s="2">
        <v>0.75800000000000001</v>
      </c>
      <c r="F92" s="2">
        <v>2</v>
      </c>
    </row>
    <row r="93" spans="1:6" ht="14.25" customHeight="1">
      <c r="A93" s="2">
        <v>12</v>
      </c>
      <c r="B93" s="2">
        <v>92</v>
      </c>
      <c r="C93" s="2">
        <v>4</v>
      </c>
      <c r="D93" s="2">
        <v>1</v>
      </c>
      <c r="E93" s="2">
        <v>1.7230000000000001</v>
      </c>
      <c r="F93" s="2">
        <v>1</v>
      </c>
    </row>
    <row r="94" spans="1:6" ht="14.25" customHeight="1">
      <c r="A94" s="2">
        <v>12</v>
      </c>
      <c r="B94" s="2">
        <v>93</v>
      </c>
      <c r="C94" s="2">
        <v>1</v>
      </c>
      <c r="D94" s="2">
        <v>1</v>
      </c>
      <c r="E94" s="2">
        <v>1.1459999999999999</v>
      </c>
      <c r="F94" s="2">
        <v>1</v>
      </c>
    </row>
    <row r="95" spans="1:6" ht="14.25" customHeight="1">
      <c r="A95" s="2">
        <v>12</v>
      </c>
      <c r="B95" s="2">
        <v>94</v>
      </c>
      <c r="C95" s="2">
        <v>6</v>
      </c>
      <c r="D95" s="2">
        <v>1</v>
      </c>
      <c r="E95" s="2">
        <v>1.042</v>
      </c>
      <c r="F95" s="2">
        <v>1</v>
      </c>
    </row>
    <row r="96" spans="1:6" ht="14.25" customHeight="1">
      <c r="A96" s="2">
        <v>12</v>
      </c>
      <c r="B96" s="2">
        <v>95</v>
      </c>
      <c r="C96" s="2">
        <v>7</v>
      </c>
      <c r="D96" s="2">
        <v>0</v>
      </c>
      <c r="E96" s="2">
        <v>1.492</v>
      </c>
      <c r="F96" s="2">
        <v>2</v>
      </c>
    </row>
    <row r="97" spans="1:6" ht="14.25" customHeight="1">
      <c r="A97" s="2">
        <v>12</v>
      </c>
      <c r="B97" s="2">
        <v>96</v>
      </c>
      <c r="C97" s="2">
        <v>1</v>
      </c>
      <c r="D97" s="2">
        <v>1</v>
      </c>
      <c r="E97" s="2">
        <v>1.1559999999999999</v>
      </c>
      <c r="F97" s="2">
        <v>1</v>
      </c>
    </row>
    <row r="98" spans="1:6" ht="14.25" customHeight="1">
      <c r="A98" s="2">
        <v>12</v>
      </c>
      <c r="B98" s="2">
        <v>97</v>
      </c>
      <c r="C98" s="2">
        <v>6</v>
      </c>
      <c r="D98" s="2">
        <v>1</v>
      </c>
      <c r="E98" s="2">
        <v>1.0429999999999999</v>
      </c>
      <c r="F98" s="2">
        <v>1</v>
      </c>
    </row>
    <row r="99" spans="1:6" ht="14.25" customHeight="1">
      <c r="A99" s="2">
        <v>12</v>
      </c>
      <c r="B99" s="2">
        <v>98</v>
      </c>
      <c r="C99" s="2">
        <v>3</v>
      </c>
      <c r="D99" s="2">
        <v>1</v>
      </c>
      <c r="E99" s="2">
        <v>1.3169999999999999</v>
      </c>
      <c r="F99" s="2">
        <v>1</v>
      </c>
    </row>
    <row r="100" spans="1:6" ht="14.25" customHeight="1">
      <c r="A100" s="2">
        <v>12</v>
      </c>
      <c r="B100" s="2">
        <v>99</v>
      </c>
      <c r="C100" s="2">
        <v>4</v>
      </c>
      <c r="D100" s="2">
        <v>0</v>
      </c>
      <c r="E100" s="2">
        <v>1.716</v>
      </c>
      <c r="F100" s="2">
        <v>2</v>
      </c>
    </row>
    <row r="101" spans="1:6" ht="14.25" customHeight="1">
      <c r="A101" s="2">
        <v>12</v>
      </c>
      <c r="B101" s="2">
        <v>100</v>
      </c>
      <c r="C101" s="2">
        <v>7</v>
      </c>
      <c r="D101" s="2">
        <v>1</v>
      </c>
      <c r="E101" s="2">
        <v>0.74099999999999999</v>
      </c>
      <c r="F101" s="2">
        <v>2</v>
      </c>
    </row>
    <row r="102" spans="1:6" ht="14.25" customHeight="1">
      <c r="A102" s="2">
        <v>12</v>
      </c>
      <c r="B102" s="2">
        <v>101</v>
      </c>
      <c r="C102" s="2">
        <v>4</v>
      </c>
      <c r="D102" s="2">
        <v>0</v>
      </c>
      <c r="E102" s="2">
        <v>1.385</v>
      </c>
      <c r="F102" s="2">
        <v>1</v>
      </c>
    </row>
    <row r="103" spans="1:6" ht="14.25" customHeight="1">
      <c r="A103" s="2">
        <v>12</v>
      </c>
      <c r="B103" s="2">
        <v>102</v>
      </c>
      <c r="C103" s="2">
        <v>3</v>
      </c>
      <c r="D103" s="2">
        <v>1</v>
      </c>
      <c r="E103" s="2">
        <v>0.67800000000000005</v>
      </c>
      <c r="F103" s="2">
        <v>2</v>
      </c>
    </row>
    <row r="104" spans="1:6" ht="14.25" customHeight="1">
      <c r="A104" s="2">
        <v>12</v>
      </c>
      <c r="B104" s="2">
        <v>103</v>
      </c>
      <c r="C104" s="2">
        <v>7</v>
      </c>
      <c r="D104" s="2">
        <v>1</v>
      </c>
      <c r="E104" s="2">
        <v>0.63100000000000001</v>
      </c>
      <c r="F104" s="2">
        <v>2</v>
      </c>
    </row>
    <row r="105" spans="1:6" ht="14.25" customHeight="1">
      <c r="A105" s="2">
        <v>12</v>
      </c>
      <c r="B105" s="2">
        <v>104</v>
      </c>
      <c r="C105" s="2">
        <v>1</v>
      </c>
      <c r="D105" s="2">
        <v>1</v>
      </c>
      <c r="E105" s="2">
        <v>0.55400000000000005</v>
      </c>
      <c r="F105" s="2">
        <v>2</v>
      </c>
    </row>
    <row r="106" spans="1:6" ht="14.25" customHeight="1">
      <c r="A106" s="2">
        <v>12</v>
      </c>
      <c r="B106" s="2">
        <v>105</v>
      </c>
      <c r="C106" s="2">
        <v>5</v>
      </c>
      <c r="D106" s="2">
        <v>1</v>
      </c>
      <c r="E106" s="2">
        <v>0.71299999999999997</v>
      </c>
      <c r="F106" s="2">
        <v>2</v>
      </c>
    </row>
    <row r="107" spans="1:6" ht="14.25" customHeight="1">
      <c r="A107" s="2">
        <v>12</v>
      </c>
      <c r="B107" s="2">
        <v>106</v>
      </c>
      <c r="C107" s="2">
        <v>4</v>
      </c>
      <c r="D107" s="2">
        <v>1</v>
      </c>
      <c r="E107" s="2">
        <v>1.153</v>
      </c>
      <c r="F107" s="2">
        <v>1</v>
      </c>
    </row>
    <row r="108" spans="1:6" ht="14.25" customHeight="1">
      <c r="A108" s="2">
        <v>12</v>
      </c>
      <c r="B108" s="2">
        <v>107</v>
      </c>
      <c r="C108" s="2">
        <v>2</v>
      </c>
      <c r="D108" s="2">
        <v>1</v>
      </c>
      <c r="E108" s="2">
        <v>1.6060000000000001</v>
      </c>
      <c r="F108" s="2">
        <v>1</v>
      </c>
    </row>
    <row r="109" spans="1:6" ht="14.25" customHeight="1">
      <c r="A109" s="2">
        <v>12</v>
      </c>
      <c r="B109" s="2">
        <v>108</v>
      </c>
      <c r="C109" s="2">
        <v>7</v>
      </c>
      <c r="D109" s="2">
        <v>1</v>
      </c>
      <c r="E109" s="2">
        <v>1.5549999999999999</v>
      </c>
      <c r="F109" s="2">
        <v>2</v>
      </c>
    </row>
    <row r="110" spans="1:6" ht="14.25" customHeight="1">
      <c r="A110" s="2">
        <v>12</v>
      </c>
      <c r="B110" s="2">
        <v>109</v>
      </c>
      <c r="C110" s="2">
        <v>2</v>
      </c>
      <c r="E110" s="2">
        <v>2</v>
      </c>
    </row>
    <row r="111" spans="1:6" ht="14.25" customHeight="1">
      <c r="A111" s="2">
        <v>12</v>
      </c>
      <c r="B111" s="2">
        <v>110</v>
      </c>
      <c r="C111" s="2">
        <v>4</v>
      </c>
      <c r="D111" s="2">
        <v>1</v>
      </c>
      <c r="E111" s="2">
        <v>1.0049999999999999</v>
      </c>
      <c r="F111" s="2">
        <v>2</v>
      </c>
    </row>
    <row r="112" spans="1:6" ht="14.25" customHeight="1">
      <c r="A112" s="2">
        <v>12</v>
      </c>
      <c r="B112" s="2">
        <v>111</v>
      </c>
      <c r="C112" s="2">
        <v>6</v>
      </c>
      <c r="D112" s="2">
        <v>1</v>
      </c>
      <c r="E112" s="2">
        <v>0.92</v>
      </c>
      <c r="F112" s="2">
        <v>1</v>
      </c>
    </row>
    <row r="113" spans="1:6" ht="14.25" customHeight="1">
      <c r="A113" s="2">
        <v>12</v>
      </c>
      <c r="B113" s="2">
        <v>112</v>
      </c>
      <c r="C113" s="2">
        <v>7</v>
      </c>
      <c r="D113" s="2">
        <v>1</v>
      </c>
      <c r="E113" s="2">
        <v>0.56799999999999995</v>
      </c>
      <c r="F113" s="2">
        <v>2</v>
      </c>
    </row>
    <row r="114" spans="1:6" ht="14.25" customHeight="1">
      <c r="A114" s="2">
        <v>12</v>
      </c>
      <c r="B114" s="2">
        <v>113</v>
      </c>
      <c r="C114" s="2">
        <v>2</v>
      </c>
      <c r="D114" s="2">
        <v>1</v>
      </c>
      <c r="E114" s="2">
        <v>1.006</v>
      </c>
      <c r="F114" s="2">
        <v>1</v>
      </c>
    </row>
    <row r="115" spans="1:6" ht="14.25" customHeight="1">
      <c r="A115" s="2">
        <v>12</v>
      </c>
      <c r="B115" s="2">
        <v>114</v>
      </c>
      <c r="C115" s="2">
        <v>5</v>
      </c>
      <c r="D115" s="2">
        <v>1</v>
      </c>
      <c r="E115" s="2">
        <v>1.298</v>
      </c>
      <c r="F115" s="2">
        <v>2</v>
      </c>
    </row>
    <row r="116" spans="1:6" ht="14.25" customHeight="1">
      <c r="A116" s="2">
        <v>12</v>
      </c>
      <c r="B116" s="2">
        <v>115</v>
      </c>
      <c r="C116" s="2">
        <v>6</v>
      </c>
      <c r="D116" s="2">
        <v>1</v>
      </c>
      <c r="E116" s="2">
        <v>1.522</v>
      </c>
      <c r="F116" s="2">
        <v>1</v>
      </c>
    </row>
    <row r="117" spans="1:6" ht="14.25" customHeight="1">
      <c r="A117" s="2">
        <v>12</v>
      </c>
      <c r="B117" s="2">
        <v>116</v>
      </c>
      <c r="C117" s="2">
        <v>8</v>
      </c>
      <c r="E117" s="2">
        <v>2.0009999999999999</v>
      </c>
    </row>
    <row r="118" spans="1:6" ht="14.25" customHeight="1">
      <c r="A118" s="2">
        <v>12</v>
      </c>
      <c r="B118" s="2">
        <v>117</v>
      </c>
      <c r="C118" s="2">
        <v>5</v>
      </c>
      <c r="D118" s="2">
        <v>1</v>
      </c>
      <c r="E118" s="2">
        <v>1.47</v>
      </c>
      <c r="F118" s="2">
        <v>1</v>
      </c>
    </row>
    <row r="119" spans="1:6" ht="14.25" customHeight="1">
      <c r="A119" s="2">
        <v>12</v>
      </c>
      <c r="B119" s="2">
        <v>118</v>
      </c>
      <c r="C119" s="2">
        <v>8</v>
      </c>
      <c r="D119" s="2">
        <v>1</v>
      </c>
      <c r="E119" s="2">
        <v>0.60799999999999998</v>
      </c>
      <c r="F119" s="2">
        <v>2</v>
      </c>
    </row>
    <row r="120" spans="1:6" ht="14.25" customHeight="1">
      <c r="A120" s="2">
        <v>12</v>
      </c>
      <c r="B120" s="2">
        <v>119</v>
      </c>
      <c r="C120" s="2">
        <v>1</v>
      </c>
      <c r="D120" s="2">
        <v>1</v>
      </c>
      <c r="E120" s="2">
        <v>0.89100000000000001</v>
      </c>
      <c r="F120" s="2">
        <v>1</v>
      </c>
    </row>
    <row r="121" spans="1:6" ht="14.25" customHeight="1">
      <c r="A121" s="2">
        <v>12</v>
      </c>
      <c r="B121" s="2">
        <v>120</v>
      </c>
      <c r="C121" s="2">
        <v>5</v>
      </c>
      <c r="D121" s="2">
        <v>0</v>
      </c>
      <c r="E121" s="2">
        <v>0.91600000000000004</v>
      </c>
      <c r="F121" s="2">
        <v>1</v>
      </c>
    </row>
    <row r="122" spans="1:6" ht="14.25" customHeight="1">
      <c r="A122" s="2">
        <v>12</v>
      </c>
      <c r="B122" s="2">
        <v>121</v>
      </c>
      <c r="C122" s="2">
        <v>8</v>
      </c>
      <c r="D122" s="2">
        <v>1</v>
      </c>
      <c r="E122" s="2">
        <v>0.89200000000000002</v>
      </c>
      <c r="F122" s="2">
        <v>1</v>
      </c>
    </row>
    <row r="123" spans="1:6" ht="14.25" customHeight="1">
      <c r="A123" s="2">
        <v>12</v>
      </c>
      <c r="B123" s="2">
        <v>122</v>
      </c>
      <c r="C123" s="2">
        <v>2</v>
      </c>
      <c r="D123" s="2">
        <v>1</v>
      </c>
      <c r="E123" s="2">
        <v>1.7010000000000001</v>
      </c>
      <c r="F123" s="2">
        <v>2</v>
      </c>
    </row>
    <row r="124" spans="1:6" ht="14.25" customHeight="1">
      <c r="A124" s="2">
        <v>12</v>
      </c>
      <c r="B124" s="2">
        <v>123</v>
      </c>
      <c r="C124" s="2">
        <v>7</v>
      </c>
      <c r="D124" s="2">
        <v>1</v>
      </c>
      <c r="E124" s="2">
        <v>0.83699999999999997</v>
      </c>
      <c r="F124" s="2">
        <v>1</v>
      </c>
    </row>
    <row r="125" spans="1:6" ht="14.25" customHeight="1">
      <c r="A125" s="2">
        <v>12</v>
      </c>
      <c r="B125" s="2">
        <v>124</v>
      </c>
      <c r="C125" s="2">
        <v>1</v>
      </c>
      <c r="D125" s="2">
        <v>1</v>
      </c>
      <c r="E125" s="2">
        <v>1.08</v>
      </c>
      <c r="F125" s="2">
        <v>2</v>
      </c>
    </row>
    <row r="126" spans="1:6" ht="14.25" customHeight="1">
      <c r="A126" s="2">
        <v>12</v>
      </c>
      <c r="B126" s="2">
        <v>125</v>
      </c>
      <c r="C126" s="2">
        <v>4</v>
      </c>
      <c r="D126" s="2">
        <v>0</v>
      </c>
      <c r="E126" s="2">
        <v>1.113</v>
      </c>
      <c r="F126" s="2">
        <v>1</v>
      </c>
    </row>
    <row r="127" spans="1:6" ht="14.25" customHeight="1">
      <c r="A127" s="2">
        <v>12</v>
      </c>
      <c r="B127" s="2">
        <v>126</v>
      </c>
      <c r="C127" s="2">
        <v>5</v>
      </c>
      <c r="D127" s="2">
        <v>1</v>
      </c>
      <c r="E127" s="2">
        <v>0.91300000000000003</v>
      </c>
      <c r="F127" s="2">
        <v>1</v>
      </c>
    </row>
    <row r="128" spans="1:6" ht="14.25" customHeight="1">
      <c r="A128" s="2">
        <v>12</v>
      </c>
      <c r="B128" s="2">
        <v>127</v>
      </c>
      <c r="C128" s="2">
        <v>3</v>
      </c>
      <c r="D128" s="2">
        <v>1</v>
      </c>
      <c r="E128" s="2">
        <v>1.5289999999999999</v>
      </c>
      <c r="F128" s="2">
        <v>2</v>
      </c>
    </row>
    <row r="129" spans="1:6" ht="14.25" customHeight="1">
      <c r="A129" s="2">
        <v>12</v>
      </c>
      <c r="B129" s="2">
        <v>128</v>
      </c>
      <c r="C129" s="2">
        <v>1</v>
      </c>
      <c r="D129" s="2">
        <v>1</v>
      </c>
      <c r="E129" s="2">
        <v>0.88800000000000001</v>
      </c>
      <c r="F129" s="2">
        <v>2</v>
      </c>
    </row>
    <row r="130" spans="1:6" ht="14.25" customHeight="1">
      <c r="A130" s="2">
        <v>12</v>
      </c>
      <c r="B130" s="2">
        <v>129</v>
      </c>
      <c r="C130" s="2">
        <v>3</v>
      </c>
      <c r="D130" s="2">
        <v>0</v>
      </c>
      <c r="E130" s="2">
        <v>1.4570000000000001</v>
      </c>
      <c r="F130" s="2">
        <v>2</v>
      </c>
    </row>
    <row r="131" spans="1:6" ht="14.25" customHeight="1">
      <c r="A131" s="2">
        <v>12</v>
      </c>
      <c r="B131" s="2">
        <v>130</v>
      </c>
      <c r="C131" s="2">
        <v>6</v>
      </c>
      <c r="D131" s="2">
        <v>1</v>
      </c>
      <c r="E131" s="2">
        <v>0.65200000000000002</v>
      </c>
      <c r="F131" s="2">
        <v>2</v>
      </c>
    </row>
    <row r="132" spans="1:6" ht="14.25" customHeight="1">
      <c r="A132" s="2">
        <v>12</v>
      </c>
      <c r="B132" s="2">
        <v>131</v>
      </c>
      <c r="C132" s="2">
        <v>1</v>
      </c>
      <c r="D132" s="2">
        <v>0</v>
      </c>
      <c r="E132" s="2">
        <v>1.7350000000000001</v>
      </c>
      <c r="F132" s="2">
        <v>1</v>
      </c>
    </row>
    <row r="133" spans="1:6" ht="14.25" customHeight="1">
      <c r="A133" s="2">
        <v>12</v>
      </c>
      <c r="B133" s="2">
        <v>132</v>
      </c>
      <c r="C133" s="2">
        <v>8</v>
      </c>
      <c r="D133" s="2">
        <v>1</v>
      </c>
      <c r="E133" s="2">
        <v>1.1639999999999999</v>
      </c>
      <c r="F133" s="2">
        <v>1</v>
      </c>
    </row>
    <row r="134" spans="1:6" ht="14.25" customHeight="1">
      <c r="A134" s="2">
        <v>12</v>
      </c>
      <c r="B134" s="2">
        <v>133</v>
      </c>
      <c r="C134" s="2">
        <v>5</v>
      </c>
      <c r="D134" s="2">
        <v>0</v>
      </c>
      <c r="E134" s="2">
        <v>1.9790000000000001</v>
      </c>
      <c r="F134" s="2">
        <v>2</v>
      </c>
    </row>
    <row r="135" spans="1:6" ht="14.25" customHeight="1">
      <c r="A135" s="2">
        <v>12</v>
      </c>
      <c r="B135" s="2">
        <v>134</v>
      </c>
      <c r="C135" s="2">
        <v>6</v>
      </c>
      <c r="D135" s="2">
        <v>1</v>
      </c>
      <c r="E135" s="2">
        <v>0.64800000000000002</v>
      </c>
      <c r="F135" s="2">
        <v>2</v>
      </c>
    </row>
    <row r="136" spans="1:6" ht="14.25" customHeight="1">
      <c r="A136" s="2">
        <v>12</v>
      </c>
      <c r="B136" s="2">
        <v>135</v>
      </c>
      <c r="C136" s="2">
        <v>3</v>
      </c>
      <c r="D136" s="2">
        <v>1</v>
      </c>
      <c r="E136" s="2">
        <v>1.0349999999999999</v>
      </c>
      <c r="F136" s="2">
        <v>1</v>
      </c>
    </row>
    <row r="137" spans="1:6" ht="14.25" customHeight="1">
      <c r="A137" s="2">
        <v>12</v>
      </c>
      <c r="B137" s="2">
        <v>136</v>
      </c>
      <c r="C137" s="2">
        <v>7</v>
      </c>
      <c r="D137" s="2">
        <v>1</v>
      </c>
      <c r="E137" s="2">
        <v>1.5660000000000001</v>
      </c>
      <c r="F137" s="2">
        <v>2</v>
      </c>
    </row>
    <row r="138" spans="1:6" ht="14.25" customHeight="1">
      <c r="A138" s="2">
        <v>12</v>
      </c>
      <c r="B138" s="2">
        <v>137</v>
      </c>
      <c r="C138" s="2">
        <v>1</v>
      </c>
      <c r="D138" s="2">
        <v>1</v>
      </c>
      <c r="E138" s="2">
        <v>0.90700000000000003</v>
      </c>
      <c r="F138" s="2">
        <v>1</v>
      </c>
    </row>
    <row r="139" spans="1:6" ht="14.25" customHeight="1">
      <c r="A139" s="2">
        <v>12</v>
      </c>
      <c r="B139" s="2">
        <v>138</v>
      </c>
      <c r="C139" s="2">
        <v>3</v>
      </c>
      <c r="D139" s="2">
        <v>1</v>
      </c>
      <c r="E139" s="2">
        <v>1.6519999999999999</v>
      </c>
      <c r="F139" s="2">
        <v>2</v>
      </c>
    </row>
    <row r="140" spans="1:6" ht="14.25" customHeight="1">
      <c r="A140" s="2">
        <v>12</v>
      </c>
      <c r="B140" s="2">
        <v>139</v>
      </c>
      <c r="C140" s="2">
        <v>4</v>
      </c>
      <c r="D140" s="2">
        <v>1</v>
      </c>
      <c r="E140" s="2">
        <v>1.9810000000000001</v>
      </c>
      <c r="F140" s="2">
        <v>1</v>
      </c>
    </row>
    <row r="141" spans="1:6" ht="14.25" customHeight="1">
      <c r="A141" s="2">
        <v>12</v>
      </c>
      <c r="B141" s="2">
        <v>140</v>
      </c>
      <c r="C141" s="2">
        <v>8</v>
      </c>
      <c r="D141" s="2">
        <v>1</v>
      </c>
      <c r="E141" s="2">
        <v>0.83399999999999996</v>
      </c>
      <c r="F141" s="2">
        <v>2</v>
      </c>
    </row>
    <row r="142" spans="1:6" ht="14.25" customHeight="1">
      <c r="A142" s="2">
        <v>12</v>
      </c>
      <c r="B142" s="2">
        <v>141</v>
      </c>
      <c r="C142" s="2">
        <v>2</v>
      </c>
      <c r="D142" s="2">
        <v>1</v>
      </c>
      <c r="E142" s="2">
        <v>1.702</v>
      </c>
      <c r="F142" s="2">
        <v>2</v>
      </c>
    </row>
    <row r="143" spans="1:6" ht="14.25" customHeight="1">
      <c r="A143" s="2">
        <v>12</v>
      </c>
      <c r="B143" s="2">
        <v>142</v>
      </c>
      <c r="C143" s="2">
        <v>7</v>
      </c>
      <c r="D143" s="2">
        <v>1</v>
      </c>
      <c r="E143" s="2">
        <v>1.734</v>
      </c>
      <c r="F143" s="2">
        <v>1</v>
      </c>
    </row>
    <row r="144" spans="1:6" ht="14.25" customHeight="1">
      <c r="A144" s="2">
        <v>12</v>
      </c>
      <c r="B144" s="2">
        <v>143</v>
      </c>
      <c r="C144" s="2">
        <v>3</v>
      </c>
      <c r="D144" s="2">
        <v>1</v>
      </c>
      <c r="E144" s="2">
        <v>1.5249999999999999</v>
      </c>
      <c r="F144" s="2">
        <v>1</v>
      </c>
    </row>
    <row r="145" spans="1:6" ht="14.25" customHeight="1">
      <c r="A145" s="2">
        <v>12</v>
      </c>
      <c r="B145" s="2">
        <v>144</v>
      </c>
      <c r="C145" s="2">
        <v>6</v>
      </c>
      <c r="D145" s="2">
        <v>1</v>
      </c>
      <c r="E145" s="2">
        <v>0.94</v>
      </c>
      <c r="F145" s="2">
        <v>1</v>
      </c>
    </row>
    <row r="146" spans="1:6" ht="14.25" customHeight="1">
      <c r="A146" s="2">
        <v>12</v>
      </c>
      <c r="B146" s="2">
        <v>145</v>
      </c>
      <c r="C146" s="2">
        <v>4</v>
      </c>
      <c r="D146" s="2">
        <v>1</v>
      </c>
      <c r="E146" s="2">
        <v>1.194</v>
      </c>
      <c r="F146" s="2">
        <v>1</v>
      </c>
    </row>
    <row r="147" spans="1:6" ht="14.25" customHeight="1">
      <c r="A147" s="2">
        <v>12</v>
      </c>
      <c r="B147" s="2">
        <v>146</v>
      </c>
      <c r="C147" s="2">
        <v>2</v>
      </c>
      <c r="D147" s="2">
        <v>1</v>
      </c>
      <c r="E147" s="2">
        <v>1.0629999999999999</v>
      </c>
      <c r="F147" s="2">
        <v>1</v>
      </c>
    </row>
    <row r="148" spans="1:6" ht="14.25" customHeight="1">
      <c r="A148" s="2">
        <v>12</v>
      </c>
      <c r="B148" s="2">
        <v>147</v>
      </c>
      <c r="C148" s="2">
        <v>6</v>
      </c>
      <c r="D148" s="2">
        <v>1</v>
      </c>
      <c r="E148" s="2">
        <v>0.71299999999999997</v>
      </c>
      <c r="F148" s="2">
        <v>1</v>
      </c>
    </row>
    <row r="149" spans="1:6" ht="14.25" customHeight="1">
      <c r="A149" s="2">
        <v>12</v>
      </c>
      <c r="B149" s="2">
        <v>148</v>
      </c>
      <c r="C149" s="2">
        <v>8</v>
      </c>
      <c r="D149" s="2">
        <v>1</v>
      </c>
      <c r="E149" s="2">
        <v>0.80900000000000005</v>
      </c>
      <c r="F149" s="2">
        <v>1</v>
      </c>
    </row>
    <row r="150" spans="1:6" ht="14.25" customHeight="1">
      <c r="A150" s="2">
        <v>12</v>
      </c>
      <c r="B150" s="2">
        <v>149</v>
      </c>
      <c r="C150" s="2">
        <v>5</v>
      </c>
      <c r="D150" s="2">
        <v>0</v>
      </c>
      <c r="E150" s="2">
        <v>1.8129999999999999</v>
      </c>
      <c r="F150" s="2">
        <v>2</v>
      </c>
    </row>
    <row r="151" spans="1:6" ht="14.25" customHeight="1">
      <c r="A151" s="2">
        <v>12</v>
      </c>
      <c r="B151" s="2">
        <v>150</v>
      </c>
      <c r="C151" s="2">
        <v>2</v>
      </c>
      <c r="D151" s="2">
        <v>1</v>
      </c>
      <c r="E151" s="2">
        <v>0.85699999999999998</v>
      </c>
      <c r="F151" s="2">
        <v>2</v>
      </c>
    </row>
    <row r="152" spans="1:6" ht="14.25" customHeight="1">
      <c r="A152" s="2">
        <v>12</v>
      </c>
      <c r="B152" s="2">
        <v>151</v>
      </c>
      <c r="C152" s="2">
        <v>1</v>
      </c>
      <c r="D152" s="2">
        <v>0</v>
      </c>
      <c r="E152" s="2">
        <v>1.242</v>
      </c>
      <c r="F152" s="2">
        <v>1</v>
      </c>
    </row>
    <row r="153" spans="1:6" ht="14.25" customHeight="1">
      <c r="A153" s="2">
        <v>12</v>
      </c>
      <c r="B153" s="2">
        <v>152</v>
      </c>
      <c r="C153" s="2">
        <v>4</v>
      </c>
      <c r="D153" s="2">
        <v>1</v>
      </c>
      <c r="E153" s="2">
        <v>0.62</v>
      </c>
      <c r="F153" s="2">
        <v>2</v>
      </c>
    </row>
    <row r="154" spans="1:6" ht="14.25" customHeight="1">
      <c r="A154" s="2">
        <v>12</v>
      </c>
      <c r="B154" s="2">
        <v>153</v>
      </c>
      <c r="C154" s="2">
        <v>6</v>
      </c>
      <c r="D154" s="2">
        <v>1</v>
      </c>
      <c r="E154" s="2">
        <v>0.63200000000000001</v>
      </c>
      <c r="F154" s="2">
        <v>2</v>
      </c>
    </row>
    <row r="155" spans="1:6" ht="14.25" customHeight="1">
      <c r="A155" s="2">
        <v>12</v>
      </c>
      <c r="B155" s="2">
        <v>154</v>
      </c>
      <c r="C155" s="2">
        <v>5</v>
      </c>
      <c r="D155" s="2">
        <v>1</v>
      </c>
      <c r="E155" s="2">
        <v>0.56299999999999994</v>
      </c>
      <c r="F155" s="2">
        <v>2</v>
      </c>
    </row>
    <row r="156" spans="1:6" ht="14.25" customHeight="1">
      <c r="A156" s="2">
        <v>12</v>
      </c>
      <c r="B156" s="2">
        <v>155</v>
      </c>
      <c r="C156" s="2">
        <v>3</v>
      </c>
      <c r="D156" s="2">
        <v>1</v>
      </c>
      <c r="E156" s="2">
        <v>1.0249999999999999</v>
      </c>
      <c r="F156" s="2">
        <v>2</v>
      </c>
    </row>
    <row r="157" spans="1:6" ht="14.25" customHeight="1">
      <c r="A157" s="2">
        <v>12</v>
      </c>
      <c r="B157" s="2">
        <v>156</v>
      </c>
      <c r="C157" s="2">
        <v>5</v>
      </c>
      <c r="D157" s="2">
        <v>1</v>
      </c>
      <c r="E157" s="2">
        <v>0.96499999999999997</v>
      </c>
      <c r="F157" s="2">
        <v>1</v>
      </c>
    </row>
    <row r="158" spans="1:6" ht="14.25" customHeight="1">
      <c r="A158" s="2">
        <v>12</v>
      </c>
      <c r="B158" s="2">
        <v>157</v>
      </c>
      <c r="C158" s="2">
        <v>6</v>
      </c>
      <c r="D158" s="2">
        <v>1</v>
      </c>
      <c r="E158" s="2">
        <v>0.874</v>
      </c>
      <c r="F158" s="2">
        <v>1</v>
      </c>
    </row>
    <row r="159" spans="1:6" ht="14.25" customHeight="1">
      <c r="A159" s="2">
        <v>12</v>
      </c>
      <c r="B159" s="2">
        <v>158</v>
      </c>
      <c r="C159" s="2">
        <v>8</v>
      </c>
      <c r="D159" s="2">
        <v>0</v>
      </c>
      <c r="E159" s="2">
        <v>1.556</v>
      </c>
      <c r="F159" s="2">
        <v>1</v>
      </c>
    </row>
    <row r="160" spans="1:6" ht="14.25" customHeight="1">
      <c r="A160" s="2">
        <v>12</v>
      </c>
      <c r="B160" s="2">
        <v>159</v>
      </c>
      <c r="C160" s="2">
        <v>4</v>
      </c>
      <c r="D160" s="2">
        <v>1</v>
      </c>
      <c r="E160" s="2">
        <v>0.55400000000000005</v>
      </c>
      <c r="F160" s="2">
        <v>1</v>
      </c>
    </row>
    <row r="161" spans="1:6" ht="14.25" customHeight="1">
      <c r="A161" s="2">
        <v>12</v>
      </c>
      <c r="B161" s="2">
        <v>160</v>
      </c>
      <c r="C161" s="2">
        <v>2</v>
      </c>
      <c r="D161" s="2">
        <v>1</v>
      </c>
      <c r="E161" s="2">
        <v>1.8</v>
      </c>
      <c r="F161" s="2">
        <v>2</v>
      </c>
    </row>
    <row r="162" spans="1:6" ht="14.25" customHeight="1">
      <c r="A162" s="2">
        <v>12</v>
      </c>
      <c r="B162" s="2">
        <v>161</v>
      </c>
      <c r="C162" s="2">
        <v>4</v>
      </c>
      <c r="D162" s="2">
        <v>1</v>
      </c>
      <c r="E162" s="2">
        <v>1.26</v>
      </c>
      <c r="F162" s="2">
        <v>1</v>
      </c>
    </row>
    <row r="163" spans="1:6" ht="14.25" customHeight="1">
      <c r="A163" s="2">
        <v>12</v>
      </c>
      <c r="B163" s="2">
        <v>162</v>
      </c>
      <c r="C163" s="2">
        <v>5</v>
      </c>
      <c r="D163" s="2">
        <v>1</v>
      </c>
      <c r="E163" s="2">
        <v>0.67</v>
      </c>
      <c r="F163" s="2">
        <v>2</v>
      </c>
    </row>
    <row r="164" spans="1:6" ht="14.25" customHeight="1">
      <c r="A164" s="2">
        <v>12</v>
      </c>
      <c r="B164" s="2">
        <v>163</v>
      </c>
      <c r="C164" s="2">
        <v>1</v>
      </c>
      <c r="D164" s="2">
        <v>1</v>
      </c>
      <c r="E164" s="2">
        <v>1.2390000000000001</v>
      </c>
      <c r="F164" s="2">
        <v>1</v>
      </c>
    </row>
    <row r="165" spans="1:6" ht="14.25" customHeight="1">
      <c r="A165" s="2">
        <v>12</v>
      </c>
      <c r="B165" s="2">
        <v>164</v>
      </c>
      <c r="C165" s="2">
        <v>7</v>
      </c>
      <c r="D165" s="2">
        <v>1</v>
      </c>
      <c r="E165" s="2">
        <v>1.6180000000000001</v>
      </c>
      <c r="F165" s="2">
        <v>2</v>
      </c>
    </row>
    <row r="166" spans="1:6" ht="14.25" customHeight="1">
      <c r="A166" s="2">
        <v>12</v>
      </c>
      <c r="B166" s="2">
        <v>165</v>
      </c>
      <c r="C166" s="2">
        <v>8</v>
      </c>
      <c r="D166" s="2">
        <v>1</v>
      </c>
      <c r="E166" s="2">
        <v>1.4690000000000001</v>
      </c>
      <c r="F166" s="2">
        <v>1</v>
      </c>
    </row>
    <row r="167" spans="1:6" ht="14.25" customHeight="1">
      <c r="A167" s="2">
        <v>12</v>
      </c>
      <c r="B167" s="2">
        <v>166</v>
      </c>
      <c r="C167" s="2">
        <v>1</v>
      </c>
      <c r="E167" s="2">
        <v>2.0009999999999999</v>
      </c>
    </row>
    <row r="168" spans="1:6" ht="14.25" customHeight="1">
      <c r="A168" s="2">
        <v>12</v>
      </c>
      <c r="B168" s="2">
        <v>167</v>
      </c>
      <c r="C168" s="2">
        <v>2</v>
      </c>
      <c r="D168" s="2">
        <v>0</v>
      </c>
      <c r="E168" s="2">
        <v>1.827</v>
      </c>
      <c r="F168" s="2">
        <v>2</v>
      </c>
    </row>
    <row r="169" spans="1:6" ht="14.25" customHeight="1">
      <c r="A169" s="2">
        <v>12</v>
      </c>
      <c r="B169" s="2">
        <v>168</v>
      </c>
      <c r="C169" s="2">
        <v>6</v>
      </c>
      <c r="D169" s="2">
        <v>1</v>
      </c>
      <c r="E169" s="2">
        <v>0.88700000000000001</v>
      </c>
      <c r="F169" s="2">
        <v>2</v>
      </c>
    </row>
    <row r="170" spans="1:6" ht="14.25" customHeight="1">
      <c r="A170" s="2">
        <v>12</v>
      </c>
      <c r="B170" s="2">
        <v>169</v>
      </c>
      <c r="C170" s="2">
        <v>1</v>
      </c>
      <c r="D170" s="2">
        <v>1</v>
      </c>
      <c r="E170" s="2">
        <v>0.61599999999999999</v>
      </c>
      <c r="F170" s="2">
        <v>1</v>
      </c>
    </row>
    <row r="171" spans="1:6" ht="14.25" customHeight="1">
      <c r="A171" s="2">
        <v>12</v>
      </c>
      <c r="B171" s="2">
        <v>170</v>
      </c>
      <c r="C171" s="2">
        <v>8</v>
      </c>
      <c r="D171" s="2">
        <v>1</v>
      </c>
      <c r="E171" s="2">
        <v>0.66800000000000004</v>
      </c>
      <c r="F171" s="2">
        <v>2</v>
      </c>
    </row>
    <row r="172" spans="1:6" ht="14.25" customHeight="1">
      <c r="A172" s="2">
        <v>12</v>
      </c>
      <c r="B172" s="2">
        <v>171</v>
      </c>
      <c r="C172" s="2">
        <v>1</v>
      </c>
      <c r="D172" s="2">
        <v>1</v>
      </c>
      <c r="E172" s="2">
        <v>0.91700000000000004</v>
      </c>
      <c r="F172" s="2">
        <v>1</v>
      </c>
    </row>
    <row r="173" spans="1:6" ht="14.25" customHeight="1">
      <c r="A173" s="2">
        <v>12</v>
      </c>
      <c r="B173" s="2">
        <v>172</v>
      </c>
      <c r="C173" s="2">
        <v>4</v>
      </c>
      <c r="D173" s="2">
        <v>1</v>
      </c>
      <c r="E173" s="2">
        <v>1.637</v>
      </c>
      <c r="F173" s="2">
        <v>2</v>
      </c>
    </row>
    <row r="174" spans="1:6" ht="14.25" customHeight="1">
      <c r="A174" s="2">
        <v>12</v>
      </c>
      <c r="B174" s="2">
        <v>173</v>
      </c>
      <c r="C174" s="2">
        <v>8</v>
      </c>
      <c r="D174" s="2">
        <v>1</v>
      </c>
      <c r="E174" s="2">
        <v>0.57599999999999996</v>
      </c>
      <c r="F174" s="2">
        <v>1</v>
      </c>
    </row>
    <row r="175" spans="1:6" ht="14.25" customHeight="1">
      <c r="A175" s="2">
        <v>12</v>
      </c>
      <c r="B175" s="2">
        <v>174</v>
      </c>
      <c r="C175" s="2">
        <v>2</v>
      </c>
      <c r="D175" s="2">
        <v>1</v>
      </c>
      <c r="E175" s="2">
        <v>0.55600000000000005</v>
      </c>
      <c r="F175" s="2">
        <v>2</v>
      </c>
    </row>
    <row r="176" spans="1:6" ht="14.25" customHeight="1">
      <c r="A176" s="2">
        <v>12</v>
      </c>
      <c r="B176" s="2">
        <v>175</v>
      </c>
      <c r="C176" s="2">
        <v>5</v>
      </c>
      <c r="D176" s="2">
        <v>1</v>
      </c>
      <c r="E176" s="2">
        <v>1.4350000000000001</v>
      </c>
      <c r="F176" s="2">
        <v>2</v>
      </c>
    </row>
    <row r="177" spans="1:6" ht="14.25" customHeight="1">
      <c r="A177" s="2">
        <v>12</v>
      </c>
      <c r="B177" s="2">
        <v>176</v>
      </c>
      <c r="C177" s="2">
        <v>3</v>
      </c>
      <c r="D177" s="2">
        <v>1</v>
      </c>
      <c r="E177" s="2">
        <v>0.91800000000000004</v>
      </c>
      <c r="F177" s="2">
        <v>1</v>
      </c>
    </row>
    <row r="178" spans="1:6" ht="14.25" customHeight="1">
      <c r="A178" s="2">
        <v>12</v>
      </c>
      <c r="B178" s="2">
        <v>177</v>
      </c>
      <c r="C178" s="2">
        <v>7</v>
      </c>
      <c r="D178" s="2">
        <v>1</v>
      </c>
      <c r="E178" s="2">
        <v>1.1970000000000001</v>
      </c>
      <c r="F178" s="2">
        <v>2</v>
      </c>
    </row>
    <row r="179" spans="1:6" ht="14.25" customHeight="1">
      <c r="A179" s="2">
        <v>12</v>
      </c>
      <c r="B179" s="2">
        <v>178</v>
      </c>
      <c r="C179" s="2">
        <v>3</v>
      </c>
      <c r="D179" s="2">
        <v>1</v>
      </c>
      <c r="E179" s="2">
        <v>0.63300000000000001</v>
      </c>
      <c r="F179" s="2">
        <v>2</v>
      </c>
    </row>
    <row r="180" spans="1:6" ht="14.25" customHeight="1">
      <c r="A180" s="2">
        <v>12</v>
      </c>
      <c r="B180" s="2">
        <v>179</v>
      </c>
      <c r="C180" s="2">
        <v>8</v>
      </c>
      <c r="D180" s="2">
        <v>1</v>
      </c>
      <c r="E180" s="2">
        <v>1.133</v>
      </c>
      <c r="F180" s="2">
        <v>1</v>
      </c>
    </row>
    <row r="181" spans="1:6" ht="14.25" customHeight="1">
      <c r="A181" s="2">
        <v>12</v>
      </c>
      <c r="B181" s="2">
        <v>180</v>
      </c>
      <c r="C181" s="2">
        <v>3</v>
      </c>
      <c r="D181" s="2">
        <v>1</v>
      </c>
      <c r="E181" s="2">
        <v>0.64400000000000002</v>
      </c>
      <c r="F181" s="2">
        <v>2</v>
      </c>
    </row>
    <row r="182" spans="1:6" ht="14.25" customHeight="1">
      <c r="A182" s="2">
        <v>12</v>
      </c>
      <c r="B182" s="2">
        <v>181</v>
      </c>
      <c r="C182" s="2">
        <v>5</v>
      </c>
      <c r="D182" s="2">
        <v>1</v>
      </c>
      <c r="E182" s="2">
        <v>1.1990000000000001</v>
      </c>
      <c r="F182" s="2">
        <v>2</v>
      </c>
    </row>
    <row r="183" spans="1:6" ht="14.25" customHeight="1">
      <c r="A183" s="2">
        <v>12</v>
      </c>
      <c r="B183" s="2">
        <v>182</v>
      </c>
      <c r="C183" s="2">
        <v>2</v>
      </c>
      <c r="D183" s="2">
        <v>1</v>
      </c>
      <c r="E183" s="2">
        <v>1.139</v>
      </c>
      <c r="F183" s="2">
        <v>1</v>
      </c>
    </row>
    <row r="184" spans="1:6" ht="14.25" customHeight="1">
      <c r="A184" s="2">
        <v>12</v>
      </c>
      <c r="B184" s="2">
        <v>183</v>
      </c>
      <c r="C184" s="2">
        <v>6</v>
      </c>
      <c r="D184" s="2">
        <v>0</v>
      </c>
      <c r="E184" s="2">
        <v>1.242</v>
      </c>
      <c r="F184" s="2">
        <v>2</v>
      </c>
    </row>
    <row r="185" spans="1:6" ht="14.25" customHeight="1">
      <c r="A185" s="2">
        <v>12</v>
      </c>
      <c r="B185" s="2">
        <v>184</v>
      </c>
      <c r="C185" s="2">
        <v>3</v>
      </c>
      <c r="D185" s="2">
        <v>1</v>
      </c>
      <c r="E185" s="2">
        <v>0.66</v>
      </c>
      <c r="F185" s="2">
        <v>2</v>
      </c>
    </row>
    <row r="186" spans="1:6" ht="14.25" customHeight="1">
      <c r="A186" s="2">
        <v>12</v>
      </c>
      <c r="B186" s="2">
        <v>185</v>
      </c>
      <c r="C186" s="2">
        <v>4</v>
      </c>
      <c r="D186" s="2">
        <v>1</v>
      </c>
      <c r="E186" s="2">
        <v>0.84699999999999998</v>
      </c>
      <c r="F186" s="2">
        <v>1</v>
      </c>
    </row>
    <row r="187" spans="1:6" ht="14.25" customHeight="1">
      <c r="A187" s="2">
        <v>12</v>
      </c>
      <c r="B187" s="2">
        <v>186</v>
      </c>
      <c r="C187" s="2">
        <v>7</v>
      </c>
      <c r="D187" s="2">
        <v>0</v>
      </c>
      <c r="E187" s="2">
        <v>0.60099999999999998</v>
      </c>
      <c r="F187" s="2">
        <v>1</v>
      </c>
    </row>
    <row r="188" spans="1:6" ht="14.25" customHeight="1">
      <c r="A188" s="2">
        <v>12</v>
      </c>
      <c r="B188" s="2">
        <v>187</v>
      </c>
      <c r="C188" s="2">
        <v>8</v>
      </c>
      <c r="D188" s="2">
        <v>1</v>
      </c>
      <c r="E188" s="2">
        <v>1.0289999999999999</v>
      </c>
      <c r="F188" s="2">
        <v>1</v>
      </c>
    </row>
    <row r="189" spans="1:6" ht="14.25" customHeight="1">
      <c r="A189" s="2">
        <v>12</v>
      </c>
      <c r="B189" s="2">
        <v>188</v>
      </c>
      <c r="C189" s="2">
        <v>7</v>
      </c>
      <c r="D189" s="2">
        <v>1</v>
      </c>
      <c r="E189" s="2">
        <v>1.585</v>
      </c>
      <c r="F189" s="2">
        <v>2</v>
      </c>
    </row>
    <row r="190" spans="1:6" ht="14.25" customHeight="1">
      <c r="A190" s="2">
        <v>12</v>
      </c>
      <c r="B190" s="2">
        <v>189</v>
      </c>
      <c r="C190" s="2">
        <v>2</v>
      </c>
      <c r="D190" s="2">
        <v>1</v>
      </c>
      <c r="E190" s="2">
        <v>0.89400000000000002</v>
      </c>
      <c r="F190" s="2">
        <v>1</v>
      </c>
    </row>
    <row r="191" spans="1:6" ht="14.25" customHeight="1">
      <c r="A191" s="2">
        <v>12</v>
      </c>
      <c r="B191" s="2">
        <v>190</v>
      </c>
      <c r="C191" s="2">
        <v>7</v>
      </c>
      <c r="D191" s="2">
        <v>1</v>
      </c>
      <c r="E191" s="2">
        <v>0.65400000000000003</v>
      </c>
      <c r="F191" s="2">
        <v>2</v>
      </c>
    </row>
    <row r="192" spans="1:6" ht="14.25" customHeight="1">
      <c r="A192" s="2">
        <v>12</v>
      </c>
      <c r="B192" s="2">
        <v>191</v>
      </c>
      <c r="C192" s="2">
        <v>6</v>
      </c>
      <c r="D192" s="2">
        <v>1</v>
      </c>
      <c r="E192" s="2">
        <v>1.0249999999999999</v>
      </c>
      <c r="F192" s="2">
        <v>2</v>
      </c>
    </row>
    <row r="193" spans="1:6" ht="14.25" customHeight="1">
      <c r="A193" s="2">
        <v>12</v>
      </c>
      <c r="B193" s="2">
        <v>192</v>
      </c>
      <c r="C193" s="2">
        <v>7</v>
      </c>
      <c r="D193" s="2">
        <v>1</v>
      </c>
      <c r="E193" s="2">
        <v>1.2110000000000001</v>
      </c>
      <c r="F193" s="2">
        <v>1</v>
      </c>
    </row>
    <row r="194" spans="1:6" ht="14.25" customHeight="1">
      <c r="A194" s="2">
        <v>12</v>
      </c>
      <c r="B194" s="2">
        <v>193</v>
      </c>
      <c r="C194" s="2">
        <v>1</v>
      </c>
      <c r="E194" s="2">
        <v>2</v>
      </c>
    </row>
    <row r="195" spans="1:6" ht="14.25" customHeight="1">
      <c r="A195" s="2">
        <v>12</v>
      </c>
      <c r="B195" s="2">
        <v>194</v>
      </c>
      <c r="C195" s="2">
        <v>2</v>
      </c>
      <c r="D195" s="2">
        <v>1</v>
      </c>
      <c r="E195" s="2">
        <v>0.81200000000000006</v>
      </c>
      <c r="F195" s="2">
        <v>1</v>
      </c>
    </row>
    <row r="196" spans="1:6" ht="14.25" customHeight="1">
      <c r="A196" s="2">
        <v>12</v>
      </c>
      <c r="B196" s="2">
        <v>195</v>
      </c>
      <c r="C196" s="2">
        <v>5</v>
      </c>
      <c r="D196" s="2">
        <v>1</v>
      </c>
      <c r="E196" s="2">
        <v>0.95199999999999996</v>
      </c>
      <c r="F196" s="2">
        <v>1</v>
      </c>
    </row>
    <row r="197" spans="1:6" ht="14.25" customHeight="1">
      <c r="A197" s="2">
        <v>12</v>
      </c>
      <c r="B197" s="2">
        <v>196</v>
      </c>
      <c r="C197" s="2">
        <v>4</v>
      </c>
      <c r="D197" s="2">
        <v>1</v>
      </c>
      <c r="E197" s="2">
        <v>0.76600000000000001</v>
      </c>
      <c r="F197" s="2">
        <v>1</v>
      </c>
    </row>
    <row r="198" spans="1:6" ht="14.25" customHeight="1">
      <c r="A198" s="2">
        <v>12</v>
      </c>
      <c r="B198" s="2">
        <v>197</v>
      </c>
      <c r="C198" s="2">
        <v>5</v>
      </c>
      <c r="D198" s="2">
        <v>1</v>
      </c>
      <c r="E198" s="2">
        <v>1.6839999999999999</v>
      </c>
      <c r="F198" s="2">
        <v>1</v>
      </c>
    </row>
    <row r="199" spans="1:6" ht="14.25" customHeight="1">
      <c r="A199" s="2">
        <v>12</v>
      </c>
      <c r="B199" s="2">
        <v>198</v>
      </c>
      <c r="C199" s="2">
        <v>2</v>
      </c>
      <c r="D199" s="2">
        <v>1</v>
      </c>
      <c r="E199" s="2">
        <v>0.86899999999999999</v>
      </c>
      <c r="F199" s="2">
        <v>1</v>
      </c>
    </row>
    <row r="200" spans="1:6" ht="14.25" customHeight="1">
      <c r="A200" s="2">
        <v>12</v>
      </c>
      <c r="B200" s="2">
        <v>199</v>
      </c>
      <c r="C200" s="2">
        <v>6</v>
      </c>
      <c r="D200" s="2">
        <v>1</v>
      </c>
      <c r="E200" s="2">
        <v>1.4550000000000001</v>
      </c>
      <c r="F200" s="2">
        <v>1</v>
      </c>
    </row>
    <row r="201" spans="1:6" ht="14.25" customHeight="1">
      <c r="A201" s="2">
        <v>12</v>
      </c>
      <c r="B201" s="2">
        <v>200</v>
      </c>
      <c r="C201" s="2">
        <v>3</v>
      </c>
      <c r="D201" s="2">
        <v>1</v>
      </c>
      <c r="E201" s="2">
        <v>0.79200000000000004</v>
      </c>
      <c r="F201" s="2">
        <v>2</v>
      </c>
    </row>
    <row r="202" spans="1:6" ht="14.25" customHeight="1">
      <c r="A202" s="2">
        <v>12</v>
      </c>
      <c r="B202" s="2">
        <v>201</v>
      </c>
      <c r="C202" s="2">
        <v>8</v>
      </c>
      <c r="D202" s="2">
        <v>1</v>
      </c>
      <c r="E202" s="2">
        <v>1.9</v>
      </c>
      <c r="F202" s="2">
        <v>2</v>
      </c>
    </row>
    <row r="203" spans="1:6" ht="14.25" customHeight="1">
      <c r="A203" s="2">
        <v>12</v>
      </c>
      <c r="B203" s="2">
        <v>202</v>
      </c>
      <c r="C203" s="2">
        <v>7</v>
      </c>
      <c r="D203" s="2">
        <v>1</v>
      </c>
      <c r="E203" s="2">
        <v>0.68400000000000005</v>
      </c>
      <c r="F203" s="2">
        <v>2</v>
      </c>
    </row>
    <row r="204" spans="1:6" ht="14.25" customHeight="1">
      <c r="A204" s="2">
        <v>12</v>
      </c>
      <c r="B204" s="2">
        <v>203</v>
      </c>
      <c r="C204" s="2">
        <v>4</v>
      </c>
      <c r="D204" s="2">
        <v>1</v>
      </c>
      <c r="E204" s="2">
        <v>0.71799999999999997</v>
      </c>
      <c r="F204" s="2">
        <v>2</v>
      </c>
    </row>
    <row r="205" spans="1:6" ht="14.25" customHeight="1">
      <c r="A205" s="2">
        <v>12</v>
      </c>
      <c r="B205" s="2">
        <v>204</v>
      </c>
      <c r="C205" s="2">
        <v>2</v>
      </c>
      <c r="D205" s="2">
        <v>1</v>
      </c>
      <c r="E205" s="2">
        <v>0.59599999999999997</v>
      </c>
      <c r="F205" s="2">
        <v>2</v>
      </c>
    </row>
    <row r="206" spans="1:6" ht="14.25" customHeight="1">
      <c r="A206" s="2">
        <v>12</v>
      </c>
      <c r="B206" s="2">
        <v>205</v>
      </c>
      <c r="C206" s="2">
        <v>3</v>
      </c>
      <c r="D206" s="2">
        <v>1</v>
      </c>
      <c r="E206" s="2">
        <v>1.0569999999999999</v>
      </c>
      <c r="F206" s="2">
        <v>2</v>
      </c>
    </row>
    <row r="207" spans="1:6" ht="14.25" customHeight="1">
      <c r="A207" s="2">
        <v>12</v>
      </c>
      <c r="B207" s="2">
        <v>206</v>
      </c>
      <c r="C207" s="2">
        <v>1</v>
      </c>
      <c r="D207" s="2">
        <v>1</v>
      </c>
      <c r="E207" s="2">
        <v>0.83499999999999996</v>
      </c>
      <c r="F207" s="2">
        <v>1</v>
      </c>
    </row>
    <row r="208" spans="1:6" ht="14.25" customHeight="1">
      <c r="A208" s="2">
        <v>12</v>
      </c>
      <c r="B208" s="2">
        <v>207</v>
      </c>
      <c r="C208" s="2">
        <v>6</v>
      </c>
      <c r="D208" s="2">
        <v>1</v>
      </c>
      <c r="E208" s="2">
        <v>0.92600000000000005</v>
      </c>
      <c r="F208" s="2">
        <v>1</v>
      </c>
    </row>
    <row r="209" spans="1:6" ht="14.25" customHeight="1">
      <c r="A209" s="2">
        <v>12</v>
      </c>
      <c r="B209" s="2">
        <v>208</v>
      </c>
      <c r="C209" s="2">
        <v>8</v>
      </c>
      <c r="D209" s="2">
        <v>0</v>
      </c>
      <c r="E209" s="2">
        <v>1.3819999999999999</v>
      </c>
      <c r="F209" s="2">
        <v>1</v>
      </c>
    </row>
    <row r="210" spans="1:6" ht="14.25" customHeight="1">
      <c r="A210" s="2">
        <v>12</v>
      </c>
      <c r="B210" s="2">
        <v>209</v>
      </c>
      <c r="C210" s="2">
        <v>6</v>
      </c>
      <c r="D210" s="2">
        <v>1</v>
      </c>
      <c r="E210" s="2">
        <v>1.339</v>
      </c>
      <c r="F210" s="2">
        <v>1</v>
      </c>
    </row>
    <row r="211" spans="1:6" ht="14.25" customHeight="1">
      <c r="A211" s="2">
        <v>12</v>
      </c>
      <c r="B211" s="2">
        <v>210</v>
      </c>
      <c r="C211" s="2">
        <v>4</v>
      </c>
      <c r="D211" s="2">
        <v>0</v>
      </c>
      <c r="E211" s="2">
        <v>1.986</v>
      </c>
      <c r="F211" s="2">
        <v>1</v>
      </c>
    </row>
    <row r="212" spans="1:6" ht="14.25" customHeight="1">
      <c r="A212" s="2">
        <v>12</v>
      </c>
      <c r="B212" s="2">
        <v>211</v>
      </c>
      <c r="C212" s="2">
        <v>3</v>
      </c>
      <c r="D212" s="2">
        <v>1</v>
      </c>
      <c r="E212" s="2">
        <v>1.405</v>
      </c>
      <c r="F212" s="2">
        <v>1</v>
      </c>
    </row>
    <row r="213" spans="1:6" ht="14.25" customHeight="1">
      <c r="A213" s="2">
        <v>12</v>
      </c>
      <c r="B213" s="2">
        <v>212</v>
      </c>
      <c r="C213" s="2">
        <v>4</v>
      </c>
      <c r="D213" s="2">
        <v>1</v>
      </c>
      <c r="E213" s="2">
        <v>0.76100000000000001</v>
      </c>
      <c r="F213" s="2">
        <v>2</v>
      </c>
    </row>
    <row r="214" spans="1:6" ht="14.25" customHeight="1">
      <c r="A214" s="2">
        <v>12</v>
      </c>
      <c r="B214" s="2">
        <v>213</v>
      </c>
      <c r="C214" s="2">
        <v>3</v>
      </c>
      <c r="D214" s="2">
        <v>1</v>
      </c>
      <c r="E214" s="2">
        <v>1.4870000000000001</v>
      </c>
      <c r="F214" s="2">
        <v>1</v>
      </c>
    </row>
    <row r="215" spans="1:6" ht="14.25" customHeight="1">
      <c r="A215" s="2">
        <v>12</v>
      </c>
      <c r="B215" s="2">
        <v>214</v>
      </c>
      <c r="C215" s="2">
        <v>1</v>
      </c>
      <c r="E215" s="2">
        <v>2.0009999999999999</v>
      </c>
    </row>
    <row r="216" spans="1:6" ht="14.25" customHeight="1">
      <c r="A216" s="2">
        <v>12</v>
      </c>
      <c r="B216" s="2">
        <v>215</v>
      </c>
      <c r="C216" s="2">
        <v>5</v>
      </c>
      <c r="D216" s="2">
        <v>1</v>
      </c>
      <c r="E216" s="2">
        <v>1.1000000000000001</v>
      </c>
      <c r="F216" s="2">
        <v>1</v>
      </c>
    </row>
    <row r="217" spans="1:6" ht="14.25" customHeight="1">
      <c r="A217" s="2">
        <v>12</v>
      </c>
      <c r="B217" s="2">
        <v>216</v>
      </c>
      <c r="C217" s="2">
        <v>8</v>
      </c>
      <c r="D217" s="2">
        <v>0</v>
      </c>
      <c r="E217" s="2">
        <v>1.101</v>
      </c>
      <c r="F217" s="2">
        <v>1</v>
      </c>
    </row>
    <row r="218" spans="1:6" ht="14.25" customHeight="1">
      <c r="A218" s="2">
        <v>12</v>
      </c>
      <c r="B218" s="2">
        <v>217</v>
      </c>
      <c r="C218" s="2">
        <v>4</v>
      </c>
      <c r="D218" s="2">
        <v>1</v>
      </c>
      <c r="E218" s="2">
        <v>0.54200000000000004</v>
      </c>
      <c r="F218" s="2">
        <v>1</v>
      </c>
    </row>
    <row r="219" spans="1:6" ht="14.25" customHeight="1">
      <c r="A219" s="2">
        <v>12</v>
      </c>
      <c r="B219" s="2">
        <v>218</v>
      </c>
      <c r="C219" s="2">
        <v>1</v>
      </c>
      <c r="D219" s="2">
        <v>1</v>
      </c>
      <c r="E219" s="2">
        <v>0.62</v>
      </c>
      <c r="F219" s="2">
        <v>2</v>
      </c>
    </row>
    <row r="220" spans="1:6" ht="14.25" customHeight="1">
      <c r="A220" s="2">
        <v>12</v>
      </c>
      <c r="B220" s="2">
        <v>219</v>
      </c>
      <c r="C220" s="2">
        <v>5</v>
      </c>
      <c r="D220" s="2">
        <v>1</v>
      </c>
      <c r="E220" s="2">
        <v>1.32</v>
      </c>
      <c r="F220" s="2">
        <v>1</v>
      </c>
    </row>
    <row r="221" spans="1:6" ht="14.25" customHeight="1">
      <c r="A221" s="2">
        <v>12</v>
      </c>
      <c r="B221" s="2">
        <v>220</v>
      </c>
      <c r="C221" s="2">
        <v>2</v>
      </c>
      <c r="D221" s="2">
        <v>1</v>
      </c>
      <c r="E221" s="2">
        <v>0.65500000000000003</v>
      </c>
      <c r="F221" s="2">
        <v>2</v>
      </c>
    </row>
    <row r="222" spans="1:6" ht="14.25" customHeight="1">
      <c r="A222" s="2">
        <v>12</v>
      </c>
      <c r="B222" s="2">
        <v>221</v>
      </c>
      <c r="C222" s="2">
        <v>7</v>
      </c>
      <c r="D222" s="2">
        <v>1</v>
      </c>
      <c r="E222" s="2">
        <v>0.80200000000000005</v>
      </c>
      <c r="F222" s="2">
        <v>1</v>
      </c>
    </row>
    <row r="223" spans="1:6" ht="14.25" customHeight="1">
      <c r="A223" s="2">
        <v>12</v>
      </c>
      <c r="B223" s="2">
        <v>222</v>
      </c>
      <c r="C223" s="2">
        <v>5</v>
      </c>
      <c r="D223" s="2">
        <v>1</v>
      </c>
      <c r="E223" s="2">
        <v>1.421</v>
      </c>
      <c r="F223" s="2">
        <v>2</v>
      </c>
    </row>
    <row r="224" spans="1:6" ht="14.25" customHeight="1">
      <c r="A224" s="2">
        <v>12</v>
      </c>
      <c r="B224" s="2">
        <v>223</v>
      </c>
      <c r="C224" s="2">
        <v>6</v>
      </c>
      <c r="D224" s="2">
        <v>1</v>
      </c>
      <c r="E224" s="2">
        <v>1.3120000000000001</v>
      </c>
      <c r="F224" s="2">
        <v>1</v>
      </c>
    </row>
    <row r="225" spans="1:6" ht="14.25" customHeight="1">
      <c r="A225" s="2">
        <v>12</v>
      </c>
      <c r="B225" s="2">
        <v>224</v>
      </c>
      <c r="C225" s="2">
        <v>5</v>
      </c>
      <c r="D225" s="2">
        <v>1</v>
      </c>
      <c r="E225" s="2">
        <v>0.81599999999999995</v>
      </c>
      <c r="F225" s="2">
        <v>2</v>
      </c>
    </row>
    <row r="226" spans="1:6" ht="14.25" customHeight="1">
      <c r="A226" s="2">
        <v>12</v>
      </c>
      <c r="B226" s="2">
        <v>225</v>
      </c>
      <c r="C226" s="2">
        <v>1</v>
      </c>
      <c r="D226" s="2">
        <v>1</v>
      </c>
      <c r="E226" s="2">
        <v>1.2210000000000001</v>
      </c>
      <c r="F226" s="2">
        <v>2</v>
      </c>
    </row>
    <row r="227" spans="1:6" ht="14.25" customHeight="1">
      <c r="A227" s="2">
        <v>12</v>
      </c>
      <c r="B227" s="2">
        <v>226</v>
      </c>
      <c r="C227" s="2">
        <v>5</v>
      </c>
      <c r="D227" s="2">
        <v>1</v>
      </c>
      <c r="E227" s="2">
        <v>0.81599999999999995</v>
      </c>
      <c r="F227" s="2">
        <v>1</v>
      </c>
    </row>
    <row r="228" spans="1:6" ht="14.25" customHeight="1">
      <c r="A228" s="2">
        <v>12</v>
      </c>
      <c r="B228" s="2">
        <v>227</v>
      </c>
      <c r="C228" s="2">
        <v>3</v>
      </c>
      <c r="D228" s="2">
        <v>1</v>
      </c>
      <c r="E228" s="2">
        <v>1.38</v>
      </c>
      <c r="F228" s="2">
        <v>2</v>
      </c>
    </row>
    <row r="229" spans="1:6" ht="14.25" customHeight="1">
      <c r="A229" s="2">
        <v>12</v>
      </c>
      <c r="B229" s="2">
        <v>228</v>
      </c>
      <c r="C229" s="2">
        <v>2</v>
      </c>
      <c r="D229" s="2">
        <v>1</v>
      </c>
      <c r="E229" s="2">
        <v>0.91300000000000003</v>
      </c>
      <c r="F229" s="2">
        <v>2</v>
      </c>
    </row>
    <row r="230" spans="1:6" ht="14.25" customHeight="1">
      <c r="A230" s="2">
        <v>12</v>
      </c>
      <c r="B230" s="2">
        <v>229</v>
      </c>
      <c r="C230" s="2">
        <v>6</v>
      </c>
      <c r="D230" s="2">
        <v>1</v>
      </c>
      <c r="E230" s="2">
        <v>1.345</v>
      </c>
      <c r="F230" s="2">
        <v>1</v>
      </c>
    </row>
    <row r="231" spans="1:6" ht="14.25" customHeight="1">
      <c r="A231" s="2">
        <v>12</v>
      </c>
      <c r="B231" s="2">
        <v>230</v>
      </c>
      <c r="C231" s="2">
        <v>7</v>
      </c>
      <c r="D231" s="2">
        <v>1</v>
      </c>
      <c r="E231" s="2">
        <v>0.81599999999999995</v>
      </c>
      <c r="F231" s="2">
        <v>2</v>
      </c>
    </row>
    <row r="232" spans="1:6" ht="14.25" customHeight="1">
      <c r="A232" s="2">
        <v>12</v>
      </c>
      <c r="B232" s="2">
        <v>231</v>
      </c>
      <c r="C232" s="2">
        <v>8</v>
      </c>
      <c r="D232" s="2">
        <v>1</v>
      </c>
      <c r="E232" s="2">
        <v>1.204</v>
      </c>
      <c r="F232" s="2">
        <v>2</v>
      </c>
    </row>
    <row r="233" spans="1:6" ht="14.25" customHeight="1">
      <c r="A233" s="2">
        <v>12</v>
      </c>
      <c r="B233" s="2">
        <v>232</v>
      </c>
      <c r="C233" s="2">
        <v>4</v>
      </c>
      <c r="D233" s="2">
        <v>1</v>
      </c>
      <c r="E233" s="2">
        <v>0.89600000000000002</v>
      </c>
      <c r="F233" s="2">
        <v>1</v>
      </c>
    </row>
    <row r="234" spans="1:6" ht="14.25" customHeight="1">
      <c r="A234" s="2">
        <v>12</v>
      </c>
      <c r="B234" s="2">
        <v>233</v>
      </c>
      <c r="C234" s="2">
        <v>2</v>
      </c>
      <c r="D234" s="2">
        <v>1</v>
      </c>
      <c r="E234" s="2">
        <v>1.224</v>
      </c>
      <c r="F234" s="2">
        <v>1</v>
      </c>
    </row>
    <row r="235" spans="1:6" ht="14.25" customHeight="1">
      <c r="A235" s="2">
        <v>12</v>
      </c>
      <c r="B235" s="2">
        <v>234</v>
      </c>
      <c r="C235" s="2">
        <v>5</v>
      </c>
      <c r="D235" s="2">
        <v>1</v>
      </c>
      <c r="E235" s="2">
        <v>0.80400000000000005</v>
      </c>
      <c r="F235" s="2">
        <v>2</v>
      </c>
    </row>
    <row r="236" spans="1:6" ht="14.25" customHeight="1">
      <c r="A236" s="2">
        <v>12</v>
      </c>
      <c r="B236" s="2">
        <v>235</v>
      </c>
      <c r="C236" s="2">
        <v>3</v>
      </c>
      <c r="D236" s="2">
        <v>1</v>
      </c>
      <c r="E236" s="2">
        <v>0.97499999999999998</v>
      </c>
      <c r="F236" s="2">
        <v>1</v>
      </c>
    </row>
    <row r="237" spans="1:6" ht="14.25" customHeight="1">
      <c r="A237" s="2">
        <v>12</v>
      </c>
      <c r="B237" s="2">
        <v>236</v>
      </c>
      <c r="C237" s="2">
        <v>6</v>
      </c>
      <c r="D237" s="2">
        <v>0</v>
      </c>
      <c r="E237" s="2">
        <v>1.325</v>
      </c>
      <c r="F237" s="2">
        <v>1</v>
      </c>
    </row>
    <row r="238" spans="1:6" ht="14.25" customHeight="1">
      <c r="A238" s="2">
        <v>12</v>
      </c>
      <c r="B238" s="2">
        <v>237</v>
      </c>
      <c r="C238" s="2">
        <v>3</v>
      </c>
      <c r="D238" s="2">
        <v>1</v>
      </c>
      <c r="E238" s="2">
        <v>1.236</v>
      </c>
      <c r="F238" s="2">
        <v>1</v>
      </c>
    </row>
    <row r="239" spans="1:6" ht="14.25" customHeight="1">
      <c r="A239" s="2">
        <v>12</v>
      </c>
      <c r="B239" s="2">
        <v>238</v>
      </c>
      <c r="C239" s="2">
        <v>4</v>
      </c>
      <c r="D239" s="2">
        <v>1</v>
      </c>
      <c r="E239" s="2">
        <v>1.7030000000000001</v>
      </c>
      <c r="F239" s="2">
        <v>2</v>
      </c>
    </row>
    <row r="240" spans="1:6" ht="14.25" customHeight="1">
      <c r="A240" s="2">
        <v>12</v>
      </c>
      <c r="B240" s="2">
        <v>239</v>
      </c>
      <c r="C240" s="2">
        <v>8</v>
      </c>
      <c r="D240" s="2">
        <v>1</v>
      </c>
      <c r="E240" s="2">
        <v>0.59</v>
      </c>
      <c r="F240" s="2">
        <v>1</v>
      </c>
    </row>
    <row r="241" spans="1:6" ht="14.25" customHeight="1">
      <c r="A241" s="2">
        <v>12</v>
      </c>
      <c r="B241" s="2">
        <v>240</v>
      </c>
      <c r="C241" s="2">
        <v>1</v>
      </c>
      <c r="D241" s="2">
        <v>1</v>
      </c>
      <c r="E241" s="2">
        <v>0.59599999999999997</v>
      </c>
      <c r="F241" s="2">
        <v>2</v>
      </c>
    </row>
    <row r="242" spans="1:6" ht="14.25" customHeight="1">
      <c r="A242" s="2">
        <v>12</v>
      </c>
      <c r="B242" s="2">
        <v>241</v>
      </c>
      <c r="C242" s="2">
        <v>8</v>
      </c>
      <c r="D242" s="2">
        <v>1</v>
      </c>
      <c r="E242" s="2">
        <v>1.224</v>
      </c>
      <c r="F242" s="2">
        <v>2</v>
      </c>
    </row>
    <row r="243" spans="1:6" ht="14.25" customHeight="1">
      <c r="A243" s="2">
        <v>12</v>
      </c>
      <c r="B243" s="2">
        <v>242</v>
      </c>
      <c r="C243" s="2">
        <v>6</v>
      </c>
      <c r="D243" s="2">
        <v>1</v>
      </c>
      <c r="E243" s="2">
        <v>1.02</v>
      </c>
      <c r="F243" s="2">
        <v>1</v>
      </c>
    </row>
    <row r="244" spans="1:6" ht="14.25" customHeight="1">
      <c r="A244" s="2">
        <v>12</v>
      </c>
      <c r="B244" s="2">
        <v>243</v>
      </c>
      <c r="C244" s="2">
        <v>2</v>
      </c>
      <c r="D244" s="2">
        <v>1</v>
      </c>
      <c r="E244" s="2">
        <v>1.4139999999999999</v>
      </c>
      <c r="F244" s="2">
        <v>1</v>
      </c>
    </row>
    <row r="245" spans="1:6" ht="14.25" customHeight="1">
      <c r="A245" s="2">
        <v>12</v>
      </c>
      <c r="B245" s="2">
        <v>244</v>
      </c>
      <c r="C245" s="2">
        <v>5</v>
      </c>
      <c r="D245" s="2">
        <v>1</v>
      </c>
      <c r="E245" s="2">
        <v>1.508</v>
      </c>
      <c r="F245" s="2">
        <v>1</v>
      </c>
    </row>
    <row r="246" spans="1:6" ht="14.25" customHeight="1">
      <c r="A246" s="2">
        <v>12</v>
      </c>
      <c r="B246" s="2">
        <v>245</v>
      </c>
      <c r="C246" s="2">
        <v>7</v>
      </c>
      <c r="D246" s="2">
        <v>1</v>
      </c>
      <c r="E246" s="2">
        <v>0.88200000000000001</v>
      </c>
      <c r="F246" s="2">
        <v>1</v>
      </c>
    </row>
    <row r="247" spans="1:6" ht="14.25" customHeight="1">
      <c r="A247" s="2">
        <v>12</v>
      </c>
      <c r="B247" s="2">
        <v>246</v>
      </c>
      <c r="C247" s="2">
        <v>1</v>
      </c>
      <c r="D247" s="2">
        <v>1</v>
      </c>
      <c r="E247" s="2">
        <v>1.6359999999999999</v>
      </c>
      <c r="F247" s="2">
        <v>1</v>
      </c>
    </row>
    <row r="248" spans="1:6" ht="14.25" customHeight="1">
      <c r="A248" s="2">
        <v>12</v>
      </c>
      <c r="B248" s="2">
        <v>247</v>
      </c>
      <c r="C248" s="2">
        <v>2</v>
      </c>
      <c r="D248" s="2">
        <v>1</v>
      </c>
      <c r="E248" s="2">
        <v>1.7909999999999999</v>
      </c>
      <c r="F248" s="2">
        <v>1</v>
      </c>
    </row>
    <row r="249" spans="1:6" ht="14.25" customHeight="1">
      <c r="A249" s="2">
        <v>12</v>
      </c>
      <c r="B249" s="2">
        <v>248</v>
      </c>
      <c r="C249" s="2">
        <v>7</v>
      </c>
      <c r="D249" s="2">
        <v>1</v>
      </c>
      <c r="E249" s="2">
        <v>1.1559999999999999</v>
      </c>
      <c r="F249" s="2">
        <v>1</v>
      </c>
    </row>
    <row r="250" spans="1:6" ht="14.25" customHeight="1">
      <c r="A250" s="2">
        <v>12</v>
      </c>
      <c r="B250" s="2">
        <v>249</v>
      </c>
      <c r="C250" s="2">
        <v>2</v>
      </c>
      <c r="D250" s="2">
        <v>1</v>
      </c>
      <c r="E250" s="2">
        <v>1.137</v>
      </c>
      <c r="F250" s="2">
        <v>1</v>
      </c>
    </row>
    <row r="251" spans="1:6" ht="14.25" customHeight="1">
      <c r="A251" s="2">
        <v>12</v>
      </c>
      <c r="B251" s="2">
        <v>250</v>
      </c>
      <c r="C251" s="2">
        <v>7</v>
      </c>
      <c r="D251" s="2">
        <v>1</v>
      </c>
      <c r="E251" s="2">
        <v>0.8</v>
      </c>
      <c r="F251" s="2">
        <v>2</v>
      </c>
    </row>
    <row r="252" spans="1:6" ht="14.25" customHeight="1">
      <c r="A252" s="2">
        <v>12</v>
      </c>
      <c r="B252" s="2">
        <v>251</v>
      </c>
      <c r="C252" s="2">
        <v>1</v>
      </c>
      <c r="D252" s="2">
        <v>0</v>
      </c>
      <c r="E252" s="2">
        <v>1.931</v>
      </c>
      <c r="F252" s="2">
        <v>1</v>
      </c>
    </row>
    <row r="253" spans="1:6" ht="14.25" customHeight="1">
      <c r="A253" s="2">
        <v>12</v>
      </c>
      <c r="B253" s="2">
        <v>252</v>
      </c>
      <c r="C253" s="2">
        <v>2</v>
      </c>
      <c r="D253" s="2">
        <v>1</v>
      </c>
      <c r="E253" s="2">
        <v>0.68300000000000005</v>
      </c>
      <c r="F253" s="2">
        <v>2</v>
      </c>
    </row>
    <row r="254" spans="1:6" ht="14.25" customHeight="1">
      <c r="A254" s="2">
        <v>12</v>
      </c>
      <c r="B254" s="2">
        <v>253</v>
      </c>
      <c r="C254" s="2">
        <v>4</v>
      </c>
      <c r="D254" s="2">
        <v>1</v>
      </c>
      <c r="E254" s="2">
        <v>0.61899999999999999</v>
      </c>
      <c r="F254" s="2">
        <v>2</v>
      </c>
    </row>
    <row r="255" spans="1:6" ht="14.25" customHeight="1">
      <c r="A255" s="2">
        <v>12</v>
      </c>
      <c r="B255" s="2">
        <v>254</v>
      </c>
      <c r="C255" s="2">
        <v>8</v>
      </c>
      <c r="D255" s="2">
        <v>1</v>
      </c>
      <c r="E255" s="2">
        <v>0.68600000000000005</v>
      </c>
      <c r="F255" s="2">
        <v>2</v>
      </c>
    </row>
    <row r="256" spans="1:6" ht="14.25" customHeight="1">
      <c r="A256" s="2">
        <v>12</v>
      </c>
      <c r="B256" s="2">
        <v>255</v>
      </c>
      <c r="C256" s="2">
        <v>6</v>
      </c>
      <c r="D256" s="2">
        <v>1</v>
      </c>
      <c r="E256" s="2">
        <v>1.248</v>
      </c>
      <c r="F256" s="2">
        <v>2</v>
      </c>
    </row>
    <row r="257" spans="1:6" ht="14.25" customHeight="1">
      <c r="A257" s="2">
        <v>12</v>
      </c>
      <c r="B257" s="2">
        <v>256</v>
      </c>
      <c r="C257" s="2">
        <v>5</v>
      </c>
      <c r="D257" s="2">
        <v>1</v>
      </c>
      <c r="E257" s="2">
        <v>0.83399999999999996</v>
      </c>
      <c r="F257" s="2">
        <v>1</v>
      </c>
    </row>
    <row r="258" spans="1:6" ht="14.25" customHeight="1">
      <c r="A258" s="2">
        <v>12</v>
      </c>
      <c r="B258" s="2">
        <v>257</v>
      </c>
      <c r="C258" s="2">
        <v>6</v>
      </c>
      <c r="D258" s="2">
        <v>1</v>
      </c>
      <c r="E258" s="2">
        <v>0.85299999999999998</v>
      </c>
      <c r="F258" s="2">
        <v>1</v>
      </c>
    </row>
    <row r="259" spans="1:6" ht="14.25" customHeight="1">
      <c r="A259" s="2">
        <v>12</v>
      </c>
      <c r="B259" s="2">
        <v>258</v>
      </c>
      <c r="C259" s="2">
        <v>2</v>
      </c>
      <c r="D259" s="2">
        <v>0</v>
      </c>
      <c r="E259" s="2">
        <v>1.488</v>
      </c>
      <c r="F259" s="2">
        <v>1</v>
      </c>
    </row>
    <row r="260" spans="1:6" ht="14.25" customHeight="1">
      <c r="A260" s="2">
        <v>12</v>
      </c>
      <c r="B260" s="2">
        <v>259</v>
      </c>
      <c r="C260" s="2">
        <v>1</v>
      </c>
      <c r="D260" s="2">
        <v>1</v>
      </c>
      <c r="E260" s="2">
        <v>1.1839999999999999</v>
      </c>
      <c r="F260" s="2">
        <v>1</v>
      </c>
    </row>
    <row r="261" spans="1:6" ht="14.25" customHeight="1">
      <c r="A261" s="2">
        <v>12</v>
      </c>
      <c r="B261" s="2">
        <v>260</v>
      </c>
      <c r="C261" s="2">
        <v>3</v>
      </c>
      <c r="D261" s="2">
        <v>1</v>
      </c>
      <c r="E261" s="2">
        <v>1.54</v>
      </c>
      <c r="F261" s="2">
        <v>2</v>
      </c>
    </row>
    <row r="262" spans="1:6" ht="14.25" customHeight="1">
      <c r="A262" s="2">
        <v>12</v>
      </c>
      <c r="B262" s="2">
        <v>261</v>
      </c>
      <c r="C262" s="2">
        <v>4</v>
      </c>
      <c r="D262" s="2">
        <v>1</v>
      </c>
      <c r="E262" s="2">
        <v>1.579</v>
      </c>
      <c r="F262" s="2">
        <v>1</v>
      </c>
    </row>
    <row r="263" spans="1:6" ht="14.25" customHeight="1">
      <c r="A263" s="2">
        <v>12</v>
      </c>
      <c r="B263" s="2">
        <v>262</v>
      </c>
      <c r="C263" s="2">
        <v>2</v>
      </c>
      <c r="D263" s="2">
        <v>1</v>
      </c>
      <c r="E263" s="2">
        <v>0.80800000000000005</v>
      </c>
      <c r="F263" s="2">
        <v>2</v>
      </c>
    </row>
    <row r="264" spans="1:6" ht="14.25" customHeight="1">
      <c r="A264" s="2">
        <v>12</v>
      </c>
      <c r="B264" s="2">
        <v>263</v>
      </c>
      <c r="C264" s="2">
        <v>6</v>
      </c>
      <c r="D264" s="2">
        <v>1</v>
      </c>
      <c r="E264" s="2">
        <v>0.82</v>
      </c>
      <c r="F264" s="2">
        <v>1</v>
      </c>
    </row>
    <row r="265" spans="1:6" ht="14.25" customHeight="1">
      <c r="A265" s="2">
        <v>12</v>
      </c>
      <c r="B265" s="2">
        <v>264</v>
      </c>
      <c r="C265" s="2">
        <v>1</v>
      </c>
      <c r="D265" s="2">
        <v>1</v>
      </c>
      <c r="E265" s="2">
        <v>1.84</v>
      </c>
      <c r="F265" s="2">
        <v>2</v>
      </c>
    </row>
    <row r="266" spans="1:6" ht="14.25" customHeight="1">
      <c r="A266" s="2">
        <v>12</v>
      </c>
      <c r="B266" s="2">
        <v>265</v>
      </c>
      <c r="C266" s="2">
        <v>6</v>
      </c>
      <c r="D266" s="2">
        <v>1</v>
      </c>
      <c r="E266" s="2">
        <v>1.0900000000000001</v>
      </c>
      <c r="F266" s="2">
        <v>1</v>
      </c>
    </row>
    <row r="267" spans="1:6" ht="14.25" customHeight="1">
      <c r="A267" s="2">
        <v>12</v>
      </c>
      <c r="B267" s="2">
        <v>266</v>
      </c>
      <c r="C267" s="2">
        <v>8</v>
      </c>
      <c r="D267" s="2">
        <v>1</v>
      </c>
      <c r="E267" s="2">
        <v>1.4910000000000001</v>
      </c>
      <c r="F267" s="2">
        <v>2</v>
      </c>
    </row>
    <row r="268" spans="1:6" ht="14.25" customHeight="1">
      <c r="A268" s="2">
        <v>12</v>
      </c>
      <c r="B268" s="2">
        <v>267</v>
      </c>
      <c r="C268" s="2">
        <v>5</v>
      </c>
      <c r="D268" s="2">
        <v>1</v>
      </c>
      <c r="E268" s="2">
        <v>1.0189999999999999</v>
      </c>
      <c r="F268" s="2">
        <v>1</v>
      </c>
    </row>
    <row r="269" spans="1:6" ht="14.25" customHeight="1">
      <c r="A269" s="2">
        <v>12</v>
      </c>
      <c r="B269" s="2">
        <v>268</v>
      </c>
      <c r="C269" s="2">
        <v>2</v>
      </c>
      <c r="D269" s="2">
        <v>1</v>
      </c>
      <c r="E269" s="2">
        <v>0.81499999999999995</v>
      </c>
      <c r="F269" s="2">
        <v>2</v>
      </c>
    </row>
    <row r="270" spans="1:6" ht="14.25" customHeight="1">
      <c r="A270" s="2">
        <v>12</v>
      </c>
      <c r="B270" s="2">
        <v>269</v>
      </c>
      <c r="C270" s="2">
        <v>3</v>
      </c>
      <c r="D270" s="2">
        <v>1</v>
      </c>
      <c r="E270" s="2">
        <v>1.131</v>
      </c>
      <c r="F270" s="2">
        <v>1</v>
      </c>
    </row>
    <row r="271" spans="1:6" ht="14.25" customHeight="1">
      <c r="A271" s="2">
        <v>12</v>
      </c>
      <c r="B271" s="2">
        <v>270</v>
      </c>
      <c r="C271" s="2">
        <v>7</v>
      </c>
      <c r="D271" s="2">
        <v>1</v>
      </c>
      <c r="E271" s="2">
        <v>0.874</v>
      </c>
      <c r="F271" s="2">
        <v>2</v>
      </c>
    </row>
    <row r="272" spans="1:6" ht="14.25" customHeight="1">
      <c r="A272" s="2">
        <v>12</v>
      </c>
      <c r="B272" s="2">
        <v>271</v>
      </c>
      <c r="C272" s="2">
        <v>5</v>
      </c>
      <c r="D272" s="2">
        <v>1</v>
      </c>
      <c r="E272" s="2">
        <v>0.94</v>
      </c>
      <c r="F272" s="2">
        <v>1</v>
      </c>
    </row>
    <row r="273" spans="1:6" ht="14.25" customHeight="1">
      <c r="A273" s="2">
        <v>12</v>
      </c>
      <c r="B273" s="2">
        <v>272</v>
      </c>
      <c r="C273" s="2">
        <v>3</v>
      </c>
      <c r="D273" s="2">
        <v>1</v>
      </c>
      <c r="E273" s="2">
        <v>1.514</v>
      </c>
      <c r="F273" s="2">
        <v>2</v>
      </c>
    </row>
    <row r="274" spans="1:6" ht="14.25" customHeight="1">
      <c r="A274" s="2">
        <v>12</v>
      </c>
      <c r="B274" s="2">
        <v>273</v>
      </c>
      <c r="C274" s="2">
        <v>2</v>
      </c>
      <c r="D274" s="2">
        <v>1</v>
      </c>
      <c r="E274" s="2">
        <v>1.3939999999999999</v>
      </c>
      <c r="F274" s="2">
        <v>1</v>
      </c>
    </row>
    <row r="275" spans="1:6" ht="14.25" customHeight="1">
      <c r="A275" s="2">
        <v>12</v>
      </c>
      <c r="B275" s="2">
        <v>274</v>
      </c>
      <c r="C275" s="2">
        <v>5</v>
      </c>
      <c r="D275" s="2">
        <v>1</v>
      </c>
      <c r="E275" s="2">
        <v>1.47</v>
      </c>
      <c r="F275" s="2">
        <v>2</v>
      </c>
    </row>
    <row r="276" spans="1:6" ht="14.25" customHeight="1">
      <c r="A276" s="2">
        <v>12</v>
      </c>
      <c r="B276" s="2">
        <v>275</v>
      </c>
      <c r="C276" s="2">
        <v>7</v>
      </c>
      <c r="D276" s="2">
        <v>1</v>
      </c>
      <c r="E276" s="2">
        <v>1.256</v>
      </c>
      <c r="F276" s="2">
        <v>2</v>
      </c>
    </row>
    <row r="277" spans="1:6" ht="14.25" customHeight="1">
      <c r="A277" s="2">
        <v>12</v>
      </c>
      <c r="B277" s="2">
        <v>276</v>
      </c>
      <c r="C277" s="2">
        <v>4</v>
      </c>
      <c r="D277" s="2">
        <v>1</v>
      </c>
      <c r="E277" s="2">
        <v>0.95399999999999996</v>
      </c>
      <c r="F277" s="2">
        <v>1</v>
      </c>
    </row>
    <row r="278" spans="1:6" ht="14.25" customHeight="1">
      <c r="A278" s="2">
        <v>12</v>
      </c>
      <c r="B278" s="2">
        <v>277</v>
      </c>
      <c r="C278" s="2">
        <v>5</v>
      </c>
      <c r="D278" s="2">
        <v>1</v>
      </c>
      <c r="E278" s="2">
        <v>1.1279999999999999</v>
      </c>
      <c r="F278" s="2">
        <v>2</v>
      </c>
    </row>
    <row r="279" spans="1:6" ht="14.25" customHeight="1">
      <c r="A279" s="2">
        <v>12</v>
      </c>
      <c r="B279" s="2">
        <v>278</v>
      </c>
      <c r="C279" s="2">
        <v>4</v>
      </c>
      <c r="D279" s="2">
        <v>1</v>
      </c>
      <c r="E279" s="2">
        <v>0.79900000000000004</v>
      </c>
      <c r="F279" s="2">
        <v>2</v>
      </c>
    </row>
    <row r="280" spans="1:6" ht="14.25" customHeight="1">
      <c r="A280" s="2">
        <v>12</v>
      </c>
      <c r="B280" s="2">
        <v>279</v>
      </c>
      <c r="C280" s="2">
        <v>1</v>
      </c>
      <c r="D280" s="2">
        <v>1</v>
      </c>
      <c r="E280" s="2">
        <v>0.98699999999999999</v>
      </c>
      <c r="F280" s="2">
        <v>1</v>
      </c>
    </row>
    <row r="281" spans="1:6" ht="14.25" customHeight="1">
      <c r="A281" s="2">
        <v>12</v>
      </c>
      <c r="B281" s="2">
        <v>280</v>
      </c>
      <c r="C281" s="2">
        <v>6</v>
      </c>
      <c r="D281" s="2">
        <v>1</v>
      </c>
      <c r="E281" s="2">
        <v>0.76800000000000002</v>
      </c>
      <c r="F281" s="2">
        <v>2</v>
      </c>
    </row>
    <row r="282" spans="1:6" ht="14.25" customHeight="1">
      <c r="A282" s="2">
        <v>12</v>
      </c>
      <c r="B282" s="2">
        <v>281</v>
      </c>
      <c r="C282" s="2">
        <v>2</v>
      </c>
      <c r="D282" s="2">
        <v>1</v>
      </c>
      <c r="E282" s="2">
        <v>1.7969999999999999</v>
      </c>
      <c r="F282" s="2">
        <v>2</v>
      </c>
    </row>
    <row r="283" spans="1:6" ht="14.25" customHeight="1">
      <c r="A283" s="2">
        <v>12</v>
      </c>
      <c r="B283" s="2">
        <v>282</v>
      </c>
      <c r="C283" s="2">
        <v>3</v>
      </c>
      <c r="D283" s="2">
        <v>1</v>
      </c>
      <c r="E283" s="2">
        <v>0.78600000000000003</v>
      </c>
      <c r="F283" s="2">
        <v>1</v>
      </c>
    </row>
    <row r="284" spans="1:6" ht="14.25" customHeight="1">
      <c r="A284" s="2">
        <v>12</v>
      </c>
      <c r="B284" s="2">
        <v>283</v>
      </c>
      <c r="C284" s="2">
        <v>7</v>
      </c>
      <c r="D284" s="2">
        <v>1</v>
      </c>
      <c r="E284" s="2">
        <v>1.367</v>
      </c>
      <c r="F284" s="2">
        <v>1</v>
      </c>
    </row>
    <row r="285" spans="1:6" ht="14.25" customHeight="1">
      <c r="A285" s="2">
        <v>12</v>
      </c>
      <c r="B285" s="2">
        <v>284</v>
      </c>
      <c r="C285" s="2">
        <v>8</v>
      </c>
      <c r="D285" s="2">
        <v>1</v>
      </c>
      <c r="E285" s="2">
        <v>0.73199999999999998</v>
      </c>
      <c r="F285" s="2">
        <v>2</v>
      </c>
    </row>
    <row r="286" spans="1:6" ht="14.25" customHeight="1">
      <c r="A286" s="2">
        <v>12</v>
      </c>
      <c r="B286" s="2">
        <v>285</v>
      </c>
      <c r="C286" s="2">
        <v>6</v>
      </c>
      <c r="D286" s="2">
        <v>1</v>
      </c>
      <c r="E286" s="2">
        <v>1.2669999999999999</v>
      </c>
      <c r="F286" s="2">
        <v>1</v>
      </c>
    </row>
    <row r="287" spans="1:6" ht="14.25" customHeight="1">
      <c r="A287" s="2">
        <v>12</v>
      </c>
      <c r="B287" s="2">
        <v>286</v>
      </c>
      <c r="C287" s="2">
        <v>4</v>
      </c>
      <c r="D287" s="2">
        <v>1</v>
      </c>
      <c r="E287" s="2">
        <v>1.4450000000000001</v>
      </c>
      <c r="F287" s="2">
        <v>2</v>
      </c>
    </row>
    <row r="288" spans="1:6" ht="14.25" customHeight="1">
      <c r="A288" s="2">
        <v>12</v>
      </c>
      <c r="B288" s="2">
        <v>287</v>
      </c>
      <c r="C288" s="2">
        <v>3</v>
      </c>
      <c r="D288" s="2">
        <v>1</v>
      </c>
      <c r="E288" s="2">
        <v>1.048</v>
      </c>
      <c r="F288" s="2">
        <v>1</v>
      </c>
    </row>
    <row r="289" spans="1:6" ht="14.25" customHeight="1">
      <c r="A289" s="2">
        <v>12</v>
      </c>
      <c r="B289" s="2">
        <v>288</v>
      </c>
      <c r="C289" s="2">
        <v>1</v>
      </c>
      <c r="D289" s="2">
        <v>1</v>
      </c>
      <c r="E289" s="2">
        <v>1.2190000000000001</v>
      </c>
      <c r="F289" s="2">
        <v>2</v>
      </c>
    </row>
    <row r="290" spans="1:6" ht="14.25" customHeight="1">
      <c r="A290" s="2">
        <v>12</v>
      </c>
      <c r="B290" s="2">
        <v>289</v>
      </c>
      <c r="C290" s="2">
        <v>7</v>
      </c>
      <c r="D290" s="2">
        <v>1</v>
      </c>
      <c r="E290" s="2">
        <v>1.718</v>
      </c>
      <c r="F290" s="2">
        <v>1</v>
      </c>
    </row>
    <row r="291" spans="1:6" ht="14.25" customHeight="1">
      <c r="A291" s="2">
        <v>12</v>
      </c>
      <c r="B291" s="2">
        <v>290</v>
      </c>
      <c r="C291" s="2">
        <v>8</v>
      </c>
      <c r="D291" s="2">
        <v>1</v>
      </c>
      <c r="E291" s="2">
        <v>1.341</v>
      </c>
      <c r="F291" s="2">
        <v>2</v>
      </c>
    </row>
    <row r="292" spans="1:6" ht="14.25" customHeight="1">
      <c r="A292" s="2">
        <v>12</v>
      </c>
      <c r="B292" s="2">
        <v>291</v>
      </c>
      <c r="C292" s="2">
        <v>2</v>
      </c>
      <c r="D292" s="2">
        <v>1</v>
      </c>
      <c r="E292" s="2">
        <v>1.292</v>
      </c>
      <c r="F292" s="2">
        <v>2</v>
      </c>
    </row>
    <row r="293" spans="1:6" ht="14.25" customHeight="1">
      <c r="A293" s="2">
        <v>12</v>
      </c>
      <c r="B293" s="2">
        <v>292</v>
      </c>
      <c r="C293" s="2">
        <v>1</v>
      </c>
      <c r="D293" s="2">
        <v>1</v>
      </c>
      <c r="E293" s="2">
        <v>0.96499999999999997</v>
      </c>
      <c r="F293" s="2">
        <v>1</v>
      </c>
    </row>
    <row r="294" spans="1:6" ht="14.25" customHeight="1">
      <c r="A294" s="2">
        <v>12</v>
      </c>
      <c r="B294" s="2">
        <v>293</v>
      </c>
      <c r="C294" s="2">
        <v>7</v>
      </c>
      <c r="D294" s="2">
        <v>1</v>
      </c>
      <c r="E294" s="2">
        <v>1.619</v>
      </c>
      <c r="F294" s="2">
        <v>1</v>
      </c>
    </row>
    <row r="295" spans="1:6" ht="14.25" customHeight="1">
      <c r="A295" s="2">
        <v>12</v>
      </c>
      <c r="B295" s="2">
        <v>294</v>
      </c>
      <c r="C295" s="2">
        <v>5</v>
      </c>
      <c r="D295" s="2">
        <v>1</v>
      </c>
      <c r="E295" s="2">
        <v>1.5660000000000001</v>
      </c>
      <c r="F295" s="2">
        <v>1</v>
      </c>
    </row>
    <row r="296" spans="1:6" ht="14.25" customHeight="1">
      <c r="A296" s="2">
        <v>12</v>
      </c>
      <c r="B296" s="2">
        <v>295</v>
      </c>
      <c r="C296" s="2">
        <v>7</v>
      </c>
      <c r="D296" s="2">
        <v>1</v>
      </c>
      <c r="E296" s="2">
        <v>0.74</v>
      </c>
      <c r="F296" s="2">
        <v>1</v>
      </c>
    </row>
    <row r="297" spans="1:6" ht="14.25" customHeight="1">
      <c r="A297" s="2">
        <v>12</v>
      </c>
      <c r="B297" s="2">
        <v>296</v>
      </c>
      <c r="C297" s="2">
        <v>8</v>
      </c>
      <c r="D297" s="2">
        <v>1</v>
      </c>
      <c r="E297" s="2">
        <v>1.0189999999999999</v>
      </c>
      <c r="F297" s="2">
        <v>1</v>
      </c>
    </row>
    <row r="298" spans="1:6" ht="14.25" customHeight="1">
      <c r="A298" s="2">
        <v>12</v>
      </c>
      <c r="B298" s="2">
        <v>297</v>
      </c>
      <c r="C298" s="2">
        <v>4</v>
      </c>
      <c r="D298" s="2">
        <v>1</v>
      </c>
      <c r="E298" s="2">
        <v>1.4139999999999999</v>
      </c>
      <c r="F298" s="2">
        <v>1</v>
      </c>
    </row>
    <row r="299" spans="1:6" ht="14.25" customHeight="1">
      <c r="A299" s="2">
        <v>12</v>
      </c>
      <c r="B299" s="2">
        <v>298</v>
      </c>
      <c r="C299" s="2">
        <v>5</v>
      </c>
      <c r="E299" s="2">
        <v>2</v>
      </c>
    </row>
    <row r="300" spans="1:6" ht="14.25" customHeight="1">
      <c r="A300" s="2">
        <v>12</v>
      </c>
      <c r="B300" s="2">
        <v>299</v>
      </c>
      <c r="C300" s="2">
        <v>8</v>
      </c>
      <c r="D300" s="2">
        <v>1</v>
      </c>
      <c r="E300" s="2">
        <v>1.2789999999999999</v>
      </c>
      <c r="F300" s="2">
        <v>1</v>
      </c>
    </row>
    <row r="301" spans="1:6" ht="14.25" customHeight="1">
      <c r="A301" s="2">
        <v>12</v>
      </c>
      <c r="B301" s="2">
        <v>300</v>
      </c>
      <c r="C301" s="2">
        <v>3</v>
      </c>
      <c r="D301" s="2">
        <v>1</v>
      </c>
      <c r="E301" s="2">
        <v>0.73599999999999999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13</v>
      </c>
      <c r="I1" s="2">
        <v>101</v>
      </c>
      <c r="J1" s="2">
        <v>6</v>
      </c>
      <c r="K1" s="2">
        <v>1</v>
      </c>
      <c r="L1" s="2">
        <v>0.88</v>
      </c>
      <c r="M1" s="2">
        <v>2</v>
      </c>
    </row>
    <row r="2" spans="1:25" ht="14.25" customHeight="1">
      <c r="A2" s="2">
        <v>13</v>
      </c>
      <c r="B2" s="2">
        <v>1</v>
      </c>
      <c r="C2" s="2">
        <v>4</v>
      </c>
      <c r="E2" s="2">
        <v>2.0009999999999999</v>
      </c>
      <c r="H2" s="2">
        <v>13</v>
      </c>
      <c r="I2" s="2">
        <v>102</v>
      </c>
      <c r="J2" s="2">
        <v>3</v>
      </c>
      <c r="K2" s="2">
        <v>1</v>
      </c>
      <c r="L2" s="2">
        <v>0.80100000000000005</v>
      </c>
      <c r="M2" s="2">
        <v>2</v>
      </c>
    </row>
    <row r="3" spans="1:25" ht="14.25" customHeight="1">
      <c r="A3" s="2">
        <v>13</v>
      </c>
      <c r="B3" s="2">
        <v>2</v>
      </c>
      <c r="C3" s="2">
        <v>2</v>
      </c>
      <c r="D3" s="2">
        <v>1</v>
      </c>
      <c r="E3" s="2">
        <v>1.661</v>
      </c>
      <c r="F3" s="2">
        <v>2</v>
      </c>
      <c r="H3" s="2">
        <v>13</v>
      </c>
      <c r="I3" s="2">
        <v>103</v>
      </c>
      <c r="J3" s="2">
        <v>2</v>
      </c>
      <c r="K3" s="2">
        <v>1</v>
      </c>
      <c r="L3" s="2">
        <v>1.012</v>
      </c>
      <c r="M3" s="2">
        <v>1</v>
      </c>
    </row>
    <row r="4" spans="1:25" ht="14.25" customHeight="1">
      <c r="A4" s="2">
        <v>13</v>
      </c>
      <c r="B4" s="2">
        <v>3</v>
      </c>
      <c r="C4" s="2">
        <v>3</v>
      </c>
      <c r="D4" s="2">
        <v>0</v>
      </c>
      <c r="E4" s="2">
        <v>1.1659999999999999</v>
      </c>
      <c r="F4" s="2">
        <v>2</v>
      </c>
      <c r="H4" s="2">
        <v>13</v>
      </c>
      <c r="I4" s="2">
        <v>104</v>
      </c>
      <c r="J4" s="2">
        <v>3</v>
      </c>
      <c r="K4" s="2">
        <v>1</v>
      </c>
      <c r="L4" s="2">
        <v>0.59199999999999997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13</v>
      </c>
      <c r="B5" s="2">
        <v>4</v>
      </c>
      <c r="C5" s="2">
        <v>2</v>
      </c>
      <c r="D5" s="2">
        <v>1</v>
      </c>
      <c r="E5" s="2">
        <v>1.0920000000000001</v>
      </c>
      <c r="F5" s="2">
        <v>2</v>
      </c>
      <c r="H5" s="2">
        <v>13</v>
      </c>
      <c r="I5" s="2">
        <v>105</v>
      </c>
      <c r="J5" s="2">
        <v>4</v>
      </c>
      <c r="K5" s="2">
        <v>0</v>
      </c>
      <c r="L5" s="2">
        <v>0.90900000000000003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13</v>
      </c>
      <c r="B6" s="2">
        <v>5</v>
      </c>
      <c r="C6" s="2">
        <v>7</v>
      </c>
      <c r="D6" s="2">
        <v>0</v>
      </c>
      <c r="E6" s="2">
        <v>0.89200000000000002</v>
      </c>
      <c r="F6" s="2">
        <v>1</v>
      </c>
      <c r="H6" s="2">
        <v>13</v>
      </c>
      <c r="I6" s="2">
        <v>106</v>
      </c>
      <c r="J6" s="2">
        <v>8</v>
      </c>
      <c r="K6" s="2">
        <v>1</v>
      </c>
      <c r="L6" s="2">
        <v>1.2130000000000001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13</v>
      </c>
      <c r="B7" s="2">
        <v>6</v>
      </c>
      <c r="C7" s="2">
        <v>8</v>
      </c>
      <c r="D7" s="2">
        <v>1</v>
      </c>
      <c r="E7" s="2">
        <v>1.885</v>
      </c>
      <c r="F7" s="2">
        <v>2</v>
      </c>
      <c r="H7" s="2">
        <v>13</v>
      </c>
      <c r="I7" s="2">
        <v>107</v>
      </c>
      <c r="J7" s="2">
        <v>4</v>
      </c>
      <c r="K7" s="2">
        <v>1</v>
      </c>
      <c r="L7" s="2">
        <v>0.625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13</v>
      </c>
      <c r="B8" s="2">
        <v>7</v>
      </c>
      <c r="C8" s="2">
        <v>7</v>
      </c>
      <c r="E8" s="2">
        <v>2.0009999999999999</v>
      </c>
      <c r="H8" s="2">
        <v>13</v>
      </c>
      <c r="I8" s="2">
        <v>108</v>
      </c>
      <c r="J8" s="2">
        <v>6</v>
      </c>
      <c r="K8" s="2">
        <v>1</v>
      </c>
      <c r="L8" s="2">
        <v>0.82099999999999995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13</v>
      </c>
      <c r="B9" s="2">
        <v>8</v>
      </c>
      <c r="C9" s="2">
        <v>4</v>
      </c>
      <c r="D9" s="2">
        <v>1</v>
      </c>
      <c r="E9" s="2">
        <v>1.01</v>
      </c>
      <c r="F9" s="2">
        <v>2</v>
      </c>
      <c r="H9" s="2">
        <v>13</v>
      </c>
      <c r="I9" s="2">
        <v>109</v>
      </c>
      <c r="J9" s="2">
        <v>4</v>
      </c>
      <c r="K9" s="2">
        <v>1</v>
      </c>
      <c r="L9" s="2">
        <v>1.0960000000000001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13</v>
      </c>
      <c r="B10" s="2">
        <v>9</v>
      </c>
      <c r="C10" s="2">
        <v>5</v>
      </c>
      <c r="E10" s="2">
        <v>2</v>
      </c>
      <c r="H10" s="2">
        <v>13</v>
      </c>
      <c r="I10" s="2">
        <v>110</v>
      </c>
      <c r="J10" s="2">
        <v>6</v>
      </c>
      <c r="K10" s="2">
        <v>1</v>
      </c>
      <c r="L10" s="2">
        <v>0.753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13</v>
      </c>
      <c r="B11" s="2">
        <v>10</v>
      </c>
      <c r="C11" s="2">
        <v>2</v>
      </c>
      <c r="D11" s="2">
        <v>1</v>
      </c>
      <c r="E11" s="2">
        <v>0.61899999999999999</v>
      </c>
      <c r="F11" s="2">
        <v>2</v>
      </c>
      <c r="H11" s="2">
        <v>13</v>
      </c>
      <c r="I11" s="2">
        <v>111</v>
      </c>
      <c r="J11" s="2">
        <v>1</v>
      </c>
      <c r="K11" s="2">
        <v>1</v>
      </c>
      <c r="L11" s="2">
        <v>0.98199999999999998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13</v>
      </c>
      <c r="B12" s="2">
        <v>11</v>
      </c>
      <c r="C12" s="2">
        <v>8</v>
      </c>
      <c r="D12" s="2">
        <v>1</v>
      </c>
      <c r="E12" s="2">
        <v>0.63</v>
      </c>
      <c r="F12" s="2">
        <v>2</v>
      </c>
      <c r="H12" s="2">
        <v>13</v>
      </c>
      <c r="I12" s="2">
        <v>112</v>
      </c>
      <c r="J12" s="2">
        <v>6</v>
      </c>
      <c r="K12" s="2">
        <v>1</v>
      </c>
      <c r="L12" s="2">
        <v>0.83399999999999996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13</v>
      </c>
      <c r="B13" s="2">
        <v>12</v>
      </c>
      <c r="C13" s="2">
        <v>4</v>
      </c>
      <c r="D13" s="2">
        <v>1</v>
      </c>
      <c r="E13" s="2">
        <v>0.52100000000000002</v>
      </c>
      <c r="F13" s="2">
        <v>2</v>
      </c>
      <c r="H13" s="2">
        <v>13</v>
      </c>
      <c r="I13" s="2">
        <v>113</v>
      </c>
      <c r="J13" s="2">
        <v>8</v>
      </c>
      <c r="K13" s="2">
        <v>1</v>
      </c>
      <c r="L13" s="2">
        <v>0.86099999999999999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13</v>
      </c>
      <c r="B14" s="2">
        <v>13</v>
      </c>
      <c r="C14" s="2">
        <v>8</v>
      </c>
      <c r="D14" s="2">
        <v>1</v>
      </c>
      <c r="E14" s="2">
        <v>0.52</v>
      </c>
      <c r="F14" s="2">
        <v>2</v>
      </c>
      <c r="H14" s="2">
        <v>13</v>
      </c>
      <c r="I14" s="2">
        <v>114</v>
      </c>
      <c r="J14" s="2">
        <v>4</v>
      </c>
      <c r="K14" s="2">
        <v>0</v>
      </c>
      <c r="L14" s="2">
        <v>1.4710000000000001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13</v>
      </c>
      <c r="B15" s="2">
        <v>14</v>
      </c>
      <c r="C15" s="2">
        <v>1</v>
      </c>
      <c r="D15" s="2">
        <v>0</v>
      </c>
      <c r="E15" s="2">
        <v>1.383</v>
      </c>
      <c r="F15" s="2">
        <v>2</v>
      </c>
      <c r="H15" s="2">
        <v>13</v>
      </c>
      <c r="I15" s="2">
        <v>115</v>
      </c>
      <c r="J15" s="2">
        <v>3</v>
      </c>
      <c r="K15" s="2">
        <v>1</v>
      </c>
      <c r="L15" s="2">
        <v>0.85699999999999998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13</v>
      </c>
      <c r="B16" s="2">
        <v>15</v>
      </c>
      <c r="C16" s="2">
        <v>8</v>
      </c>
      <c r="D16" s="2">
        <v>1</v>
      </c>
      <c r="E16" s="2">
        <v>0.70799999999999996</v>
      </c>
      <c r="F16" s="2">
        <v>2</v>
      </c>
      <c r="H16" s="2">
        <v>13</v>
      </c>
      <c r="I16" s="2">
        <v>116</v>
      </c>
      <c r="J16" s="2">
        <v>7</v>
      </c>
      <c r="K16" s="2">
        <v>1</v>
      </c>
      <c r="L16" s="2">
        <v>1.2430000000000001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13</v>
      </c>
      <c r="B17" s="2">
        <v>16</v>
      </c>
      <c r="C17" s="2">
        <v>5</v>
      </c>
      <c r="D17" s="2">
        <v>1</v>
      </c>
      <c r="E17" s="2">
        <v>0.748</v>
      </c>
      <c r="F17" s="2">
        <v>1</v>
      </c>
      <c r="H17" s="2">
        <v>13</v>
      </c>
      <c r="I17" s="2">
        <v>117</v>
      </c>
      <c r="J17" s="2">
        <v>2</v>
      </c>
      <c r="K17" s="2">
        <v>1</v>
      </c>
      <c r="L17" s="2">
        <v>1.022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2.8899999999999975</v>
      </c>
      <c r="Q17" s="3">
        <f t="shared" ref="Q17:Q22" si="2">(Q6*COUNTIF($J$1:$J$101,Q$16) - COUNTIFS($J$1:$J$101,Q$16,$K$1:$K$101,"=0"))^2</f>
        <v>1.9599999999999997</v>
      </c>
      <c r="R17" s="3">
        <f t="shared" ref="R17:R22" si="3">(R6*COUNTIF($J$1:$J$101,R$16) - COUNTIFS($J$1:$J$101,R$16,$K$1:$K$101,"=1"))^2</f>
        <v>7.2899999999999965</v>
      </c>
      <c r="S17" s="3">
        <f t="shared" ref="S17:T17" si="4">(S6*COUNTIF($J$1:$J$101,S$16) - COUNTIFS($J$1:$J$101,S$16,$K$1:$K$101,"=0"))^2</f>
        <v>0.48999999999999994</v>
      </c>
      <c r="T17" s="3">
        <f t="shared" si="4"/>
        <v>2.7224999999999997</v>
      </c>
      <c r="U17" s="3">
        <f t="shared" ref="U17:V17" si="5">(U6*COUNTIF($J$1:$J$101,U$16) - COUNTIFS($J$1:$J$101,U$16,$K$1:$K$101,"=1"))^2</f>
        <v>0.12250000000000037</v>
      </c>
      <c r="V17" s="3">
        <f t="shared" si="5"/>
        <v>7.2899999999999965</v>
      </c>
      <c r="W17" s="4"/>
      <c r="X17" s="4"/>
      <c r="Y17" s="4"/>
    </row>
    <row r="18" spans="1:25" ht="14.25" customHeight="1">
      <c r="A18" s="2">
        <v>13</v>
      </c>
      <c r="B18" s="2">
        <v>17</v>
      </c>
      <c r="C18" s="2">
        <v>1</v>
      </c>
      <c r="D18" s="2">
        <v>1</v>
      </c>
      <c r="E18" s="2">
        <v>0.71399999999999997</v>
      </c>
      <c r="F18" s="2">
        <v>1</v>
      </c>
      <c r="H18" s="2">
        <v>13</v>
      </c>
      <c r="I18" s="2">
        <v>118</v>
      </c>
      <c r="J18" s="2">
        <v>7</v>
      </c>
      <c r="K18" s="2">
        <v>1</v>
      </c>
      <c r="L18" s="2">
        <v>1.248</v>
      </c>
      <c r="M18" s="2">
        <v>1</v>
      </c>
      <c r="N18" s="3">
        <v>2</v>
      </c>
      <c r="O18" s="3">
        <f t="shared" si="0"/>
        <v>2.8899999999999997</v>
      </c>
      <c r="P18" s="3">
        <f t="shared" si="1"/>
        <v>13.690000000000001</v>
      </c>
      <c r="Q18" s="6">
        <f t="shared" si="2"/>
        <v>16</v>
      </c>
      <c r="R18" s="3">
        <f t="shared" si="3"/>
        <v>7.2899999999999965</v>
      </c>
      <c r="S18" s="6">
        <f t="shared" ref="S18:T18" si="6">(S7*COUNTIF($J$1:$J$101,S$16) - COUNTIFS($J$1:$J$101,S$16,$K$1:$K$101,"=0"))^2</f>
        <v>0.48999999999999994</v>
      </c>
      <c r="T18" s="6">
        <f t="shared" si="6"/>
        <v>2.7224999999999997</v>
      </c>
      <c r="U18" s="6">
        <f t="shared" ref="U18:V18" si="7">(U7*COUNTIF($J$1:$J$101,U$16) - COUNTIFS($J$1:$J$101,U$16,$K$1:$K$101,"=1"))^2</f>
        <v>0.12250000000000037</v>
      </c>
      <c r="V18" s="6">
        <f t="shared" si="7"/>
        <v>7.2899999999999965</v>
      </c>
      <c r="W18" s="4"/>
      <c r="X18" s="4"/>
      <c r="Y18" s="4"/>
    </row>
    <row r="19" spans="1:25" ht="14.25" customHeight="1">
      <c r="A19" s="2">
        <v>13</v>
      </c>
      <c r="B19" s="2">
        <v>18</v>
      </c>
      <c r="C19" s="2">
        <v>3</v>
      </c>
      <c r="D19" s="2">
        <v>1</v>
      </c>
      <c r="E19" s="2">
        <v>1.651</v>
      </c>
      <c r="F19" s="2">
        <v>1</v>
      </c>
      <c r="H19" s="2">
        <v>13</v>
      </c>
      <c r="I19" s="2">
        <v>119</v>
      </c>
      <c r="J19" s="2">
        <v>2</v>
      </c>
      <c r="K19" s="2">
        <v>1</v>
      </c>
      <c r="L19" s="2">
        <v>0.77900000000000003</v>
      </c>
      <c r="M19" s="2">
        <v>1</v>
      </c>
      <c r="N19" s="3">
        <v>3</v>
      </c>
      <c r="O19" s="3">
        <f t="shared" si="0"/>
        <v>2.8899999999999997</v>
      </c>
      <c r="P19" s="3">
        <f t="shared" si="1"/>
        <v>2.8899999999999975</v>
      </c>
      <c r="Q19" s="3">
        <f t="shared" si="2"/>
        <v>1.9599999999999997</v>
      </c>
      <c r="R19" s="3">
        <f t="shared" si="3"/>
        <v>7.2899999999999965</v>
      </c>
      <c r="S19" s="6">
        <f t="shared" ref="S19:T19" si="8">(S8*COUNTIF($J$1:$J$101,S$16) - COUNTIFS($J$1:$J$101,S$16,$K$1:$K$101,"=0"))^2</f>
        <v>0.48999999999999994</v>
      </c>
      <c r="T19" s="6">
        <f t="shared" si="8"/>
        <v>21.622499999999995</v>
      </c>
      <c r="U19" s="3">
        <f t="shared" ref="U19:V19" si="9">(U8*COUNTIF($J$1:$J$101,U$16) - COUNTIFS($J$1:$J$101,U$16,$K$1:$K$101,"=1"))^2</f>
        <v>44.222500000000004</v>
      </c>
      <c r="V19" s="6">
        <f t="shared" si="9"/>
        <v>7.2899999999999965</v>
      </c>
      <c r="W19" s="4"/>
      <c r="X19" s="4"/>
      <c r="Y19" s="4"/>
    </row>
    <row r="20" spans="1:25" ht="14.25" customHeight="1">
      <c r="A20" s="2">
        <v>13</v>
      </c>
      <c r="B20" s="2">
        <v>19</v>
      </c>
      <c r="C20" s="2">
        <v>1</v>
      </c>
      <c r="D20" s="2">
        <v>1</v>
      </c>
      <c r="E20" s="2">
        <v>0.76500000000000001</v>
      </c>
      <c r="F20" s="2">
        <v>1</v>
      </c>
      <c r="H20" s="2">
        <v>13</v>
      </c>
      <c r="I20" s="2">
        <v>120</v>
      </c>
      <c r="J20" s="2">
        <v>3</v>
      </c>
      <c r="K20" s="2">
        <v>0</v>
      </c>
      <c r="L20" s="2">
        <v>1.288</v>
      </c>
      <c r="M20" s="2">
        <v>2</v>
      </c>
      <c r="N20" s="3">
        <v>4</v>
      </c>
      <c r="O20" s="3">
        <f t="shared" si="0"/>
        <v>1</v>
      </c>
      <c r="P20" s="3">
        <f t="shared" si="1"/>
        <v>1</v>
      </c>
      <c r="Q20" s="3">
        <f t="shared" si="2"/>
        <v>1</v>
      </c>
      <c r="R20" s="3">
        <f t="shared" si="3"/>
        <v>0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2.7224999999999997</v>
      </c>
      <c r="U20" s="6">
        <f t="shared" ref="U20:V20" si="11">(U9*COUNTIF($J$1:$J$101,U$16) - COUNTIFS($J$1:$J$101,U$16,$K$1:$K$101,"=1"))^2</f>
        <v>0.12250000000000037</v>
      </c>
      <c r="V20" s="6">
        <f t="shared" si="11"/>
        <v>7.2899999999999965</v>
      </c>
      <c r="W20" s="4"/>
      <c r="X20" s="4"/>
      <c r="Y20" s="4"/>
    </row>
    <row r="21" spans="1:25" ht="14.25" customHeight="1">
      <c r="A21" s="2">
        <v>13</v>
      </c>
      <c r="B21" s="2">
        <v>20</v>
      </c>
      <c r="C21" s="2">
        <v>6</v>
      </c>
      <c r="D21" s="2">
        <v>0</v>
      </c>
      <c r="E21" s="2">
        <v>1.1559999999999999</v>
      </c>
      <c r="F21" s="2">
        <v>2</v>
      </c>
      <c r="H21" s="2">
        <v>13</v>
      </c>
      <c r="I21" s="2">
        <v>121</v>
      </c>
      <c r="J21" s="2">
        <v>5</v>
      </c>
      <c r="K21" s="2">
        <v>1</v>
      </c>
      <c r="L21" s="2">
        <v>0.64100000000000001</v>
      </c>
      <c r="M21" s="2">
        <v>2</v>
      </c>
      <c r="N21" s="3">
        <v>5</v>
      </c>
      <c r="O21" s="3">
        <f t="shared" si="0"/>
        <v>2.8899999999999997</v>
      </c>
      <c r="P21" s="3">
        <f t="shared" si="1"/>
        <v>2.8899999999999975</v>
      </c>
      <c r="Q21" s="3">
        <f t="shared" si="2"/>
        <v>1.9599999999999997</v>
      </c>
      <c r="R21" s="3">
        <f t="shared" si="3"/>
        <v>7.2899999999999965</v>
      </c>
      <c r="S21" s="6">
        <f t="shared" ref="S21:T21" si="12">(S10*COUNTIF($J$1:$J$101,S$16) - COUNTIFS($J$1:$J$101,S$16,$K$1:$K$101,"=0"))^2</f>
        <v>4</v>
      </c>
      <c r="T21" s="6">
        <f t="shared" si="12"/>
        <v>2.25</v>
      </c>
      <c r="U21" s="6">
        <f t="shared" ref="U21:V21" si="13">(U10*COUNTIF($J$1:$J$101,U$16) - COUNTIFS($J$1:$J$101,U$16,$K$1:$K$101,"=1"))^2</f>
        <v>12.25</v>
      </c>
      <c r="V21" s="6">
        <f t="shared" si="13"/>
        <v>0</v>
      </c>
      <c r="W21" s="4"/>
      <c r="X21" s="4"/>
      <c r="Y21" s="4"/>
    </row>
    <row r="22" spans="1:25" ht="14.25" customHeight="1">
      <c r="A22" s="2">
        <v>13</v>
      </c>
      <c r="B22" s="2">
        <v>21</v>
      </c>
      <c r="C22" s="2">
        <v>4</v>
      </c>
      <c r="D22" s="2">
        <v>1</v>
      </c>
      <c r="E22" s="2">
        <v>0.64900000000000002</v>
      </c>
      <c r="F22" s="2">
        <v>2</v>
      </c>
      <c r="H22" s="2">
        <v>13</v>
      </c>
      <c r="I22" s="2">
        <v>122</v>
      </c>
      <c r="J22" s="2">
        <v>2</v>
      </c>
      <c r="K22" s="2">
        <v>0</v>
      </c>
      <c r="L22" s="2">
        <v>1.06</v>
      </c>
      <c r="M22" s="2">
        <v>2</v>
      </c>
      <c r="N22" s="3">
        <v>6</v>
      </c>
      <c r="O22" s="3">
        <f t="shared" si="0"/>
        <v>1</v>
      </c>
      <c r="P22" s="3">
        <f t="shared" si="1"/>
        <v>1</v>
      </c>
      <c r="Q22" s="3">
        <f t="shared" si="2"/>
        <v>1</v>
      </c>
      <c r="R22" s="3">
        <f t="shared" si="3"/>
        <v>0</v>
      </c>
      <c r="S22" s="6">
        <f t="shared" ref="S22:T22" si="14">(S11*COUNTIF($J$1:$J$101,S$16) - COUNTIFS($J$1:$J$101,S$16,$K$1:$K$101,"=0"))^2</f>
        <v>4</v>
      </c>
      <c r="T22" s="6">
        <f t="shared" si="14"/>
        <v>2.25</v>
      </c>
      <c r="U22" s="6">
        <f t="shared" ref="U22:V22" si="15">(U11*COUNTIF($J$1:$J$101,U$16) - COUNTIFS($J$1:$J$101,U$16,$K$1:$K$101,"=1"))^2</f>
        <v>12.25</v>
      </c>
      <c r="V22" s="6">
        <f t="shared" si="15"/>
        <v>0</v>
      </c>
      <c r="W22" s="4"/>
      <c r="X22" s="4"/>
      <c r="Y22" s="4"/>
    </row>
    <row r="23" spans="1:25" ht="14.25" customHeight="1">
      <c r="A23" s="2">
        <v>13</v>
      </c>
      <c r="B23" s="2">
        <v>22</v>
      </c>
      <c r="C23" s="2">
        <v>6</v>
      </c>
      <c r="D23" s="2">
        <v>0</v>
      </c>
      <c r="E23" s="2">
        <v>0.78800000000000003</v>
      </c>
      <c r="F23" s="2">
        <v>2</v>
      </c>
      <c r="H23" s="2">
        <v>13</v>
      </c>
      <c r="I23" s="2">
        <v>123</v>
      </c>
      <c r="J23" s="2">
        <v>3</v>
      </c>
      <c r="K23" s="2">
        <v>1</v>
      </c>
      <c r="L23" s="2">
        <v>1.1339999999999999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13</v>
      </c>
      <c r="B24" s="2">
        <v>23</v>
      </c>
      <c r="C24" s="2">
        <v>3</v>
      </c>
      <c r="D24" s="2">
        <v>1</v>
      </c>
      <c r="E24" s="2">
        <v>1.04</v>
      </c>
      <c r="F24" s="2">
        <v>1</v>
      </c>
      <c r="H24" s="2">
        <v>13</v>
      </c>
      <c r="I24" s="2">
        <v>124</v>
      </c>
      <c r="J24" s="2">
        <v>6</v>
      </c>
      <c r="K24" s="2">
        <v>1</v>
      </c>
      <c r="L24" s="2">
        <v>0.86099999999999999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13</v>
      </c>
      <c r="B25" s="2">
        <v>24</v>
      </c>
      <c r="C25" s="2">
        <v>1</v>
      </c>
      <c r="D25" s="2">
        <v>1</v>
      </c>
      <c r="E25" s="2">
        <v>0.81100000000000005</v>
      </c>
      <c r="F25" s="2">
        <v>1</v>
      </c>
      <c r="H25" s="2">
        <v>13</v>
      </c>
      <c r="I25" s="2">
        <v>125</v>
      </c>
      <c r="J25" s="2">
        <v>5</v>
      </c>
      <c r="K25" s="2">
        <v>1</v>
      </c>
      <c r="L25" s="2">
        <v>0.69399999999999995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13</v>
      </c>
      <c r="B26" s="2">
        <v>25</v>
      </c>
      <c r="C26" s="2">
        <v>5</v>
      </c>
      <c r="D26" s="2">
        <v>1</v>
      </c>
      <c r="E26" s="2">
        <v>0.84799999999999998</v>
      </c>
      <c r="F26" s="2">
        <v>1</v>
      </c>
      <c r="H26" s="2">
        <v>13</v>
      </c>
      <c r="I26" s="2">
        <v>126</v>
      </c>
      <c r="J26" s="2">
        <v>4</v>
      </c>
      <c r="K26" s="2">
        <v>0</v>
      </c>
      <c r="L26" s="2">
        <v>0.79900000000000004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49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13</v>
      </c>
      <c r="B27" s="2">
        <v>26</v>
      </c>
      <c r="C27" s="2">
        <v>7</v>
      </c>
      <c r="D27" s="2">
        <v>0</v>
      </c>
      <c r="E27" s="2">
        <v>0.754</v>
      </c>
      <c r="F27" s="2">
        <v>1</v>
      </c>
      <c r="H27" s="2">
        <v>13</v>
      </c>
      <c r="I27" s="2">
        <v>127</v>
      </c>
      <c r="J27" s="2">
        <v>1</v>
      </c>
      <c r="K27" s="2">
        <v>1</v>
      </c>
      <c r="L27" s="2">
        <v>0.71599999999999997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13</v>
      </c>
      <c r="B28" s="2">
        <v>27</v>
      </c>
      <c r="C28" s="2">
        <v>8</v>
      </c>
      <c r="D28" s="2">
        <v>1</v>
      </c>
      <c r="E28" s="2">
        <v>0.86399999999999999</v>
      </c>
      <c r="F28" s="2">
        <v>2</v>
      </c>
      <c r="H28" s="2">
        <v>13</v>
      </c>
      <c r="I28" s="2">
        <v>128</v>
      </c>
      <c r="J28" s="2">
        <v>6</v>
      </c>
      <c r="K28" s="2">
        <v>0</v>
      </c>
      <c r="L28" s="2">
        <v>0.68400000000000005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13</v>
      </c>
      <c r="B29" s="2">
        <v>28</v>
      </c>
      <c r="C29" s="2">
        <v>6</v>
      </c>
      <c r="D29" s="2">
        <v>0</v>
      </c>
      <c r="E29" s="2">
        <v>0.89800000000000002</v>
      </c>
      <c r="F29" s="2">
        <v>2</v>
      </c>
      <c r="H29" s="2">
        <v>13</v>
      </c>
      <c r="I29" s="2">
        <v>129</v>
      </c>
      <c r="J29" s="2">
        <v>1</v>
      </c>
      <c r="K29" s="2">
        <v>1</v>
      </c>
      <c r="L29" s="2">
        <v>0.69299999999999995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13</v>
      </c>
      <c r="B30" s="2">
        <v>29</v>
      </c>
      <c r="C30" s="2">
        <v>3</v>
      </c>
      <c r="D30" s="2">
        <v>1</v>
      </c>
      <c r="E30" s="2">
        <v>1.1859999999999999</v>
      </c>
      <c r="F30" s="2">
        <v>1</v>
      </c>
      <c r="H30" s="2">
        <v>13</v>
      </c>
      <c r="I30" s="2">
        <v>130</v>
      </c>
      <c r="J30" s="2">
        <v>2</v>
      </c>
      <c r="K30" s="2">
        <v>0</v>
      </c>
      <c r="L30" s="2">
        <v>1.573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13</v>
      </c>
      <c r="B31" s="2">
        <v>30</v>
      </c>
      <c r="C31" s="2">
        <v>5</v>
      </c>
      <c r="D31" s="2">
        <v>1</v>
      </c>
      <c r="E31" s="2">
        <v>0.91200000000000003</v>
      </c>
      <c r="F31" s="2">
        <v>1</v>
      </c>
      <c r="H31" s="2">
        <v>13</v>
      </c>
      <c r="I31" s="2">
        <v>131</v>
      </c>
      <c r="J31" s="2">
        <v>1</v>
      </c>
      <c r="K31" s="2">
        <v>1</v>
      </c>
      <c r="L31" s="2">
        <v>0.65800000000000003</v>
      </c>
      <c r="M31" s="2">
        <v>2</v>
      </c>
      <c r="N31" s="3">
        <v>1</v>
      </c>
      <c r="O31" s="3">
        <f t="shared" ref="O31:O36" si="17">SUM(O17:V17)/SUM(O$26:V$26)</f>
        <v>8.1703821656050918E-2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13</v>
      </c>
      <c r="B32" s="2">
        <v>31</v>
      </c>
      <c r="C32" s="2">
        <v>2</v>
      </c>
      <c r="D32" s="2">
        <v>1</v>
      </c>
      <c r="E32" s="2">
        <v>0.624</v>
      </c>
      <c r="F32" s="2">
        <v>2</v>
      </c>
      <c r="H32" s="2">
        <v>13</v>
      </c>
      <c r="I32" s="2">
        <v>132</v>
      </c>
      <c r="J32" s="2">
        <v>8</v>
      </c>
      <c r="K32" s="2">
        <v>0</v>
      </c>
      <c r="L32" s="2">
        <v>0.628</v>
      </c>
      <c r="M32" s="2">
        <v>1</v>
      </c>
      <c r="N32" s="3">
        <v>2</v>
      </c>
      <c r="O32" s="3">
        <f t="shared" si="17"/>
        <v>0.16081210191082801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13</v>
      </c>
      <c r="B33" s="2">
        <v>32</v>
      </c>
      <c r="C33" s="2">
        <v>7</v>
      </c>
      <c r="D33" s="2">
        <v>0</v>
      </c>
      <c r="E33" s="2">
        <v>0.627</v>
      </c>
      <c r="F33" s="2">
        <v>1</v>
      </c>
      <c r="H33" s="2">
        <v>13</v>
      </c>
      <c r="I33" s="2">
        <v>133</v>
      </c>
      <c r="J33" s="2">
        <v>7</v>
      </c>
      <c r="K33" s="2">
        <v>1</v>
      </c>
      <c r="L33" s="2">
        <v>0.64800000000000002</v>
      </c>
      <c r="M33" s="2">
        <v>1</v>
      </c>
      <c r="N33" s="3">
        <v>3</v>
      </c>
      <c r="O33" s="3">
        <f t="shared" si="17"/>
        <v>0.28234076433121014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13</v>
      </c>
      <c r="B34" s="2">
        <v>33</v>
      </c>
      <c r="C34" s="2">
        <v>3</v>
      </c>
      <c r="D34" s="2">
        <v>1</v>
      </c>
      <c r="E34" s="2">
        <v>1.486</v>
      </c>
      <c r="F34" s="2">
        <v>1</v>
      </c>
      <c r="H34" s="2">
        <v>13</v>
      </c>
      <c r="I34" s="2">
        <v>134</v>
      </c>
      <c r="J34" s="2">
        <v>5</v>
      </c>
      <c r="K34" s="2">
        <v>1</v>
      </c>
      <c r="L34" s="2">
        <v>0.67500000000000004</v>
      </c>
      <c r="M34" s="2">
        <v>1</v>
      </c>
      <c r="N34" s="3">
        <v>4</v>
      </c>
      <c r="O34" s="3">
        <f t="shared" si="17"/>
        <v>4.339171974522292E-2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13</v>
      </c>
      <c r="B35" s="2">
        <v>34</v>
      </c>
      <c r="C35" s="2">
        <v>1</v>
      </c>
      <c r="D35" s="2">
        <v>1</v>
      </c>
      <c r="E35" s="2">
        <v>1.127</v>
      </c>
      <c r="F35" s="2">
        <v>1</v>
      </c>
      <c r="H35" s="2">
        <v>13</v>
      </c>
      <c r="I35" s="2">
        <v>135</v>
      </c>
      <c r="J35" s="2">
        <v>8</v>
      </c>
      <c r="K35" s="2">
        <v>1</v>
      </c>
      <c r="L35" s="2">
        <v>1.3879999999999999</v>
      </c>
      <c r="M35" s="2">
        <v>1</v>
      </c>
      <c r="N35" s="3">
        <v>5</v>
      </c>
      <c r="O35" s="3">
        <f t="shared" si="17"/>
        <v>0.10678343949044584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13</v>
      </c>
      <c r="B36" s="2">
        <v>35</v>
      </c>
      <c r="C36" s="2">
        <v>5</v>
      </c>
      <c r="D36" s="2">
        <v>1</v>
      </c>
      <c r="E36" s="2">
        <v>0.66200000000000003</v>
      </c>
      <c r="F36" s="2">
        <v>1</v>
      </c>
      <c r="H36" s="2">
        <v>13</v>
      </c>
      <c r="I36" s="2">
        <v>136</v>
      </c>
      <c r="J36" s="2">
        <v>1</v>
      </c>
      <c r="K36" s="2">
        <v>0</v>
      </c>
      <c r="L36" s="2">
        <v>0.54400000000000004</v>
      </c>
      <c r="M36" s="2">
        <v>2</v>
      </c>
      <c r="N36" s="3">
        <v>6</v>
      </c>
      <c r="O36" s="3">
        <f t="shared" si="17"/>
        <v>6.8471337579617833E-2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13</v>
      </c>
      <c r="B37" s="2">
        <v>36</v>
      </c>
      <c r="C37" s="2">
        <v>6</v>
      </c>
      <c r="D37" s="2">
        <v>0</v>
      </c>
      <c r="E37" s="2">
        <v>0.6</v>
      </c>
      <c r="F37" s="2">
        <v>2</v>
      </c>
      <c r="H37" s="2">
        <v>13</v>
      </c>
      <c r="I37" s="2">
        <v>137</v>
      </c>
      <c r="J37" s="2">
        <v>7</v>
      </c>
      <c r="K37" s="2">
        <v>1</v>
      </c>
      <c r="L37" s="2">
        <v>0.53600000000000003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13</v>
      </c>
      <c r="B38" s="2">
        <v>37</v>
      </c>
      <c r="C38" s="2">
        <v>4</v>
      </c>
      <c r="D38" s="2">
        <v>1</v>
      </c>
      <c r="E38" s="2">
        <v>0.86899999999999999</v>
      </c>
      <c r="F38" s="2">
        <v>2</v>
      </c>
      <c r="H38" s="2">
        <v>13</v>
      </c>
      <c r="I38" s="2">
        <v>138</v>
      </c>
      <c r="J38" s="2">
        <v>5</v>
      </c>
      <c r="K38" s="2">
        <v>1</v>
      </c>
      <c r="L38" s="2">
        <v>1.518</v>
      </c>
      <c r="M38" s="2">
        <v>1</v>
      </c>
    </row>
    <row r="39" spans="1:25" ht="14.25" customHeight="1">
      <c r="A39" s="2">
        <v>13</v>
      </c>
      <c r="B39" s="2">
        <v>38</v>
      </c>
      <c r="C39" s="2">
        <v>6</v>
      </c>
      <c r="D39" s="2">
        <v>0</v>
      </c>
      <c r="E39" s="2">
        <v>0.63800000000000001</v>
      </c>
      <c r="F39" s="2">
        <v>2</v>
      </c>
      <c r="H39" s="2">
        <v>13</v>
      </c>
      <c r="I39" s="2">
        <v>139</v>
      </c>
      <c r="J39" s="2">
        <v>7</v>
      </c>
      <c r="K39" s="2">
        <v>1</v>
      </c>
      <c r="L39" s="2">
        <v>0.74199999999999999</v>
      </c>
      <c r="M39" s="2">
        <v>1</v>
      </c>
    </row>
    <row r="40" spans="1:25" ht="14.25" customHeight="1">
      <c r="A40" s="2">
        <v>13</v>
      </c>
      <c r="B40" s="2">
        <v>39</v>
      </c>
      <c r="C40" s="2">
        <v>1</v>
      </c>
      <c r="D40" s="2">
        <v>1</v>
      </c>
      <c r="E40" s="2">
        <v>0.76</v>
      </c>
      <c r="F40" s="2">
        <v>1</v>
      </c>
      <c r="H40" s="2">
        <v>13</v>
      </c>
      <c r="I40" s="2">
        <v>140</v>
      </c>
      <c r="J40" s="2">
        <v>8</v>
      </c>
      <c r="K40" s="2">
        <v>0</v>
      </c>
      <c r="L40" s="2">
        <v>0.53200000000000003</v>
      </c>
      <c r="M40" s="2">
        <v>1</v>
      </c>
    </row>
    <row r="41" spans="1:25" ht="14.25" customHeight="1">
      <c r="A41" s="2">
        <v>13</v>
      </c>
      <c r="B41" s="2">
        <v>40</v>
      </c>
      <c r="C41" s="2">
        <v>7</v>
      </c>
      <c r="D41" s="2">
        <v>0</v>
      </c>
      <c r="E41" s="2">
        <v>0.91800000000000004</v>
      </c>
      <c r="F41" s="2">
        <v>1</v>
      </c>
      <c r="H41" s="2">
        <v>13</v>
      </c>
      <c r="I41" s="2">
        <v>141</v>
      </c>
      <c r="J41" s="2">
        <v>3</v>
      </c>
      <c r="K41" s="2">
        <v>0</v>
      </c>
      <c r="L41" s="2">
        <v>0.627</v>
      </c>
      <c r="M41" s="2">
        <v>2</v>
      </c>
    </row>
    <row r="42" spans="1:25" ht="14.25" customHeight="1">
      <c r="A42" s="2">
        <v>13</v>
      </c>
      <c r="B42" s="2">
        <v>41</v>
      </c>
      <c r="C42" s="2">
        <v>6</v>
      </c>
      <c r="D42" s="2">
        <v>0</v>
      </c>
      <c r="E42" s="2">
        <v>0.51800000000000002</v>
      </c>
      <c r="F42" s="2">
        <v>2</v>
      </c>
      <c r="H42" s="2">
        <v>13</v>
      </c>
      <c r="I42" s="2">
        <v>142</v>
      </c>
      <c r="J42" s="2">
        <v>7</v>
      </c>
      <c r="K42" s="2">
        <v>1</v>
      </c>
      <c r="L42" s="2">
        <v>1.03</v>
      </c>
      <c r="M42" s="2">
        <v>1</v>
      </c>
    </row>
    <row r="43" spans="1:25" ht="14.25" customHeight="1">
      <c r="A43" s="2">
        <v>13</v>
      </c>
      <c r="B43" s="2">
        <v>42</v>
      </c>
      <c r="C43" s="2">
        <v>3</v>
      </c>
      <c r="D43" s="2">
        <v>1</v>
      </c>
      <c r="E43" s="2">
        <v>0.78800000000000003</v>
      </c>
      <c r="F43" s="2">
        <v>1</v>
      </c>
      <c r="H43" s="2">
        <v>13</v>
      </c>
      <c r="I43" s="2">
        <v>143</v>
      </c>
      <c r="J43" s="2">
        <v>5</v>
      </c>
      <c r="K43" s="2">
        <v>0</v>
      </c>
      <c r="L43" s="2">
        <v>0.58599999999999997</v>
      </c>
      <c r="M43" s="2">
        <v>1</v>
      </c>
    </row>
    <row r="44" spans="1:25" ht="14.25" customHeight="1">
      <c r="A44" s="2">
        <v>13</v>
      </c>
      <c r="B44" s="2">
        <v>43</v>
      </c>
      <c r="C44" s="2">
        <v>7</v>
      </c>
      <c r="D44" s="2">
        <v>0</v>
      </c>
      <c r="E44" s="2">
        <v>0.73699999999999999</v>
      </c>
      <c r="F44" s="2">
        <v>1</v>
      </c>
      <c r="H44" s="2">
        <v>13</v>
      </c>
      <c r="I44" s="2">
        <v>144</v>
      </c>
      <c r="J44" s="2">
        <v>8</v>
      </c>
      <c r="K44" s="2">
        <v>0</v>
      </c>
      <c r="L44" s="2">
        <v>1.2310000000000001</v>
      </c>
      <c r="M44" s="2">
        <v>2</v>
      </c>
    </row>
    <row r="45" spans="1:25" ht="14.25" customHeight="1">
      <c r="A45" s="2">
        <v>13</v>
      </c>
      <c r="B45" s="2">
        <v>44</v>
      </c>
      <c r="C45" s="2">
        <v>6</v>
      </c>
      <c r="D45" s="2">
        <v>0</v>
      </c>
      <c r="E45" s="2">
        <v>0.61599999999999999</v>
      </c>
      <c r="F45" s="2">
        <v>2</v>
      </c>
      <c r="H45" s="2">
        <v>13</v>
      </c>
      <c r="I45" s="2">
        <v>145</v>
      </c>
      <c r="J45" s="2">
        <v>2</v>
      </c>
      <c r="K45" s="2">
        <v>1</v>
      </c>
      <c r="L45" s="2">
        <v>1.3140000000000001</v>
      </c>
      <c r="M45" s="2">
        <v>2</v>
      </c>
    </row>
    <row r="46" spans="1:25" ht="14.25" customHeight="1">
      <c r="A46" s="2">
        <v>13</v>
      </c>
      <c r="B46" s="2">
        <v>45</v>
      </c>
      <c r="C46" s="2">
        <v>2</v>
      </c>
      <c r="D46" s="2">
        <v>1</v>
      </c>
      <c r="E46" s="2">
        <v>0.90700000000000003</v>
      </c>
      <c r="F46" s="2">
        <v>2</v>
      </c>
      <c r="H46" s="2">
        <v>13</v>
      </c>
      <c r="I46" s="2">
        <v>146</v>
      </c>
      <c r="J46" s="2">
        <v>4</v>
      </c>
      <c r="K46" s="2">
        <v>1</v>
      </c>
      <c r="L46" s="2">
        <v>0.88200000000000001</v>
      </c>
      <c r="M46" s="2">
        <v>2</v>
      </c>
    </row>
    <row r="47" spans="1:25" ht="14.25" customHeight="1">
      <c r="A47" s="2">
        <v>13</v>
      </c>
      <c r="B47" s="2">
        <v>46</v>
      </c>
      <c r="C47" s="2">
        <v>4</v>
      </c>
      <c r="D47" s="2">
        <v>1</v>
      </c>
      <c r="E47" s="2">
        <v>1.0189999999999999</v>
      </c>
      <c r="F47" s="2">
        <v>2</v>
      </c>
      <c r="H47" s="2">
        <v>13</v>
      </c>
      <c r="I47" s="2">
        <v>147</v>
      </c>
      <c r="J47" s="2">
        <v>6</v>
      </c>
      <c r="K47" s="2">
        <v>0</v>
      </c>
      <c r="L47" s="2">
        <v>0.64300000000000002</v>
      </c>
      <c r="M47" s="2">
        <v>1</v>
      </c>
    </row>
    <row r="48" spans="1:25" ht="14.25" customHeight="1">
      <c r="A48" s="2">
        <v>13</v>
      </c>
      <c r="B48" s="2">
        <v>47</v>
      </c>
      <c r="C48" s="2">
        <v>7</v>
      </c>
      <c r="D48" s="2">
        <v>0</v>
      </c>
      <c r="E48" s="2">
        <v>1.1020000000000001</v>
      </c>
      <c r="F48" s="2">
        <v>1</v>
      </c>
      <c r="H48" s="2">
        <v>13</v>
      </c>
      <c r="I48" s="2">
        <v>148</v>
      </c>
      <c r="J48" s="2">
        <v>5</v>
      </c>
      <c r="K48" s="2">
        <v>1</v>
      </c>
      <c r="L48" s="2">
        <v>0.65400000000000003</v>
      </c>
      <c r="M48" s="2">
        <v>2</v>
      </c>
    </row>
    <row r="49" spans="1:13" ht="14.25" customHeight="1">
      <c r="A49" s="2">
        <v>13</v>
      </c>
      <c r="B49" s="2">
        <v>48</v>
      </c>
      <c r="C49" s="2">
        <v>8</v>
      </c>
      <c r="D49" s="2">
        <v>1</v>
      </c>
      <c r="E49" s="2">
        <v>0.92600000000000005</v>
      </c>
      <c r="F49" s="2">
        <v>2</v>
      </c>
      <c r="H49" s="2">
        <v>13</v>
      </c>
      <c r="I49" s="2">
        <v>149</v>
      </c>
      <c r="J49" s="2">
        <v>7</v>
      </c>
      <c r="K49" s="2">
        <v>1</v>
      </c>
      <c r="L49" s="2">
        <v>0.72</v>
      </c>
      <c r="M49" s="2">
        <v>2</v>
      </c>
    </row>
    <row r="50" spans="1:13" ht="14.25" customHeight="1">
      <c r="A50" s="2">
        <v>13</v>
      </c>
      <c r="B50" s="2">
        <v>49</v>
      </c>
      <c r="C50" s="2">
        <v>2</v>
      </c>
      <c r="D50" s="2">
        <v>0</v>
      </c>
      <c r="E50" s="2">
        <v>1.054</v>
      </c>
      <c r="F50" s="2">
        <v>1</v>
      </c>
      <c r="H50" s="2">
        <v>13</v>
      </c>
      <c r="I50" s="2">
        <v>150</v>
      </c>
      <c r="J50" s="2">
        <v>1</v>
      </c>
      <c r="K50" s="2">
        <v>0</v>
      </c>
      <c r="L50" s="2">
        <v>1.256</v>
      </c>
      <c r="M50" s="2">
        <v>2</v>
      </c>
    </row>
    <row r="51" spans="1:13" ht="14.25" customHeight="1">
      <c r="A51" s="2">
        <v>13</v>
      </c>
      <c r="B51" s="2">
        <v>50</v>
      </c>
      <c r="C51" s="2">
        <v>5</v>
      </c>
      <c r="D51" s="2">
        <v>1</v>
      </c>
      <c r="E51" s="2">
        <v>1.008</v>
      </c>
      <c r="F51" s="2">
        <v>1</v>
      </c>
    </row>
    <row r="52" spans="1:13" ht="14.25" customHeight="1">
      <c r="A52" s="2">
        <v>13</v>
      </c>
      <c r="B52" s="2">
        <v>51</v>
      </c>
      <c r="C52" s="2">
        <v>6</v>
      </c>
      <c r="D52" s="2">
        <v>1</v>
      </c>
      <c r="E52" s="2">
        <v>0.86699999999999999</v>
      </c>
      <c r="F52" s="2">
        <v>2</v>
      </c>
    </row>
    <row r="53" spans="1:13" ht="14.25" customHeight="1">
      <c r="A53" s="2">
        <v>13</v>
      </c>
      <c r="B53" s="2">
        <v>52</v>
      </c>
      <c r="C53" s="2">
        <v>7</v>
      </c>
      <c r="D53" s="2">
        <v>1</v>
      </c>
      <c r="E53" s="2">
        <v>0.94</v>
      </c>
      <c r="F53" s="2">
        <v>2</v>
      </c>
    </row>
    <row r="54" spans="1:13" ht="14.25" customHeight="1">
      <c r="A54" s="2">
        <v>13</v>
      </c>
      <c r="B54" s="2">
        <v>53</v>
      </c>
      <c r="C54" s="2">
        <v>5</v>
      </c>
      <c r="D54" s="2">
        <v>1</v>
      </c>
      <c r="E54" s="2">
        <v>0.89900000000000002</v>
      </c>
      <c r="F54" s="2">
        <v>1</v>
      </c>
    </row>
    <row r="55" spans="1:13" ht="14.25" customHeight="1">
      <c r="A55" s="2">
        <v>13</v>
      </c>
      <c r="B55" s="2">
        <v>54</v>
      </c>
      <c r="C55" s="2">
        <v>3</v>
      </c>
      <c r="D55" s="2">
        <v>1</v>
      </c>
      <c r="E55" s="2">
        <v>0.84399999999999997</v>
      </c>
      <c r="F55" s="2">
        <v>2</v>
      </c>
    </row>
    <row r="56" spans="1:13" ht="14.25" customHeight="1">
      <c r="A56" s="2">
        <v>13</v>
      </c>
      <c r="B56" s="2">
        <v>55</v>
      </c>
      <c r="C56" s="2">
        <v>6</v>
      </c>
      <c r="D56" s="2">
        <v>0</v>
      </c>
      <c r="E56" s="2">
        <v>0.87</v>
      </c>
      <c r="F56" s="2">
        <v>1</v>
      </c>
    </row>
    <row r="57" spans="1:13" ht="14.25" customHeight="1">
      <c r="A57" s="2">
        <v>13</v>
      </c>
      <c r="B57" s="2">
        <v>56</v>
      </c>
      <c r="C57" s="2">
        <v>1</v>
      </c>
      <c r="D57" s="2">
        <v>0</v>
      </c>
      <c r="E57" s="2">
        <v>1.135</v>
      </c>
      <c r="F57" s="2">
        <v>1</v>
      </c>
    </row>
    <row r="58" spans="1:13" ht="14.25" customHeight="1">
      <c r="A58" s="2">
        <v>13</v>
      </c>
      <c r="B58" s="2">
        <v>57</v>
      </c>
      <c r="C58" s="2">
        <v>4</v>
      </c>
      <c r="D58" s="2">
        <v>0</v>
      </c>
      <c r="E58" s="2">
        <v>1.798</v>
      </c>
      <c r="F58" s="2">
        <v>1</v>
      </c>
    </row>
    <row r="59" spans="1:13" ht="14.25" customHeight="1">
      <c r="A59" s="2">
        <v>13</v>
      </c>
      <c r="B59" s="2">
        <v>58</v>
      </c>
      <c r="C59" s="2">
        <v>3</v>
      </c>
      <c r="D59" s="2">
        <v>1</v>
      </c>
      <c r="E59" s="2">
        <v>0.875</v>
      </c>
      <c r="F59" s="2">
        <v>2</v>
      </c>
    </row>
    <row r="60" spans="1:13" ht="14.25" customHeight="1">
      <c r="A60" s="2">
        <v>13</v>
      </c>
      <c r="B60" s="2">
        <v>59</v>
      </c>
      <c r="C60" s="2">
        <v>7</v>
      </c>
      <c r="D60" s="2">
        <v>1</v>
      </c>
      <c r="E60" s="2">
        <v>1.004</v>
      </c>
      <c r="F60" s="2">
        <v>1</v>
      </c>
    </row>
    <row r="61" spans="1:13" ht="14.25" customHeight="1">
      <c r="A61" s="2">
        <v>13</v>
      </c>
      <c r="B61" s="2">
        <v>60</v>
      </c>
      <c r="C61" s="2">
        <v>3</v>
      </c>
      <c r="D61" s="2">
        <v>1</v>
      </c>
      <c r="E61" s="2">
        <v>0.72</v>
      </c>
      <c r="F61" s="2">
        <v>2</v>
      </c>
    </row>
    <row r="62" spans="1:13" ht="14.25" customHeight="1">
      <c r="A62" s="2">
        <v>13</v>
      </c>
      <c r="B62" s="2">
        <v>61</v>
      </c>
      <c r="C62" s="2">
        <v>2</v>
      </c>
      <c r="D62" s="2">
        <v>1</v>
      </c>
      <c r="E62" s="2">
        <v>1.0469999999999999</v>
      </c>
      <c r="F62" s="2">
        <v>2</v>
      </c>
    </row>
    <row r="63" spans="1:13" ht="14.25" customHeight="1">
      <c r="A63" s="2">
        <v>13</v>
      </c>
      <c r="B63" s="2">
        <v>62</v>
      </c>
      <c r="C63" s="2">
        <v>4</v>
      </c>
      <c r="D63" s="2">
        <v>1</v>
      </c>
      <c r="E63" s="2">
        <v>1.2569999999999999</v>
      </c>
      <c r="F63" s="2">
        <v>2</v>
      </c>
    </row>
    <row r="64" spans="1:13" ht="14.25" customHeight="1">
      <c r="A64" s="2">
        <v>13</v>
      </c>
      <c r="B64" s="2">
        <v>63</v>
      </c>
      <c r="C64" s="2">
        <v>3</v>
      </c>
      <c r="D64" s="2">
        <v>1</v>
      </c>
      <c r="E64" s="2">
        <v>0.94799999999999995</v>
      </c>
      <c r="F64" s="2">
        <v>2</v>
      </c>
    </row>
    <row r="65" spans="1:6" ht="14.25" customHeight="1">
      <c r="A65" s="2">
        <v>13</v>
      </c>
      <c r="B65" s="2">
        <v>64</v>
      </c>
      <c r="C65" s="2">
        <v>7</v>
      </c>
      <c r="D65" s="2">
        <v>1</v>
      </c>
      <c r="E65" s="2">
        <v>1.258</v>
      </c>
      <c r="F65" s="2">
        <v>1</v>
      </c>
    </row>
    <row r="66" spans="1:6" ht="14.25" customHeight="1">
      <c r="A66" s="2">
        <v>13</v>
      </c>
      <c r="B66" s="2">
        <v>65</v>
      </c>
      <c r="C66" s="2">
        <v>2</v>
      </c>
      <c r="D66" s="2">
        <v>0</v>
      </c>
      <c r="E66" s="2">
        <v>0.64400000000000002</v>
      </c>
      <c r="F66" s="2">
        <v>1</v>
      </c>
    </row>
    <row r="67" spans="1:6" ht="14.25" customHeight="1">
      <c r="A67" s="2">
        <v>13</v>
      </c>
      <c r="B67" s="2">
        <v>66</v>
      </c>
      <c r="C67" s="2">
        <v>6</v>
      </c>
      <c r="D67" s="2">
        <v>1</v>
      </c>
      <c r="E67" s="2">
        <v>1.095</v>
      </c>
      <c r="F67" s="2">
        <v>1</v>
      </c>
    </row>
    <row r="68" spans="1:6" ht="14.25" customHeight="1">
      <c r="A68" s="2">
        <v>13</v>
      </c>
      <c r="B68" s="2">
        <v>67</v>
      </c>
      <c r="C68" s="2">
        <v>2</v>
      </c>
      <c r="D68" s="2">
        <v>1</v>
      </c>
      <c r="E68" s="2">
        <v>0.72799999999999998</v>
      </c>
      <c r="F68" s="2">
        <v>1</v>
      </c>
    </row>
    <row r="69" spans="1:6" ht="14.25" customHeight="1">
      <c r="A69" s="2">
        <v>13</v>
      </c>
      <c r="B69" s="2">
        <v>68</v>
      </c>
      <c r="C69" s="2">
        <v>8</v>
      </c>
      <c r="D69" s="2">
        <v>1</v>
      </c>
      <c r="E69" s="2">
        <v>1.47</v>
      </c>
      <c r="F69" s="2">
        <v>1</v>
      </c>
    </row>
    <row r="70" spans="1:6" ht="14.25" customHeight="1">
      <c r="A70" s="2">
        <v>13</v>
      </c>
      <c r="B70" s="2">
        <v>69</v>
      </c>
      <c r="C70" s="2">
        <v>5</v>
      </c>
      <c r="D70" s="2">
        <v>1</v>
      </c>
      <c r="E70" s="2">
        <v>0.66400000000000003</v>
      </c>
      <c r="F70" s="2">
        <v>1</v>
      </c>
    </row>
    <row r="71" spans="1:6" ht="14.25" customHeight="1">
      <c r="A71" s="2">
        <v>13</v>
      </c>
      <c r="B71" s="2">
        <v>70</v>
      </c>
      <c r="C71" s="2">
        <v>8</v>
      </c>
      <c r="D71" s="2">
        <v>0</v>
      </c>
      <c r="E71" s="2">
        <v>1.1299999999999999</v>
      </c>
      <c r="F71" s="2">
        <v>2</v>
      </c>
    </row>
    <row r="72" spans="1:6" ht="14.25" customHeight="1">
      <c r="A72" s="2">
        <v>13</v>
      </c>
      <c r="B72" s="2">
        <v>71</v>
      </c>
      <c r="C72" s="2">
        <v>1</v>
      </c>
      <c r="D72" s="2">
        <v>1</v>
      </c>
      <c r="E72" s="2">
        <v>1.137</v>
      </c>
      <c r="F72" s="2">
        <v>2</v>
      </c>
    </row>
    <row r="73" spans="1:6" ht="14.25" customHeight="1">
      <c r="A73" s="2">
        <v>13</v>
      </c>
      <c r="B73" s="2">
        <v>72</v>
      </c>
      <c r="C73" s="2">
        <v>2</v>
      </c>
      <c r="D73" s="2">
        <v>1</v>
      </c>
      <c r="E73" s="2">
        <v>0.64</v>
      </c>
      <c r="F73" s="2">
        <v>1</v>
      </c>
    </row>
    <row r="74" spans="1:6" ht="14.25" customHeight="1">
      <c r="A74" s="2">
        <v>13</v>
      </c>
      <c r="B74" s="2">
        <v>73</v>
      </c>
      <c r="C74" s="2">
        <v>1</v>
      </c>
      <c r="D74" s="2">
        <v>1</v>
      </c>
      <c r="E74" s="2">
        <v>1.226</v>
      </c>
      <c r="F74" s="2">
        <v>1</v>
      </c>
    </row>
    <row r="75" spans="1:6" ht="14.25" customHeight="1">
      <c r="A75" s="2">
        <v>13</v>
      </c>
      <c r="B75" s="2">
        <v>74</v>
      </c>
      <c r="C75" s="2">
        <v>4</v>
      </c>
      <c r="D75" s="2">
        <v>1</v>
      </c>
      <c r="E75" s="2">
        <v>0.89400000000000002</v>
      </c>
      <c r="F75" s="2">
        <v>1</v>
      </c>
    </row>
    <row r="76" spans="1:6" ht="14.25" customHeight="1">
      <c r="A76" s="2">
        <v>13</v>
      </c>
      <c r="B76" s="2">
        <v>75</v>
      </c>
      <c r="C76" s="2">
        <v>6</v>
      </c>
      <c r="D76" s="2">
        <v>1</v>
      </c>
      <c r="E76" s="2">
        <v>0.95099999999999996</v>
      </c>
      <c r="F76" s="2">
        <v>1</v>
      </c>
    </row>
    <row r="77" spans="1:6" ht="14.25" customHeight="1">
      <c r="A77" s="2">
        <v>13</v>
      </c>
      <c r="B77" s="2">
        <v>76</v>
      </c>
      <c r="C77" s="2">
        <v>1</v>
      </c>
      <c r="D77" s="2">
        <v>1</v>
      </c>
      <c r="E77" s="2">
        <v>1.093</v>
      </c>
      <c r="F77" s="2">
        <v>2</v>
      </c>
    </row>
    <row r="78" spans="1:6" ht="14.25" customHeight="1">
      <c r="A78" s="2">
        <v>13</v>
      </c>
      <c r="B78" s="2">
        <v>77</v>
      </c>
      <c r="C78" s="2">
        <v>8</v>
      </c>
      <c r="D78" s="2">
        <v>1</v>
      </c>
      <c r="E78" s="2">
        <v>0.89300000000000002</v>
      </c>
      <c r="F78" s="2">
        <v>2</v>
      </c>
    </row>
    <row r="79" spans="1:6" ht="14.25" customHeight="1">
      <c r="A79" s="2">
        <v>13</v>
      </c>
      <c r="B79" s="2">
        <v>78</v>
      </c>
      <c r="C79" s="2">
        <v>1</v>
      </c>
      <c r="D79" s="2">
        <v>0</v>
      </c>
      <c r="E79" s="2">
        <v>0.81399999999999995</v>
      </c>
      <c r="F79" s="2">
        <v>2</v>
      </c>
    </row>
    <row r="80" spans="1:6" ht="14.25" customHeight="1">
      <c r="A80" s="2">
        <v>13</v>
      </c>
      <c r="B80" s="2">
        <v>79</v>
      </c>
      <c r="C80" s="2">
        <v>7</v>
      </c>
      <c r="D80" s="2">
        <v>1</v>
      </c>
      <c r="E80" s="2">
        <v>1.0660000000000001</v>
      </c>
      <c r="F80" s="2">
        <v>1</v>
      </c>
    </row>
    <row r="81" spans="1:6" ht="14.25" customHeight="1">
      <c r="A81" s="2">
        <v>13</v>
      </c>
      <c r="B81" s="2">
        <v>80</v>
      </c>
      <c r="C81" s="2">
        <v>5</v>
      </c>
      <c r="D81" s="2">
        <v>1</v>
      </c>
      <c r="E81" s="2">
        <v>0.89200000000000002</v>
      </c>
      <c r="F81" s="2">
        <v>1</v>
      </c>
    </row>
    <row r="82" spans="1:6" ht="14.25" customHeight="1">
      <c r="A82" s="2">
        <v>13</v>
      </c>
      <c r="B82" s="2">
        <v>81</v>
      </c>
      <c r="C82" s="2">
        <v>4</v>
      </c>
      <c r="D82" s="2">
        <v>1</v>
      </c>
      <c r="E82" s="2">
        <v>0.75600000000000001</v>
      </c>
      <c r="F82" s="2">
        <v>2</v>
      </c>
    </row>
    <row r="83" spans="1:6" ht="14.25" customHeight="1">
      <c r="A83" s="2">
        <v>13</v>
      </c>
      <c r="B83" s="2">
        <v>82</v>
      </c>
      <c r="C83" s="2">
        <v>6</v>
      </c>
      <c r="D83" s="2">
        <v>0</v>
      </c>
      <c r="E83" s="2">
        <v>0.97899999999999998</v>
      </c>
      <c r="F83" s="2">
        <v>1</v>
      </c>
    </row>
    <row r="84" spans="1:6" ht="14.25" customHeight="1">
      <c r="A84" s="2">
        <v>13</v>
      </c>
      <c r="B84" s="2">
        <v>83</v>
      </c>
      <c r="C84" s="2">
        <v>4</v>
      </c>
      <c r="D84" s="2">
        <v>1</v>
      </c>
      <c r="E84" s="2">
        <v>0.92</v>
      </c>
      <c r="F84" s="2">
        <v>1</v>
      </c>
    </row>
    <row r="85" spans="1:6" ht="14.25" customHeight="1">
      <c r="A85" s="2">
        <v>13</v>
      </c>
      <c r="B85" s="2">
        <v>84</v>
      </c>
      <c r="C85" s="2">
        <v>6</v>
      </c>
      <c r="D85" s="2">
        <v>1</v>
      </c>
      <c r="E85" s="2">
        <v>1.0720000000000001</v>
      </c>
      <c r="F85" s="2">
        <v>1</v>
      </c>
    </row>
    <row r="86" spans="1:6" ht="14.25" customHeight="1">
      <c r="A86" s="2">
        <v>13</v>
      </c>
      <c r="B86" s="2">
        <v>85</v>
      </c>
      <c r="C86" s="2">
        <v>8</v>
      </c>
      <c r="D86" s="2">
        <v>0</v>
      </c>
      <c r="E86" s="2">
        <v>0.95299999999999996</v>
      </c>
      <c r="F86" s="2">
        <v>2</v>
      </c>
    </row>
    <row r="87" spans="1:6" ht="14.25" customHeight="1">
      <c r="A87" s="2">
        <v>13</v>
      </c>
      <c r="B87" s="2">
        <v>86</v>
      </c>
      <c r="C87" s="2">
        <v>7</v>
      </c>
      <c r="D87" s="2">
        <v>0</v>
      </c>
      <c r="E87" s="2">
        <v>0.999</v>
      </c>
      <c r="F87" s="2">
        <v>2</v>
      </c>
    </row>
    <row r="88" spans="1:6" ht="14.25" customHeight="1">
      <c r="A88" s="2">
        <v>13</v>
      </c>
      <c r="B88" s="2">
        <v>87</v>
      </c>
      <c r="C88" s="2">
        <v>5</v>
      </c>
      <c r="D88" s="2">
        <v>1</v>
      </c>
      <c r="E88" s="2">
        <v>0.73099999999999998</v>
      </c>
      <c r="F88" s="2">
        <v>2</v>
      </c>
    </row>
    <row r="89" spans="1:6" ht="14.25" customHeight="1">
      <c r="A89" s="2">
        <v>13</v>
      </c>
      <c r="B89" s="2">
        <v>88</v>
      </c>
      <c r="C89" s="2">
        <v>7</v>
      </c>
      <c r="D89" s="2">
        <v>1</v>
      </c>
      <c r="E89" s="2">
        <v>0.995</v>
      </c>
      <c r="F89" s="2">
        <v>1</v>
      </c>
    </row>
    <row r="90" spans="1:6" ht="14.25" customHeight="1">
      <c r="A90" s="2">
        <v>13</v>
      </c>
      <c r="B90" s="2">
        <v>89</v>
      </c>
      <c r="C90" s="2">
        <v>5</v>
      </c>
      <c r="D90" s="2">
        <v>1</v>
      </c>
      <c r="E90" s="2">
        <v>1.071</v>
      </c>
      <c r="F90" s="2">
        <v>1</v>
      </c>
    </row>
    <row r="91" spans="1:6" ht="14.25" customHeight="1">
      <c r="A91" s="2">
        <v>13</v>
      </c>
      <c r="B91" s="2">
        <v>90</v>
      </c>
      <c r="C91" s="2">
        <v>3</v>
      </c>
      <c r="D91" s="2">
        <v>0</v>
      </c>
      <c r="E91" s="2">
        <v>1.1279999999999999</v>
      </c>
      <c r="F91" s="2">
        <v>1</v>
      </c>
    </row>
    <row r="92" spans="1:6" ht="14.25" customHeight="1">
      <c r="A92" s="2">
        <v>13</v>
      </c>
      <c r="B92" s="2">
        <v>91</v>
      </c>
      <c r="C92" s="2">
        <v>7</v>
      </c>
      <c r="D92" s="2">
        <v>0</v>
      </c>
      <c r="E92" s="2">
        <v>0.88</v>
      </c>
      <c r="F92" s="2">
        <v>2</v>
      </c>
    </row>
    <row r="93" spans="1:6" ht="14.25" customHeight="1">
      <c r="A93" s="2">
        <v>13</v>
      </c>
      <c r="B93" s="2">
        <v>92</v>
      </c>
      <c r="C93" s="2">
        <v>6</v>
      </c>
      <c r="D93" s="2">
        <v>1</v>
      </c>
      <c r="E93" s="2">
        <v>0.84199999999999997</v>
      </c>
      <c r="F93" s="2">
        <v>1</v>
      </c>
    </row>
    <row r="94" spans="1:6" ht="14.25" customHeight="1">
      <c r="A94" s="2">
        <v>13</v>
      </c>
      <c r="B94" s="2">
        <v>93</v>
      </c>
      <c r="C94" s="2">
        <v>5</v>
      </c>
      <c r="D94" s="2">
        <v>0</v>
      </c>
      <c r="E94" s="2">
        <v>0.82799999999999996</v>
      </c>
      <c r="F94" s="2">
        <v>1</v>
      </c>
    </row>
    <row r="95" spans="1:6" ht="14.25" customHeight="1">
      <c r="A95" s="2">
        <v>13</v>
      </c>
      <c r="B95" s="2">
        <v>94</v>
      </c>
      <c r="C95" s="2">
        <v>2</v>
      </c>
      <c r="D95" s="2">
        <v>0</v>
      </c>
      <c r="E95" s="2">
        <v>0.55900000000000005</v>
      </c>
      <c r="F95" s="2">
        <v>2</v>
      </c>
    </row>
    <row r="96" spans="1:6" ht="14.25" customHeight="1">
      <c r="A96" s="2">
        <v>13</v>
      </c>
      <c r="B96" s="2">
        <v>95</v>
      </c>
      <c r="C96" s="2">
        <v>3</v>
      </c>
      <c r="D96" s="2">
        <v>1</v>
      </c>
      <c r="E96" s="2">
        <v>0.82199999999999995</v>
      </c>
      <c r="F96" s="2">
        <v>2</v>
      </c>
    </row>
    <row r="97" spans="1:6" ht="14.25" customHeight="1">
      <c r="A97" s="2">
        <v>13</v>
      </c>
      <c r="B97" s="2">
        <v>96</v>
      </c>
      <c r="C97" s="2">
        <v>8</v>
      </c>
      <c r="D97" s="2">
        <v>1</v>
      </c>
      <c r="E97" s="2">
        <v>0.68899999999999995</v>
      </c>
      <c r="F97" s="2">
        <v>2</v>
      </c>
    </row>
    <row r="98" spans="1:6" ht="14.25" customHeight="1">
      <c r="A98" s="2">
        <v>13</v>
      </c>
      <c r="B98" s="2">
        <v>97</v>
      </c>
      <c r="C98" s="2">
        <v>2</v>
      </c>
      <c r="D98" s="2">
        <v>0</v>
      </c>
      <c r="E98" s="2">
        <v>0.80100000000000005</v>
      </c>
      <c r="F98" s="2">
        <v>1</v>
      </c>
    </row>
    <row r="99" spans="1:6" ht="14.25" customHeight="1">
      <c r="A99" s="2">
        <v>13</v>
      </c>
      <c r="B99" s="2">
        <v>98</v>
      </c>
      <c r="C99" s="2">
        <v>4</v>
      </c>
      <c r="D99" s="2">
        <v>0</v>
      </c>
      <c r="E99" s="2">
        <v>0.77300000000000002</v>
      </c>
      <c r="F99" s="2">
        <v>1</v>
      </c>
    </row>
    <row r="100" spans="1:6" ht="14.25" customHeight="1">
      <c r="A100" s="2">
        <v>13</v>
      </c>
      <c r="B100" s="2">
        <v>99</v>
      </c>
      <c r="C100" s="2">
        <v>1</v>
      </c>
      <c r="D100" s="2">
        <v>1</v>
      </c>
      <c r="E100" s="2">
        <v>0.73</v>
      </c>
      <c r="F100" s="2">
        <v>2</v>
      </c>
    </row>
    <row r="101" spans="1:6" ht="14.25" customHeight="1">
      <c r="A101" s="2">
        <v>13</v>
      </c>
      <c r="B101" s="2">
        <v>100</v>
      </c>
      <c r="C101" s="2">
        <v>8</v>
      </c>
      <c r="D101" s="2">
        <v>0</v>
      </c>
      <c r="E101" s="2">
        <v>1.3460000000000001</v>
      </c>
      <c r="F101" s="2">
        <v>2</v>
      </c>
    </row>
    <row r="102" spans="1:6" ht="14.25" customHeight="1">
      <c r="A102" s="2">
        <v>13</v>
      </c>
      <c r="B102" s="2">
        <v>101</v>
      </c>
      <c r="C102" s="2">
        <v>6</v>
      </c>
      <c r="D102" s="2">
        <v>1</v>
      </c>
      <c r="E102" s="2">
        <v>0.88</v>
      </c>
      <c r="F102" s="2">
        <v>2</v>
      </c>
    </row>
    <row r="103" spans="1:6" ht="14.25" customHeight="1">
      <c r="A103" s="2">
        <v>13</v>
      </c>
      <c r="B103" s="2">
        <v>102</v>
      </c>
      <c r="C103" s="2">
        <v>3</v>
      </c>
      <c r="D103" s="2">
        <v>1</v>
      </c>
      <c r="E103" s="2">
        <v>0.80100000000000005</v>
      </c>
      <c r="F103" s="2">
        <v>2</v>
      </c>
    </row>
    <row r="104" spans="1:6" ht="14.25" customHeight="1">
      <c r="A104" s="2">
        <v>13</v>
      </c>
      <c r="B104" s="2">
        <v>103</v>
      </c>
      <c r="C104" s="2">
        <v>2</v>
      </c>
      <c r="D104" s="2">
        <v>1</v>
      </c>
      <c r="E104" s="2">
        <v>1.012</v>
      </c>
      <c r="F104" s="2">
        <v>1</v>
      </c>
    </row>
    <row r="105" spans="1:6" ht="14.25" customHeight="1">
      <c r="A105" s="2">
        <v>13</v>
      </c>
      <c r="B105" s="2">
        <v>104</v>
      </c>
      <c r="C105" s="2">
        <v>3</v>
      </c>
      <c r="D105" s="2">
        <v>1</v>
      </c>
      <c r="E105" s="2">
        <v>0.59199999999999997</v>
      </c>
      <c r="F105" s="2">
        <v>2</v>
      </c>
    </row>
    <row r="106" spans="1:6" ht="14.25" customHeight="1">
      <c r="A106" s="2">
        <v>13</v>
      </c>
      <c r="B106" s="2">
        <v>105</v>
      </c>
      <c r="C106" s="2">
        <v>4</v>
      </c>
      <c r="D106" s="2">
        <v>0</v>
      </c>
      <c r="E106" s="2">
        <v>0.90900000000000003</v>
      </c>
      <c r="F106" s="2">
        <v>1</v>
      </c>
    </row>
    <row r="107" spans="1:6" ht="14.25" customHeight="1">
      <c r="A107" s="2">
        <v>13</v>
      </c>
      <c r="B107" s="2">
        <v>106</v>
      </c>
      <c r="C107" s="2">
        <v>8</v>
      </c>
      <c r="D107" s="2">
        <v>1</v>
      </c>
      <c r="E107" s="2">
        <v>1.2130000000000001</v>
      </c>
      <c r="F107" s="2">
        <v>2</v>
      </c>
    </row>
    <row r="108" spans="1:6" ht="14.25" customHeight="1">
      <c r="A108" s="2">
        <v>13</v>
      </c>
      <c r="B108" s="2">
        <v>107</v>
      </c>
      <c r="C108" s="2">
        <v>4</v>
      </c>
      <c r="D108" s="2">
        <v>1</v>
      </c>
      <c r="E108" s="2">
        <v>0.625</v>
      </c>
      <c r="F108" s="2">
        <v>2</v>
      </c>
    </row>
    <row r="109" spans="1:6" ht="14.25" customHeight="1">
      <c r="A109" s="2">
        <v>13</v>
      </c>
      <c r="B109" s="2">
        <v>108</v>
      </c>
      <c r="C109" s="2">
        <v>6</v>
      </c>
      <c r="D109" s="2">
        <v>1</v>
      </c>
      <c r="E109" s="2">
        <v>0.82099999999999995</v>
      </c>
      <c r="F109" s="2">
        <v>2</v>
      </c>
    </row>
    <row r="110" spans="1:6" ht="14.25" customHeight="1">
      <c r="A110" s="2">
        <v>13</v>
      </c>
      <c r="B110" s="2">
        <v>109</v>
      </c>
      <c r="C110" s="2">
        <v>4</v>
      </c>
      <c r="D110" s="2">
        <v>1</v>
      </c>
      <c r="E110" s="2">
        <v>1.0960000000000001</v>
      </c>
      <c r="F110" s="2">
        <v>1</v>
      </c>
    </row>
    <row r="111" spans="1:6" ht="14.25" customHeight="1">
      <c r="A111" s="2">
        <v>13</v>
      </c>
      <c r="B111" s="2">
        <v>110</v>
      </c>
      <c r="C111" s="2">
        <v>6</v>
      </c>
      <c r="D111" s="2">
        <v>1</v>
      </c>
      <c r="E111" s="2">
        <v>0.753</v>
      </c>
      <c r="F111" s="2">
        <v>2</v>
      </c>
    </row>
    <row r="112" spans="1:6" ht="14.25" customHeight="1">
      <c r="A112" s="2">
        <v>13</v>
      </c>
      <c r="B112" s="2">
        <v>111</v>
      </c>
      <c r="C112" s="2">
        <v>1</v>
      </c>
      <c r="D112" s="2">
        <v>1</v>
      </c>
      <c r="E112" s="2">
        <v>0.98199999999999998</v>
      </c>
      <c r="F112" s="2">
        <v>2</v>
      </c>
    </row>
    <row r="113" spans="1:6" ht="14.25" customHeight="1">
      <c r="A113" s="2">
        <v>13</v>
      </c>
      <c r="B113" s="2">
        <v>112</v>
      </c>
      <c r="C113" s="2">
        <v>6</v>
      </c>
      <c r="D113" s="2">
        <v>1</v>
      </c>
      <c r="E113" s="2">
        <v>0.83399999999999996</v>
      </c>
      <c r="F113" s="2">
        <v>2</v>
      </c>
    </row>
    <row r="114" spans="1:6" ht="14.25" customHeight="1">
      <c r="A114" s="2">
        <v>13</v>
      </c>
      <c r="B114" s="2">
        <v>113</v>
      </c>
      <c r="C114" s="2">
        <v>8</v>
      </c>
      <c r="D114" s="2">
        <v>1</v>
      </c>
      <c r="E114" s="2">
        <v>0.86099999999999999</v>
      </c>
      <c r="F114" s="2">
        <v>2</v>
      </c>
    </row>
    <row r="115" spans="1:6" ht="14.25" customHeight="1">
      <c r="A115" s="2">
        <v>13</v>
      </c>
      <c r="B115" s="2">
        <v>114</v>
      </c>
      <c r="C115" s="2">
        <v>4</v>
      </c>
      <c r="D115" s="2">
        <v>0</v>
      </c>
      <c r="E115" s="2">
        <v>1.4710000000000001</v>
      </c>
      <c r="F115" s="2">
        <v>2</v>
      </c>
    </row>
    <row r="116" spans="1:6" ht="14.25" customHeight="1">
      <c r="A116" s="2">
        <v>13</v>
      </c>
      <c r="B116" s="2">
        <v>115</v>
      </c>
      <c r="C116" s="2">
        <v>3</v>
      </c>
      <c r="D116" s="2">
        <v>1</v>
      </c>
      <c r="E116" s="2">
        <v>0.85699999999999998</v>
      </c>
      <c r="F116" s="2">
        <v>2</v>
      </c>
    </row>
    <row r="117" spans="1:6" ht="14.25" customHeight="1">
      <c r="A117" s="2">
        <v>13</v>
      </c>
      <c r="B117" s="2">
        <v>116</v>
      </c>
      <c r="C117" s="2">
        <v>7</v>
      </c>
      <c r="D117" s="2">
        <v>1</v>
      </c>
      <c r="E117" s="2">
        <v>1.2430000000000001</v>
      </c>
      <c r="F117" s="2">
        <v>1</v>
      </c>
    </row>
    <row r="118" spans="1:6" ht="14.25" customHeight="1">
      <c r="A118" s="2">
        <v>13</v>
      </c>
      <c r="B118" s="2">
        <v>117</v>
      </c>
      <c r="C118" s="2">
        <v>2</v>
      </c>
      <c r="D118" s="2">
        <v>1</v>
      </c>
      <c r="E118" s="2">
        <v>1.022</v>
      </c>
      <c r="F118" s="2">
        <v>1</v>
      </c>
    </row>
    <row r="119" spans="1:6" ht="14.25" customHeight="1">
      <c r="A119" s="2">
        <v>13</v>
      </c>
      <c r="B119" s="2">
        <v>118</v>
      </c>
      <c r="C119" s="2">
        <v>7</v>
      </c>
      <c r="D119" s="2">
        <v>1</v>
      </c>
      <c r="E119" s="2">
        <v>1.248</v>
      </c>
      <c r="F119" s="2">
        <v>1</v>
      </c>
    </row>
    <row r="120" spans="1:6" ht="14.25" customHeight="1">
      <c r="A120" s="2">
        <v>13</v>
      </c>
      <c r="B120" s="2">
        <v>119</v>
      </c>
      <c r="C120" s="2">
        <v>2</v>
      </c>
      <c r="D120" s="2">
        <v>1</v>
      </c>
      <c r="E120" s="2">
        <v>0.77900000000000003</v>
      </c>
      <c r="F120" s="2">
        <v>1</v>
      </c>
    </row>
    <row r="121" spans="1:6" ht="14.25" customHeight="1">
      <c r="A121" s="2">
        <v>13</v>
      </c>
      <c r="B121" s="2">
        <v>120</v>
      </c>
      <c r="C121" s="2">
        <v>3</v>
      </c>
      <c r="D121" s="2">
        <v>0</v>
      </c>
      <c r="E121" s="2">
        <v>1.288</v>
      </c>
      <c r="F121" s="2">
        <v>2</v>
      </c>
    </row>
    <row r="122" spans="1:6" ht="14.25" customHeight="1">
      <c r="A122" s="2">
        <v>13</v>
      </c>
      <c r="B122" s="2">
        <v>121</v>
      </c>
      <c r="C122" s="2">
        <v>5</v>
      </c>
      <c r="D122" s="2">
        <v>1</v>
      </c>
      <c r="E122" s="2">
        <v>0.64100000000000001</v>
      </c>
      <c r="F122" s="2">
        <v>2</v>
      </c>
    </row>
    <row r="123" spans="1:6" ht="14.25" customHeight="1">
      <c r="A123" s="2">
        <v>13</v>
      </c>
      <c r="B123" s="2">
        <v>122</v>
      </c>
      <c r="C123" s="2">
        <v>2</v>
      </c>
      <c r="D123" s="2">
        <v>0</v>
      </c>
      <c r="E123" s="2">
        <v>1.06</v>
      </c>
      <c r="F123" s="2">
        <v>2</v>
      </c>
    </row>
    <row r="124" spans="1:6" ht="14.25" customHeight="1">
      <c r="A124" s="2">
        <v>13</v>
      </c>
      <c r="B124" s="2">
        <v>123</v>
      </c>
      <c r="C124" s="2">
        <v>3</v>
      </c>
      <c r="D124" s="2">
        <v>1</v>
      </c>
      <c r="E124" s="2">
        <v>1.1339999999999999</v>
      </c>
      <c r="F124" s="2">
        <v>1</v>
      </c>
    </row>
    <row r="125" spans="1:6" ht="14.25" customHeight="1">
      <c r="A125" s="2">
        <v>13</v>
      </c>
      <c r="B125" s="2">
        <v>124</v>
      </c>
      <c r="C125" s="2">
        <v>6</v>
      </c>
      <c r="D125" s="2">
        <v>1</v>
      </c>
      <c r="E125" s="2">
        <v>0.86099999999999999</v>
      </c>
      <c r="F125" s="2">
        <v>1</v>
      </c>
    </row>
    <row r="126" spans="1:6" ht="14.25" customHeight="1">
      <c r="A126" s="2">
        <v>13</v>
      </c>
      <c r="B126" s="2">
        <v>125</v>
      </c>
      <c r="C126" s="2">
        <v>5</v>
      </c>
      <c r="D126" s="2">
        <v>1</v>
      </c>
      <c r="E126" s="2">
        <v>0.69399999999999995</v>
      </c>
      <c r="F126" s="2">
        <v>1</v>
      </c>
    </row>
    <row r="127" spans="1:6" ht="14.25" customHeight="1">
      <c r="A127" s="2">
        <v>13</v>
      </c>
      <c r="B127" s="2">
        <v>126</v>
      </c>
      <c r="C127" s="2">
        <v>4</v>
      </c>
      <c r="D127" s="2">
        <v>0</v>
      </c>
      <c r="E127" s="2">
        <v>0.79900000000000004</v>
      </c>
      <c r="F127" s="2">
        <v>1</v>
      </c>
    </row>
    <row r="128" spans="1:6" ht="14.25" customHeight="1">
      <c r="A128" s="2">
        <v>13</v>
      </c>
      <c r="B128" s="2">
        <v>127</v>
      </c>
      <c r="C128" s="2">
        <v>1</v>
      </c>
      <c r="D128" s="2">
        <v>1</v>
      </c>
      <c r="E128" s="2">
        <v>0.71599999999999997</v>
      </c>
      <c r="F128" s="2">
        <v>2</v>
      </c>
    </row>
    <row r="129" spans="1:6" ht="14.25" customHeight="1">
      <c r="A129" s="2">
        <v>13</v>
      </c>
      <c r="B129" s="2">
        <v>128</v>
      </c>
      <c r="C129" s="2">
        <v>6</v>
      </c>
      <c r="D129" s="2">
        <v>0</v>
      </c>
      <c r="E129" s="2">
        <v>0.68400000000000005</v>
      </c>
      <c r="F129" s="2">
        <v>2</v>
      </c>
    </row>
    <row r="130" spans="1:6" ht="14.25" customHeight="1">
      <c r="A130" s="2">
        <v>13</v>
      </c>
      <c r="B130" s="2">
        <v>129</v>
      </c>
      <c r="C130" s="2">
        <v>1</v>
      </c>
      <c r="D130" s="2">
        <v>1</v>
      </c>
      <c r="E130" s="2">
        <v>0.69299999999999995</v>
      </c>
      <c r="F130" s="2">
        <v>1</v>
      </c>
    </row>
    <row r="131" spans="1:6" ht="14.25" customHeight="1">
      <c r="A131" s="2">
        <v>13</v>
      </c>
      <c r="B131" s="2">
        <v>130</v>
      </c>
      <c r="C131" s="2">
        <v>2</v>
      </c>
      <c r="D131" s="2">
        <v>0</v>
      </c>
      <c r="E131" s="2">
        <v>1.573</v>
      </c>
      <c r="F131" s="2">
        <v>2</v>
      </c>
    </row>
    <row r="132" spans="1:6" ht="14.25" customHeight="1">
      <c r="A132" s="2">
        <v>13</v>
      </c>
      <c r="B132" s="2">
        <v>131</v>
      </c>
      <c r="C132" s="2">
        <v>1</v>
      </c>
      <c r="D132" s="2">
        <v>1</v>
      </c>
      <c r="E132" s="2">
        <v>0.65800000000000003</v>
      </c>
      <c r="F132" s="2">
        <v>2</v>
      </c>
    </row>
    <row r="133" spans="1:6" ht="14.25" customHeight="1">
      <c r="A133" s="2">
        <v>13</v>
      </c>
      <c r="B133" s="2">
        <v>132</v>
      </c>
      <c r="C133" s="2">
        <v>8</v>
      </c>
      <c r="D133" s="2">
        <v>0</v>
      </c>
      <c r="E133" s="2">
        <v>0.628</v>
      </c>
      <c r="F133" s="2">
        <v>1</v>
      </c>
    </row>
    <row r="134" spans="1:6" ht="14.25" customHeight="1">
      <c r="A134" s="2">
        <v>13</v>
      </c>
      <c r="B134" s="2">
        <v>133</v>
      </c>
      <c r="C134" s="2">
        <v>7</v>
      </c>
      <c r="D134" s="2">
        <v>1</v>
      </c>
      <c r="E134" s="2">
        <v>0.64800000000000002</v>
      </c>
      <c r="F134" s="2">
        <v>1</v>
      </c>
    </row>
    <row r="135" spans="1:6" ht="14.25" customHeight="1">
      <c r="A135" s="2">
        <v>13</v>
      </c>
      <c r="B135" s="2">
        <v>134</v>
      </c>
      <c r="C135" s="2">
        <v>5</v>
      </c>
      <c r="D135" s="2">
        <v>1</v>
      </c>
      <c r="E135" s="2">
        <v>0.67500000000000004</v>
      </c>
      <c r="F135" s="2">
        <v>1</v>
      </c>
    </row>
    <row r="136" spans="1:6" ht="14.25" customHeight="1">
      <c r="A136" s="2">
        <v>13</v>
      </c>
      <c r="B136" s="2">
        <v>135</v>
      </c>
      <c r="C136" s="2">
        <v>8</v>
      </c>
      <c r="D136" s="2">
        <v>1</v>
      </c>
      <c r="E136" s="2">
        <v>1.3879999999999999</v>
      </c>
      <c r="F136" s="2">
        <v>1</v>
      </c>
    </row>
    <row r="137" spans="1:6" ht="14.25" customHeight="1">
      <c r="A137" s="2">
        <v>13</v>
      </c>
      <c r="B137" s="2">
        <v>136</v>
      </c>
      <c r="C137" s="2">
        <v>1</v>
      </c>
      <c r="D137" s="2">
        <v>0</v>
      </c>
      <c r="E137" s="2">
        <v>0.54400000000000004</v>
      </c>
      <c r="F137" s="2">
        <v>2</v>
      </c>
    </row>
    <row r="138" spans="1:6" ht="14.25" customHeight="1">
      <c r="A138" s="2">
        <v>13</v>
      </c>
      <c r="B138" s="2">
        <v>137</v>
      </c>
      <c r="C138" s="2">
        <v>7</v>
      </c>
      <c r="D138" s="2">
        <v>1</v>
      </c>
      <c r="E138" s="2">
        <v>0.53600000000000003</v>
      </c>
      <c r="F138" s="2">
        <v>2</v>
      </c>
    </row>
    <row r="139" spans="1:6" ht="14.25" customHeight="1">
      <c r="A139" s="2">
        <v>13</v>
      </c>
      <c r="B139" s="2">
        <v>138</v>
      </c>
      <c r="C139" s="2">
        <v>5</v>
      </c>
      <c r="D139" s="2">
        <v>1</v>
      </c>
      <c r="E139" s="2">
        <v>1.518</v>
      </c>
      <c r="F139" s="2">
        <v>1</v>
      </c>
    </row>
    <row r="140" spans="1:6" ht="14.25" customHeight="1">
      <c r="A140" s="2">
        <v>13</v>
      </c>
      <c r="B140" s="2">
        <v>139</v>
      </c>
      <c r="C140" s="2">
        <v>7</v>
      </c>
      <c r="D140" s="2">
        <v>1</v>
      </c>
      <c r="E140" s="2">
        <v>0.74199999999999999</v>
      </c>
      <c r="F140" s="2">
        <v>1</v>
      </c>
    </row>
    <row r="141" spans="1:6" ht="14.25" customHeight="1">
      <c r="A141" s="2">
        <v>13</v>
      </c>
      <c r="B141" s="2">
        <v>140</v>
      </c>
      <c r="C141" s="2">
        <v>8</v>
      </c>
      <c r="D141" s="2">
        <v>0</v>
      </c>
      <c r="E141" s="2">
        <v>0.53200000000000003</v>
      </c>
      <c r="F141" s="2">
        <v>1</v>
      </c>
    </row>
    <row r="142" spans="1:6" ht="14.25" customHeight="1">
      <c r="A142" s="2">
        <v>13</v>
      </c>
      <c r="B142" s="2">
        <v>141</v>
      </c>
      <c r="C142" s="2">
        <v>3</v>
      </c>
      <c r="D142" s="2">
        <v>0</v>
      </c>
      <c r="E142" s="2">
        <v>0.627</v>
      </c>
      <c r="F142" s="2">
        <v>2</v>
      </c>
    </row>
    <row r="143" spans="1:6" ht="14.25" customHeight="1">
      <c r="A143" s="2">
        <v>13</v>
      </c>
      <c r="B143" s="2">
        <v>142</v>
      </c>
      <c r="C143" s="2">
        <v>7</v>
      </c>
      <c r="D143" s="2">
        <v>1</v>
      </c>
      <c r="E143" s="2">
        <v>1.03</v>
      </c>
      <c r="F143" s="2">
        <v>1</v>
      </c>
    </row>
    <row r="144" spans="1:6" ht="14.25" customHeight="1">
      <c r="A144" s="2">
        <v>13</v>
      </c>
      <c r="B144" s="2">
        <v>143</v>
      </c>
      <c r="C144" s="2">
        <v>5</v>
      </c>
      <c r="D144" s="2">
        <v>0</v>
      </c>
      <c r="E144" s="2">
        <v>0.58599999999999997</v>
      </c>
      <c r="F144" s="2">
        <v>1</v>
      </c>
    </row>
    <row r="145" spans="1:6" ht="14.25" customHeight="1">
      <c r="A145" s="2">
        <v>13</v>
      </c>
      <c r="B145" s="2">
        <v>144</v>
      </c>
      <c r="C145" s="2">
        <v>8</v>
      </c>
      <c r="D145" s="2">
        <v>0</v>
      </c>
      <c r="E145" s="2">
        <v>1.2310000000000001</v>
      </c>
      <c r="F145" s="2">
        <v>2</v>
      </c>
    </row>
    <row r="146" spans="1:6" ht="14.25" customHeight="1">
      <c r="A146" s="2">
        <v>13</v>
      </c>
      <c r="B146" s="2">
        <v>145</v>
      </c>
      <c r="C146" s="2">
        <v>2</v>
      </c>
      <c r="D146" s="2">
        <v>1</v>
      </c>
      <c r="E146" s="2">
        <v>1.3140000000000001</v>
      </c>
      <c r="F146" s="2">
        <v>2</v>
      </c>
    </row>
    <row r="147" spans="1:6" ht="14.25" customHeight="1">
      <c r="A147" s="2">
        <v>13</v>
      </c>
      <c r="B147" s="2">
        <v>146</v>
      </c>
      <c r="C147" s="2">
        <v>4</v>
      </c>
      <c r="D147" s="2">
        <v>1</v>
      </c>
      <c r="E147" s="2">
        <v>0.88200000000000001</v>
      </c>
      <c r="F147" s="2">
        <v>2</v>
      </c>
    </row>
    <row r="148" spans="1:6" ht="14.25" customHeight="1">
      <c r="A148" s="2">
        <v>13</v>
      </c>
      <c r="B148" s="2">
        <v>147</v>
      </c>
      <c r="C148" s="2">
        <v>6</v>
      </c>
      <c r="D148" s="2">
        <v>0</v>
      </c>
      <c r="E148" s="2">
        <v>0.64300000000000002</v>
      </c>
      <c r="F148" s="2">
        <v>1</v>
      </c>
    </row>
    <row r="149" spans="1:6" ht="14.25" customHeight="1">
      <c r="A149" s="2">
        <v>13</v>
      </c>
      <c r="B149" s="2">
        <v>148</v>
      </c>
      <c r="C149" s="2">
        <v>5</v>
      </c>
      <c r="D149" s="2">
        <v>1</v>
      </c>
      <c r="E149" s="2">
        <v>0.65400000000000003</v>
      </c>
      <c r="F149" s="2">
        <v>2</v>
      </c>
    </row>
    <row r="150" spans="1:6" ht="14.25" customHeight="1">
      <c r="A150" s="2">
        <v>13</v>
      </c>
      <c r="B150" s="2">
        <v>149</v>
      </c>
      <c r="C150" s="2">
        <v>7</v>
      </c>
      <c r="D150" s="2">
        <v>1</v>
      </c>
      <c r="E150" s="2">
        <v>0.72</v>
      </c>
      <c r="F150" s="2">
        <v>2</v>
      </c>
    </row>
    <row r="151" spans="1:6" ht="14.25" customHeight="1">
      <c r="A151" s="2">
        <v>13</v>
      </c>
      <c r="B151" s="2">
        <v>150</v>
      </c>
      <c r="C151" s="2">
        <v>1</v>
      </c>
      <c r="D151" s="2">
        <v>0</v>
      </c>
      <c r="E151" s="2">
        <v>1.256</v>
      </c>
      <c r="F151" s="2">
        <v>2</v>
      </c>
    </row>
    <row r="152" spans="1:6" ht="14.25" customHeight="1">
      <c r="A152" s="2">
        <v>13</v>
      </c>
      <c r="B152" s="2">
        <v>151</v>
      </c>
      <c r="C152" s="2">
        <v>4</v>
      </c>
      <c r="D152" s="2">
        <v>1</v>
      </c>
      <c r="E152" s="2">
        <v>0.64800000000000002</v>
      </c>
      <c r="F152" s="2">
        <v>2</v>
      </c>
    </row>
    <row r="153" spans="1:6" ht="14.25" customHeight="1">
      <c r="A153" s="2">
        <v>13</v>
      </c>
      <c r="B153" s="2">
        <v>152</v>
      </c>
      <c r="C153" s="2">
        <v>2</v>
      </c>
      <c r="D153" s="2">
        <v>1</v>
      </c>
      <c r="E153" s="2">
        <v>0.755</v>
      </c>
      <c r="F153" s="2">
        <v>2</v>
      </c>
    </row>
    <row r="154" spans="1:6" ht="14.25" customHeight="1">
      <c r="A154" s="2">
        <v>13</v>
      </c>
      <c r="B154" s="2">
        <v>153</v>
      </c>
      <c r="C154" s="2">
        <v>3</v>
      </c>
      <c r="D154" s="2">
        <v>1</v>
      </c>
      <c r="E154" s="2">
        <v>1.024</v>
      </c>
      <c r="F154" s="2">
        <v>1</v>
      </c>
    </row>
    <row r="155" spans="1:6" ht="14.25" customHeight="1">
      <c r="A155" s="2">
        <v>13</v>
      </c>
      <c r="B155" s="2">
        <v>154</v>
      </c>
      <c r="C155" s="2">
        <v>8</v>
      </c>
      <c r="D155" s="2">
        <v>1</v>
      </c>
      <c r="E155" s="2">
        <v>0.77200000000000002</v>
      </c>
      <c r="F155" s="2">
        <v>2</v>
      </c>
    </row>
    <row r="156" spans="1:6" ht="14.25" customHeight="1">
      <c r="A156" s="2">
        <v>13</v>
      </c>
      <c r="B156" s="2">
        <v>155</v>
      </c>
      <c r="C156" s="2">
        <v>6</v>
      </c>
      <c r="D156" s="2">
        <v>0</v>
      </c>
      <c r="E156" s="2">
        <v>1.506</v>
      </c>
      <c r="F156" s="2">
        <v>1</v>
      </c>
    </row>
    <row r="157" spans="1:6" ht="14.25" customHeight="1">
      <c r="A157" s="2">
        <v>13</v>
      </c>
      <c r="B157" s="2">
        <v>156</v>
      </c>
      <c r="C157" s="2">
        <v>3</v>
      </c>
      <c r="D157" s="2">
        <v>0</v>
      </c>
      <c r="E157" s="2">
        <v>1.65</v>
      </c>
      <c r="F157" s="2">
        <v>1</v>
      </c>
    </row>
    <row r="158" spans="1:6" ht="14.25" customHeight="1">
      <c r="A158" s="2">
        <v>13</v>
      </c>
      <c r="B158" s="2">
        <v>157</v>
      </c>
      <c r="C158" s="2">
        <v>5</v>
      </c>
      <c r="D158" s="2">
        <v>0</v>
      </c>
      <c r="E158" s="2">
        <v>1.1879999999999999</v>
      </c>
      <c r="F158" s="2">
        <v>1</v>
      </c>
    </row>
    <row r="159" spans="1:6" ht="14.25" customHeight="1">
      <c r="A159" s="2">
        <v>13</v>
      </c>
      <c r="B159" s="2">
        <v>158</v>
      </c>
      <c r="C159" s="2">
        <v>2</v>
      </c>
      <c r="D159" s="2">
        <v>1</v>
      </c>
      <c r="E159" s="2">
        <v>0.48099999999999998</v>
      </c>
      <c r="F159" s="2">
        <v>2</v>
      </c>
    </row>
    <row r="160" spans="1:6" ht="14.25" customHeight="1">
      <c r="A160" s="2">
        <v>13</v>
      </c>
      <c r="B160" s="2">
        <v>159</v>
      </c>
      <c r="C160" s="2">
        <v>6</v>
      </c>
      <c r="D160" s="2">
        <v>0</v>
      </c>
      <c r="E160" s="2">
        <v>1.8580000000000001</v>
      </c>
      <c r="F160" s="2">
        <v>2</v>
      </c>
    </row>
    <row r="161" spans="1:6" ht="14.25" customHeight="1">
      <c r="A161" s="2">
        <v>13</v>
      </c>
      <c r="B161" s="2">
        <v>160</v>
      </c>
      <c r="C161" s="2">
        <v>3</v>
      </c>
      <c r="D161" s="2">
        <v>1</v>
      </c>
      <c r="E161" s="2">
        <v>0.45200000000000001</v>
      </c>
      <c r="F161" s="2">
        <v>2</v>
      </c>
    </row>
    <row r="162" spans="1:6" ht="14.25" customHeight="1">
      <c r="A162" s="2">
        <v>13</v>
      </c>
      <c r="B162" s="2">
        <v>161</v>
      </c>
      <c r="C162" s="2">
        <v>7</v>
      </c>
      <c r="D162" s="2">
        <v>1</v>
      </c>
      <c r="E162" s="2">
        <v>1.99</v>
      </c>
      <c r="F162" s="2">
        <v>2</v>
      </c>
    </row>
    <row r="163" spans="1:6" ht="14.25" customHeight="1">
      <c r="A163" s="2">
        <v>13</v>
      </c>
      <c r="B163" s="2">
        <v>162</v>
      </c>
      <c r="C163" s="2">
        <v>3</v>
      </c>
      <c r="D163" s="2">
        <v>1</v>
      </c>
      <c r="E163" s="2">
        <v>1.1539999999999999</v>
      </c>
      <c r="F163" s="2">
        <v>2</v>
      </c>
    </row>
    <row r="164" spans="1:6" ht="14.25" customHeight="1">
      <c r="A164" s="2">
        <v>13</v>
      </c>
      <c r="B164" s="2">
        <v>163</v>
      </c>
      <c r="C164" s="2">
        <v>4</v>
      </c>
      <c r="D164" s="2">
        <v>1</v>
      </c>
      <c r="E164" s="2">
        <v>1.792</v>
      </c>
      <c r="F164" s="2">
        <v>2</v>
      </c>
    </row>
    <row r="165" spans="1:6" ht="14.25" customHeight="1">
      <c r="A165" s="2">
        <v>13</v>
      </c>
      <c r="B165" s="2">
        <v>164</v>
      </c>
      <c r="C165" s="2">
        <v>6</v>
      </c>
      <c r="D165" s="2">
        <v>0</v>
      </c>
      <c r="E165" s="2">
        <v>0.77200000000000002</v>
      </c>
      <c r="F165" s="2">
        <v>2</v>
      </c>
    </row>
    <row r="166" spans="1:6" ht="14.25" customHeight="1">
      <c r="A166" s="2">
        <v>13</v>
      </c>
      <c r="B166" s="2">
        <v>165</v>
      </c>
      <c r="C166" s="2">
        <v>2</v>
      </c>
      <c r="D166" s="2">
        <v>1</v>
      </c>
      <c r="E166" s="2">
        <v>0.85799999999999998</v>
      </c>
      <c r="F166" s="2">
        <v>2</v>
      </c>
    </row>
    <row r="167" spans="1:6" ht="14.25" customHeight="1">
      <c r="A167" s="2">
        <v>13</v>
      </c>
      <c r="B167" s="2">
        <v>166</v>
      </c>
      <c r="C167" s="2">
        <v>4</v>
      </c>
      <c r="D167" s="2">
        <v>1</v>
      </c>
      <c r="E167" s="2">
        <v>0.79600000000000004</v>
      </c>
      <c r="F167" s="2">
        <v>1</v>
      </c>
    </row>
    <row r="168" spans="1:6" ht="14.25" customHeight="1">
      <c r="A168" s="2">
        <v>13</v>
      </c>
      <c r="B168" s="2">
        <v>167</v>
      </c>
      <c r="C168" s="2">
        <v>7</v>
      </c>
      <c r="D168" s="2">
        <v>1</v>
      </c>
      <c r="E168" s="2">
        <v>0.66500000000000004</v>
      </c>
      <c r="F168" s="2">
        <v>1</v>
      </c>
    </row>
    <row r="169" spans="1:6" ht="14.25" customHeight="1">
      <c r="A169" s="2">
        <v>13</v>
      </c>
      <c r="B169" s="2">
        <v>168</v>
      </c>
      <c r="C169" s="2">
        <v>8</v>
      </c>
      <c r="D169" s="2">
        <v>1</v>
      </c>
      <c r="E169" s="2">
        <v>0.754</v>
      </c>
      <c r="F169" s="2">
        <v>1</v>
      </c>
    </row>
    <row r="170" spans="1:6" ht="14.25" customHeight="1">
      <c r="A170" s="2">
        <v>13</v>
      </c>
      <c r="B170" s="2">
        <v>169</v>
      </c>
      <c r="C170" s="2">
        <v>3</v>
      </c>
      <c r="D170" s="2">
        <v>1</v>
      </c>
      <c r="E170" s="2">
        <v>0.56100000000000005</v>
      </c>
      <c r="F170" s="2">
        <v>1</v>
      </c>
    </row>
    <row r="171" spans="1:6" ht="14.25" customHeight="1">
      <c r="A171" s="2">
        <v>13</v>
      </c>
      <c r="B171" s="2">
        <v>170</v>
      </c>
      <c r="C171" s="2">
        <v>8</v>
      </c>
      <c r="D171" s="2">
        <v>0</v>
      </c>
      <c r="E171" s="2">
        <v>0.54300000000000004</v>
      </c>
      <c r="F171" s="2">
        <v>2</v>
      </c>
    </row>
    <row r="172" spans="1:6" ht="14.25" customHeight="1">
      <c r="A172" s="2">
        <v>13</v>
      </c>
      <c r="B172" s="2">
        <v>171</v>
      </c>
      <c r="C172" s="2">
        <v>6</v>
      </c>
      <c r="D172" s="2">
        <v>1</v>
      </c>
      <c r="E172" s="2">
        <v>0.56499999999999995</v>
      </c>
      <c r="F172" s="2">
        <v>2</v>
      </c>
    </row>
    <row r="173" spans="1:6" ht="14.25" customHeight="1">
      <c r="A173" s="2">
        <v>13</v>
      </c>
      <c r="B173" s="2">
        <v>172</v>
      </c>
      <c r="C173" s="2">
        <v>5</v>
      </c>
      <c r="D173" s="2">
        <v>1</v>
      </c>
      <c r="E173" s="2">
        <v>0.57099999999999995</v>
      </c>
      <c r="F173" s="2">
        <v>1</v>
      </c>
    </row>
    <row r="174" spans="1:6" ht="14.25" customHeight="1">
      <c r="A174" s="2">
        <v>13</v>
      </c>
      <c r="B174" s="2">
        <v>173</v>
      </c>
      <c r="C174" s="2">
        <v>2</v>
      </c>
      <c r="D174" s="2">
        <v>1</v>
      </c>
      <c r="E174" s="2">
        <v>0.71299999999999997</v>
      </c>
      <c r="F174" s="2">
        <v>1</v>
      </c>
    </row>
    <row r="175" spans="1:6" ht="14.25" customHeight="1">
      <c r="A175" s="2">
        <v>13</v>
      </c>
      <c r="B175" s="2">
        <v>174</v>
      </c>
      <c r="C175" s="2">
        <v>5</v>
      </c>
      <c r="D175" s="2">
        <v>1</v>
      </c>
      <c r="E175" s="2">
        <v>1.2170000000000001</v>
      </c>
      <c r="F175" s="2">
        <v>1</v>
      </c>
    </row>
    <row r="176" spans="1:6" ht="14.25" customHeight="1">
      <c r="A176" s="2">
        <v>13</v>
      </c>
      <c r="B176" s="2">
        <v>175</v>
      </c>
      <c r="C176" s="2">
        <v>6</v>
      </c>
      <c r="D176" s="2">
        <v>1</v>
      </c>
      <c r="E176" s="2">
        <v>1.468</v>
      </c>
      <c r="F176" s="2">
        <v>1</v>
      </c>
    </row>
    <row r="177" spans="1:6" ht="14.25" customHeight="1">
      <c r="A177" s="2">
        <v>13</v>
      </c>
      <c r="B177" s="2">
        <v>176</v>
      </c>
      <c r="C177" s="2">
        <v>7</v>
      </c>
      <c r="D177" s="2">
        <v>0</v>
      </c>
      <c r="E177" s="2">
        <v>1.038</v>
      </c>
      <c r="F177" s="2">
        <v>1</v>
      </c>
    </row>
    <row r="178" spans="1:6" ht="14.25" customHeight="1">
      <c r="A178" s="2">
        <v>13</v>
      </c>
      <c r="B178" s="2">
        <v>177</v>
      </c>
      <c r="C178" s="2">
        <v>1</v>
      </c>
      <c r="D178" s="2">
        <v>1</v>
      </c>
      <c r="E178" s="2">
        <v>0.88100000000000001</v>
      </c>
      <c r="F178" s="2">
        <v>2</v>
      </c>
    </row>
    <row r="179" spans="1:6" ht="14.25" customHeight="1">
      <c r="A179" s="2">
        <v>13</v>
      </c>
      <c r="B179" s="2">
        <v>178</v>
      </c>
      <c r="C179" s="2">
        <v>2</v>
      </c>
      <c r="D179" s="2">
        <v>1</v>
      </c>
      <c r="E179" s="2">
        <v>1.0740000000000001</v>
      </c>
      <c r="F179" s="2">
        <v>1</v>
      </c>
    </row>
    <row r="180" spans="1:6" ht="14.25" customHeight="1">
      <c r="A180" s="2">
        <v>13</v>
      </c>
      <c r="B180" s="2">
        <v>179</v>
      </c>
      <c r="C180" s="2">
        <v>8</v>
      </c>
      <c r="D180" s="2">
        <v>1</v>
      </c>
      <c r="E180" s="2">
        <v>1.74</v>
      </c>
      <c r="F180" s="2">
        <v>1</v>
      </c>
    </row>
    <row r="181" spans="1:6" ht="14.25" customHeight="1">
      <c r="A181" s="2">
        <v>13</v>
      </c>
      <c r="B181" s="2">
        <v>180</v>
      </c>
      <c r="C181" s="2">
        <v>4</v>
      </c>
      <c r="D181" s="2">
        <v>1</v>
      </c>
      <c r="E181" s="2">
        <v>0.89800000000000002</v>
      </c>
      <c r="F181" s="2">
        <v>1</v>
      </c>
    </row>
    <row r="182" spans="1:6" ht="14.25" customHeight="1">
      <c r="A182" s="2">
        <v>13</v>
      </c>
      <c r="B182" s="2">
        <v>181</v>
      </c>
      <c r="C182" s="2">
        <v>6</v>
      </c>
      <c r="D182" s="2">
        <v>1</v>
      </c>
      <c r="E182" s="2">
        <v>0.73899999999999999</v>
      </c>
      <c r="F182" s="2">
        <v>2</v>
      </c>
    </row>
    <row r="183" spans="1:6" ht="14.25" customHeight="1">
      <c r="A183" s="2">
        <v>13</v>
      </c>
      <c r="B183" s="2">
        <v>182</v>
      </c>
      <c r="C183" s="2">
        <v>5</v>
      </c>
      <c r="D183" s="2">
        <v>1</v>
      </c>
      <c r="E183" s="2">
        <v>1.17</v>
      </c>
      <c r="F183" s="2">
        <v>2</v>
      </c>
    </row>
    <row r="184" spans="1:6" ht="14.25" customHeight="1">
      <c r="A184" s="2">
        <v>13</v>
      </c>
      <c r="B184" s="2">
        <v>183</v>
      </c>
      <c r="C184" s="2">
        <v>1</v>
      </c>
      <c r="D184" s="2">
        <v>0</v>
      </c>
      <c r="E184" s="2">
        <v>1.95</v>
      </c>
      <c r="F184" s="2">
        <v>2</v>
      </c>
    </row>
    <row r="185" spans="1:6" ht="14.25" customHeight="1">
      <c r="A185" s="2">
        <v>13</v>
      </c>
      <c r="B185" s="2">
        <v>184</v>
      </c>
      <c r="C185" s="2">
        <v>7</v>
      </c>
      <c r="D185" s="2">
        <v>1</v>
      </c>
      <c r="E185" s="2">
        <v>0.96499999999999997</v>
      </c>
      <c r="F185" s="2">
        <v>1</v>
      </c>
    </row>
    <row r="186" spans="1:6" ht="14.25" customHeight="1">
      <c r="A186" s="2">
        <v>13</v>
      </c>
      <c r="B186" s="2">
        <v>185</v>
      </c>
      <c r="C186" s="2">
        <v>5</v>
      </c>
      <c r="D186" s="2">
        <v>1</v>
      </c>
      <c r="E186" s="2">
        <v>1.179</v>
      </c>
      <c r="F186" s="2">
        <v>1</v>
      </c>
    </row>
    <row r="187" spans="1:6" ht="14.25" customHeight="1">
      <c r="A187" s="2">
        <v>13</v>
      </c>
      <c r="B187" s="2">
        <v>186</v>
      </c>
      <c r="C187" s="2">
        <v>4</v>
      </c>
      <c r="D187" s="2">
        <v>1</v>
      </c>
      <c r="E187" s="2">
        <v>1.08</v>
      </c>
      <c r="F187" s="2">
        <v>1</v>
      </c>
    </row>
    <row r="188" spans="1:6" ht="14.25" customHeight="1">
      <c r="A188" s="2">
        <v>13</v>
      </c>
      <c r="B188" s="2">
        <v>187</v>
      </c>
      <c r="C188" s="2">
        <v>6</v>
      </c>
      <c r="D188" s="2">
        <v>0</v>
      </c>
      <c r="E188" s="2">
        <v>1.002</v>
      </c>
      <c r="F188" s="2">
        <v>1</v>
      </c>
    </row>
    <row r="189" spans="1:6" ht="14.25" customHeight="1">
      <c r="A189" s="2">
        <v>13</v>
      </c>
      <c r="B189" s="2">
        <v>188</v>
      </c>
      <c r="C189" s="2">
        <v>4</v>
      </c>
      <c r="D189" s="2">
        <v>1</v>
      </c>
      <c r="E189" s="2">
        <v>0.79</v>
      </c>
      <c r="F189" s="2">
        <v>1</v>
      </c>
    </row>
    <row r="190" spans="1:6" ht="14.25" customHeight="1">
      <c r="A190" s="2">
        <v>13</v>
      </c>
      <c r="B190" s="2">
        <v>189</v>
      </c>
      <c r="C190" s="2">
        <v>1</v>
      </c>
      <c r="D190" s="2">
        <v>0</v>
      </c>
      <c r="E190" s="2">
        <v>0.85</v>
      </c>
      <c r="F190" s="2">
        <v>2</v>
      </c>
    </row>
    <row r="191" spans="1:6" ht="14.25" customHeight="1">
      <c r="A191" s="2">
        <v>13</v>
      </c>
      <c r="B191" s="2">
        <v>190</v>
      </c>
      <c r="C191" s="2">
        <v>8</v>
      </c>
      <c r="D191" s="2">
        <v>1</v>
      </c>
      <c r="E191" s="2">
        <v>1.0449999999999999</v>
      </c>
      <c r="F191" s="2">
        <v>2</v>
      </c>
    </row>
    <row r="192" spans="1:6" ht="14.25" customHeight="1">
      <c r="A192" s="2">
        <v>13</v>
      </c>
      <c r="B192" s="2">
        <v>191</v>
      </c>
      <c r="C192" s="2">
        <v>2</v>
      </c>
      <c r="D192" s="2">
        <v>1</v>
      </c>
      <c r="E192" s="2">
        <v>0.40699999999999997</v>
      </c>
      <c r="F192" s="2">
        <v>1</v>
      </c>
    </row>
    <row r="193" spans="1:6" ht="14.25" customHeight="1">
      <c r="A193" s="2">
        <v>13</v>
      </c>
      <c r="B193" s="2">
        <v>192</v>
      </c>
      <c r="C193" s="2">
        <v>1</v>
      </c>
      <c r="D193" s="2">
        <v>1</v>
      </c>
      <c r="E193" s="2">
        <v>1.036</v>
      </c>
      <c r="F193" s="2">
        <v>1</v>
      </c>
    </row>
    <row r="194" spans="1:6" ht="14.25" customHeight="1">
      <c r="A194" s="2">
        <v>13</v>
      </c>
      <c r="B194" s="2">
        <v>193</v>
      </c>
      <c r="C194" s="2">
        <v>3</v>
      </c>
      <c r="D194" s="2">
        <v>1</v>
      </c>
      <c r="E194" s="2">
        <v>1.6220000000000001</v>
      </c>
      <c r="F194" s="2">
        <v>2</v>
      </c>
    </row>
    <row r="195" spans="1:6" ht="14.25" customHeight="1">
      <c r="A195" s="2">
        <v>13</v>
      </c>
      <c r="B195" s="2">
        <v>194</v>
      </c>
      <c r="C195" s="2">
        <v>5</v>
      </c>
      <c r="D195" s="2">
        <v>1</v>
      </c>
      <c r="E195" s="2">
        <v>0.97799999999999998</v>
      </c>
      <c r="F195" s="2">
        <v>1</v>
      </c>
    </row>
    <row r="196" spans="1:6" ht="14.25" customHeight="1">
      <c r="A196" s="2">
        <v>13</v>
      </c>
      <c r="B196" s="2">
        <v>195</v>
      </c>
      <c r="C196" s="2">
        <v>8</v>
      </c>
      <c r="D196" s="2">
        <v>1</v>
      </c>
      <c r="E196" s="2">
        <v>1.5269999999999999</v>
      </c>
      <c r="F196" s="2">
        <v>2</v>
      </c>
    </row>
    <row r="197" spans="1:6" ht="14.25" customHeight="1">
      <c r="A197" s="2">
        <v>13</v>
      </c>
      <c r="B197" s="2">
        <v>196</v>
      </c>
      <c r="C197" s="2">
        <v>7</v>
      </c>
      <c r="D197" s="2">
        <v>0</v>
      </c>
      <c r="E197" s="2">
        <v>1.27</v>
      </c>
      <c r="F197" s="2">
        <v>1</v>
      </c>
    </row>
    <row r="198" spans="1:6" ht="14.25" customHeight="1">
      <c r="A198" s="2">
        <v>13</v>
      </c>
      <c r="B198" s="2">
        <v>197</v>
      </c>
      <c r="C198" s="2">
        <v>1</v>
      </c>
      <c r="D198" s="2">
        <v>1</v>
      </c>
      <c r="E198" s="2">
        <v>0.82399999999999995</v>
      </c>
      <c r="F198" s="2">
        <v>2</v>
      </c>
    </row>
    <row r="199" spans="1:6" ht="14.25" customHeight="1">
      <c r="A199" s="2">
        <v>13</v>
      </c>
      <c r="B199" s="2">
        <v>198</v>
      </c>
      <c r="C199" s="2">
        <v>7</v>
      </c>
      <c r="D199" s="2">
        <v>1</v>
      </c>
      <c r="E199" s="2">
        <v>0.71399999999999997</v>
      </c>
      <c r="F199" s="2">
        <v>2</v>
      </c>
    </row>
    <row r="200" spans="1:6" ht="14.25" customHeight="1">
      <c r="A200" s="2">
        <v>13</v>
      </c>
      <c r="B200" s="2">
        <v>199</v>
      </c>
      <c r="C200" s="2">
        <v>1</v>
      </c>
      <c r="D200" s="2">
        <v>1</v>
      </c>
      <c r="E200" s="2">
        <v>1.5940000000000001</v>
      </c>
      <c r="F200" s="2">
        <v>2</v>
      </c>
    </row>
    <row r="201" spans="1:6" ht="14.25" customHeight="1">
      <c r="A201" s="2">
        <v>13</v>
      </c>
      <c r="B201" s="2">
        <v>200</v>
      </c>
      <c r="C201" s="2">
        <v>7</v>
      </c>
      <c r="D201" s="2">
        <v>1</v>
      </c>
      <c r="E201" s="2">
        <v>1.1990000000000001</v>
      </c>
      <c r="F201" s="2">
        <v>1</v>
      </c>
    </row>
    <row r="202" spans="1:6" ht="14.25" customHeight="1">
      <c r="A202" s="2">
        <v>13</v>
      </c>
      <c r="B202" s="2">
        <v>201</v>
      </c>
      <c r="C202" s="2">
        <v>5</v>
      </c>
      <c r="D202" s="2">
        <v>1</v>
      </c>
      <c r="E202" s="2">
        <v>0.68200000000000005</v>
      </c>
      <c r="F202" s="2">
        <v>2</v>
      </c>
    </row>
    <row r="203" spans="1:6" ht="14.25" customHeight="1">
      <c r="A203" s="2">
        <v>13</v>
      </c>
      <c r="B203" s="2">
        <v>202</v>
      </c>
      <c r="C203" s="2">
        <v>7</v>
      </c>
      <c r="D203" s="2">
        <v>1</v>
      </c>
      <c r="E203" s="2">
        <v>0.85899999999999999</v>
      </c>
      <c r="F203" s="2">
        <v>2</v>
      </c>
    </row>
    <row r="204" spans="1:6" ht="14.25" customHeight="1">
      <c r="A204" s="2">
        <v>13</v>
      </c>
      <c r="B204" s="2">
        <v>203</v>
      </c>
      <c r="C204" s="2">
        <v>6</v>
      </c>
      <c r="D204" s="2">
        <v>1</v>
      </c>
      <c r="E204" s="2">
        <v>1.3169999999999999</v>
      </c>
      <c r="F204" s="2">
        <v>1</v>
      </c>
    </row>
    <row r="205" spans="1:6" ht="14.25" customHeight="1">
      <c r="A205" s="2">
        <v>13</v>
      </c>
      <c r="B205" s="2">
        <v>204</v>
      </c>
      <c r="C205" s="2">
        <v>7</v>
      </c>
      <c r="D205" s="2">
        <v>0</v>
      </c>
      <c r="E205" s="2">
        <v>1.4610000000000001</v>
      </c>
      <c r="F205" s="2">
        <v>1</v>
      </c>
    </row>
    <row r="206" spans="1:6" ht="14.25" customHeight="1">
      <c r="A206" s="2">
        <v>13</v>
      </c>
      <c r="B206" s="2">
        <v>205</v>
      </c>
      <c r="C206" s="2">
        <v>2</v>
      </c>
      <c r="D206" s="2">
        <v>0</v>
      </c>
      <c r="E206" s="2">
        <v>0.83899999999999997</v>
      </c>
      <c r="F206" s="2">
        <v>1</v>
      </c>
    </row>
    <row r="207" spans="1:6" ht="14.25" customHeight="1">
      <c r="A207" s="2">
        <v>13</v>
      </c>
      <c r="B207" s="2">
        <v>206</v>
      </c>
      <c r="C207" s="2">
        <v>4</v>
      </c>
      <c r="D207" s="2">
        <v>1</v>
      </c>
      <c r="E207" s="2">
        <v>0.88100000000000001</v>
      </c>
      <c r="F207" s="2">
        <v>2</v>
      </c>
    </row>
    <row r="208" spans="1:6" ht="14.25" customHeight="1">
      <c r="A208" s="2">
        <v>13</v>
      </c>
      <c r="B208" s="2">
        <v>207</v>
      </c>
      <c r="C208" s="2">
        <v>5</v>
      </c>
      <c r="D208" s="2">
        <v>1</v>
      </c>
      <c r="E208" s="2">
        <v>0.754</v>
      </c>
      <c r="F208" s="2">
        <v>2</v>
      </c>
    </row>
    <row r="209" spans="1:6" ht="14.25" customHeight="1">
      <c r="A209" s="2">
        <v>13</v>
      </c>
      <c r="B209" s="2">
        <v>208</v>
      </c>
      <c r="C209" s="2">
        <v>2</v>
      </c>
      <c r="D209" s="2">
        <v>1</v>
      </c>
      <c r="E209" s="2">
        <v>1.353</v>
      </c>
      <c r="F209" s="2">
        <v>2</v>
      </c>
    </row>
    <row r="210" spans="1:6" ht="14.25" customHeight="1">
      <c r="A210" s="2">
        <v>13</v>
      </c>
      <c r="B210" s="2">
        <v>209</v>
      </c>
      <c r="C210" s="2">
        <v>7</v>
      </c>
      <c r="D210" s="2">
        <v>1</v>
      </c>
      <c r="E210" s="2">
        <v>0.63900000000000001</v>
      </c>
      <c r="F210" s="2">
        <v>1</v>
      </c>
    </row>
    <row r="211" spans="1:6" ht="14.25" customHeight="1">
      <c r="A211" s="2">
        <v>13</v>
      </c>
      <c r="B211" s="2">
        <v>210</v>
      </c>
      <c r="C211" s="2">
        <v>6</v>
      </c>
      <c r="D211" s="2">
        <v>1</v>
      </c>
      <c r="E211" s="2">
        <v>0.77</v>
      </c>
      <c r="F211" s="2">
        <v>2</v>
      </c>
    </row>
    <row r="212" spans="1:6" ht="14.25" customHeight="1">
      <c r="A212" s="2">
        <v>13</v>
      </c>
      <c r="B212" s="2">
        <v>211</v>
      </c>
      <c r="C212" s="2">
        <v>5</v>
      </c>
      <c r="D212" s="2">
        <v>0</v>
      </c>
      <c r="E212" s="2">
        <v>0.83</v>
      </c>
      <c r="F212" s="2">
        <v>1</v>
      </c>
    </row>
    <row r="213" spans="1:6" ht="14.25" customHeight="1">
      <c r="A213" s="2">
        <v>13</v>
      </c>
      <c r="B213" s="2">
        <v>212</v>
      </c>
      <c r="C213" s="2">
        <v>2</v>
      </c>
      <c r="D213" s="2">
        <v>1</v>
      </c>
      <c r="E213" s="2">
        <v>1.282</v>
      </c>
      <c r="F213" s="2">
        <v>2</v>
      </c>
    </row>
    <row r="214" spans="1:6" ht="14.25" customHeight="1">
      <c r="A214" s="2">
        <v>13</v>
      </c>
      <c r="B214" s="2">
        <v>213</v>
      </c>
      <c r="C214" s="2">
        <v>7</v>
      </c>
      <c r="D214" s="2">
        <v>1</v>
      </c>
      <c r="E214" s="2">
        <v>0.79500000000000004</v>
      </c>
      <c r="F214" s="2">
        <v>2</v>
      </c>
    </row>
    <row r="215" spans="1:6" ht="14.25" customHeight="1">
      <c r="A215" s="2">
        <v>13</v>
      </c>
      <c r="B215" s="2">
        <v>214</v>
      </c>
      <c r="C215" s="2">
        <v>2</v>
      </c>
      <c r="D215" s="2">
        <v>0</v>
      </c>
      <c r="E215" s="2">
        <v>0.92700000000000005</v>
      </c>
      <c r="F215" s="2">
        <v>2</v>
      </c>
    </row>
    <row r="216" spans="1:6" ht="14.25" customHeight="1">
      <c r="A216" s="2">
        <v>13</v>
      </c>
      <c r="B216" s="2">
        <v>215</v>
      </c>
      <c r="C216" s="2">
        <v>1</v>
      </c>
      <c r="D216" s="2">
        <v>1</v>
      </c>
      <c r="E216" s="2">
        <v>0.67</v>
      </c>
      <c r="F216" s="2">
        <v>2</v>
      </c>
    </row>
    <row r="217" spans="1:6" ht="14.25" customHeight="1">
      <c r="A217" s="2">
        <v>13</v>
      </c>
      <c r="B217" s="2">
        <v>216</v>
      </c>
      <c r="C217" s="2">
        <v>7</v>
      </c>
      <c r="D217" s="2">
        <v>1</v>
      </c>
      <c r="E217" s="2">
        <v>0.89600000000000002</v>
      </c>
      <c r="F217" s="2">
        <v>1</v>
      </c>
    </row>
    <row r="218" spans="1:6" ht="14.25" customHeight="1">
      <c r="A218" s="2">
        <v>13</v>
      </c>
      <c r="B218" s="2">
        <v>217</v>
      </c>
      <c r="C218" s="2">
        <v>1</v>
      </c>
      <c r="D218" s="2">
        <v>1</v>
      </c>
      <c r="E218" s="2">
        <v>1.1599999999999999</v>
      </c>
      <c r="F218" s="2">
        <v>1</v>
      </c>
    </row>
    <row r="219" spans="1:6" ht="14.25" customHeight="1">
      <c r="A219" s="2">
        <v>13</v>
      </c>
      <c r="B219" s="2">
        <v>218</v>
      </c>
      <c r="C219" s="2">
        <v>7</v>
      </c>
      <c r="D219" s="2">
        <v>1</v>
      </c>
      <c r="E219" s="2">
        <v>1.431</v>
      </c>
      <c r="F219" s="2">
        <v>1</v>
      </c>
    </row>
    <row r="220" spans="1:6" ht="14.25" customHeight="1">
      <c r="A220" s="2">
        <v>13</v>
      </c>
      <c r="B220" s="2">
        <v>219</v>
      </c>
      <c r="C220" s="2">
        <v>5</v>
      </c>
      <c r="D220" s="2">
        <v>1</v>
      </c>
      <c r="E220" s="2">
        <v>1.0660000000000001</v>
      </c>
      <c r="F220" s="2">
        <v>1</v>
      </c>
    </row>
    <row r="221" spans="1:6" ht="14.25" customHeight="1">
      <c r="A221" s="2">
        <v>13</v>
      </c>
      <c r="B221" s="2">
        <v>220</v>
      </c>
      <c r="C221" s="2">
        <v>8</v>
      </c>
      <c r="D221" s="2">
        <v>1</v>
      </c>
      <c r="E221" s="2">
        <v>1.1240000000000001</v>
      </c>
      <c r="F221" s="2">
        <v>1</v>
      </c>
    </row>
    <row r="222" spans="1:6" ht="14.25" customHeight="1">
      <c r="A222" s="2">
        <v>13</v>
      </c>
      <c r="B222" s="2">
        <v>221</v>
      </c>
      <c r="C222" s="2">
        <v>6</v>
      </c>
      <c r="D222" s="2">
        <v>1</v>
      </c>
      <c r="E222" s="2">
        <v>1.155</v>
      </c>
      <c r="F222" s="2">
        <v>2</v>
      </c>
    </row>
    <row r="223" spans="1:6" ht="14.25" customHeight="1">
      <c r="A223" s="2">
        <v>13</v>
      </c>
      <c r="B223" s="2">
        <v>222</v>
      </c>
      <c r="C223" s="2">
        <v>3</v>
      </c>
      <c r="D223" s="2">
        <v>1</v>
      </c>
      <c r="E223" s="2">
        <v>0.65700000000000003</v>
      </c>
      <c r="F223" s="2">
        <v>1</v>
      </c>
    </row>
    <row r="224" spans="1:6" ht="14.25" customHeight="1">
      <c r="A224" s="2">
        <v>13</v>
      </c>
      <c r="B224" s="2">
        <v>223</v>
      </c>
      <c r="C224" s="2">
        <v>1</v>
      </c>
      <c r="D224" s="2">
        <v>1</v>
      </c>
      <c r="E224" s="2">
        <v>1.579</v>
      </c>
      <c r="F224" s="2">
        <v>1</v>
      </c>
    </row>
    <row r="225" spans="1:6" ht="14.25" customHeight="1">
      <c r="A225" s="2">
        <v>13</v>
      </c>
      <c r="B225" s="2">
        <v>224</v>
      </c>
      <c r="C225" s="2">
        <v>3</v>
      </c>
      <c r="D225" s="2">
        <v>1</v>
      </c>
      <c r="E225" s="2">
        <v>0.84099999999999997</v>
      </c>
      <c r="F225" s="2">
        <v>1</v>
      </c>
    </row>
    <row r="226" spans="1:6" ht="14.25" customHeight="1">
      <c r="A226" s="2">
        <v>13</v>
      </c>
      <c r="B226" s="2">
        <v>225</v>
      </c>
      <c r="C226" s="2">
        <v>4</v>
      </c>
      <c r="D226" s="2">
        <v>1</v>
      </c>
      <c r="E226" s="2">
        <v>0.76300000000000001</v>
      </c>
      <c r="F226" s="2">
        <v>1</v>
      </c>
    </row>
    <row r="227" spans="1:6" ht="14.25" customHeight="1">
      <c r="A227" s="2">
        <v>13</v>
      </c>
      <c r="B227" s="2">
        <v>226</v>
      </c>
      <c r="C227" s="2">
        <v>2</v>
      </c>
      <c r="D227" s="2">
        <v>1</v>
      </c>
      <c r="E227" s="2">
        <v>1.2170000000000001</v>
      </c>
      <c r="F227" s="2">
        <v>2</v>
      </c>
    </row>
    <row r="228" spans="1:6" ht="14.25" customHeight="1">
      <c r="A228" s="2">
        <v>13</v>
      </c>
      <c r="B228" s="2">
        <v>227</v>
      </c>
      <c r="C228" s="2">
        <v>6</v>
      </c>
      <c r="D228" s="2">
        <v>1</v>
      </c>
      <c r="E228" s="2">
        <v>0.9</v>
      </c>
      <c r="F228" s="2">
        <v>2</v>
      </c>
    </row>
    <row r="229" spans="1:6" ht="14.25" customHeight="1">
      <c r="A229" s="2">
        <v>13</v>
      </c>
      <c r="B229" s="2">
        <v>228</v>
      </c>
      <c r="C229" s="2">
        <v>4</v>
      </c>
      <c r="D229" s="2">
        <v>1</v>
      </c>
      <c r="E229" s="2">
        <v>1.365</v>
      </c>
      <c r="F229" s="2">
        <v>1</v>
      </c>
    </row>
    <row r="230" spans="1:6" ht="14.25" customHeight="1">
      <c r="A230" s="2">
        <v>13</v>
      </c>
      <c r="B230" s="2">
        <v>229</v>
      </c>
      <c r="C230" s="2">
        <v>8</v>
      </c>
      <c r="D230" s="2">
        <v>1</v>
      </c>
      <c r="E230" s="2">
        <v>1.762</v>
      </c>
      <c r="F230" s="2">
        <v>1</v>
      </c>
    </row>
    <row r="231" spans="1:6" ht="14.25" customHeight="1">
      <c r="A231" s="2">
        <v>13</v>
      </c>
      <c r="B231" s="2">
        <v>230</v>
      </c>
      <c r="C231" s="2">
        <v>3</v>
      </c>
      <c r="D231" s="2">
        <v>1</v>
      </c>
      <c r="E231" s="2">
        <v>0.81699999999999995</v>
      </c>
      <c r="F231" s="2">
        <v>1</v>
      </c>
    </row>
    <row r="232" spans="1:6" ht="14.25" customHeight="1">
      <c r="A232" s="2">
        <v>13</v>
      </c>
      <c r="B232" s="2">
        <v>231</v>
      </c>
      <c r="C232" s="2">
        <v>6</v>
      </c>
      <c r="D232" s="2">
        <v>0</v>
      </c>
      <c r="E232" s="2">
        <v>1.4930000000000001</v>
      </c>
      <c r="F232" s="2">
        <v>1</v>
      </c>
    </row>
    <row r="233" spans="1:6" ht="14.25" customHeight="1">
      <c r="A233" s="2">
        <v>13</v>
      </c>
      <c r="B233" s="2">
        <v>232</v>
      </c>
      <c r="C233" s="2">
        <v>1</v>
      </c>
      <c r="D233" s="2">
        <v>1</v>
      </c>
      <c r="E233" s="2">
        <v>1.012</v>
      </c>
      <c r="F233" s="2">
        <v>2</v>
      </c>
    </row>
    <row r="234" spans="1:6" ht="14.25" customHeight="1">
      <c r="A234" s="2">
        <v>13</v>
      </c>
      <c r="B234" s="2">
        <v>233</v>
      </c>
      <c r="C234" s="2">
        <v>8</v>
      </c>
      <c r="D234" s="2">
        <v>1</v>
      </c>
      <c r="E234" s="2">
        <v>1.9039999999999999</v>
      </c>
      <c r="F234" s="2">
        <v>1</v>
      </c>
    </row>
    <row r="235" spans="1:6" ht="14.25" customHeight="1">
      <c r="A235" s="2">
        <v>13</v>
      </c>
      <c r="B235" s="2">
        <v>234</v>
      </c>
      <c r="C235" s="2">
        <v>3</v>
      </c>
      <c r="D235" s="2">
        <v>1</v>
      </c>
      <c r="E235" s="2">
        <v>0.86499999999999999</v>
      </c>
      <c r="F235" s="2">
        <v>1</v>
      </c>
    </row>
    <row r="236" spans="1:6" ht="14.25" customHeight="1">
      <c r="A236" s="2">
        <v>13</v>
      </c>
      <c r="B236" s="2">
        <v>235</v>
      </c>
      <c r="C236" s="2">
        <v>2</v>
      </c>
      <c r="D236" s="2">
        <v>1</v>
      </c>
      <c r="E236" s="2">
        <v>0.995</v>
      </c>
      <c r="F236" s="2">
        <v>1</v>
      </c>
    </row>
    <row r="237" spans="1:6" ht="14.25" customHeight="1">
      <c r="A237" s="2">
        <v>13</v>
      </c>
      <c r="B237" s="2">
        <v>236</v>
      </c>
      <c r="C237" s="2">
        <v>6</v>
      </c>
      <c r="D237" s="2">
        <v>1</v>
      </c>
      <c r="E237" s="2">
        <v>1.119</v>
      </c>
      <c r="F237" s="2">
        <v>1</v>
      </c>
    </row>
    <row r="238" spans="1:6" ht="14.25" customHeight="1">
      <c r="A238" s="2">
        <v>13</v>
      </c>
      <c r="B238" s="2">
        <v>237</v>
      </c>
      <c r="C238" s="2">
        <v>4</v>
      </c>
      <c r="D238" s="2">
        <v>1</v>
      </c>
      <c r="E238" s="2">
        <v>1.2230000000000001</v>
      </c>
      <c r="F238" s="2">
        <v>2</v>
      </c>
    </row>
    <row r="239" spans="1:6" ht="14.25" customHeight="1">
      <c r="A239" s="2">
        <v>13</v>
      </c>
      <c r="B239" s="2">
        <v>238</v>
      </c>
      <c r="C239" s="2">
        <v>5</v>
      </c>
      <c r="D239" s="2">
        <v>1</v>
      </c>
      <c r="E239" s="2">
        <v>0.79400000000000004</v>
      </c>
      <c r="F239" s="2">
        <v>1</v>
      </c>
    </row>
    <row r="240" spans="1:6" ht="14.25" customHeight="1">
      <c r="A240" s="2">
        <v>13</v>
      </c>
      <c r="B240" s="2">
        <v>239</v>
      </c>
      <c r="C240" s="2">
        <v>3</v>
      </c>
      <c r="D240" s="2">
        <v>1</v>
      </c>
      <c r="E240" s="2">
        <v>0.80700000000000005</v>
      </c>
      <c r="F240" s="2">
        <v>1</v>
      </c>
    </row>
    <row r="241" spans="1:6" ht="14.25" customHeight="1">
      <c r="A241" s="2">
        <v>13</v>
      </c>
      <c r="B241" s="2">
        <v>240</v>
      </c>
      <c r="C241" s="2">
        <v>5</v>
      </c>
      <c r="D241" s="2">
        <v>1</v>
      </c>
      <c r="E241" s="2">
        <v>0.875</v>
      </c>
      <c r="F241" s="2">
        <v>2</v>
      </c>
    </row>
    <row r="242" spans="1:6" ht="14.25" customHeight="1">
      <c r="A242" s="2">
        <v>13</v>
      </c>
      <c r="B242" s="2">
        <v>241</v>
      </c>
      <c r="C242" s="2">
        <v>4</v>
      </c>
      <c r="D242" s="2">
        <v>1</v>
      </c>
      <c r="E242" s="2">
        <v>0.83599999999999997</v>
      </c>
      <c r="F242" s="2">
        <v>1</v>
      </c>
    </row>
    <row r="243" spans="1:6" ht="14.25" customHeight="1">
      <c r="A243" s="2">
        <v>13</v>
      </c>
      <c r="B243" s="2">
        <v>242</v>
      </c>
      <c r="C243" s="2">
        <v>8</v>
      </c>
      <c r="D243" s="2">
        <v>1</v>
      </c>
      <c r="E243" s="2">
        <v>1.3660000000000001</v>
      </c>
      <c r="F243" s="2">
        <v>1</v>
      </c>
    </row>
    <row r="244" spans="1:6" ht="14.25" customHeight="1">
      <c r="A244" s="2">
        <v>13</v>
      </c>
      <c r="B244" s="2">
        <v>243</v>
      </c>
      <c r="C244" s="2">
        <v>7</v>
      </c>
      <c r="D244" s="2">
        <v>1</v>
      </c>
      <c r="E244" s="2">
        <v>0.86899999999999999</v>
      </c>
      <c r="F244" s="2">
        <v>2</v>
      </c>
    </row>
    <row r="245" spans="1:6" ht="14.25" customHeight="1">
      <c r="A245" s="2">
        <v>13</v>
      </c>
      <c r="B245" s="2">
        <v>244</v>
      </c>
      <c r="C245" s="2">
        <v>4</v>
      </c>
      <c r="D245" s="2">
        <v>1</v>
      </c>
      <c r="E245" s="2">
        <v>0.96599999999999997</v>
      </c>
      <c r="F245" s="2">
        <v>1</v>
      </c>
    </row>
    <row r="246" spans="1:6" ht="14.25" customHeight="1">
      <c r="A246" s="2">
        <v>13</v>
      </c>
      <c r="B246" s="2">
        <v>245</v>
      </c>
      <c r="C246" s="2">
        <v>8</v>
      </c>
      <c r="D246" s="2">
        <v>1</v>
      </c>
      <c r="E246" s="2">
        <v>1.6439999999999999</v>
      </c>
      <c r="F246" s="2">
        <v>2</v>
      </c>
    </row>
    <row r="247" spans="1:6" ht="14.25" customHeight="1">
      <c r="A247" s="2">
        <v>13</v>
      </c>
      <c r="B247" s="2">
        <v>246</v>
      </c>
      <c r="C247" s="2">
        <v>3</v>
      </c>
      <c r="D247" s="2">
        <v>1</v>
      </c>
      <c r="E247" s="2">
        <v>1.087</v>
      </c>
      <c r="F247" s="2">
        <v>2</v>
      </c>
    </row>
    <row r="248" spans="1:6" ht="14.25" customHeight="1">
      <c r="A248" s="2">
        <v>13</v>
      </c>
      <c r="B248" s="2">
        <v>247</v>
      </c>
      <c r="C248" s="2">
        <v>8</v>
      </c>
      <c r="D248" s="2">
        <v>1</v>
      </c>
      <c r="E248" s="2">
        <v>1.111</v>
      </c>
      <c r="F248" s="2">
        <v>2</v>
      </c>
    </row>
    <row r="249" spans="1:6" ht="14.25" customHeight="1">
      <c r="A249" s="2">
        <v>13</v>
      </c>
      <c r="B249" s="2">
        <v>248</v>
      </c>
      <c r="C249" s="2">
        <v>1</v>
      </c>
      <c r="D249" s="2">
        <v>1</v>
      </c>
      <c r="E249" s="2">
        <v>1.8069999999999999</v>
      </c>
      <c r="F249" s="2">
        <v>2</v>
      </c>
    </row>
    <row r="250" spans="1:6" ht="14.25" customHeight="1">
      <c r="A250" s="2">
        <v>13</v>
      </c>
      <c r="B250" s="2">
        <v>249</v>
      </c>
      <c r="C250" s="2">
        <v>6</v>
      </c>
      <c r="D250" s="2">
        <v>1</v>
      </c>
      <c r="E250" s="2">
        <v>1.22</v>
      </c>
      <c r="F250" s="2">
        <v>2</v>
      </c>
    </row>
    <row r="251" spans="1:6" ht="14.25" customHeight="1">
      <c r="A251" s="2">
        <v>13</v>
      </c>
      <c r="B251" s="2">
        <v>250</v>
      </c>
      <c r="C251" s="2">
        <v>1</v>
      </c>
      <c r="D251" s="2">
        <v>1</v>
      </c>
      <c r="E251" s="2">
        <v>0.998</v>
      </c>
      <c r="F251" s="2">
        <v>1</v>
      </c>
    </row>
    <row r="252" spans="1:6" ht="14.25" customHeight="1">
      <c r="A252" s="2">
        <v>13</v>
      </c>
      <c r="B252" s="2">
        <v>251</v>
      </c>
      <c r="C252" s="2">
        <v>3</v>
      </c>
      <c r="D252" s="2">
        <v>1</v>
      </c>
      <c r="E252" s="2">
        <v>1.458</v>
      </c>
      <c r="F252" s="2">
        <v>2</v>
      </c>
    </row>
    <row r="253" spans="1:6" ht="14.25" customHeight="1">
      <c r="A253" s="2">
        <v>13</v>
      </c>
      <c r="B253" s="2">
        <v>252</v>
      </c>
      <c r="C253" s="2">
        <v>8</v>
      </c>
      <c r="D253" s="2">
        <v>1</v>
      </c>
      <c r="E253" s="2">
        <v>0.75600000000000001</v>
      </c>
      <c r="F253" s="2">
        <v>2</v>
      </c>
    </row>
    <row r="254" spans="1:6" ht="14.25" customHeight="1">
      <c r="A254" s="2">
        <v>13</v>
      </c>
      <c r="B254" s="2">
        <v>253</v>
      </c>
      <c r="C254" s="2">
        <v>4</v>
      </c>
      <c r="D254" s="2">
        <v>1</v>
      </c>
      <c r="E254" s="2">
        <v>1.3460000000000001</v>
      </c>
      <c r="F254" s="2">
        <v>1</v>
      </c>
    </row>
    <row r="255" spans="1:6" ht="14.25" customHeight="1">
      <c r="A255" s="2">
        <v>13</v>
      </c>
      <c r="B255" s="2">
        <v>254</v>
      </c>
      <c r="C255" s="2">
        <v>1</v>
      </c>
      <c r="D255" s="2">
        <v>1</v>
      </c>
      <c r="E255" s="2">
        <v>0.79300000000000004</v>
      </c>
      <c r="F255" s="2">
        <v>2</v>
      </c>
    </row>
    <row r="256" spans="1:6" ht="14.25" customHeight="1">
      <c r="A256" s="2">
        <v>13</v>
      </c>
      <c r="B256" s="2">
        <v>255</v>
      </c>
      <c r="C256" s="2">
        <v>5</v>
      </c>
      <c r="D256" s="2">
        <v>0</v>
      </c>
      <c r="E256" s="2">
        <v>1.4930000000000001</v>
      </c>
      <c r="F256" s="2">
        <v>1</v>
      </c>
    </row>
    <row r="257" spans="1:6" ht="14.25" customHeight="1">
      <c r="A257" s="2">
        <v>13</v>
      </c>
      <c r="B257" s="2">
        <v>256</v>
      </c>
      <c r="C257" s="2">
        <v>3</v>
      </c>
      <c r="D257" s="2">
        <v>1</v>
      </c>
      <c r="E257" s="2">
        <v>1.1020000000000001</v>
      </c>
      <c r="F257" s="2">
        <v>2</v>
      </c>
    </row>
    <row r="258" spans="1:6" ht="14.25" customHeight="1">
      <c r="A258" s="2">
        <v>13</v>
      </c>
      <c r="B258" s="2">
        <v>257</v>
      </c>
      <c r="C258" s="2">
        <v>5</v>
      </c>
      <c r="D258" s="2">
        <v>1</v>
      </c>
      <c r="E258" s="2">
        <v>0.74199999999999999</v>
      </c>
      <c r="F258" s="2">
        <v>2</v>
      </c>
    </row>
    <row r="259" spans="1:6" ht="14.25" customHeight="1">
      <c r="A259" s="2">
        <v>13</v>
      </c>
      <c r="B259" s="2">
        <v>258</v>
      </c>
      <c r="C259" s="2">
        <v>7</v>
      </c>
      <c r="D259" s="2">
        <v>1</v>
      </c>
      <c r="E259" s="2">
        <v>0.78100000000000003</v>
      </c>
      <c r="F259" s="2">
        <v>2</v>
      </c>
    </row>
    <row r="260" spans="1:6" ht="14.25" customHeight="1">
      <c r="A260" s="2">
        <v>13</v>
      </c>
      <c r="B260" s="2">
        <v>259</v>
      </c>
      <c r="C260" s="2">
        <v>2</v>
      </c>
      <c r="D260" s="2">
        <v>1</v>
      </c>
      <c r="E260" s="2">
        <v>1.0900000000000001</v>
      </c>
      <c r="F260" s="2">
        <v>1</v>
      </c>
    </row>
    <row r="261" spans="1:6" ht="14.25" customHeight="1">
      <c r="A261" s="2">
        <v>13</v>
      </c>
      <c r="B261" s="2">
        <v>260</v>
      </c>
      <c r="C261" s="2">
        <v>1</v>
      </c>
      <c r="D261" s="2">
        <v>1</v>
      </c>
      <c r="E261" s="2">
        <v>0.65900000000000003</v>
      </c>
      <c r="F261" s="2">
        <v>2</v>
      </c>
    </row>
    <row r="262" spans="1:6" ht="14.25" customHeight="1">
      <c r="A262" s="2">
        <v>13</v>
      </c>
      <c r="B262" s="2">
        <v>261</v>
      </c>
      <c r="C262" s="2">
        <v>7</v>
      </c>
      <c r="E262" s="2">
        <v>2.0009999999999999</v>
      </c>
    </row>
    <row r="263" spans="1:6" ht="14.25" customHeight="1">
      <c r="A263" s="2">
        <v>13</v>
      </c>
      <c r="B263" s="2">
        <v>262</v>
      </c>
      <c r="C263" s="2">
        <v>6</v>
      </c>
      <c r="D263" s="2">
        <v>1</v>
      </c>
      <c r="E263" s="2">
        <v>0.96799999999999997</v>
      </c>
      <c r="F263" s="2">
        <v>2</v>
      </c>
    </row>
    <row r="264" spans="1:6" ht="14.25" customHeight="1">
      <c r="A264" s="2">
        <v>13</v>
      </c>
      <c r="B264" s="2">
        <v>263</v>
      </c>
      <c r="C264" s="2">
        <v>1</v>
      </c>
      <c r="D264" s="2">
        <v>1</v>
      </c>
      <c r="E264" s="2">
        <v>0.83799999999999997</v>
      </c>
      <c r="F264" s="2">
        <v>2</v>
      </c>
    </row>
    <row r="265" spans="1:6" ht="14.25" customHeight="1">
      <c r="A265" s="2">
        <v>13</v>
      </c>
      <c r="B265" s="2">
        <v>264</v>
      </c>
      <c r="C265" s="2">
        <v>6</v>
      </c>
      <c r="D265" s="2">
        <v>1</v>
      </c>
      <c r="E265" s="2">
        <v>0.72099999999999997</v>
      </c>
      <c r="F265" s="2">
        <v>1</v>
      </c>
    </row>
    <row r="266" spans="1:6" ht="14.25" customHeight="1">
      <c r="A266" s="2">
        <v>13</v>
      </c>
      <c r="B266" s="2">
        <v>265</v>
      </c>
      <c r="C266" s="2">
        <v>1</v>
      </c>
      <c r="D266" s="2">
        <v>1</v>
      </c>
      <c r="E266" s="2">
        <v>0.73599999999999999</v>
      </c>
      <c r="F266" s="2">
        <v>2</v>
      </c>
    </row>
    <row r="267" spans="1:6" ht="14.25" customHeight="1">
      <c r="A267" s="2">
        <v>13</v>
      </c>
      <c r="B267" s="2">
        <v>266</v>
      </c>
      <c r="C267" s="2">
        <v>8</v>
      </c>
      <c r="D267" s="2">
        <v>1</v>
      </c>
      <c r="E267" s="2">
        <v>0.623</v>
      </c>
      <c r="F267" s="2">
        <v>1</v>
      </c>
    </row>
    <row r="268" spans="1:6" ht="14.25" customHeight="1">
      <c r="A268" s="2">
        <v>13</v>
      </c>
      <c r="B268" s="2">
        <v>267</v>
      </c>
      <c r="C268" s="2">
        <v>4</v>
      </c>
      <c r="D268" s="2">
        <v>1</v>
      </c>
      <c r="E268" s="2">
        <v>0.73</v>
      </c>
      <c r="F268" s="2">
        <v>1</v>
      </c>
    </row>
    <row r="269" spans="1:6" ht="14.25" customHeight="1">
      <c r="A269" s="2">
        <v>13</v>
      </c>
      <c r="B269" s="2">
        <v>268</v>
      </c>
      <c r="C269" s="2">
        <v>7</v>
      </c>
      <c r="D269" s="2">
        <v>1</v>
      </c>
      <c r="E269" s="2">
        <v>1.45</v>
      </c>
      <c r="F269" s="2">
        <v>1</v>
      </c>
    </row>
    <row r="270" spans="1:6" ht="14.25" customHeight="1">
      <c r="A270" s="2">
        <v>13</v>
      </c>
      <c r="B270" s="2">
        <v>269</v>
      </c>
      <c r="C270" s="2">
        <v>2</v>
      </c>
      <c r="D270" s="2">
        <v>1</v>
      </c>
      <c r="E270" s="2">
        <v>0.58799999999999997</v>
      </c>
      <c r="F270" s="2">
        <v>1</v>
      </c>
    </row>
    <row r="271" spans="1:6" ht="14.25" customHeight="1">
      <c r="A271" s="2">
        <v>13</v>
      </c>
      <c r="B271" s="2">
        <v>270</v>
      </c>
      <c r="C271" s="2">
        <v>8</v>
      </c>
      <c r="D271" s="2">
        <v>1</v>
      </c>
      <c r="E271" s="2">
        <v>1.137</v>
      </c>
      <c r="F271" s="2">
        <v>1</v>
      </c>
    </row>
    <row r="272" spans="1:6" ht="14.25" customHeight="1">
      <c r="A272" s="2">
        <v>13</v>
      </c>
      <c r="B272" s="2">
        <v>271</v>
      </c>
      <c r="C272" s="2">
        <v>3</v>
      </c>
      <c r="D272" s="2">
        <v>1</v>
      </c>
      <c r="E272" s="2">
        <v>0.68700000000000006</v>
      </c>
      <c r="F272" s="2">
        <v>2</v>
      </c>
    </row>
    <row r="273" spans="1:6" ht="14.25" customHeight="1">
      <c r="A273" s="2">
        <v>13</v>
      </c>
      <c r="B273" s="2">
        <v>272</v>
      </c>
      <c r="C273" s="2">
        <v>7</v>
      </c>
      <c r="D273" s="2">
        <v>1</v>
      </c>
      <c r="E273" s="2">
        <v>0.60799999999999998</v>
      </c>
      <c r="F273" s="2">
        <v>1</v>
      </c>
    </row>
    <row r="274" spans="1:6" ht="14.25" customHeight="1">
      <c r="A274" s="2">
        <v>13</v>
      </c>
      <c r="B274" s="2">
        <v>273</v>
      </c>
      <c r="C274" s="2">
        <v>6</v>
      </c>
      <c r="D274" s="2">
        <v>1</v>
      </c>
      <c r="E274" s="2">
        <v>1.3320000000000001</v>
      </c>
      <c r="F274" s="2">
        <v>1</v>
      </c>
    </row>
    <row r="275" spans="1:6" ht="14.25" customHeight="1">
      <c r="A275" s="2">
        <v>13</v>
      </c>
      <c r="B275" s="2">
        <v>274</v>
      </c>
      <c r="C275" s="2">
        <v>2</v>
      </c>
      <c r="D275" s="2">
        <v>1</v>
      </c>
      <c r="E275" s="2">
        <v>0.71599999999999997</v>
      </c>
      <c r="F275" s="2">
        <v>1</v>
      </c>
    </row>
    <row r="276" spans="1:6" ht="14.25" customHeight="1">
      <c r="A276" s="2">
        <v>13</v>
      </c>
      <c r="B276" s="2">
        <v>275</v>
      </c>
      <c r="C276" s="2">
        <v>6</v>
      </c>
      <c r="D276" s="2">
        <v>1</v>
      </c>
      <c r="E276" s="2">
        <v>0.77900000000000003</v>
      </c>
      <c r="F276" s="2">
        <v>1</v>
      </c>
    </row>
    <row r="277" spans="1:6" ht="14.25" customHeight="1">
      <c r="A277" s="2">
        <v>13</v>
      </c>
      <c r="B277" s="2">
        <v>276</v>
      </c>
      <c r="C277" s="2">
        <v>3</v>
      </c>
      <c r="D277" s="2">
        <v>0</v>
      </c>
      <c r="E277" s="2">
        <v>1.3049999999999999</v>
      </c>
      <c r="F277" s="2">
        <v>1</v>
      </c>
    </row>
    <row r="278" spans="1:6" ht="14.25" customHeight="1">
      <c r="A278" s="2">
        <v>13</v>
      </c>
      <c r="B278" s="2">
        <v>277</v>
      </c>
      <c r="C278" s="2">
        <v>6</v>
      </c>
      <c r="D278" s="2">
        <v>1</v>
      </c>
      <c r="E278" s="2">
        <v>0.81699999999999995</v>
      </c>
      <c r="F278" s="2">
        <v>2</v>
      </c>
    </row>
    <row r="279" spans="1:6" ht="14.25" customHeight="1">
      <c r="A279" s="2">
        <v>13</v>
      </c>
      <c r="B279" s="2">
        <v>278</v>
      </c>
      <c r="C279" s="2">
        <v>8</v>
      </c>
      <c r="D279" s="2">
        <v>1</v>
      </c>
      <c r="E279" s="2">
        <v>1.052</v>
      </c>
      <c r="F279" s="2">
        <v>1</v>
      </c>
    </row>
    <row r="280" spans="1:6" ht="14.25" customHeight="1">
      <c r="A280" s="2">
        <v>13</v>
      </c>
      <c r="B280" s="2">
        <v>279</v>
      </c>
      <c r="C280" s="2">
        <v>1</v>
      </c>
      <c r="D280" s="2">
        <v>1</v>
      </c>
      <c r="E280" s="2">
        <v>1.5980000000000001</v>
      </c>
      <c r="F280" s="2">
        <v>1</v>
      </c>
    </row>
    <row r="281" spans="1:6" ht="14.25" customHeight="1">
      <c r="A281" s="2">
        <v>13</v>
      </c>
      <c r="B281" s="2">
        <v>280</v>
      </c>
      <c r="C281" s="2">
        <v>2</v>
      </c>
      <c r="D281" s="2">
        <v>1</v>
      </c>
      <c r="E281" s="2">
        <v>1.0509999999999999</v>
      </c>
      <c r="F281" s="2">
        <v>1</v>
      </c>
    </row>
    <row r="282" spans="1:6" ht="14.25" customHeight="1">
      <c r="A282" s="2">
        <v>13</v>
      </c>
      <c r="B282" s="2">
        <v>281</v>
      </c>
      <c r="C282" s="2">
        <v>4</v>
      </c>
      <c r="D282" s="2">
        <v>1</v>
      </c>
      <c r="E282" s="2">
        <v>1.772</v>
      </c>
      <c r="F282" s="2">
        <v>2</v>
      </c>
    </row>
    <row r="283" spans="1:6" ht="14.25" customHeight="1">
      <c r="A283" s="2">
        <v>13</v>
      </c>
      <c r="B283" s="2">
        <v>282</v>
      </c>
      <c r="C283" s="2">
        <v>5</v>
      </c>
      <c r="D283" s="2">
        <v>1</v>
      </c>
      <c r="E283" s="2">
        <v>1.0580000000000001</v>
      </c>
      <c r="F283" s="2">
        <v>2</v>
      </c>
    </row>
    <row r="284" spans="1:6" ht="14.25" customHeight="1">
      <c r="A284" s="2">
        <v>13</v>
      </c>
      <c r="B284" s="2">
        <v>283</v>
      </c>
      <c r="C284" s="2">
        <v>3</v>
      </c>
      <c r="D284" s="2">
        <v>1</v>
      </c>
      <c r="E284" s="2">
        <v>1.0920000000000001</v>
      </c>
      <c r="F284" s="2">
        <v>1</v>
      </c>
    </row>
    <row r="285" spans="1:6" ht="14.25" customHeight="1">
      <c r="A285" s="2">
        <v>13</v>
      </c>
      <c r="B285" s="2">
        <v>284</v>
      </c>
      <c r="C285" s="2">
        <v>8</v>
      </c>
      <c r="D285" s="2">
        <v>1</v>
      </c>
      <c r="E285" s="2">
        <v>1.0049999999999999</v>
      </c>
      <c r="F285" s="2">
        <v>1</v>
      </c>
    </row>
    <row r="286" spans="1:6" ht="14.25" customHeight="1">
      <c r="A286" s="2">
        <v>13</v>
      </c>
      <c r="B286" s="2">
        <v>285</v>
      </c>
      <c r="C286" s="2">
        <v>5</v>
      </c>
      <c r="D286" s="2">
        <v>1</v>
      </c>
      <c r="E286" s="2">
        <v>1.3440000000000001</v>
      </c>
      <c r="F286" s="2">
        <v>1</v>
      </c>
    </row>
    <row r="287" spans="1:6" ht="14.25" customHeight="1">
      <c r="A287" s="2">
        <v>13</v>
      </c>
      <c r="B287" s="2">
        <v>286</v>
      </c>
      <c r="C287" s="2">
        <v>7</v>
      </c>
      <c r="D287" s="2">
        <v>1</v>
      </c>
      <c r="E287" s="2">
        <v>0.96</v>
      </c>
      <c r="F287" s="2">
        <v>1</v>
      </c>
    </row>
    <row r="288" spans="1:6" ht="14.25" customHeight="1">
      <c r="A288" s="2">
        <v>13</v>
      </c>
      <c r="B288" s="2">
        <v>287</v>
      </c>
      <c r="C288" s="2">
        <v>3</v>
      </c>
      <c r="D288" s="2">
        <v>1</v>
      </c>
      <c r="E288" s="2">
        <v>0.89300000000000002</v>
      </c>
      <c r="F288" s="2">
        <v>2</v>
      </c>
    </row>
    <row r="289" spans="1:6" ht="14.25" customHeight="1">
      <c r="A289" s="2">
        <v>13</v>
      </c>
      <c r="B289" s="2">
        <v>288</v>
      </c>
      <c r="C289" s="2">
        <v>5</v>
      </c>
      <c r="D289" s="2">
        <v>1</v>
      </c>
      <c r="E289" s="2">
        <v>0.85399999999999998</v>
      </c>
      <c r="F289" s="2">
        <v>1</v>
      </c>
    </row>
    <row r="290" spans="1:6" ht="14.25" customHeight="1">
      <c r="A290" s="2">
        <v>13</v>
      </c>
      <c r="B290" s="2">
        <v>289</v>
      </c>
      <c r="C290" s="2">
        <v>4</v>
      </c>
      <c r="D290" s="2">
        <v>1</v>
      </c>
      <c r="E290" s="2">
        <v>0.8</v>
      </c>
      <c r="F290" s="2">
        <v>1</v>
      </c>
    </row>
    <row r="291" spans="1:6" ht="14.25" customHeight="1">
      <c r="A291" s="2">
        <v>13</v>
      </c>
      <c r="B291" s="2">
        <v>290</v>
      </c>
      <c r="C291" s="2">
        <v>1</v>
      </c>
      <c r="D291" s="2">
        <v>1</v>
      </c>
      <c r="E291" s="2">
        <v>0.92400000000000004</v>
      </c>
      <c r="F291" s="2">
        <v>2</v>
      </c>
    </row>
    <row r="292" spans="1:6" ht="14.25" customHeight="1">
      <c r="A292" s="2">
        <v>13</v>
      </c>
      <c r="B292" s="2">
        <v>291</v>
      </c>
      <c r="C292" s="2">
        <v>4</v>
      </c>
      <c r="D292" s="2">
        <v>1</v>
      </c>
      <c r="E292" s="2">
        <v>1.06</v>
      </c>
      <c r="F292" s="2">
        <v>1</v>
      </c>
    </row>
    <row r="293" spans="1:6" ht="14.25" customHeight="1">
      <c r="A293" s="2">
        <v>13</v>
      </c>
      <c r="B293" s="2">
        <v>292</v>
      </c>
      <c r="C293" s="2">
        <v>5</v>
      </c>
      <c r="D293" s="2">
        <v>1</v>
      </c>
      <c r="E293" s="2">
        <v>1.3979999999999999</v>
      </c>
      <c r="F293" s="2">
        <v>1</v>
      </c>
    </row>
    <row r="294" spans="1:6" ht="14.25" customHeight="1">
      <c r="A294" s="2">
        <v>13</v>
      </c>
      <c r="B294" s="2">
        <v>293</v>
      </c>
      <c r="C294" s="2">
        <v>7</v>
      </c>
      <c r="D294" s="2">
        <v>1</v>
      </c>
      <c r="E294" s="2">
        <v>0.84199999999999997</v>
      </c>
      <c r="F294" s="2">
        <v>2</v>
      </c>
    </row>
    <row r="295" spans="1:6" ht="14.25" customHeight="1">
      <c r="A295" s="2">
        <v>13</v>
      </c>
      <c r="B295" s="2">
        <v>294</v>
      </c>
      <c r="C295" s="2">
        <v>8</v>
      </c>
      <c r="D295" s="2">
        <v>1</v>
      </c>
      <c r="E295" s="2">
        <v>0.89200000000000002</v>
      </c>
      <c r="F295" s="2">
        <v>1</v>
      </c>
    </row>
    <row r="296" spans="1:6" ht="14.25" customHeight="1">
      <c r="A296" s="2">
        <v>13</v>
      </c>
      <c r="B296" s="2">
        <v>295</v>
      </c>
      <c r="C296" s="2">
        <v>7</v>
      </c>
      <c r="D296" s="2">
        <v>1</v>
      </c>
      <c r="E296" s="2">
        <v>1.1339999999999999</v>
      </c>
      <c r="F296" s="2">
        <v>2</v>
      </c>
    </row>
    <row r="297" spans="1:6" ht="14.25" customHeight="1">
      <c r="A297" s="2">
        <v>13</v>
      </c>
      <c r="B297" s="2">
        <v>296</v>
      </c>
      <c r="C297" s="2">
        <v>2</v>
      </c>
      <c r="E297" s="2">
        <v>2.0009999999999999</v>
      </c>
    </row>
    <row r="298" spans="1:6" ht="14.25" customHeight="1">
      <c r="A298" s="2">
        <v>13</v>
      </c>
      <c r="B298" s="2">
        <v>297</v>
      </c>
      <c r="C298" s="2">
        <v>6</v>
      </c>
      <c r="D298" s="2">
        <v>1</v>
      </c>
      <c r="E298" s="2">
        <v>0.91300000000000003</v>
      </c>
      <c r="F298" s="2">
        <v>2</v>
      </c>
    </row>
    <row r="299" spans="1:6" ht="14.25" customHeight="1">
      <c r="A299" s="2">
        <v>13</v>
      </c>
      <c r="B299" s="2">
        <v>298</v>
      </c>
      <c r="C299" s="2">
        <v>4</v>
      </c>
      <c r="D299" s="2">
        <v>1</v>
      </c>
      <c r="E299" s="2">
        <v>0.85599999999999998</v>
      </c>
      <c r="F299" s="2">
        <v>2</v>
      </c>
    </row>
    <row r="300" spans="1:6" ht="14.25" customHeight="1">
      <c r="A300" s="2">
        <v>13</v>
      </c>
      <c r="B300" s="2">
        <v>299</v>
      </c>
      <c r="C300" s="2">
        <v>6</v>
      </c>
      <c r="D300" s="2">
        <v>1</v>
      </c>
      <c r="E300" s="2">
        <v>0.627</v>
      </c>
      <c r="F300" s="2">
        <v>2</v>
      </c>
    </row>
    <row r="301" spans="1:6" ht="14.25" customHeight="1">
      <c r="A301" s="2">
        <v>13</v>
      </c>
      <c r="B301" s="2">
        <v>300</v>
      </c>
      <c r="C301" s="2">
        <v>2</v>
      </c>
      <c r="D301" s="2">
        <v>1</v>
      </c>
      <c r="E301" s="2">
        <v>1.0620000000000001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6.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14</v>
      </c>
      <c r="I1" s="2">
        <v>201</v>
      </c>
      <c r="J1" s="2">
        <v>3</v>
      </c>
      <c r="K1" s="2">
        <v>1</v>
      </c>
      <c r="L1" s="2">
        <v>1.1499999999999999</v>
      </c>
    </row>
    <row r="2" spans="1:22" ht="14.25" customHeight="1">
      <c r="A2" s="2">
        <v>14</v>
      </c>
      <c r="B2" s="2">
        <v>1</v>
      </c>
      <c r="C2" s="2">
        <v>6</v>
      </c>
      <c r="E2" s="2">
        <v>2.0009999999999999</v>
      </c>
      <c r="H2" s="2">
        <v>14</v>
      </c>
      <c r="I2" s="2">
        <v>202</v>
      </c>
      <c r="J2" s="2">
        <v>5</v>
      </c>
      <c r="K2" s="2">
        <v>1</v>
      </c>
      <c r="L2" s="2">
        <v>0.69199999999999995</v>
      </c>
    </row>
    <row r="3" spans="1:22" ht="14.25" customHeight="1">
      <c r="A3" s="2">
        <v>14</v>
      </c>
      <c r="B3" s="2">
        <v>2</v>
      </c>
      <c r="C3" s="2">
        <v>5</v>
      </c>
      <c r="D3" s="2">
        <v>0</v>
      </c>
      <c r="E3" s="2">
        <v>1.603</v>
      </c>
      <c r="F3" s="2">
        <v>1</v>
      </c>
      <c r="H3" s="2">
        <v>14</v>
      </c>
      <c r="I3" s="2">
        <v>203</v>
      </c>
      <c r="J3" s="2">
        <v>3</v>
      </c>
      <c r="K3" s="2">
        <v>1</v>
      </c>
      <c r="L3" s="2">
        <v>0.877</v>
      </c>
    </row>
    <row r="4" spans="1:22" ht="14.25" customHeight="1">
      <c r="A4" s="2">
        <v>14</v>
      </c>
      <c r="B4" s="2">
        <v>3</v>
      </c>
      <c r="C4" s="2">
        <v>4</v>
      </c>
      <c r="D4" s="2">
        <v>0</v>
      </c>
      <c r="E4" s="2">
        <v>1.464</v>
      </c>
      <c r="F4" s="2">
        <v>2</v>
      </c>
      <c r="H4" s="2">
        <v>14</v>
      </c>
      <c r="I4" s="2">
        <v>204</v>
      </c>
      <c r="J4" s="2">
        <v>2</v>
      </c>
      <c r="K4" s="2">
        <v>1</v>
      </c>
      <c r="L4" s="2">
        <v>0.63800000000000001</v>
      </c>
      <c r="O4" s="2" t="s">
        <v>6</v>
      </c>
    </row>
    <row r="5" spans="1:22" ht="14.25" customHeight="1">
      <c r="A5" s="2">
        <v>14</v>
      </c>
      <c r="B5" s="2">
        <v>4</v>
      </c>
      <c r="C5" s="2">
        <v>8</v>
      </c>
      <c r="D5" s="2">
        <v>1</v>
      </c>
      <c r="E5" s="2">
        <v>1.026</v>
      </c>
      <c r="F5" s="2">
        <v>1</v>
      </c>
      <c r="H5" s="2">
        <v>14</v>
      </c>
      <c r="I5" s="2">
        <v>205</v>
      </c>
      <c r="J5" s="2">
        <v>4</v>
      </c>
      <c r="K5" s="2">
        <v>1</v>
      </c>
      <c r="L5" s="2">
        <v>1.0089999999999999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14</v>
      </c>
      <c r="B6" s="2">
        <v>5</v>
      </c>
      <c r="C6" s="2">
        <v>7</v>
      </c>
      <c r="D6" s="2">
        <v>1</v>
      </c>
      <c r="E6" s="2">
        <v>0.79700000000000004</v>
      </c>
      <c r="F6" s="2">
        <v>1</v>
      </c>
      <c r="H6" s="2">
        <v>14</v>
      </c>
      <c r="I6" s="2">
        <v>206</v>
      </c>
      <c r="J6" s="2">
        <v>8</v>
      </c>
      <c r="K6" s="2">
        <v>0</v>
      </c>
      <c r="L6" s="2">
        <v>0.91700000000000004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14</v>
      </c>
      <c r="B7" s="2">
        <v>6</v>
      </c>
      <c r="C7" s="2">
        <v>4</v>
      </c>
      <c r="D7" s="2">
        <v>1</v>
      </c>
      <c r="E7" s="2">
        <v>0.77</v>
      </c>
      <c r="F7" s="2">
        <v>1</v>
      </c>
      <c r="H7" s="2">
        <v>14</v>
      </c>
      <c r="I7" s="2">
        <v>207</v>
      </c>
      <c r="J7" s="2">
        <v>1</v>
      </c>
      <c r="K7" s="2">
        <v>1</v>
      </c>
      <c r="L7" s="2">
        <v>1.0529999999999999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14</v>
      </c>
      <c r="B8" s="2">
        <v>7</v>
      </c>
      <c r="C8" s="2">
        <v>3</v>
      </c>
      <c r="D8" s="2">
        <v>0</v>
      </c>
      <c r="E8" s="2">
        <v>0.81499999999999995</v>
      </c>
      <c r="F8" s="2">
        <v>1</v>
      </c>
      <c r="H8" s="2">
        <v>14</v>
      </c>
      <c r="I8" s="2">
        <v>208</v>
      </c>
      <c r="J8" s="2">
        <v>8</v>
      </c>
      <c r="K8" s="2">
        <v>1</v>
      </c>
      <c r="L8" s="2">
        <v>1.0309999999999999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14</v>
      </c>
      <c r="B9" s="2">
        <v>8</v>
      </c>
      <c r="C9" s="2">
        <v>1</v>
      </c>
      <c r="D9" s="2">
        <v>1</v>
      </c>
      <c r="E9" s="2">
        <v>1.5549999999999999</v>
      </c>
      <c r="F9" s="2">
        <v>2</v>
      </c>
      <c r="H9" s="2">
        <v>14</v>
      </c>
      <c r="I9" s="2">
        <v>209</v>
      </c>
      <c r="J9" s="2">
        <v>4</v>
      </c>
      <c r="K9" s="2">
        <v>1</v>
      </c>
      <c r="L9" s="2">
        <v>1.0580000000000001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14</v>
      </c>
      <c r="B10" s="2">
        <v>9</v>
      </c>
      <c r="C10" s="2">
        <v>3</v>
      </c>
      <c r="D10" s="2">
        <v>1</v>
      </c>
      <c r="E10" s="2">
        <v>1.361</v>
      </c>
      <c r="F10" s="2">
        <v>2</v>
      </c>
      <c r="H10" s="2">
        <v>14</v>
      </c>
      <c r="I10" s="2">
        <v>210</v>
      </c>
      <c r="J10" s="2">
        <v>5</v>
      </c>
      <c r="K10" s="2">
        <v>1</v>
      </c>
      <c r="L10" s="2">
        <v>0.62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14</v>
      </c>
      <c r="B11" s="2">
        <v>10</v>
      </c>
      <c r="C11" s="2">
        <v>2</v>
      </c>
      <c r="D11" s="2">
        <v>0</v>
      </c>
      <c r="E11" s="2">
        <v>1.3029999999999999</v>
      </c>
      <c r="F11" s="2">
        <v>2</v>
      </c>
      <c r="H11" s="2">
        <v>14</v>
      </c>
      <c r="I11" s="2">
        <v>211</v>
      </c>
      <c r="J11" s="2">
        <v>4</v>
      </c>
      <c r="K11" s="2">
        <v>1</v>
      </c>
      <c r="L11" s="2">
        <v>0.82299999999999995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14</v>
      </c>
      <c r="B12" s="2">
        <v>11</v>
      </c>
      <c r="C12" s="2">
        <v>4</v>
      </c>
      <c r="D12" s="2">
        <v>0</v>
      </c>
      <c r="E12" s="2">
        <v>1.7350000000000001</v>
      </c>
      <c r="F12" s="2">
        <v>2</v>
      </c>
      <c r="H12" s="2">
        <v>14</v>
      </c>
      <c r="I12" s="2">
        <v>212</v>
      </c>
      <c r="J12" s="2">
        <v>7</v>
      </c>
      <c r="K12" s="2">
        <v>1</v>
      </c>
      <c r="L12" s="2">
        <v>0.72199999999999998</v>
      </c>
    </row>
    <row r="13" spans="1:22" ht="14.25" customHeight="1">
      <c r="A13" s="2">
        <v>14</v>
      </c>
      <c r="B13" s="2">
        <v>12</v>
      </c>
      <c r="C13" s="2">
        <v>5</v>
      </c>
      <c r="D13" s="2">
        <v>0</v>
      </c>
      <c r="E13" s="2">
        <v>1.5029999999999999</v>
      </c>
      <c r="F13" s="2">
        <v>1</v>
      </c>
      <c r="H13" s="2">
        <v>14</v>
      </c>
      <c r="I13" s="2">
        <v>213</v>
      </c>
      <c r="J13" s="2">
        <v>2</v>
      </c>
      <c r="K13" s="2">
        <v>1</v>
      </c>
      <c r="L13" s="2">
        <v>0.79400000000000004</v>
      </c>
    </row>
    <row r="14" spans="1:22" ht="14.25" customHeight="1">
      <c r="A14" s="2">
        <v>14</v>
      </c>
      <c r="B14" s="2">
        <v>13</v>
      </c>
      <c r="C14" s="2">
        <v>8</v>
      </c>
      <c r="E14" s="2">
        <v>2.0009999999999999</v>
      </c>
      <c r="H14" s="2">
        <v>14</v>
      </c>
      <c r="I14" s="2">
        <v>214</v>
      </c>
      <c r="J14" s="2">
        <v>5</v>
      </c>
      <c r="K14" s="2">
        <v>1</v>
      </c>
      <c r="L14" s="2">
        <v>0.96699999999999997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14</v>
      </c>
      <c r="B15" s="2">
        <v>14</v>
      </c>
      <c r="C15" s="2">
        <v>7</v>
      </c>
      <c r="D15" s="2">
        <v>1</v>
      </c>
      <c r="E15" s="2">
        <v>0.58699999999999997</v>
      </c>
      <c r="F15" s="2">
        <v>1</v>
      </c>
      <c r="H15" s="2">
        <v>14</v>
      </c>
      <c r="I15" s="2">
        <v>215</v>
      </c>
      <c r="J15" s="2">
        <v>3</v>
      </c>
      <c r="K15" s="2">
        <v>1</v>
      </c>
      <c r="L15" s="2">
        <v>0.86099999999999999</v>
      </c>
      <c r="O15" s="2" t="s">
        <v>9</v>
      </c>
    </row>
    <row r="16" spans="1:22" ht="14.25" customHeight="1">
      <c r="A16" s="2">
        <v>14</v>
      </c>
      <c r="B16" s="2">
        <v>15</v>
      </c>
      <c r="C16" s="2">
        <v>5</v>
      </c>
      <c r="D16" s="2">
        <v>0</v>
      </c>
      <c r="E16" s="2">
        <v>1.3680000000000001</v>
      </c>
      <c r="F16" s="2">
        <v>1</v>
      </c>
      <c r="H16" s="2">
        <v>14</v>
      </c>
      <c r="I16" s="2">
        <v>216</v>
      </c>
      <c r="J16" s="2">
        <v>8</v>
      </c>
      <c r="K16" s="2">
        <v>1</v>
      </c>
      <c r="L16" s="2">
        <v>0.67800000000000005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14</v>
      </c>
      <c r="B17" s="2">
        <v>16</v>
      </c>
      <c r="C17" s="2">
        <v>8</v>
      </c>
      <c r="D17" s="2">
        <v>1</v>
      </c>
      <c r="E17" s="2">
        <v>1.0940000000000001</v>
      </c>
      <c r="F17" s="2">
        <v>1</v>
      </c>
      <c r="H17" s="2">
        <v>14</v>
      </c>
      <c r="I17" s="2">
        <v>217</v>
      </c>
      <c r="J17" s="2">
        <v>1</v>
      </c>
      <c r="K17" s="2">
        <v>1</v>
      </c>
      <c r="L17" s="2">
        <v>0.74399999999999999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0.42249999999999932</v>
      </c>
      <c r="R17" s="2">
        <f t="shared" ref="R17:R22" si="3">(R6*COUNTIF($J$1:$J$100,R$16) - COUNTIFS($J$1:$J$100,R$16,$K$1:$K$100,"=0"))^2</f>
        <v>9.0000000000000024E-2</v>
      </c>
      <c r="S17" s="2">
        <f t="shared" ref="S17:T17" si="4">(S6*COUNTIF($J$1:$J$100,S$16) - COUNTIFS($J$1:$J$100,S$16,$K$1:$K$100,"=1"))^2</f>
        <v>0.12250000000000037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0.48999999999999994</v>
      </c>
    </row>
    <row r="18" spans="1:22" ht="14.25" customHeight="1">
      <c r="A18" s="2">
        <v>14</v>
      </c>
      <c r="B18" s="2">
        <v>17</v>
      </c>
      <c r="C18" s="2">
        <v>1</v>
      </c>
      <c r="D18" s="2">
        <v>1</v>
      </c>
      <c r="E18" s="2">
        <v>0.51900000000000002</v>
      </c>
      <c r="F18" s="2">
        <v>2</v>
      </c>
      <c r="H18" s="2">
        <v>14</v>
      </c>
      <c r="I18" s="2">
        <v>218</v>
      </c>
      <c r="J18" s="2">
        <v>8</v>
      </c>
      <c r="K18" s="2">
        <v>1</v>
      </c>
      <c r="L18" s="2">
        <v>1.127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31.922500000000003</v>
      </c>
      <c r="R18" s="2">
        <f t="shared" si="3"/>
        <v>9.0000000000000024E-2</v>
      </c>
      <c r="S18" s="2">
        <f t="shared" ref="S18:T18" si="6">(S7*COUNTIF($J$1:$J$100,S$16) - COUNTIFS($J$1:$J$100,S$16,$K$1:$K$100,"=1"))^2</f>
        <v>0.12250000000000037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0.48999999999999994</v>
      </c>
    </row>
    <row r="19" spans="1:22" ht="14.25" customHeight="1">
      <c r="A19" s="2">
        <v>14</v>
      </c>
      <c r="B19" s="2">
        <v>18</v>
      </c>
      <c r="C19" s="2">
        <v>3</v>
      </c>
      <c r="D19" s="2">
        <v>1</v>
      </c>
      <c r="E19" s="2">
        <v>0.91900000000000004</v>
      </c>
      <c r="F19" s="2">
        <v>2</v>
      </c>
      <c r="H19" s="2">
        <v>14</v>
      </c>
      <c r="I19" s="2">
        <v>219</v>
      </c>
      <c r="J19" s="2">
        <v>6</v>
      </c>
      <c r="K19" s="2">
        <v>1</v>
      </c>
      <c r="L19" s="2">
        <v>0.70199999999999996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0.42249999999999932</v>
      </c>
      <c r="R19" s="2">
        <f t="shared" si="3"/>
        <v>9.0000000000000024E-2</v>
      </c>
      <c r="S19" s="2">
        <f t="shared" ref="S19:T19" si="8">(S8*COUNTIF($J$1:$J$100,S$16) - COUNTIFS($J$1:$J$100,S$16,$K$1:$K$100,"=1"))^2</f>
        <v>0.12250000000000037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0.48999999999999994</v>
      </c>
    </row>
    <row r="20" spans="1:22" ht="14.25" customHeight="1">
      <c r="A20" s="2">
        <v>14</v>
      </c>
      <c r="B20" s="2">
        <v>19</v>
      </c>
      <c r="C20" s="2">
        <v>4</v>
      </c>
      <c r="D20" s="2">
        <v>0</v>
      </c>
      <c r="E20" s="2">
        <v>0.81499999999999995</v>
      </c>
      <c r="F20" s="2">
        <v>2</v>
      </c>
      <c r="H20" s="2">
        <v>14</v>
      </c>
      <c r="I20" s="2">
        <v>220</v>
      </c>
      <c r="J20" s="2">
        <v>2</v>
      </c>
      <c r="K20" s="2">
        <v>1</v>
      </c>
      <c r="L20" s="2">
        <v>0.69399999999999995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6.25</v>
      </c>
      <c r="R20" s="2">
        <f t="shared" si="3"/>
        <v>9</v>
      </c>
      <c r="S20" s="2">
        <f t="shared" ref="S20:T20" si="10">(S9*COUNTIF($J$1:$J$100,S$16) - COUNTIFS($J$1:$J$100,S$16,$K$1:$K$100,"=1"))^2</f>
        <v>0.12250000000000037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0.48999999999999994</v>
      </c>
    </row>
    <row r="21" spans="1:22" ht="14.25" customHeight="1">
      <c r="A21" s="2">
        <v>14</v>
      </c>
      <c r="B21" s="2">
        <v>20</v>
      </c>
      <c r="C21" s="2">
        <v>5</v>
      </c>
      <c r="D21" s="2">
        <v>1</v>
      </c>
      <c r="E21" s="2">
        <v>0.80300000000000005</v>
      </c>
      <c r="F21" s="2">
        <v>2</v>
      </c>
      <c r="H21" s="2">
        <v>14</v>
      </c>
      <c r="I21" s="2">
        <v>221</v>
      </c>
      <c r="J21" s="2">
        <v>3</v>
      </c>
      <c r="K21" s="2">
        <v>0</v>
      </c>
      <c r="L21" s="2">
        <v>1.143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0.42249999999999932</v>
      </c>
      <c r="R21" s="2">
        <f t="shared" si="3"/>
        <v>9.0000000000000024E-2</v>
      </c>
      <c r="S21" s="2">
        <f t="shared" ref="S21:T21" si="12">(S10*COUNTIF($J$1:$J$100,S$16) - COUNTIFS($J$1:$J$100,S$16,$K$1:$K$100,"=1"))^2</f>
        <v>12.25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4</v>
      </c>
    </row>
    <row r="22" spans="1:22" ht="14.25" customHeight="1">
      <c r="A22" s="2">
        <v>14</v>
      </c>
      <c r="B22" s="2">
        <v>21</v>
      </c>
      <c r="C22" s="2">
        <v>7</v>
      </c>
      <c r="D22" s="2">
        <v>1</v>
      </c>
      <c r="E22" s="2">
        <v>1.103</v>
      </c>
      <c r="F22" s="2">
        <v>1</v>
      </c>
      <c r="H22" s="2">
        <v>14</v>
      </c>
      <c r="I22" s="2">
        <v>222</v>
      </c>
      <c r="J22" s="2">
        <v>6</v>
      </c>
      <c r="K22" s="2">
        <v>1</v>
      </c>
      <c r="L22" s="2">
        <v>0.81299999999999994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6.25</v>
      </c>
      <c r="R22" s="2">
        <f t="shared" si="3"/>
        <v>9</v>
      </c>
      <c r="S22" s="2">
        <f t="shared" ref="S22:T22" si="14">(S11*COUNTIF($J$1:$J$100,S$16) - COUNTIFS($J$1:$J$100,S$16,$K$1:$K$100,"=1"))^2</f>
        <v>12.25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4</v>
      </c>
    </row>
    <row r="23" spans="1:22" ht="14.25" customHeight="1">
      <c r="A23" s="2">
        <v>14</v>
      </c>
      <c r="B23" s="2">
        <v>22</v>
      </c>
      <c r="C23" s="2">
        <v>2</v>
      </c>
      <c r="D23" s="2">
        <v>0</v>
      </c>
      <c r="E23" s="2">
        <v>0.71899999999999997</v>
      </c>
      <c r="F23" s="2">
        <v>2</v>
      </c>
      <c r="H23" s="2">
        <v>14</v>
      </c>
      <c r="I23" s="2">
        <v>223</v>
      </c>
      <c r="J23" s="2">
        <v>7</v>
      </c>
      <c r="K23" s="2">
        <v>1</v>
      </c>
      <c r="L23" s="2">
        <v>1.1140000000000001</v>
      </c>
    </row>
    <row r="24" spans="1:22" ht="14.25" customHeight="1">
      <c r="A24" s="2">
        <v>14</v>
      </c>
      <c r="B24" s="2">
        <v>23</v>
      </c>
      <c r="C24" s="2">
        <v>6</v>
      </c>
      <c r="D24" s="2">
        <v>1</v>
      </c>
      <c r="E24" s="2">
        <v>1.669</v>
      </c>
      <c r="F24" s="2">
        <v>2</v>
      </c>
      <c r="H24" s="2">
        <v>14</v>
      </c>
      <c r="I24" s="2">
        <v>224</v>
      </c>
      <c r="J24" s="2">
        <v>8</v>
      </c>
      <c r="K24" s="2">
        <v>1</v>
      </c>
      <c r="L24" s="2">
        <v>1.514</v>
      </c>
    </row>
    <row r="25" spans="1:22" ht="14.25" customHeight="1">
      <c r="A25" s="2">
        <v>14</v>
      </c>
      <c r="B25" s="2">
        <v>24</v>
      </c>
      <c r="C25" s="2">
        <v>1</v>
      </c>
      <c r="D25" s="2">
        <v>1</v>
      </c>
      <c r="E25" s="2">
        <v>0.82399999999999995</v>
      </c>
      <c r="F25" s="2">
        <v>2</v>
      </c>
      <c r="H25" s="2">
        <v>14</v>
      </c>
      <c r="I25" s="2">
        <v>225</v>
      </c>
      <c r="J25" s="2">
        <v>6</v>
      </c>
      <c r="K25" s="2">
        <v>1</v>
      </c>
      <c r="L25" s="2">
        <v>0.88200000000000001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14</v>
      </c>
      <c r="B26" s="2">
        <v>25</v>
      </c>
      <c r="C26" s="2">
        <v>7</v>
      </c>
      <c r="D26" s="2">
        <v>0</v>
      </c>
      <c r="E26" s="2">
        <v>0.88300000000000001</v>
      </c>
      <c r="F26" s="2">
        <v>2</v>
      </c>
      <c r="H26" s="2">
        <v>14</v>
      </c>
      <c r="I26" s="2">
        <v>226</v>
      </c>
      <c r="J26" s="2">
        <v>1</v>
      </c>
      <c r="K26" s="2">
        <v>1</v>
      </c>
      <c r="L26" s="2">
        <v>0.86699999999999999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49</v>
      </c>
      <c r="R26" s="2">
        <f t="shared" si="16"/>
        <v>36</v>
      </c>
      <c r="S26" s="2">
        <f t="shared" si="16"/>
        <v>49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14</v>
      </c>
      <c r="B27" s="2">
        <v>26</v>
      </c>
      <c r="C27" s="2">
        <v>1</v>
      </c>
      <c r="D27" s="2">
        <v>1</v>
      </c>
      <c r="E27" s="2">
        <v>1.3720000000000001</v>
      </c>
      <c r="F27" s="2">
        <v>2</v>
      </c>
      <c r="H27" s="2">
        <v>14</v>
      </c>
      <c r="I27" s="2">
        <v>227</v>
      </c>
      <c r="J27" s="2">
        <v>3</v>
      </c>
      <c r="K27" s="2">
        <v>1</v>
      </c>
      <c r="L27" s="2">
        <v>1.125</v>
      </c>
    </row>
    <row r="28" spans="1:22" ht="14.25" customHeight="1">
      <c r="A28" s="2">
        <v>14</v>
      </c>
      <c r="B28" s="2">
        <v>27</v>
      </c>
      <c r="C28" s="2">
        <v>3</v>
      </c>
      <c r="D28" s="2">
        <v>0</v>
      </c>
      <c r="E28" s="2">
        <v>0.98599999999999999</v>
      </c>
      <c r="F28" s="2">
        <v>1</v>
      </c>
      <c r="H28" s="2">
        <v>14</v>
      </c>
      <c r="I28" s="2">
        <v>228</v>
      </c>
      <c r="J28" s="2">
        <v>8</v>
      </c>
      <c r="K28" s="2">
        <v>1</v>
      </c>
      <c r="L28" s="2">
        <v>0.71699999999999997</v>
      </c>
    </row>
    <row r="29" spans="1:22" ht="14.25" customHeight="1">
      <c r="A29" s="2">
        <v>14</v>
      </c>
      <c r="B29" s="2">
        <v>28</v>
      </c>
      <c r="C29" s="2">
        <v>1</v>
      </c>
      <c r="D29" s="2">
        <v>1</v>
      </c>
      <c r="E29" s="2">
        <v>0.77500000000000002</v>
      </c>
      <c r="F29" s="2">
        <v>2</v>
      </c>
      <c r="H29" s="2">
        <v>14</v>
      </c>
      <c r="I29" s="2">
        <v>229</v>
      </c>
      <c r="J29" s="2">
        <v>1</v>
      </c>
      <c r="K29" s="2">
        <v>1</v>
      </c>
      <c r="L29" s="2">
        <v>1.044</v>
      </c>
    </row>
    <row r="30" spans="1:22" ht="14.25" customHeight="1">
      <c r="A30" s="2">
        <v>14</v>
      </c>
      <c r="B30" s="2">
        <v>29</v>
      </c>
      <c r="C30" s="2">
        <v>6</v>
      </c>
      <c r="D30" s="2">
        <v>1</v>
      </c>
      <c r="E30" s="2">
        <v>1.901</v>
      </c>
      <c r="F30" s="2">
        <v>2</v>
      </c>
      <c r="H30" s="2">
        <v>14</v>
      </c>
      <c r="I30" s="2">
        <v>230</v>
      </c>
      <c r="J30" s="2">
        <v>2</v>
      </c>
      <c r="K30" s="2">
        <v>1</v>
      </c>
      <c r="L30" s="2">
        <v>0.72699999999999998</v>
      </c>
    </row>
    <row r="31" spans="1:22" ht="14.25" customHeight="1">
      <c r="A31" s="2">
        <v>14</v>
      </c>
      <c r="B31" s="2">
        <v>30</v>
      </c>
      <c r="C31" s="2">
        <v>7</v>
      </c>
      <c r="D31" s="2">
        <v>1</v>
      </c>
      <c r="E31" s="2">
        <v>0.56599999999999995</v>
      </c>
      <c r="F31" s="2">
        <v>1</v>
      </c>
      <c r="H31" s="2">
        <v>14</v>
      </c>
      <c r="I31" s="2">
        <v>231</v>
      </c>
      <c r="J31" s="2">
        <v>4</v>
      </c>
      <c r="K31" s="2">
        <v>1</v>
      </c>
      <c r="L31" s="2">
        <v>1.198</v>
      </c>
      <c r="N31" s="2">
        <v>1</v>
      </c>
      <c r="O31" s="2">
        <f t="shared" ref="O31:O36" si="17">SUM(O17:V17)/(SUM($O$26:$V$26))</f>
        <v>4.7292993630573274E-3</v>
      </c>
    </row>
    <row r="32" spans="1:22" ht="14.25" customHeight="1">
      <c r="A32" s="2">
        <v>14</v>
      </c>
      <c r="B32" s="2">
        <v>31</v>
      </c>
      <c r="C32" s="2">
        <v>2</v>
      </c>
      <c r="D32" s="2">
        <v>0</v>
      </c>
      <c r="E32" s="2">
        <v>0.875</v>
      </c>
      <c r="F32" s="2">
        <v>2</v>
      </c>
      <c r="H32" s="2">
        <v>14</v>
      </c>
      <c r="I32" s="2">
        <v>232</v>
      </c>
      <c r="J32" s="2">
        <v>1</v>
      </c>
      <c r="K32" s="2">
        <v>1</v>
      </c>
      <c r="L32" s="2">
        <v>0.747</v>
      </c>
      <c r="N32" s="2">
        <v>2</v>
      </c>
      <c r="O32" s="2">
        <f t="shared" si="17"/>
        <v>0.20823248407643313</v>
      </c>
    </row>
    <row r="33" spans="1:15" ht="14.25" customHeight="1">
      <c r="A33" s="2">
        <v>14</v>
      </c>
      <c r="B33" s="2">
        <v>32</v>
      </c>
      <c r="C33" s="2">
        <v>5</v>
      </c>
      <c r="D33" s="2">
        <v>1</v>
      </c>
      <c r="E33" s="2">
        <v>0.66900000000000004</v>
      </c>
      <c r="F33" s="2">
        <v>2</v>
      </c>
      <c r="H33" s="2">
        <v>14</v>
      </c>
      <c r="I33" s="2">
        <v>233</v>
      </c>
      <c r="J33" s="2">
        <v>5</v>
      </c>
      <c r="K33" s="2">
        <v>1</v>
      </c>
      <c r="L33" s="2">
        <v>0.93799999999999994</v>
      </c>
      <c r="N33" s="2">
        <v>3</v>
      </c>
      <c r="O33" s="2">
        <f t="shared" si="17"/>
        <v>0.21109872611464964</v>
      </c>
    </row>
    <row r="34" spans="1:15" ht="14.25" customHeight="1">
      <c r="A34" s="2">
        <v>14</v>
      </c>
      <c r="B34" s="2">
        <v>33</v>
      </c>
      <c r="C34" s="2">
        <v>1</v>
      </c>
      <c r="D34" s="2">
        <v>1</v>
      </c>
      <c r="E34" s="2">
        <v>0.67</v>
      </c>
      <c r="F34" s="2">
        <v>2</v>
      </c>
      <c r="H34" s="2">
        <v>14</v>
      </c>
      <c r="I34" s="2">
        <v>234</v>
      </c>
      <c r="J34" s="2">
        <v>7</v>
      </c>
      <c r="K34" s="2">
        <v>1</v>
      </c>
      <c r="L34" s="2">
        <v>1.073</v>
      </c>
      <c r="N34" s="2">
        <v>4</v>
      </c>
      <c r="O34" s="2">
        <f t="shared" si="17"/>
        <v>0.10841560509554143</v>
      </c>
    </row>
    <row r="35" spans="1:15" ht="14.25" customHeight="1">
      <c r="A35" s="2">
        <v>14</v>
      </c>
      <c r="B35" s="2">
        <v>34</v>
      </c>
      <c r="C35" s="2">
        <v>6</v>
      </c>
      <c r="D35" s="2">
        <v>0</v>
      </c>
      <c r="E35" s="2">
        <v>1.28</v>
      </c>
      <c r="F35" s="2">
        <v>1</v>
      </c>
      <c r="H35" s="2">
        <v>14</v>
      </c>
      <c r="I35" s="2">
        <v>235</v>
      </c>
      <c r="J35" s="2">
        <v>1</v>
      </c>
      <c r="K35" s="2">
        <v>1</v>
      </c>
      <c r="L35" s="2">
        <v>1.1539999999999999</v>
      </c>
      <c r="N35" s="2">
        <v>5</v>
      </c>
      <c r="O35" s="2">
        <f t="shared" si="17"/>
        <v>0.11128184713375795</v>
      </c>
    </row>
    <row r="36" spans="1:15" ht="14.25" customHeight="1">
      <c r="A36" s="2">
        <v>14</v>
      </c>
      <c r="B36" s="2">
        <v>35</v>
      </c>
      <c r="C36" s="2">
        <v>2</v>
      </c>
      <c r="D36" s="2">
        <v>0</v>
      </c>
      <c r="E36" s="2">
        <v>0.93700000000000006</v>
      </c>
      <c r="F36" s="2">
        <v>2</v>
      </c>
      <c r="H36" s="2">
        <v>14</v>
      </c>
      <c r="I36" s="2">
        <v>236</v>
      </c>
      <c r="J36" s="2">
        <v>5</v>
      </c>
      <c r="K36" s="2">
        <v>1</v>
      </c>
      <c r="L36" s="2">
        <v>1.103</v>
      </c>
      <c r="N36" s="2">
        <v>6</v>
      </c>
      <c r="O36" s="2">
        <f t="shared" si="17"/>
        <v>0.21496815286624205</v>
      </c>
    </row>
    <row r="37" spans="1:15" ht="14.25" customHeight="1">
      <c r="A37" s="2">
        <v>14</v>
      </c>
      <c r="B37" s="2">
        <v>36</v>
      </c>
      <c r="C37" s="2">
        <v>7</v>
      </c>
      <c r="D37" s="2">
        <v>0</v>
      </c>
      <c r="E37" s="2">
        <v>1.48</v>
      </c>
      <c r="F37" s="2">
        <v>2</v>
      </c>
      <c r="H37" s="2">
        <v>14</v>
      </c>
      <c r="I37" s="2">
        <v>237</v>
      </c>
      <c r="J37" s="2">
        <v>7</v>
      </c>
      <c r="K37" s="2">
        <v>1</v>
      </c>
      <c r="L37" s="2">
        <v>0.82399999999999995</v>
      </c>
    </row>
    <row r="38" spans="1:15" ht="14.25" customHeight="1">
      <c r="A38" s="2">
        <v>14</v>
      </c>
      <c r="B38" s="2">
        <v>37</v>
      </c>
      <c r="C38" s="2">
        <v>4</v>
      </c>
      <c r="D38" s="2">
        <v>1</v>
      </c>
      <c r="E38" s="2">
        <v>1.7050000000000001</v>
      </c>
      <c r="F38" s="2">
        <v>1</v>
      </c>
      <c r="H38" s="2">
        <v>14</v>
      </c>
      <c r="I38" s="2">
        <v>238</v>
      </c>
      <c r="J38" s="2">
        <v>3</v>
      </c>
      <c r="K38" s="2">
        <v>1</v>
      </c>
      <c r="L38" s="2">
        <v>0.92300000000000004</v>
      </c>
    </row>
    <row r="39" spans="1:15" ht="14.25" customHeight="1">
      <c r="A39" s="2">
        <v>14</v>
      </c>
      <c r="B39" s="2">
        <v>38</v>
      </c>
      <c r="C39" s="2">
        <v>6</v>
      </c>
      <c r="D39" s="2">
        <v>1</v>
      </c>
      <c r="E39" s="2">
        <v>1.2090000000000001</v>
      </c>
      <c r="F39" s="2">
        <v>2</v>
      </c>
      <c r="H39" s="2">
        <v>14</v>
      </c>
      <c r="I39" s="2">
        <v>239</v>
      </c>
      <c r="J39" s="2">
        <v>2</v>
      </c>
      <c r="K39" s="2">
        <v>1</v>
      </c>
      <c r="L39" s="2">
        <v>0.72299999999999998</v>
      </c>
    </row>
    <row r="40" spans="1:15" ht="14.25" customHeight="1">
      <c r="A40" s="2">
        <v>14</v>
      </c>
      <c r="B40" s="2">
        <v>39</v>
      </c>
      <c r="C40" s="2">
        <v>8</v>
      </c>
      <c r="D40" s="2">
        <v>1</v>
      </c>
      <c r="E40" s="2">
        <v>0.51700000000000002</v>
      </c>
      <c r="F40" s="2">
        <v>1</v>
      </c>
      <c r="H40" s="2">
        <v>14</v>
      </c>
      <c r="I40" s="2">
        <v>240</v>
      </c>
      <c r="J40" s="2">
        <v>5</v>
      </c>
      <c r="K40" s="2">
        <v>1</v>
      </c>
      <c r="L40" s="2">
        <v>1.089</v>
      </c>
    </row>
    <row r="41" spans="1:15" ht="14.25" customHeight="1">
      <c r="A41" s="2">
        <v>14</v>
      </c>
      <c r="B41" s="2">
        <v>40</v>
      </c>
      <c r="C41" s="2">
        <v>2</v>
      </c>
      <c r="D41" s="2">
        <v>1</v>
      </c>
      <c r="E41" s="2">
        <v>1.7569999999999999</v>
      </c>
      <c r="F41" s="2">
        <v>1</v>
      </c>
      <c r="H41" s="2">
        <v>14</v>
      </c>
      <c r="I41" s="2">
        <v>241</v>
      </c>
      <c r="J41" s="2">
        <v>7</v>
      </c>
      <c r="K41" s="2">
        <v>1</v>
      </c>
      <c r="L41" s="2">
        <v>0.85</v>
      </c>
    </row>
    <row r="42" spans="1:15" ht="14.25" customHeight="1">
      <c r="A42" s="2">
        <v>14</v>
      </c>
      <c r="B42" s="2">
        <v>41</v>
      </c>
      <c r="C42" s="2">
        <v>3</v>
      </c>
      <c r="D42" s="2">
        <v>1</v>
      </c>
      <c r="E42" s="2">
        <v>0.69899999999999995</v>
      </c>
      <c r="F42" s="2">
        <v>2</v>
      </c>
      <c r="H42" s="2">
        <v>14</v>
      </c>
      <c r="I42" s="2">
        <v>242</v>
      </c>
      <c r="J42" s="2">
        <v>6</v>
      </c>
      <c r="K42" s="2">
        <v>1</v>
      </c>
      <c r="L42" s="2">
        <v>1.0129999999999999</v>
      </c>
    </row>
    <row r="43" spans="1:15" ht="14.25" customHeight="1">
      <c r="A43" s="2">
        <v>14</v>
      </c>
      <c r="B43" s="2">
        <v>42</v>
      </c>
      <c r="C43" s="2">
        <v>8</v>
      </c>
      <c r="D43" s="2">
        <v>1</v>
      </c>
      <c r="E43" s="2">
        <v>0.627</v>
      </c>
      <c r="F43" s="2">
        <v>1</v>
      </c>
      <c r="H43" s="2">
        <v>14</v>
      </c>
      <c r="I43" s="2">
        <v>243</v>
      </c>
      <c r="J43" s="2">
        <v>7</v>
      </c>
      <c r="K43" s="2">
        <v>1</v>
      </c>
      <c r="L43" s="2">
        <v>0.88100000000000001</v>
      </c>
    </row>
    <row r="44" spans="1:15" ht="14.25" customHeight="1">
      <c r="A44" s="2">
        <v>14</v>
      </c>
      <c r="B44" s="2">
        <v>43</v>
      </c>
      <c r="C44" s="2">
        <v>2</v>
      </c>
      <c r="D44" s="2">
        <v>0</v>
      </c>
      <c r="E44" s="2">
        <v>1.7110000000000001</v>
      </c>
      <c r="F44" s="2">
        <v>2</v>
      </c>
      <c r="H44" s="2">
        <v>14</v>
      </c>
      <c r="I44" s="2">
        <v>244</v>
      </c>
      <c r="J44" s="2">
        <v>4</v>
      </c>
      <c r="K44" s="2">
        <v>1</v>
      </c>
      <c r="L44" s="2">
        <v>0.88300000000000001</v>
      </c>
    </row>
    <row r="45" spans="1:15" ht="14.25" customHeight="1">
      <c r="A45" s="2">
        <v>14</v>
      </c>
      <c r="B45" s="2">
        <v>44</v>
      </c>
      <c r="C45" s="2">
        <v>4</v>
      </c>
      <c r="D45" s="2">
        <v>0</v>
      </c>
      <c r="E45" s="2">
        <v>1.7270000000000001</v>
      </c>
      <c r="F45" s="2">
        <v>2</v>
      </c>
      <c r="H45" s="2">
        <v>14</v>
      </c>
      <c r="I45" s="2">
        <v>245</v>
      </c>
      <c r="J45" s="2">
        <v>6</v>
      </c>
      <c r="K45" s="2">
        <v>1</v>
      </c>
      <c r="L45" s="2">
        <v>0.748</v>
      </c>
    </row>
    <row r="46" spans="1:15" ht="14.25" customHeight="1">
      <c r="A46" s="2">
        <v>14</v>
      </c>
      <c r="B46" s="2">
        <v>45</v>
      </c>
      <c r="C46" s="2">
        <v>5</v>
      </c>
      <c r="D46" s="2">
        <v>0</v>
      </c>
      <c r="E46" s="2">
        <v>1.6379999999999999</v>
      </c>
      <c r="F46" s="2">
        <v>1</v>
      </c>
      <c r="H46" s="2">
        <v>14</v>
      </c>
      <c r="I46" s="2">
        <v>246</v>
      </c>
      <c r="J46" s="2">
        <v>3</v>
      </c>
      <c r="K46" s="2">
        <v>1</v>
      </c>
      <c r="L46" s="2">
        <v>0.78600000000000003</v>
      </c>
    </row>
    <row r="47" spans="1:15" ht="14.25" customHeight="1">
      <c r="A47" s="2">
        <v>14</v>
      </c>
      <c r="B47" s="2">
        <v>46</v>
      </c>
      <c r="C47" s="2">
        <v>3</v>
      </c>
      <c r="D47" s="2">
        <v>1</v>
      </c>
      <c r="E47" s="2">
        <v>1.577</v>
      </c>
      <c r="F47" s="2">
        <v>2</v>
      </c>
      <c r="H47" s="2">
        <v>14</v>
      </c>
      <c r="I47" s="2">
        <v>247</v>
      </c>
      <c r="J47" s="2">
        <v>5</v>
      </c>
      <c r="K47" s="2">
        <v>1</v>
      </c>
      <c r="L47" s="2">
        <v>0.93600000000000005</v>
      </c>
    </row>
    <row r="48" spans="1:15" ht="14.25" customHeight="1">
      <c r="A48" s="2">
        <v>14</v>
      </c>
      <c r="B48" s="2">
        <v>47</v>
      </c>
      <c r="C48" s="2">
        <v>6</v>
      </c>
      <c r="D48" s="2">
        <v>1</v>
      </c>
      <c r="E48" s="2">
        <v>1.5820000000000001</v>
      </c>
      <c r="F48" s="2">
        <v>2</v>
      </c>
      <c r="H48" s="2">
        <v>14</v>
      </c>
      <c r="I48" s="2">
        <v>248</v>
      </c>
      <c r="J48" s="2">
        <v>4</v>
      </c>
      <c r="K48" s="2">
        <v>1</v>
      </c>
      <c r="L48" s="2">
        <v>1.151</v>
      </c>
    </row>
    <row r="49" spans="1:12" ht="14.25" customHeight="1">
      <c r="A49" s="2">
        <v>14</v>
      </c>
      <c r="B49" s="2">
        <v>48</v>
      </c>
      <c r="C49" s="2">
        <v>8</v>
      </c>
      <c r="D49" s="2">
        <v>0</v>
      </c>
      <c r="E49" s="2">
        <v>1.1160000000000001</v>
      </c>
      <c r="F49" s="2">
        <v>2</v>
      </c>
      <c r="H49" s="2">
        <v>14</v>
      </c>
      <c r="I49" s="2">
        <v>249</v>
      </c>
      <c r="J49" s="2">
        <v>2</v>
      </c>
      <c r="K49" s="2">
        <v>1</v>
      </c>
      <c r="L49" s="2">
        <v>0.67</v>
      </c>
    </row>
    <row r="50" spans="1:12" ht="14.25" customHeight="1">
      <c r="A50" s="2">
        <v>14</v>
      </c>
      <c r="B50" s="2">
        <v>49</v>
      </c>
      <c r="C50" s="2">
        <v>3</v>
      </c>
      <c r="D50" s="2">
        <v>1</v>
      </c>
      <c r="E50" s="2">
        <v>1.212</v>
      </c>
      <c r="F50" s="2">
        <v>2</v>
      </c>
      <c r="H50" s="2">
        <v>14</v>
      </c>
      <c r="I50" s="2">
        <v>250</v>
      </c>
      <c r="J50" s="2">
        <v>6</v>
      </c>
      <c r="K50" s="2">
        <v>1</v>
      </c>
      <c r="L50" s="2">
        <v>0.65500000000000003</v>
      </c>
    </row>
    <row r="51" spans="1:12" ht="14.25" customHeight="1">
      <c r="A51" s="2">
        <v>14</v>
      </c>
      <c r="B51" s="2">
        <v>50</v>
      </c>
      <c r="C51" s="2">
        <v>5</v>
      </c>
      <c r="D51" s="2">
        <v>1</v>
      </c>
      <c r="E51" s="2">
        <v>1.32</v>
      </c>
      <c r="F51" s="2">
        <v>2</v>
      </c>
    </row>
    <row r="52" spans="1:12" ht="14.25" customHeight="1">
      <c r="A52" s="2">
        <v>14</v>
      </c>
      <c r="B52" s="2">
        <v>51</v>
      </c>
      <c r="C52" s="2">
        <v>5</v>
      </c>
      <c r="D52" s="2">
        <v>0</v>
      </c>
      <c r="E52" s="2">
        <v>1.1419999999999999</v>
      </c>
      <c r="F52" s="2">
        <v>1</v>
      </c>
    </row>
    <row r="53" spans="1:12" ht="14.25" customHeight="1">
      <c r="A53" s="2">
        <v>14</v>
      </c>
      <c r="B53" s="2">
        <v>52</v>
      </c>
      <c r="C53" s="2">
        <v>8</v>
      </c>
      <c r="D53" s="2">
        <v>1</v>
      </c>
      <c r="E53" s="2">
        <v>0.9</v>
      </c>
      <c r="F53" s="2">
        <v>2</v>
      </c>
    </row>
    <row r="54" spans="1:12" ht="14.25" customHeight="1">
      <c r="A54" s="2">
        <v>14</v>
      </c>
      <c r="B54" s="2">
        <v>53</v>
      </c>
      <c r="C54" s="2">
        <v>4</v>
      </c>
      <c r="D54" s="2">
        <v>0</v>
      </c>
      <c r="E54" s="2">
        <v>1.7969999999999999</v>
      </c>
      <c r="F54" s="2">
        <v>2</v>
      </c>
    </row>
    <row r="55" spans="1:12" ht="14.25" customHeight="1">
      <c r="A55" s="2">
        <v>14</v>
      </c>
      <c r="B55" s="2">
        <v>54</v>
      </c>
      <c r="C55" s="2">
        <v>5</v>
      </c>
      <c r="D55" s="2">
        <v>1</v>
      </c>
      <c r="E55" s="2">
        <v>1.577</v>
      </c>
      <c r="F55" s="2">
        <v>1</v>
      </c>
    </row>
    <row r="56" spans="1:12" ht="14.25" customHeight="1">
      <c r="A56" s="2">
        <v>14</v>
      </c>
      <c r="B56" s="2">
        <v>55</v>
      </c>
      <c r="C56" s="2">
        <v>6</v>
      </c>
      <c r="D56" s="2">
        <v>0</v>
      </c>
      <c r="E56" s="2">
        <v>0.79900000000000004</v>
      </c>
      <c r="F56" s="2">
        <v>2</v>
      </c>
    </row>
    <row r="57" spans="1:12" ht="14.25" customHeight="1">
      <c r="A57" s="2">
        <v>14</v>
      </c>
      <c r="B57" s="2">
        <v>56</v>
      </c>
      <c r="C57" s="2">
        <v>8</v>
      </c>
      <c r="E57" s="2">
        <v>2</v>
      </c>
    </row>
    <row r="58" spans="1:12" ht="14.25" customHeight="1">
      <c r="A58" s="2">
        <v>14</v>
      </c>
      <c r="B58" s="2">
        <v>57</v>
      </c>
      <c r="C58" s="2">
        <v>3</v>
      </c>
      <c r="D58" s="2">
        <v>1</v>
      </c>
      <c r="E58" s="2">
        <v>0.86499999999999999</v>
      </c>
      <c r="F58" s="2">
        <v>2</v>
      </c>
    </row>
    <row r="59" spans="1:12" ht="14.25" customHeight="1">
      <c r="A59" s="2">
        <v>14</v>
      </c>
      <c r="B59" s="2">
        <v>58</v>
      </c>
      <c r="C59" s="2">
        <v>1</v>
      </c>
      <c r="D59" s="2">
        <v>0</v>
      </c>
      <c r="E59" s="2">
        <v>1.1870000000000001</v>
      </c>
      <c r="F59" s="2">
        <v>1</v>
      </c>
    </row>
    <row r="60" spans="1:12" ht="14.25" customHeight="1">
      <c r="A60" s="2">
        <v>14</v>
      </c>
      <c r="B60" s="2">
        <v>59</v>
      </c>
      <c r="C60" s="2">
        <v>4</v>
      </c>
      <c r="D60" s="2">
        <v>1</v>
      </c>
      <c r="E60" s="2">
        <v>0.88800000000000001</v>
      </c>
      <c r="F60" s="2">
        <v>2</v>
      </c>
    </row>
    <row r="61" spans="1:12" ht="14.25" customHeight="1">
      <c r="A61" s="2">
        <v>14</v>
      </c>
      <c r="B61" s="2">
        <v>60</v>
      </c>
      <c r="C61" s="2">
        <v>8</v>
      </c>
      <c r="D61" s="2">
        <v>1</v>
      </c>
      <c r="E61" s="2">
        <v>0.88800000000000001</v>
      </c>
      <c r="F61" s="2">
        <v>1</v>
      </c>
    </row>
    <row r="62" spans="1:12" ht="14.25" customHeight="1">
      <c r="A62" s="2">
        <v>14</v>
      </c>
      <c r="B62" s="2">
        <v>61</v>
      </c>
      <c r="C62" s="2">
        <v>5</v>
      </c>
      <c r="D62" s="2">
        <v>0</v>
      </c>
      <c r="E62" s="2">
        <v>1.1120000000000001</v>
      </c>
      <c r="F62" s="2">
        <v>2</v>
      </c>
    </row>
    <row r="63" spans="1:12" ht="14.25" customHeight="1">
      <c r="A63" s="2">
        <v>14</v>
      </c>
      <c r="B63" s="2">
        <v>62</v>
      </c>
      <c r="C63" s="2">
        <v>2</v>
      </c>
      <c r="D63" s="2">
        <v>1</v>
      </c>
      <c r="E63" s="2">
        <v>1.4</v>
      </c>
      <c r="F63" s="2">
        <v>2</v>
      </c>
    </row>
    <row r="64" spans="1:12" ht="14.25" customHeight="1">
      <c r="A64" s="2">
        <v>14</v>
      </c>
      <c r="B64" s="2">
        <v>63</v>
      </c>
      <c r="C64" s="2">
        <v>3</v>
      </c>
      <c r="D64" s="2">
        <v>0</v>
      </c>
      <c r="E64" s="2">
        <v>0.89300000000000002</v>
      </c>
      <c r="F64" s="2">
        <v>2</v>
      </c>
    </row>
    <row r="65" spans="1:6" ht="14.25" customHeight="1">
      <c r="A65" s="2">
        <v>14</v>
      </c>
      <c r="B65" s="2">
        <v>64</v>
      </c>
      <c r="C65" s="2">
        <v>1</v>
      </c>
      <c r="D65" s="2">
        <v>1</v>
      </c>
      <c r="E65" s="2">
        <v>1.3979999999999999</v>
      </c>
      <c r="F65" s="2">
        <v>1</v>
      </c>
    </row>
    <row r="66" spans="1:6" ht="14.25" customHeight="1">
      <c r="A66" s="2">
        <v>14</v>
      </c>
      <c r="B66" s="2">
        <v>65</v>
      </c>
      <c r="C66" s="2">
        <v>6</v>
      </c>
      <c r="D66" s="2">
        <v>1</v>
      </c>
      <c r="E66" s="2">
        <v>1.0900000000000001</v>
      </c>
      <c r="F66" s="2">
        <v>2</v>
      </c>
    </row>
    <row r="67" spans="1:6" ht="14.25" customHeight="1">
      <c r="A67" s="2">
        <v>14</v>
      </c>
      <c r="B67" s="2">
        <v>66</v>
      </c>
      <c r="C67" s="2">
        <v>2</v>
      </c>
      <c r="D67" s="2">
        <v>0</v>
      </c>
      <c r="E67" s="2">
        <v>1.5069999999999999</v>
      </c>
      <c r="F67" s="2">
        <v>2</v>
      </c>
    </row>
    <row r="68" spans="1:6" ht="14.25" customHeight="1">
      <c r="A68" s="2">
        <v>14</v>
      </c>
      <c r="B68" s="2">
        <v>67</v>
      </c>
      <c r="C68" s="2">
        <v>7</v>
      </c>
      <c r="D68" s="2">
        <v>0</v>
      </c>
      <c r="E68" s="2">
        <v>0.57899999999999996</v>
      </c>
      <c r="F68" s="2">
        <v>1</v>
      </c>
    </row>
    <row r="69" spans="1:6" ht="14.25" customHeight="1">
      <c r="A69" s="2">
        <v>14</v>
      </c>
      <c r="B69" s="2">
        <v>68</v>
      </c>
      <c r="C69" s="2">
        <v>4</v>
      </c>
      <c r="D69" s="2">
        <v>1</v>
      </c>
      <c r="E69" s="2">
        <v>1.2090000000000001</v>
      </c>
      <c r="F69" s="2">
        <v>2</v>
      </c>
    </row>
    <row r="70" spans="1:6" ht="14.25" customHeight="1">
      <c r="A70" s="2">
        <v>14</v>
      </c>
      <c r="B70" s="2">
        <v>69</v>
      </c>
      <c r="C70" s="2">
        <v>1</v>
      </c>
      <c r="D70" s="2">
        <v>1</v>
      </c>
      <c r="E70" s="2">
        <v>1.5720000000000001</v>
      </c>
      <c r="F70" s="2">
        <v>1</v>
      </c>
    </row>
    <row r="71" spans="1:6" ht="14.25" customHeight="1">
      <c r="A71" s="2">
        <v>14</v>
      </c>
      <c r="B71" s="2">
        <v>70</v>
      </c>
      <c r="C71" s="2">
        <v>4</v>
      </c>
      <c r="D71" s="2">
        <v>1</v>
      </c>
      <c r="E71" s="2">
        <v>1.1539999999999999</v>
      </c>
      <c r="F71" s="2">
        <v>2</v>
      </c>
    </row>
    <row r="72" spans="1:6" ht="14.25" customHeight="1">
      <c r="A72" s="2">
        <v>14</v>
      </c>
      <c r="B72" s="2">
        <v>71</v>
      </c>
      <c r="C72" s="2">
        <v>3</v>
      </c>
      <c r="D72" s="2">
        <v>1</v>
      </c>
      <c r="E72" s="2">
        <v>0.64700000000000002</v>
      </c>
      <c r="F72" s="2">
        <v>1</v>
      </c>
    </row>
    <row r="73" spans="1:6" ht="14.25" customHeight="1">
      <c r="A73" s="2">
        <v>14</v>
      </c>
      <c r="B73" s="2">
        <v>72</v>
      </c>
      <c r="C73" s="2">
        <v>6</v>
      </c>
      <c r="D73" s="2">
        <v>0</v>
      </c>
      <c r="E73" s="2">
        <v>1.4179999999999999</v>
      </c>
      <c r="F73" s="2">
        <v>2</v>
      </c>
    </row>
    <row r="74" spans="1:6" ht="14.25" customHeight="1">
      <c r="A74" s="2">
        <v>14</v>
      </c>
      <c r="B74" s="2">
        <v>73</v>
      </c>
      <c r="C74" s="2">
        <v>3</v>
      </c>
      <c r="D74" s="2">
        <v>1</v>
      </c>
      <c r="E74" s="2">
        <v>0.92600000000000005</v>
      </c>
      <c r="F74" s="2">
        <v>2</v>
      </c>
    </row>
    <row r="75" spans="1:6" ht="14.25" customHeight="1">
      <c r="A75" s="2">
        <v>14</v>
      </c>
      <c r="B75" s="2">
        <v>74</v>
      </c>
      <c r="C75" s="2">
        <v>2</v>
      </c>
      <c r="D75" s="2">
        <v>0</v>
      </c>
      <c r="E75" s="2">
        <v>1.1579999999999999</v>
      </c>
      <c r="F75" s="2">
        <v>1</v>
      </c>
    </row>
    <row r="76" spans="1:6" ht="14.25" customHeight="1">
      <c r="A76" s="2">
        <v>14</v>
      </c>
      <c r="B76" s="2">
        <v>75</v>
      </c>
      <c r="C76" s="2">
        <v>5</v>
      </c>
      <c r="D76" s="2">
        <v>1</v>
      </c>
      <c r="E76" s="2">
        <v>1.196</v>
      </c>
      <c r="F76" s="2">
        <v>1</v>
      </c>
    </row>
    <row r="77" spans="1:6" ht="14.25" customHeight="1">
      <c r="A77" s="2">
        <v>14</v>
      </c>
      <c r="B77" s="2">
        <v>76</v>
      </c>
      <c r="C77" s="2">
        <v>7</v>
      </c>
      <c r="D77" s="2">
        <v>1</v>
      </c>
      <c r="E77" s="2">
        <v>1.2969999999999999</v>
      </c>
      <c r="F77" s="2">
        <v>2</v>
      </c>
    </row>
    <row r="78" spans="1:6" ht="14.25" customHeight="1">
      <c r="A78" s="2">
        <v>14</v>
      </c>
      <c r="B78" s="2">
        <v>77</v>
      </c>
      <c r="C78" s="2">
        <v>6</v>
      </c>
      <c r="E78" s="2">
        <v>2</v>
      </c>
    </row>
    <row r="79" spans="1:6" ht="14.25" customHeight="1">
      <c r="A79" s="2">
        <v>14</v>
      </c>
      <c r="B79" s="2">
        <v>78</v>
      </c>
      <c r="C79" s="2">
        <v>3</v>
      </c>
      <c r="D79" s="2">
        <v>1</v>
      </c>
      <c r="E79" s="2">
        <v>1.07</v>
      </c>
      <c r="F79" s="2">
        <v>2</v>
      </c>
    </row>
    <row r="80" spans="1:6" ht="14.25" customHeight="1">
      <c r="A80" s="2">
        <v>14</v>
      </c>
      <c r="B80" s="2">
        <v>79</v>
      </c>
      <c r="C80" s="2">
        <v>2</v>
      </c>
      <c r="D80" s="2">
        <v>0</v>
      </c>
      <c r="E80" s="2">
        <v>1.464</v>
      </c>
      <c r="F80" s="2">
        <v>1</v>
      </c>
    </row>
    <row r="81" spans="1:6" ht="14.25" customHeight="1">
      <c r="A81" s="2">
        <v>14</v>
      </c>
      <c r="B81" s="2">
        <v>80</v>
      </c>
      <c r="C81" s="2">
        <v>1</v>
      </c>
      <c r="D81" s="2">
        <v>0</v>
      </c>
      <c r="E81" s="2">
        <v>1.6419999999999999</v>
      </c>
      <c r="F81" s="2">
        <v>2</v>
      </c>
    </row>
    <row r="82" spans="1:6" ht="14.25" customHeight="1">
      <c r="A82" s="2">
        <v>14</v>
      </c>
      <c r="B82" s="2">
        <v>81</v>
      </c>
      <c r="C82" s="2">
        <v>6</v>
      </c>
      <c r="D82" s="2">
        <v>1</v>
      </c>
      <c r="E82" s="2">
        <v>1.26</v>
      </c>
      <c r="F82" s="2">
        <v>1</v>
      </c>
    </row>
    <row r="83" spans="1:6" ht="14.25" customHeight="1">
      <c r="A83" s="2">
        <v>14</v>
      </c>
      <c r="B83" s="2">
        <v>82</v>
      </c>
      <c r="C83" s="2">
        <v>8</v>
      </c>
      <c r="D83" s="2">
        <v>1</v>
      </c>
      <c r="E83" s="2">
        <v>0.96599999999999997</v>
      </c>
      <c r="F83" s="2">
        <v>2</v>
      </c>
    </row>
    <row r="84" spans="1:6" ht="14.25" customHeight="1">
      <c r="A84" s="2">
        <v>14</v>
      </c>
      <c r="B84" s="2">
        <v>83</v>
      </c>
      <c r="C84" s="2">
        <v>7</v>
      </c>
      <c r="D84" s="2">
        <v>1</v>
      </c>
      <c r="E84" s="2">
        <v>0.7</v>
      </c>
      <c r="F84" s="2">
        <v>2</v>
      </c>
    </row>
    <row r="85" spans="1:6" ht="14.25" customHeight="1">
      <c r="A85" s="2">
        <v>14</v>
      </c>
      <c r="B85" s="2">
        <v>84</v>
      </c>
      <c r="C85" s="2">
        <v>3</v>
      </c>
      <c r="D85" s="2">
        <v>0</v>
      </c>
      <c r="E85" s="2">
        <v>1.2130000000000001</v>
      </c>
      <c r="F85" s="2">
        <v>1</v>
      </c>
    </row>
    <row r="86" spans="1:6" ht="14.25" customHeight="1">
      <c r="A86" s="2">
        <v>14</v>
      </c>
      <c r="B86" s="2">
        <v>85</v>
      </c>
      <c r="C86" s="2">
        <v>2</v>
      </c>
      <c r="D86" s="2">
        <v>1</v>
      </c>
      <c r="E86" s="2">
        <v>0.99299999999999999</v>
      </c>
      <c r="F86" s="2">
        <v>1</v>
      </c>
    </row>
    <row r="87" spans="1:6" ht="14.25" customHeight="1">
      <c r="A87" s="2">
        <v>14</v>
      </c>
      <c r="B87" s="2">
        <v>86</v>
      </c>
      <c r="C87" s="2">
        <v>6</v>
      </c>
      <c r="D87" s="2">
        <v>1</v>
      </c>
      <c r="E87" s="2">
        <v>1.302</v>
      </c>
      <c r="F87" s="2">
        <v>1</v>
      </c>
    </row>
    <row r="88" spans="1:6" ht="14.25" customHeight="1">
      <c r="A88" s="2">
        <v>14</v>
      </c>
      <c r="B88" s="2">
        <v>87</v>
      </c>
      <c r="C88" s="2">
        <v>7</v>
      </c>
      <c r="D88" s="2">
        <v>1</v>
      </c>
      <c r="E88" s="2">
        <v>1.254</v>
      </c>
      <c r="F88" s="2">
        <v>1</v>
      </c>
    </row>
    <row r="89" spans="1:6" ht="14.25" customHeight="1">
      <c r="A89" s="2">
        <v>14</v>
      </c>
      <c r="B89" s="2">
        <v>88</v>
      </c>
      <c r="C89" s="2">
        <v>1</v>
      </c>
      <c r="D89" s="2">
        <v>0</v>
      </c>
      <c r="E89" s="2">
        <v>1.5449999999999999</v>
      </c>
      <c r="F89" s="2">
        <v>1</v>
      </c>
    </row>
    <row r="90" spans="1:6" ht="14.25" customHeight="1">
      <c r="A90" s="2">
        <v>14</v>
      </c>
      <c r="B90" s="2">
        <v>89</v>
      </c>
      <c r="C90" s="2">
        <v>7</v>
      </c>
      <c r="D90" s="2">
        <v>1</v>
      </c>
      <c r="E90" s="2">
        <v>1.4950000000000001</v>
      </c>
      <c r="F90" s="2">
        <v>1</v>
      </c>
    </row>
    <row r="91" spans="1:6" ht="14.25" customHeight="1">
      <c r="A91" s="2">
        <v>14</v>
      </c>
      <c r="B91" s="2">
        <v>90</v>
      </c>
      <c r="C91" s="2">
        <v>1</v>
      </c>
      <c r="D91" s="2">
        <v>1</v>
      </c>
      <c r="E91" s="2">
        <v>0.90400000000000003</v>
      </c>
      <c r="F91" s="2">
        <v>1</v>
      </c>
    </row>
    <row r="92" spans="1:6" ht="14.25" customHeight="1">
      <c r="A92" s="2">
        <v>14</v>
      </c>
      <c r="B92" s="2">
        <v>91</v>
      </c>
      <c r="C92" s="2">
        <v>8</v>
      </c>
      <c r="D92" s="2">
        <v>1</v>
      </c>
      <c r="E92" s="2">
        <v>1.208</v>
      </c>
      <c r="F92" s="2">
        <v>2</v>
      </c>
    </row>
    <row r="93" spans="1:6" ht="14.25" customHeight="1">
      <c r="A93" s="2">
        <v>14</v>
      </c>
      <c r="B93" s="2">
        <v>92</v>
      </c>
      <c r="C93" s="2">
        <v>7</v>
      </c>
      <c r="D93" s="2">
        <v>0</v>
      </c>
      <c r="E93" s="2">
        <v>1.3959999999999999</v>
      </c>
      <c r="F93" s="2">
        <v>2</v>
      </c>
    </row>
    <row r="94" spans="1:6" ht="14.25" customHeight="1">
      <c r="A94" s="2">
        <v>14</v>
      </c>
      <c r="B94" s="2">
        <v>93</v>
      </c>
      <c r="C94" s="2">
        <v>4</v>
      </c>
      <c r="D94" s="2">
        <v>1</v>
      </c>
      <c r="E94" s="2">
        <v>0.752</v>
      </c>
      <c r="F94" s="2">
        <v>1</v>
      </c>
    </row>
    <row r="95" spans="1:6" ht="14.25" customHeight="1">
      <c r="A95" s="2">
        <v>14</v>
      </c>
      <c r="B95" s="2">
        <v>94</v>
      </c>
      <c r="C95" s="2">
        <v>5</v>
      </c>
      <c r="D95" s="2">
        <v>0</v>
      </c>
      <c r="E95" s="2">
        <v>1.359</v>
      </c>
      <c r="F95" s="2">
        <v>2</v>
      </c>
    </row>
    <row r="96" spans="1:6" ht="14.25" customHeight="1">
      <c r="A96" s="2">
        <v>14</v>
      </c>
      <c r="B96" s="2">
        <v>95</v>
      </c>
      <c r="C96" s="2">
        <v>2</v>
      </c>
      <c r="D96" s="2">
        <v>1</v>
      </c>
      <c r="E96" s="2">
        <v>1.2370000000000001</v>
      </c>
      <c r="F96" s="2">
        <v>2</v>
      </c>
    </row>
    <row r="97" spans="1:6" ht="14.25" customHeight="1">
      <c r="A97" s="2">
        <v>14</v>
      </c>
      <c r="B97" s="2">
        <v>96</v>
      </c>
      <c r="C97" s="2">
        <v>5</v>
      </c>
      <c r="D97" s="2">
        <v>1</v>
      </c>
      <c r="E97" s="2">
        <v>0.88700000000000001</v>
      </c>
      <c r="F97" s="2">
        <v>2</v>
      </c>
    </row>
    <row r="98" spans="1:6" ht="14.25" customHeight="1">
      <c r="A98" s="2">
        <v>14</v>
      </c>
      <c r="B98" s="2">
        <v>97</v>
      </c>
      <c r="C98" s="2">
        <v>4</v>
      </c>
      <c r="D98" s="2">
        <v>0</v>
      </c>
      <c r="E98" s="2">
        <v>1.264</v>
      </c>
      <c r="F98" s="2">
        <v>1</v>
      </c>
    </row>
    <row r="99" spans="1:6" ht="14.25" customHeight="1">
      <c r="A99" s="2">
        <v>14</v>
      </c>
      <c r="B99" s="2">
        <v>98</v>
      </c>
      <c r="C99" s="2">
        <v>3</v>
      </c>
      <c r="D99" s="2">
        <v>1</v>
      </c>
      <c r="E99" s="2">
        <v>0.91400000000000003</v>
      </c>
      <c r="F99" s="2">
        <v>1</v>
      </c>
    </row>
    <row r="100" spans="1:6" ht="14.25" customHeight="1">
      <c r="A100" s="2">
        <v>14</v>
      </c>
      <c r="B100" s="2">
        <v>99</v>
      </c>
      <c r="C100" s="2">
        <v>8</v>
      </c>
      <c r="D100" s="2">
        <v>1</v>
      </c>
      <c r="E100" s="2">
        <v>1.018</v>
      </c>
      <c r="F100" s="2">
        <v>2</v>
      </c>
    </row>
    <row r="101" spans="1:6" ht="14.25" customHeight="1">
      <c r="A101" s="2">
        <v>14</v>
      </c>
      <c r="B101" s="2">
        <v>100</v>
      </c>
      <c r="C101" s="2">
        <v>5</v>
      </c>
      <c r="D101" s="2">
        <v>1</v>
      </c>
      <c r="E101" s="2">
        <v>0.73399999999999999</v>
      </c>
      <c r="F101" s="2">
        <v>2</v>
      </c>
    </row>
    <row r="102" spans="1:6" ht="14.25" customHeight="1">
      <c r="A102" s="2">
        <v>14</v>
      </c>
      <c r="B102" s="2">
        <v>101</v>
      </c>
      <c r="C102" s="2">
        <v>4</v>
      </c>
      <c r="D102" s="2">
        <v>0</v>
      </c>
      <c r="E102" s="2">
        <v>1.165</v>
      </c>
      <c r="F102" s="2">
        <v>1</v>
      </c>
    </row>
    <row r="103" spans="1:6" ht="14.25" customHeight="1">
      <c r="A103" s="2">
        <v>14</v>
      </c>
      <c r="B103" s="2">
        <v>102</v>
      </c>
      <c r="C103" s="2">
        <v>5</v>
      </c>
      <c r="D103" s="2">
        <v>1</v>
      </c>
      <c r="E103" s="2">
        <v>0.61099999999999999</v>
      </c>
      <c r="F103" s="2">
        <v>2</v>
      </c>
    </row>
    <row r="104" spans="1:6" ht="14.25" customHeight="1">
      <c r="A104" s="2">
        <v>14</v>
      </c>
      <c r="B104" s="2">
        <v>103</v>
      </c>
      <c r="C104" s="2">
        <v>7</v>
      </c>
      <c r="D104" s="2">
        <v>0</v>
      </c>
      <c r="E104" s="2">
        <v>0.79900000000000004</v>
      </c>
      <c r="F104" s="2">
        <v>2</v>
      </c>
    </row>
    <row r="105" spans="1:6" ht="14.25" customHeight="1">
      <c r="A105" s="2">
        <v>14</v>
      </c>
      <c r="B105" s="2">
        <v>104</v>
      </c>
      <c r="C105" s="2">
        <v>8</v>
      </c>
      <c r="D105" s="2">
        <v>1</v>
      </c>
      <c r="E105" s="2">
        <v>1.339</v>
      </c>
      <c r="F105" s="2">
        <v>1</v>
      </c>
    </row>
    <row r="106" spans="1:6" ht="14.25" customHeight="1">
      <c r="A106" s="2">
        <v>14</v>
      </c>
      <c r="B106" s="2">
        <v>105</v>
      </c>
      <c r="C106" s="2">
        <v>7</v>
      </c>
      <c r="D106" s="2">
        <v>1</v>
      </c>
      <c r="E106" s="2">
        <v>1.0740000000000001</v>
      </c>
      <c r="F106" s="2">
        <v>1</v>
      </c>
    </row>
    <row r="107" spans="1:6" ht="14.25" customHeight="1">
      <c r="A107" s="2">
        <v>14</v>
      </c>
      <c r="B107" s="2">
        <v>106</v>
      </c>
      <c r="C107" s="2">
        <v>2</v>
      </c>
      <c r="D107" s="2">
        <v>1</v>
      </c>
      <c r="E107" s="2">
        <v>0.98699999999999999</v>
      </c>
      <c r="F107" s="2">
        <v>1</v>
      </c>
    </row>
    <row r="108" spans="1:6" ht="14.25" customHeight="1">
      <c r="A108" s="2">
        <v>14</v>
      </c>
      <c r="B108" s="2">
        <v>107</v>
      </c>
      <c r="C108" s="2">
        <v>7</v>
      </c>
      <c r="D108" s="2">
        <v>1</v>
      </c>
      <c r="E108" s="2">
        <v>0.64800000000000002</v>
      </c>
      <c r="F108" s="2">
        <v>2</v>
      </c>
    </row>
    <row r="109" spans="1:6" ht="14.25" customHeight="1">
      <c r="A109" s="2">
        <v>14</v>
      </c>
      <c r="B109" s="2">
        <v>108</v>
      </c>
      <c r="C109" s="2">
        <v>6</v>
      </c>
      <c r="D109" s="2">
        <v>1</v>
      </c>
      <c r="E109" s="2">
        <v>0.85</v>
      </c>
      <c r="F109" s="2">
        <v>2</v>
      </c>
    </row>
    <row r="110" spans="1:6" ht="14.25" customHeight="1">
      <c r="A110" s="2">
        <v>14</v>
      </c>
      <c r="B110" s="2">
        <v>109</v>
      </c>
      <c r="C110" s="2">
        <v>4</v>
      </c>
      <c r="D110" s="2">
        <v>1</v>
      </c>
      <c r="E110" s="2">
        <v>0.621</v>
      </c>
      <c r="F110" s="2">
        <v>2</v>
      </c>
    </row>
    <row r="111" spans="1:6" ht="14.25" customHeight="1">
      <c r="A111" s="2">
        <v>14</v>
      </c>
      <c r="B111" s="2">
        <v>110</v>
      </c>
      <c r="C111" s="2">
        <v>5</v>
      </c>
      <c r="D111" s="2">
        <v>1</v>
      </c>
      <c r="E111" s="2">
        <v>0.82499999999999996</v>
      </c>
      <c r="F111" s="2">
        <v>1</v>
      </c>
    </row>
    <row r="112" spans="1:6" ht="14.25" customHeight="1">
      <c r="A112" s="2">
        <v>14</v>
      </c>
      <c r="B112" s="2">
        <v>111</v>
      </c>
      <c r="C112" s="2">
        <v>2</v>
      </c>
      <c r="D112" s="2">
        <v>1</v>
      </c>
      <c r="E112" s="2">
        <v>0.77100000000000002</v>
      </c>
      <c r="F112" s="2">
        <v>1</v>
      </c>
    </row>
    <row r="113" spans="1:6" ht="14.25" customHeight="1">
      <c r="A113" s="2">
        <v>14</v>
      </c>
      <c r="B113" s="2">
        <v>112</v>
      </c>
      <c r="C113" s="2">
        <v>8</v>
      </c>
      <c r="D113" s="2">
        <v>1</v>
      </c>
      <c r="E113" s="2">
        <v>0.78400000000000003</v>
      </c>
      <c r="F113" s="2">
        <v>2</v>
      </c>
    </row>
    <row r="114" spans="1:6" ht="14.25" customHeight="1">
      <c r="A114" s="2">
        <v>14</v>
      </c>
      <c r="B114" s="2">
        <v>113</v>
      </c>
      <c r="C114" s="2">
        <v>3</v>
      </c>
      <c r="D114" s="2">
        <v>1</v>
      </c>
      <c r="E114" s="2">
        <v>0.70099999999999996</v>
      </c>
      <c r="F114" s="2">
        <v>1</v>
      </c>
    </row>
    <row r="115" spans="1:6" ht="14.25" customHeight="1">
      <c r="A115" s="2">
        <v>14</v>
      </c>
      <c r="B115" s="2">
        <v>114</v>
      </c>
      <c r="C115" s="2">
        <v>1</v>
      </c>
      <c r="D115" s="2">
        <v>0</v>
      </c>
      <c r="E115" s="2">
        <v>0.42199999999999999</v>
      </c>
      <c r="F115" s="2">
        <v>2</v>
      </c>
    </row>
    <row r="116" spans="1:6" ht="14.25" customHeight="1">
      <c r="A116" s="2">
        <v>14</v>
      </c>
      <c r="B116" s="2">
        <v>115</v>
      </c>
      <c r="C116" s="2">
        <v>5</v>
      </c>
      <c r="D116" s="2">
        <v>1</v>
      </c>
      <c r="E116" s="2">
        <v>0.59299999999999997</v>
      </c>
      <c r="F116" s="2">
        <v>2</v>
      </c>
    </row>
    <row r="117" spans="1:6" ht="14.25" customHeight="1">
      <c r="A117" s="2">
        <v>14</v>
      </c>
      <c r="B117" s="2">
        <v>116</v>
      </c>
      <c r="C117" s="2">
        <v>3</v>
      </c>
      <c r="D117" s="2">
        <v>1</v>
      </c>
      <c r="E117" s="2">
        <v>0.46200000000000002</v>
      </c>
      <c r="F117" s="2">
        <v>1</v>
      </c>
    </row>
    <row r="118" spans="1:6" ht="14.25" customHeight="1">
      <c r="A118" s="2">
        <v>14</v>
      </c>
      <c r="B118" s="2">
        <v>117</v>
      </c>
      <c r="C118" s="2">
        <v>8</v>
      </c>
      <c r="D118" s="2">
        <v>1</v>
      </c>
      <c r="E118" s="2">
        <v>0.48799999999999999</v>
      </c>
      <c r="F118" s="2">
        <v>2</v>
      </c>
    </row>
    <row r="119" spans="1:6" ht="14.25" customHeight="1">
      <c r="A119" s="2">
        <v>14</v>
      </c>
      <c r="B119" s="2">
        <v>118</v>
      </c>
      <c r="C119" s="2">
        <v>3</v>
      </c>
      <c r="D119" s="2">
        <v>1</v>
      </c>
      <c r="E119" s="2">
        <v>1.0089999999999999</v>
      </c>
      <c r="F119" s="2">
        <v>2</v>
      </c>
    </row>
    <row r="120" spans="1:6" ht="14.25" customHeight="1">
      <c r="A120" s="2">
        <v>14</v>
      </c>
      <c r="B120" s="2">
        <v>119</v>
      </c>
      <c r="C120" s="2">
        <v>6</v>
      </c>
      <c r="D120" s="2">
        <v>1</v>
      </c>
      <c r="E120" s="2">
        <v>0.69299999999999995</v>
      </c>
      <c r="F120" s="2">
        <v>1</v>
      </c>
    </row>
    <row r="121" spans="1:6" ht="14.25" customHeight="1">
      <c r="A121" s="2">
        <v>14</v>
      </c>
      <c r="B121" s="2">
        <v>120</v>
      </c>
      <c r="C121" s="2">
        <v>1</v>
      </c>
      <c r="D121" s="2">
        <v>1</v>
      </c>
      <c r="E121" s="2">
        <v>0.79800000000000004</v>
      </c>
      <c r="F121" s="2">
        <v>2</v>
      </c>
    </row>
    <row r="122" spans="1:6" ht="14.25" customHeight="1">
      <c r="A122" s="2">
        <v>14</v>
      </c>
      <c r="B122" s="2">
        <v>121</v>
      </c>
      <c r="C122" s="2">
        <v>6</v>
      </c>
      <c r="D122" s="2">
        <v>0</v>
      </c>
      <c r="E122" s="2">
        <v>0.79400000000000004</v>
      </c>
      <c r="F122" s="2">
        <v>2</v>
      </c>
    </row>
    <row r="123" spans="1:6" ht="14.25" customHeight="1">
      <c r="A123" s="2">
        <v>14</v>
      </c>
      <c r="B123" s="2">
        <v>122</v>
      </c>
      <c r="C123" s="2">
        <v>1</v>
      </c>
      <c r="D123" s="2">
        <v>1</v>
      </c>
      <c r="E123" s="2">
        <v>1.127</v>
      </c>
      <c r="F123" s="2">
        <v>1</v>
      </c>
    </row>
    <row r="124" spans="1:6" ht="14.25" customHeight="1">
      <c r="A124" s="2">
        <v>14</v>
      </c>
      <c r="B124" s="2">
        <v>123</v>
      </c>
      <c r="C124" s="2">
        <v>3</v>
      </c>
      <c r="D124" s="2">
        <v>1</v>
      </c>
      <c r="E124" s="2">
        <v>1.0629999999999999</v>
      </c>
      <c r="F124" s="2">
        <v>2</v>
      </c>
    </row>
    <row r="125" spans="1:6" ht="14.25" customHeight="1">
      <c r="A125" s="2">
        <v>14</v>
      </c>
      <c r="B125" s="2">
        <v>124</v>
      </c>
      <c r="C125" s="2">
        <v>4</v>
      </c>
      <c r="D125" s="2">
        <v>0</v>
      </c>
      <c r="E125" s="2">
        <v>0.89700000000000002</v>
      </c>
      <c r="F125" s="2">
        <v>1</v>
      </c>
    </row>
    <row r="126" spans="1:6" ht="14.25" customHeight="1">
      <c r="A126" s="2">
        <v>14</v>
      </c>
      <c r="B126" s="2">
        <v>125</v>
      </c>
      <c r="C126" s="2">
        <v>2</v>
      </c>
      <c r="D126" s="2">
        <v>0</v>
      </c>
      <c r="E126" s="2">
        <v>0.72899999999999998</v>
      </c>
      <c r="F126" s="2">
        <v>2</v>
      </c>
    </row>
    <row r="127" spans="1:6" ht="14.25" customHeight="1">
      <c r="A127" s="2">
        <v>14</v>
      </c>
      <c r="B127" s="2">
        <v>126</v>
      </c>
      <c r="C127" s="2">
        <v>6</v>
      </c>
      <c r="D127" s="2">
        <v>1</v>
      </c>
      <c r="E127" s="2">
        <v>1.0880000000000001</v>
      </c>
      <c r="F127" s="2">
        <v>2</v>
      </c>
    </row>
    <row r="128" spans="1:6" ht="14.25" customHeight="1">
      <c r="A128" s="2">
        <v>14</v>
      </c>
      <c r="B128" s="2">
        <v>127</v>
      </c>
      <c r="C128" s="2">
        <v>5</v>
      </c>
      <c r="D128" s="2">
        <v>1</v>
      </c>
      <c r="E128" s="2">
        <v>0.92100000000000004</v>
      </c>
      <c r="F128" s="2">
        <v>2</v>
      </c>
    </row>
    <row r="129" spans="1:6" ht="14.25" customHeight="1">
      <c r="A129" s="2">
        <v>14</v>
      </c>
      <c r="B129" s="2">
        <v>128</v>
      </c>
      <c r="C129" s="2">
        <v>4</v>
      </c>
      <c r="D129" s="2">
        <v>1</v>
      </c>
      <c r="E129" s="2">
        <v>1.4079999999999999</v>
      </c>
      <c r="F129" s="2">
        <v>2</v>
      </c>
    </row>
    <row r="130" spans="1:6" ht="14.25" customHeight="1">
      <c r="A130" s="2">
        <v>14</v>
      </c>
      <c r="B130" s="2">
        <v>129</v>
      </c>
      <c r="C130" s="2">
        <v>8</v>
      </c>
      <c r="D130" s="2">
        <v>0</v>
      </c>
      <c r="E130" s="2">
        <v>1.012</v>
      </c>
      <c r="F130" s="2">
        <v>1</v>
      </c>
    </row>
    <row r="131" spans="1:6" ht="14.25" customHeight="1">
      <c r="A131" s="2">
        <v>14</v>
      </c>
      <c r="B131" s="2">
        <v>130</v>
      </c>
      <c r="C131" s="2">
        <v>3</v>
      </c>
      <c r="D131" s="2">
        <v>1</v>
      </c>
      <c r="E131" s="2">
        <v>0.96099999999999997</v>
      </c>
      <c r="F131" s="2">
        <v>1</v>
      </c>
    </row>
    <row r="132" spans="1:6" ht="14.25" customHeight="1">
      <c r="A132" s="2">
        <v>14</v>
      </c>
      <c r="B132" s="2">
        <v>131</v>
      </c>
      <c r="C132" s="2">
        <v>2</v>
      </c>
      <c r="D132" s="2">
        <v>0</v>
      </c>
      <c r="E132" s="2">
        <v>0.93400000000000005</v>
      </c>
      <c r="F132" s="2">
        <v>2</v>
      </c>
    </row>
    <row r="133" spans="1:6" ht="14.25" customHeight="1">
      <c r="A133" s="2">
        <v>14</v>
      </c>
      <c r="B133" s="2">
        <v>132</v>
      </c>
      <c r="C133" s="2">
        <v>7</v>
      </c>
      <c r="D133" s="2">
        <v>1</v>
      </c>
      <c r="E133" s="2">
        <v>1.1739999999999999</v>
      </c>
      <c r="F133" s="2">
        <v>2</v>
      </c>
    </row>
    <row r="134" spans="1:6" ht="14.25" customHeight="1">
      <c r="A134" s="2">
        <v>14</v>
      </c>
      <c r="B134" s="2">
        <v>133</v>
      </c>
      <c r="C134" s="2">
        <v>6</v>
      </c>
      <c r="D134" s="2">
        <v>1</v>
      </c>
      <c r="E134" s="2">
        <v>1.323</v>
      </c>
      <c r="F134" s="2">
        <v>2</v>
      </c>
    </row>
    <row r="135" spans="1:6" ht="14.25" customHeight="1">
      <c r="A135" s="2">
        <v>14</v>
      </c>
      <c r="B135" s="2">
        <v>134</v>
      </c>
      <c r="C135" s="2">
        <v>7</v>
      </c>
      <c r="D135" s="2">
        <v>1</v>
      </c>
      <c r="E135" s="2">
        <v>0.99399999999999999</v>
      </c>
      <c r="F135" s="2">
        <v>2</v>
      </c>
    </row>
    <row r="136" spans="1:6" ht="14.25" customHeight="1">
      <c r="A136" s="2">
        <v>14</v>
      </c>
      <c r="B136" s="2">
        <v>135</v>
      </c>
      <c r="C136" s="2">
        <v>5</v>
      </c>
      <c r="D136" s="2">
        <v>1</v>
      </c>
      <c r="E136" s="2">
        <v>0.73499999999999999</v>
      </c>
      <c r="F136" s="2">
        <v>1</v>
      </c>
    </row>
    <row r="137" spans="1:6" ht="14.25" customHeight="1">
      <c r="A137" s="2">
        <v>14</v>
      </c>
      <c r="B137" s="2">
        <v>136</v>
      </c>
      <c r="C137" s="2">
        <v>4</v>
      </c>
      <c r="D137" s="2">
        <v>1</v>
      </c>
      <c r="E137" s="2">
        <v>1.1180000000000001</v>
      </c>
      <c r="F137" s="2">
        <v>1</v>
      </c>
    </row>
    <row r="138" spans="1:6" ht="14.25" customHeight="1">
      <c r="A138" s="2">
        <v>14</v>
      </c>
      <c r="B138" s="2">
        <v>137</v>
      </c>
      <c r="C138" s="2">
        <v>1</v>
      </c>
      <c r="D138" s="2">
        <v>1</v>
      </c>
      <c r="E138" s="2">
        <v>1.4870000000000001</v>
      </c>
      <c r="F138" s="2">
        <v>1</v>
      </c>
    </row>
    <row r="139" spans="1:6" ht="14.25" customHeight="1">
      <c r="A139" s="2">
        <v>14</v>
      </c>
      <c r="B139" s="2">
        <v>138</v>
      </c>
      <c r="C139" s="2">
        <v>2</v>
      </c>
      <c r="D139" s="2">
        <v>1</v>
      </c>
      <c r="E139" s="2">
        <v>1.1200000000000001</v>
      </c>
      <c r="F139" s="2">
        <v>2</v>
      </c>
    </row>
    <row r="140" spans="1:6" ht="14.25" customHeight="1">
      <c r="A140" s="2">
        <v>14</v>
      </c>
      <c r="B140" s="2">
        <v>139</v>
      </c>
      <c r="C140" s="2">
        <v>4</v>
      </c>
      <c r="D140" s="2">
        <v>1</v>
      </c>
      <c r="E140" s="2">
        <v>0.879</v>
      </c>
      <c r="F140" s="2">
        <v>1</v>
      </c>
    </row>
    <row r="141" spans="1:6" ht="14.25" customHeight="1">
      <c r="A141" s="2">
        <v>14</v>
      </c>
      <c r="B141" s="2">
        <v>140</v>
      </c>
      <c r="C141" s="2">
        <v>5</v>
      </c>
      <c r="D141" s="2">
        <v>1</v>
      </c>
      <c r="E141" s="2">
        <v>1.3280000000000001</v>
      </c>
      <c r="F141" s="2">
        <v>1</v>
      </c>
    </row>
    <row r="142" spans="1:6" ht="14.25" customHeight="1">
      <c r="A142" s="2">
        <v>14</v>
      </c>
      <c r="B142" s="2">
        <v>141</v>
      </c>
      <c r="C142" s="2">
        <v>1</v>
      </c>
      <c r="D142" s="2">
        <v>1</v>
      </c>
      <c r="E142" s="2">
        <v>0.78400000000000003</v>
      </c>
      <c r="F142" s="2">
        <v>2</v>
      </c>
    </row>
    <row r="143" spans="1:6" ht="14.25" customHeight="1">
      <c r="A143" s="2">
        <v>14</v>
      </c>
      <c r="B143" s="2">
        <v>142</v>
      </c>
      <c r="C143" s="2">
        <v>5</v>
      </c>
      <c r="D143" s="2">
        <v>1</v>
      </c>
      <c r="E143" s="2">
        <v>0.91700000000000004</v>
      </c>
      <c r="F143" s="2">
        <v>1</v>
      </c>
    </row>
    <row r="144" spans="1:6" ht="14.25" customHeight="1">
      <c r="A144" s="2">
        <v>14</v>
      </c>
      <c r="B144" s="2">
        <v>143</v>
      </c>
      <c r="C144" s="2">
        <v>8</v>
      </c>
      <c r="D144" s="2">
        <v>0</v>
      </c>
      <c r="E144" s="2">
        <v>1.133</v>
      </c>
      <c r="F144" s="2">
        <v>2</v>
      </c>
    </row>
    <row r="145" spans="1:6" ht="14.25" customHeight="1">
      <c r="A145" s="2">
        <v>14</v>
      </c>
      <c r="B145" s="2">
        <v>144</v>
      </c>
      <c r="C145" s="2">
        <v>3</v>
      </c>
      <c r="D145" s="2">
        <v>0</v>
      </c>
      <c r="E145" s="2">
        <v>1.4279999999999999</v>
      </c>
      <c r="F145" s="2">
        <v>2</v>
      </c>
    </row>
    <row r="146" spans="1:6" ht="14.25" customHeight="1">
      <c r="A146" s="2">
        <v>14</v>
      </c>
      <c r="B146" s="2">
        <v>145</v>
      </c>
      <c r="C146" s="2">
        <v>1</v>
      </c>
      <c r="D146" s="2">
        <v>1</v>
      </c>
      <c r="E146" s="2">
        <v>0.83199999999999996</v>
      </c>
      <c r="F146" s="2">
        <v>2</v>
      </c>
    </row>
    <row r="147" spans="1:6" ht="14.25" customHeight="1">
      <c r="A147" s="2">
        <v>14</v>
      </c>
      <c r="B147" s="2">
        <v>146</v>
      </c>
      <c r="C147" s="2">
        <v>7</v>
      </c>
      <c r="D147" s="2">
        <v>1</v>
      </c>
      <c r="E147" s="2">
        <v>0.82699999999999996</v>
      </c>
      <c r="F147" s="2">
        <v>2</v>
      </c>
    </row>
    <row r="148" spans="1:6" ht="14.25" customHeight="1">
      <c r="A148" s="2">
        <v>14</v>
      </c>
      <c r="B148" s="2">
        <v>147</v>
      </c>
      <c r="C148" s="2">
        <v>8</v>
      </c>
      <c r="D148" s="2">
        <v>1</v>
      </c>
      <c r="E148" s="2">
        <v>1.462</v>
      </c>
      <c r="F148" s="2">
        <v>2</v>
      </c>
    </row>
    <row r="149" spans="1:6" ht="14.25" customHeight="1">
      <c r="A149" s="2">
        <v>14</v>
      </c>
      <c r="B149" s="2">
        <v>148</v>
      </c>
      <c r="C149" s="2">
        <v>6</v>
      </c>
      <c r="D149" s="2">
        <v>1</v>
      </c>
      <c r="E149" s="2">
        <v>0.85599999999999998</v>
      </c>
      <c r="F149" s="2">
        <v>1</v>
      </c>
    </row>
    <row r="150" spans="1:6" ht="14.25" customHeight="1">
      <c r="A150" s="2">
        <v>14</v>
      </c>
      <c r="B150" s="2">
        <v>149</v>
      </c>
      <c r="C150" s="2">
        <v>2</v>
      </c>
      <c r="D150" s="2">
        <v>1</v>
      </c>
      <c r="E150" s="2">
        <v>1.042</v>
      </c>
      <c r="F150" s="2">
        <v>2</v>
      </c>
    </row>
    <row r="151" spans="1:6" ht="14.25" customHeight="1">
      <c r="A151" s="2">
        <v>14</v>
      </c>
      <c r="B151" s="2">
        <v>150</v>
      </c>
      <c r="C151" s="2">
        <v>3</v>
      </c>
      <c r="D151" s="2">
        <v>1</v>
      </c>
      <c r="E151" s="2">
        <v>0.88500000000000001</v>
      </c>
      <c r="F151" s="2">
        <v>2</v>
      </c>
    </row>
    <row r="152" spans="1:6" ht="14.25" customHeight="1">
      <c r="A152" s="2">
        <v>14</v>
      </c>
      <c r="B152" s="2">
        <v>151</v>
      </c>
      <c r="C152" s="2">
        <v>4</v>
      </c>
      <c r="D152" s="2">
        <v>1</v>
      </c>
      <c r="E152" s="2">
        <v>1.2769999999999999</v>
      </c>
      <c r="F152" s="2">
        <v>2</v>
      </c>
    </row>
    <row r="153" spans="1:6" ht="14.25" customHeight="1">
      <c r="A153" s="2">
        <v>14</v>
      </c>
      <c r="B153" s="2">
        <v>152</v>
      </c>
      <c r="C153" s="2">
        <v>5</v>
      </c>
      <c r="D153" s="2">
        <v>1</v>
      </c>
      <c r="E153" s="2">
        <v>0.83</v>
      </c>
      <c r="F153" s="2">
        <v>2</v>
      </c>
    </row>
    <row r="154" spans="1:6" ht="14.25" customHeight="1">
      <c r="A154" s="2">
        <v>14</v>
      </c>
      <c r="B154" s="2">
        <v>153</v>
      </c>
      <c r="C154" s="2">
        <v>8</v>
      </c>
      <c r="D154" s="2">
        <v>1</v>
      </c>
      <c r="E154" s="2">
        <v>0.68899999999999995</v>
      </c>
      <c r="F154" s="2">
        <v>1</v>
      </c>
    </row>
    <row r="155" spans="1:6" ht="14.25" customHeight="1">
      <c r="A155" s="2">
        <v>14</v>
      </c>
      <c r="B155" s="2">
        <v>154</v>
      </c>
      <c r="C155" s="2">
        <v>2</v>
      </c>
      <c r="D155" s="2">
        <v>1</v>
      </c>
      <c r="E155" s="2">
        <v>0.65</v>
      </c>
      <c r="F155" s="2">
        <v>1</v>
      </c>
    </row>
    <row r="156" spans="1:6" ht="14.25" customHeight="1">
      <c r="A156" s="2">
        <v>14</v>
      </c>
      <c r="B156" s="2">
        <v>155</v>
      </c>
      <c r="C156" s="2">
        <v>4</v>
      </c>
      <c r="D156" s="2">
        <v>0</v>
      </c>
      <c r="E156" s="2">
        <v>1.2130000000000001</v>
      </c>
      <c r="F156" s="2">
        <v>2</v>
      </c>
    </row>
    <row r="157" spans="1:6" ht="14.25" customHeight="1">
      <c r="A157" s="2">
        <v>14</v>
      </c>
      <c r="B157" s="2">
        <v>156</v>
      </c>
      <c r="C157" s="2">
        <v>8</v>
      </c>
      <c r="D157" s="2">
        <v>1</v>
      </c>
      <c r="E157" s="2">
        <v>0.63300000000000001</v>
      </c>
      <c r="F157" s="2">
        <v>1</v>
      </c>
    </row>
    <row r="158" spans="1:6" ht="14.25" customHeight="1">
      <c r="A158" s="2">
        <v>14</v>
      </c>
      <c r="B158" s="2">
        <v>157</v>
      </c>
      <c r="C158" s="2">
        <v>7</v>
      </c>
      <c r="D158" s="2">
        <v>1</v>
      </c>
      <c r="E158" s="2">
        <v>1.2450000000000001</v>
      </c>
      <c r="F158" s="2">
        <v>2</v>
      </c>
    </row>
    <row r="159" spans="1:6" ht="14.25" customHeight="1">
      <c r="A159" s="2">
        <v>14</v>
      </c>
      <c r="B159" s="2">
        <v>158</v>
      </c>
      <c r="C159" s="2">
        <v>1</v>
      </c>
      <c r="D159" s="2">
        <v>1</v>
      </c>
      <c r="E159" s="2">
        <v>1.2709999999999999</v>
      </c>
      <c r="F159" s="2">
        <v>2</v>
      </c>
    </row>
    <row r="160" spans="1:6" ht="14.25" customHeight="1">
      <c r="A160" s="2">
        <v>14</v>
      </c>
      <c r="B160" s="2">
        <v>159</v>
      </c>
      <c r="C160" s="2">
        <v>2</v>
      </c>
      <c r="D160" s="2">
        <v>1</v>
      </c>
      <c r="E160" s="2">
        <v>1.008</v>
      </c>
      <c r="F160" s="2">
        <v>2</v>
      </c>
    </row>
    <row r="161" spans="1:6" ht="14.25" customHeight="1">
      <c r="A161" s="2">
        <v>14</v>
      </c>
      <c r="B161" s="2">
        <v>160</v>
      </c>
      <c r="C161" s="2">
        <v>7</v>
      </c>
      <c r="D161" s="2">
        <v>1</v>
      </c>
      <c r="E161" s="2">
        <v>0.65200000000000002</v>
      </c>
      <c r="F161" s="2">
        <v>1</v>
      </c>
    </row>
    <row r="162" spans="1:6" ht="14.25" customHeight="1">
      <c r="A162" s="2">
        <v>14</v>
      </c>
      <c r="B162" s="2">
        <v>161</v>
      </c>
      <c r="C162" s="2">
        <v>1</v>
      </c>
      <c r="D162" s="2">
        <v>1</v>
      </c>
      <c r="E162" s="2">
        <v>0.74299999999999999</v>
      </c>
      <c r="F162" s="2">
        <v>1</v>
      </c>
    </row>
    <row r="163" spans="1:6" ht="14.25" customHeight="1">
      <c r="A163" s="2">
        <v>14</v>
      </c>
      <c r="B163" s="2">
        <v>162</v>
      </c>
      <c r="C163" s="2">
        <v>4</v>
      </c>
      <c r="D163" s="2">
        <v>1</v>
      </c>
      <c r="E163" s="2">
        <v>0.78900000000000003</v>
      </c>
      <c r="F163" s="2">
        <v>2</v>
      </c>
    </row>
    <row r="164" spans="1:6" ht="14.25" customHeight="1">
      <c r="A164" s="2">
        <v>14</v>
      </c>
      <c r="B164" s="2">
        <v>163</v>
      </c>
      <c r="C164" s="2">
        <v>3</v>
      </c>
      <c r="D164" s="2">
        <v>1</v>
      </c>
      <c r="E164" s="2">
        <v>0.68899999999999995</v>
      </c>
      <c r="F164" s="2">
        <v>1</v>
      </c>
    </row>
    <row r="165" spans="1:6" ht="14.25" customHeight="1">
      <c r="A165" s="2">
        <v>14</v>
      </c>
      <c r="B165" s="2">
        <v>164</v>
      </c>
      <c r="C165" s="2">
        <v>4</v>
      </c>
      <c r="D165" s="2">
        <v>1</v>
      </c>
      <c r="E165" s="2">
        <v>0.80300000000000005</v>
      </c>
      <c r="F165" s="2">
        <v>1</v>
      </c>
    </row>
    <row r="166" spans="1:6" ht="14.25" customHeight="1">
      <c r="A166" s="2">
        <v>14</v>
      </c>
      <c r="B166" s="2">
        <v>165</v>
      </c>
      <c r="C166" s="2">
        <v>2</v>
      </c>
      <c r="D166" s="2">
        <v>1</v>
      </c>
      <c r="E166" s="2">
        <v>0.999</v>
      </c>
      <c r="F166" s="2">
        <v>2</v>
      </c>
    </row>
    <row r="167" spans="1:6" ht="14.25" customHeight="1">
      <c r="A167" s="2">
        <v>14</v>
      </c>
      <c r="B167" s="2">
        <v>166</v>
      </c>
      <c r="C167" s="2">
        <v>5</v>
      </c>
      <c r="D167" s="2">
        <v>1</v>
      </c>
      <c r="E167" s="2">
        <v>0.66</v>
      </c>
      <c r="F167" s="2">
        <v>1</v>
      </c>
    </row>
    <row r="168" spans="1:6" ht="14.25" customHeight="1">
      <c r="A168" s="2">
        <v>14</v>
      </c>
      <c r="B168" s="2">
        <v>167</v>
      </c>
      <c r="C168" s="2">
        <v>6</v>
      </c>
      <c r="D168" s="2">
        <v>1</v>
      </c>
      <c r="E168" s="2">
        <v>1.286</v>
      </c>
      <c r="F168" s="2">
        <v>2</v>
      </c>
    </row>
    <row r="169" spans="1:6" ht="14.25" customHeight="1">
      <c r="A169" s="2">
        <v>14</v>
      </c>
      <c r="B169" s="2">
        <v>168</v>
      </c>
      <c r="C169" s="2">
        <v>8</v>
      </c>
      <c r="D169" s="2">
        <v>1</v>
      </c>
      <c r="E169" s="2">
        <v>0.69599999999999995</v>
      </c>
      <c r="F169" s="2">
        <v>2</v>
      </c>
    </row>
    <row r="170" spans="1:6" ht="14.25" customHeight="1">
      <c r="A170" s="2">
        <v>14</v>
      </c>
      <c r="B170" s="2">
        <v>169</v>
      </c>
      <c r="C170" s="2">
        <v>2</v>
      </c>
      <c r="D170" s="2">
        <v>1</v>
      </c>
      <c r="E170" s="2">
        <v>0.56699999999999995</v>
      </c>
      <c r="F170" s="2">
        <v>1</v>
      </c>
    </row>
    <row r="171" spans="1:6" ht="14.25" customHeight="1">
      <c r="A171" s="2">
        <v>14</v>
      </c>
      <c r="B171" s="2">
        <v>170</v>
      </c>
      <c r="C171" s="2">
        <v>1</v>
      </c>
      <c r="D171" s="2">
        <v>1</v>
      </c>
      <c r="E171" s="2">
        <v>0.67</v>
      </c>
      <c r="F171" s="2">
        <v>2</v>
      </c>
    </row>
    <row r="172" spans="1:6" ht="14.25" customHeight="1">
      <c r="A172" s="2">
        <v>14</v>
      </c>
      <c r="B172" s="2">
        <v>171</v>
      </c>
      <c r="C172" s="2">
        <v>7</v>
      </c>
      <c r="D172" s="2">
        <v>0</v>
      </c>
      <c r="E172" s="2">
        <v>0.96</v>
      </c>
      <c r="F172" s="2">
        <v>2</v>
      </c>
    </row>
    <row r="173" spans="1:6" ht="14.25" customHeight="1">
      <c r="A173" s="2">
        <v>14</v>
      </c>
      <c r="B173" s="2">
        <v>172</v>
      </c>
      <c r="C173" s="2">
        <v>4</v>
      </c>
      <c r="D173" s="2">
        <v>1</v>
      </c>
      <c r="E173" s="2">
        <v>0.89300000000000002</v>
      </c>
      <c r="F173" s="2">
        <v>1</v>
      </c>
    </row>
    <row r="174" spans="1:6" ht="14.25" customHeight="1">
      <c r="A174" s="2">
        <v>14</v>
      </c>
      <c r="B174" s="2">
        <v>173</v>
      </c>
      <c r="C174" s="2">
        <v>7</v>
      </c>
      <c r="D174" s="2">
        <v>0</v>
      </c>
      <c r="E174" s="2">
        <v>0.64600000000000002</v>
      </c>
      <c r="F174" s="2">
        <v>1</v>
      </c>
    </row>
    <row r="175" spans="1:6" ht="14.25" customHeight="1">
      <c r="A175" s="2">
        <v>14</v>
      </c>
      <c r="B175" s="2">
        <v>174</v>
      </c>
      <c r="C175" s="2">
        <v>8</v>
      </c>
      <c r="D175" s="2">
        <v>1</v>
      </c>
      <c r="E175" s="2">
        <v>0.63300000000000001</v>
      </c>
      <c r="F175" s="2">
        <v>2</v>
      </c>
    </row>
    <row r="176" spans="1:6" ht="14.25" customHeight="1">
      <c r="A176" s="2">
        <v>14</v>
      </c>
      <c r="B176" s="2">
        <v>175</v>
      </c>
      <c r="C176" s="2">
        <v>5</v>
      </c>
      <c r="D176" s="2">
        <v>1</v>
      </c>
      <c r="E176" s="2">
        <v>0.82</v>
      </c>
      <c r="F176" s="2">
        <v>1</v>
      </c>
    </row>
    <row r="177" spans="1:6" ht="14.25" customHeight="1">
      <c r="A177" s="2">
        <v>14</v>
      </c>
      <c r="B177" s="2">
        <v>176</v>
      </c>
      <c r="C177" s="2">
        <v>6</v>
      </c>
      <c r="D177" s="2">
        <v>1</v>
      </c>
      <c r="E177" s="2">
        <v>0.999</v>
      </c>
      <c r="F177" s="2">
        <v>2</v>
      </c>
    </row>
    <row r="178" spans="1:6" ht="14.25" customHeight="1">
      <c r="A178" s="2">
        <v>14</v>
      </c>
      <c r="B178" s="2">
        <v>177</v>
      </c>
      <c r="C178" s="2">
        <v>8</v>
      </c>
      <c r="D178" s="2">
        <v>1</v>
      </c>
      <c r="E178" s="2">
        <v>1.1879999999999999</v>
      </c>
      <c r="F178" s="2">
        <v>2</v>
      </c>
    </row>
    <row r="179" spans="1:6" ht="14.25" customHeight="1">
      <c r="A179" s="2">
        <v>14</v>
      </c>
      <c r="B179" s="2">
        <v>178</v>
      </c>
      <c r="C179" s="2">
        <v>5</v>
      </c>
      <c r="D179" s="2">
        <v>1</v>
      </c>
      <c r="E179" s="2">
        <v>1.177</v>
      </c>
      <c r="F179" s="2">
        <v>2</v>
      </c>
    </row>
    <row r="180" spans="1:6" ht="14.25" customHeight="1">
      <c r="A180" s="2">
        <v>14</v>
      </c>
      <c r="B180" s="2">
        <v>179</v>
      </c>
      <c r="C180" s="2">
        <v>8</v>
      </c>
      <c r="D180" s="2">
        <v>1</v>
      </c>
      <c r="E180" s="2">
        <v>1.222</v>
      </c>
      <c r="F180" s="2">
        <v>2</v>
      </c>
    </row>
    <row r="181" spans="1:6" ht="14.25" customHeight="1">
      <c r="A181" s="2">
        <v>14</v>
      </c>
      <c r="B181" s="2">
        <v>180</v>
      </c>
      <c r="C181" s="2">
        <v>7</v>
      </c>
      <c r="D181" s="2">
        <v>1</v>
      </c>
      <c r="E181" s="2">
        <v>1.3939999999999999</v>
      </c>
      <c r="F181" s="2">
        <v>1</v>
      </c>
    </row>
    <row r="182" spans="1:6" ht="14.25" customHeight="1">
      <c r="A182" s="2">
        <v>14</v>
      </c>
      <c r="B182" s="2">
        <v>181</v>
      </c>
      <c r="C182" s="2">
        <v>3</v>
      </c>
      <c r="D182" s="2">
        <v>1</v>
      </c>
      <c r="E182" s="2">
        <v>0.95799999999999996</v>
      </c>
      <c r="F182" s="2">
        <v>1</v>
      </c>
    </row>
    <row r="183" spans="1:6" ht="14.25" customHeight="1">
      <c r="A183" s="2">
        <v>14</v>
      </c>
      <c r="B183" s="2">
        <v>182</v>
      </c>
      <c r="C183" s="2">
        <v>2</v>
      </c>
      <c r="D183" s="2">
        <v>1</v>
      </c>
      <c r="E183" s="2">
        <v>0.90800000000000003</v>
      </c>
      <c r="F183" s="2">
        <v>2</v>
      </c>
    </row>
    <row r="184" spans="1:6" ht="14.25" customHeight="1">
      <c r="A184" s="2">
        <v>14</v>
      </c>
      <c r="B184" s="2">
        <v>183</v>
      </c>
      <c r="C184" s="2">
        <v>6</v>
      </c>
      <c r="D184" s="2">
        <v>1</v>
      </c>
      <c r="E184" s="2">
        <v>0.96399999999999997</v>
      </c>
      <c r="F184" s="2">
        <v>2</v>
      </c>
    </row>
    <row r="185" spans="1:6" ht="14.25" customHeight="1">
      <c r="A185" s="2">
        <v>14</v>
      </c>
      <c r="B185" s="2">
        <v>184</v>
      </c>
      <c r="C185" s="2">
        <v>3</v>
      </c>
      <c r="D185" s="2">
        <v>0</v>
      </c>
      <c r="E185" s="2">
        <v>0.92300000000000004</v>
      </c>
      <c r="F185" s="2">
        <v>1</v>
      </c>
    </row>
    <row r="186" spans="1:6" ht="14.25" customHeight="1">
      <c r="A186" s="2">
        <v>14</v>
      </c>
      <c r="B186" s="2">
        <v>185</v>
      </c>
      <c r="C186" s="2">
        <v>7</v>
      </c>
      <c r="D186" s="2">
        <v>1</v>
      </c>
      <c r="E186" s="2">
        <v>0.77</v>
      </c>
      <c r="F186" s="2">
        <v>1</v>
      </c>
    </row>
    <row r="187" spans="1:6" ht="14.25" customHeight="1">
      <c r="A187" s="2">
        <v>14</v>
      </c>
      <c r="B187" s="2">
        <v>186</v>
      </c>
      <c r="C187" s="2">
        <v>3</v>
      </c>
      <c r="D187" s="2">
        <v>1</v>
      </c>
      <c r="E187" s="2">
        <v>1.0389999999999999</v>
      </c>
      <c r="F187" s="2">
        <v>1</v>
      </c>
    </row>
    <row r="188" spans="1:6" ht="14.25" customHeight="1">
      <c r="A188" s="2">
        <v>14</v>
      </c>
      <c r="B188" s="2">
        <v>187</v>
      </c>
      <c r="C188" s="2">
        <v>6</v>
      </c>
      <c r="D188" s="2">
        <v>1</v>
      </c>
      <c r="E188" s="2">
        <v>0.79400000000000004</v>
      </c>
      <c r="F188" s="2">
        <v>1</v>
      </c>
    </row>
    <row r="189" spans="1:6" ht="14.25" customHeight="1">
      <c r="A189" s="2">
        <v>14</v>
      </c>
      <c r="B189" s="2">
        <v>188</v>
      </c>
      <c r="C189" s="2">
        <v>1</v>
      </c>
      <c r="D189" s="2">
        <v>0</v>
      </c>
      <c r="E189" s="2">
        <v>1.518</v>
      </c>
      <c r="F189" s="2">
        <v>1</v>
      </c>
    </row>
    <row r="190" spans="1:6" ht="14.25" customHeight="1">
      <c r="A190" s="2">
        <v>14</v>
      </c>
      <c r="B190" s="2">
        <v>189</v>
      </c>
      <c r="C190" s="2">
        <v>3</v>
      </c>
      <c r="D190" s="2">
        <v>1</v>
      </c>
      <c r="E190" s="2">
        <v>0.68600000000000005</v>
      </c>
      <c r="F190" s="2">
        <v>1</v>
      </c>
    </row>
    <row r="191" spans="1:6" ht="14.25" customHeight="1">
      <c r="A191" s="2">
        <v>14</v>
      </c>
      <c r="B191" s="2">
        <v>190</v>
      </c>
      <c r="C191" s="2">
        <v>4</v>
      </c>
      <c r="D191" s="2">
        <v>1</v>
      </c>
      <c r="E191" s="2">
        <v>0.95899999999999996</v>
      </c>
      <c r="F191" s="2">
        <v>1</v>
      </c>
    </row>
    <row r="192" spans="1:6" ht="14.25" customHeight="1">
      <c r="A192" s="2">
        <v>14</v>
      </c>
      <c r="B192" s="2">
        <v>191</v>
      </c>
      <c r="C192" s="2">
        <v>1</v>
      </c>
      <c r="D192" s="2">
        <v>1</v>
      </c>
      <c r="E192" s="2">
        <v>0.93300000000000005</v>
      </c>
      <c r="F192" s="2">
        <v>2</v>
      </c>
    </row>
    <row r="193" spans="1:6" ht="14.25" customHeight="1">
      <c r="A193" s="2">
        <v>14</v>
      </c>
      <c r="B193" s="2">
        <v>192</v>
      </c>
      <c r="C193" s="2">
        <v>3</v>
      </c>
      <c r="D193" s="2">
        <v>1</v>
      </c>
      <c r="E193" s="2">
        <v>0.89300000000000002</v>
      </c>
      <c r="F193" s="2">
        <v>1</v>
      </c>
    </row>
    <row r="194" spans="1:6" ht="14.25" customHeight="1">
      <c r="A194" s="2">
        <v>14</v>
      </c>
      <c r="B194" s="2">
        <v>193</v>
      </c>
      <c r="C194" s="2">
        <v>5</v>
      </c>
      <c r="D194" s="2">
        <v>1</v>
      </c>
      <c r="E194" s="2">
        <v>0.71699999999999997</v>
      </c>
      <c r="F194" s="2">
        <v>1</v>
      </c>
    </row>
    <row r="195" spans="1:6" ht="14.25" customHeight="1">
      <c r="A195" s="2">
        <v>14</v>
      </c>
      <c r="B195" s="2">
        <v>194</v>
      </c>
      <c r="C195" s="2">
        <v>6</v>
      </c>
      <c r="D195" s="2">
        <v>1</v>
      </c>
      <c r="E195" s="2">
        <v>0.98899999999999999</v>
      </c>
      <c r="F195" s="2">
        <v>1</v>
      </c>
    </row>
    <row r="196" spans="1:6" ht="14.25" customHeight="1">
      <c r="A196" s="2">
        <v>14</v>
      </c>
      <c r="B196" s="2">
        <v>195</v>
      </c>
      <c r="C196" s="2">
        <v>5</v>
      </c>
      <c r="D196" s="2">
        <v>1</v>
      </c>
      <c r="E196" s="2">
        <v>1.1220000000000001</v>
      </c>
      <c r="F196" s="2">
        <v>2</v>
      </c>
    </row>
    <row r="197" spans="1:6" ht="14.25" customHeight="1">
      <c r="A197" s="2">
        <v>14</v>
      </c>
      <c r="B197" s="2">
        <v>196</v>
      </c>
      <c r="C197" s="2">
        <v>6</v>
      </c>
      <c r="D197" s="2">
        <v>1</v>
      </c>
      <c r="E197" s="2">
        <v>0.85</v>
      </c>
      <c r="F197" s="2">
        <v>2</v>
      </c>
    </row>
    <row r="198" spans="1:6" ht="14.25" customHeight="1">
      <c r="A198" s="2">
        <v>14</v>
      </c>
      <c r="B198" s="2">
        <v>197</v>
      </c>
      <c r="C198" s="2">
        <v>1</v>
      </c>
      <c r="D198" s="2">
        <v>1</v>
      </c>
      <c r="E198" s="2">
        <v>1.1000000000000001</v>
      </c>
      <c r="F198" s="2">
        <v>2</v>
      </c>
    </row>
    <row r="199" spans="1:6" ht="14.25" customHeight="1">
      <c r="A199" s="2">
        <v>14</v>
      </c>
      <c r="B199" s="2">
        <v>198</v>
      </c>
      <c r="C199" s="2">
        <v>2</v>
      </c>
      <c r="D199" s="2">
        <v>1</v>
      </c>
      <c r="E199" s="2">
        <v>0.85299999999999998</v>
      </c>
      <c r="F199" s="2">
        <v>1</v>
      </c>
    </row>
    <row r="200" spans="1:6" ht="14.25" customHeight="1">
      <c r="A200" s="2">
        <v>14</v>
      </c>
      <c r="B200" s="2">
        <v>199</v>
      </c>
      <c r="C200" s="2">
        <v>3</v>
      </c>
      <c r="D200" s="2">
        <v>1</v>
      </c>
      <c r="E200" s="2">
        <v>0.85499999999999998</v>
      </c>
      <c r="F200" s="2">
        <v>2</v>
      </c>
    </row>
    <row r="201" spans="1:6" ht="14.25" customHeight="1">
      <c r="A201" s="2">
        <v>14</v>
      </c>
      <c r="B201" s="2">
        <v>200</v>
      </c>
      <c r="C201" s="2">
        <v>5</v>
      </c>
      <c r="D201" s="2">
        <v>1</v>
      </c>
      <c r="E201" s="2">
        <v>0.77800000000000002</v>
      </c>
      <c r="F201" s="2">
        <v>2</v>
      </c>
    </row>
    <row r="202" spans="1:6" ht="14.25" customHeight="1">
      <c r="A202" s="2">
        <v>14</v>
      </c>
      <c r="B202" s="2">
        <v>201</v>
      </c>
      <c r="C202" s="2">
        <v>3</v>
      </c>
      <c r="D202" s="2">
        <v>1</v>
      </c>
      <c r="E202" s="2">
        <v>1.1499999999999999</v>
      </c>
    </row>
    <row r="203" spans="1:6" ht="14.25" customHeight="1">
      <c r="A203" s="2">
        <v>14</v>
      </c>
      <c r="B203" s="2">
        <v>202</v>
      </c>
      <c r="C203" s="2">
        <v>5</v>
      </c>
      <c r="D203" s="2">
        <v>1</v>
      </c>
      <c r="E203" s="2">
        <v>0.69199999999999995</v>
      </c>
    </row>
    <row r="204" spans="1:6" ht="14.25" customHeight="1">
      <c r="A204" s="2">
        <v>14</v>
      </c>
      <c r="B204" s="2">
        <v>203</v>
      </c>
      <c r="C204" s="2">
        <v>3</v>
      </c>
      <c r="D204" s="2">
        <v>1</v>
      </c>
      <c r="E204" s="2">
        <v>0.877</v>
      </c>
    </row>
    <row r="205" spans="1:6" ht="14.25" customHeight="1">
      <c r="A205" s="2">
        <v>14</v>
      </c>
      <c r="B205" s="2">
        <v>204</v>
      </c>
      <c r="C205" s="2">
        <v>2</v>
      </c>
      <c r="D205" s="2">
        <v>1</v>
      </c>
      <c r="E205" s="2">
        <v>0.63800000000000001</v>
      </c>
    </row>
    <row r="206" spans="1:6" ht="14.25" customHeight="1">
      <c r="A206" s="2">
        <v>14</v>
      </c>
      <c r="B206" s="2">
        <v>205</v>
      </c>
      <c r="C206" s="2">
        <v>4</v>
      </c>
      <c r="D206" s="2">
        <v>1</v>
      </c>
      <c r="E206" s="2">
        <v>1.0089999999999999</v>
      </c>
    </row>
    <row r="207" spans="1:6" ht="14.25" customHeight="1">
      <c r="A207" s="2">
        <v>14</v>
      </c>
      <c r="B207" s="2">
        <v>206</v>
      </c>
      <c r="C207" s="2">
        <v>8</v>
      </c>
      <c r="D207" s="2">
        <v>0</v>
      </c>
      <c r="E207" s="2">
        <v>0.91700000000000004</v>
      </c>
    </row>
    <row r="208" spans="1:6" ht="14.25" customHeight="1">
      <c r="A208" s="2">
        <v>14</v>
      </c>
      <c r="B208" s="2">
        <v>207</v>
      </c>
      <c r="C208" s="2">
        <v>1</v>
      </c>
      <c r="D208" s="2">
        <v>1</v>
      </c>
      <c r="E208" s="2">
        <v>1.0529999999999999</v>
      </c>
    </row>
    <row r="209" spans="1:5" ht="14.25" customHeight="1">
      <c r="A209" s="2">
        <v>14</v>
      </c>
      <c r="B209" s="2">
        <v>208</v>
      </c>
      <c r="C209" s="2">
        <v>8</v>
      </c>
      <c r="D209" s="2">
        <v>1</v>
      </c>
      <c r="E209" s="2">
        <v>1.0309999999999999</v>
      </c>
    </row>
    <row r="210" spans="1:5" ht="14.25" customHeight="1">
      <c r="A210" s="2">
        <v>14</v>
      </c>
      <c r="B210" s="2">
        <v>209</v>
      </c>
      <c r="C210" s="2">
        <v>4</v>
      </c>
      <c r="D210" s="2">
        <v>1</v>
      </c>
      <c r="E210" s="2">
        <v>1.0580000000000001</v>
      </c>
    </row>
    <row r="211" spans="1:5" ht="14.25" customHeight="1">
      <c r="A211" s="2">
        <v>14</v>
      </c>
      <c r="B211" s="2">
        <v>210</v>
      </c>
      <c r="C211" s="2">
        <v>5</v>
      </c>
      <c r="D211" s="2">
        <v>1</v>
      </c>
      <c r="E211" s="2">
        <v>0.62</v>
      </c>
    </row>
    <row r="212" spans="1:5" ht="14.25" customHeight="1">
      <c r="A212" s="2">
        <v>14</v>
      </c>
      <c r="B212" s="2">
        <v>211</v>
      </c>
      <c r="C212" s="2">
        <v>4</v>
      </c>
      <c r="D212" s="2">
        <v>1</v>
      </c>
      <c r="E212" s="2">
        <v>0.82299999999999995</v>
      </c>
    </row>
    <row r="213" spans="1:5" ht="14.25" customHeight="1">
      <c r="A213" s="2">
        <v>14</v>
      </c>
      <c r="B213" s="2">
        <v>212</v>
      </c>
      <c r="C213" s="2">
        <v>7</v>
      </c>
      <c r="D213" s="2">
        <v>1</v>
      </c>
      <c r="E213" s="2">
        <v>0.72199999999999998</v>
      </c>
    </row>
    <row r="214" spans="1:5" ht="14.25" customHeight="1">
      <c r="A214" s="2">
        <v>14</v>
      </c>
      <c r="B214" s="2">
        <v>213</v>
      </c>
      <c r="C214" s="2">
        <v>2</v>
      </c>
      <c r="D214" s="2">
        <v>1</v>
      </c>
      <c r="E214" s="2">
        <v>0.79400000000000004</v>
      </c>
    </row>
    <row r="215" spans="1:5" ht="14.25" customHeight="1">
      <c r="A215" s="2">
        <v>14</v>
      </c>
      <c r="B215" s="2">
        <v>214</v>
      </c>
      <c r="C215" s="2">
        <v>5</v>
      </c>
      <c r="D215" s="2">
        <v>1</v>
      </c>
      <c r="E215" s="2">
        <v>0.96699999999999997</v>
      </c>
    </row>
    <row r="216" spans="1:5" ht="14.25" customHeight="1">
      <c r="A216" s="2">
        <v>14</v>
      </c>
      <c r="B216" s="2">
        <v>215</v>
      </c>
      <c r="C216" s="2">
        <v>3</v>
      </c>
      <c r="D216" s="2">
        <v>1</v>
      </c>
      <c r="E216" s="2">
        <v>0.86099999999999999</v>
      </c>
    </row>
    <row r="217" spans="1:5" ht="14.25" customHeight="1">
      <c r="A217" s="2">
        <v>14</v>
      </c>
      <c r="B217" s="2">
        <v>216</v>
      </c>
      <c r="C217" s="2">
        <v>8</v>
      </c>
      <c r="D217" s="2">
        <v>1</v>
      </c>
      <c r="E217" s="2">
        <v>0.67800000000000005</v>
      </c>
    </row>
    <row r="218" spans="1:5" ht="14.25" customHeight="1">
      <c r="A218" s="2">
        <v>14</v>
      </c>
      <c r="B218" s="2">
        <v>217</v>
      </c>
      <c r="C218" s="2">
        <v>1</v>
      </c>
      <c r="D218" s="2">
        <v>1</v>
      </c>
      <c r="E218" s="2">
        <v>0.74399999999999999</v>
      </c>
    </row>
    <row r="219" spans="1:5" ht="14.25" customHeight="1">
      <c r="A219" s="2">
        <v>14</v>
      </c>
      <c r="B219" s="2">
        <v>218</v>
      </c>
      <c r="C219" s="2">
        <v>8</v>
      </c>
      <c r="D219" s="2">
        <v>1</v>
      </c>
      <c r="E219" s="2">
        <v>1.127</v>
      </c>
    </row>
    <row r="220" spans="1:5" ht="14.25" customHeight="1">
      <c r="A220" s="2">
        <v>14</v>
      </c>
      <c r="B220" s="2">
        <v>219</v>
      </c>
      <c r="C220" s="2">
        <v>6</v>
      </c>
      <c r="D220" s="2">
        <v>1</v>
      </c>
      <c r="E220" s="2">
        <v>0.70199999999999996</v>
      </c>
    </row>
    <row r="221" spans="1:5" ht="14.25" customHeight="1">
      <c r="A221" s="2">
        <v>14</v>
      </c>
      <c r="B221" s="2">
        <v>220</v>
      </c>
      <c r="C221" s="2">
        <v>2</v>
      </c>
      <c r="D221" s="2">
        <v>1</v>
      </c>
      <c r="E221" s="2">
        <v>0.69399999999999995</v>
      </c>
    </row>
    <row r="222" spans="1:5" ht="14.25" customHeight="1">
      <c r="A222" s="2">
        <v>14</v>
      </c>
      <c r="B222" s="2">
        <v>221</v>
      </c>
      <c r="C222" s="2">
        <v>3</v>
      </c>
      <c r="D222" s="2">
        <v>0</v>
      </c>
      <c r="E222" s="2">
        <v>1.143</v>
      </c>
    </row>
    <row r="223" spans="1:5" ht="14.25" customHeight="1">
      <c r="A223" s="2">
        <v>14</v>
      </c>
      <c r="B223" s="2">
        <v>222</v>
      </c>
      <c r="C223" s="2">
        <v>6</v>
      </c>
      <c r="D223" s="2">
        <v>1</v>
      </c>
      <c r="E223" s="2">
        <v>0.81299999999999994</v>
      </c>
    </row>
    <row r="224" spans="1:5" ht="14.25" customHeight="1">
      <c r="A224" s="2">
        <v>14</v>
      </c>
      <c r="B224" s="2">
        <v>223</v>
      </c>
      <c r="C224" s="2">
        <v>7</v>
      </c>
      <c r="D224" s="2">
        <v>1</v>
      </c>
      <c r="E224" s="2">
        <v>1.1140000000000001</v>
      </c>
    </row>
    <row r="225" spans="1:5" ht="14.25" customHeight="1">
      <c r="A225" s="2">
        <v>14</v>
      </c>
      <c r="B225" s="2">
        <v>224</v>
      </c>
      <c r="C225" s="2">
        <v>8</v>
      </c>
      <c r="D225" s="2">
        <v>1</v>
      </c>
      <c r="E225" s="2">
        <v>1.514</v>
      </c>
    </row>
    <row r="226" spans="1:5" ht="14.25" customHeight="1">
      <c r="A226" s="2">
        <v>14</v>
      </c>
      <c r="B226" s="2">
        <v>225</v>
      </c>
      <c r="C226" s="2">
        <v>6</v>
      </c>
      <c r="D226" s="2">
        <v>1</v>
      </c>
      <c r="E226" s="2">
        <v>0.88200000000000001</v>
      </c>
    </row>
    <row r="227" spans="1:5" ht="14.25" customHeight="1">
      <c r="A227" s="2">
        <v>14</v>
      </c>
      <c r="B227" s="2">
        <v>226</v>
      </c>
      <c r="C227" s="2">
        <v>1</v>
      </c>
      <c r="D227" s="2">
        <v>1</v>
      </c>
      <c r="E227" s="2">
        <v>0.86699999999999999</v>
      </c>
    </row>
    <row r="228" spans="1:5" ht="14.25" customHeight="1">
      <c r="A228" s="2">
        <v>14</v>
      </c>
      <c r="B228" s="2">
        <v>227</v>
      </c>
      <c r="C228" s="2">
        <v>3</v>
      </c>
      <c r="D228" s="2">
        <v>1</v>
      </c>
      <c r="E228" s="2">
        <v>1.125</v>
      </c>
    </row>
    <row r="229" spans="1:5" ht="14.25" customHeight="1">
      <c r="A229" s="2">
        <v>14</v>
      </c>
      <c r="B229" s="2">
        <v>228</v>
      </c>
      <c r="C229" s="2">
        <v>8</v>
      </c>
      <c r="D229" s="2">
        <v>1</v>
      </c>
      <c r="E229" s="2">
        <v>0.71699999999999997</v>
      </c>
    </row>
    <row r="230" spans="1:5" ht="14.25" customHeight="1">
      <c r="A230" s="2">
        <v>14</v>
      </c>
      <c r="B230" s="2">
        <v>229</v>
      </c>
      <c r="C230" s="2">
        <v>1</v>
      </c>
      <c r="D230" s="2">
        <v>1</v>
      </c>
      <c r="E230" s="2">
        <v>1.044</v>
      </c>
    </row>
    <row r="231" spans="1:5" ht="14.25" customHeight="1">
      <c r="A231" s="2">
        <v>14</v>
      </c>
      <c r="B231" s="2">
        <v>230</v>
      </c>
      <c r="C231" s="2">
        <v>2</v>
      </c>
      <c r="D231" s="2">
        <v>1</v>
      </c>
      <c r="E231" s="2">
        <v>0.72699999999999998</v>
      </c>
    </row>
    <row r="232" spans="1:5" ht="14.25" customHeight="1">
      <c r="A232" s="2">
        <v>14</v>
      </c>
      <c r="B232" s="2">
        <v>231</v>
      </c>
      <c r="C232" s="2">
        <v>4</v>
      </c>
      <c r="D232" s="2">
        <v>1</v>
      </c>
      <c r="E232" s="2">
        <v>1.198</v>
      </c>
    </row>
    <row r="233" spans="1:5" ht="14.25" customHeight="1">
      <c r="A233" s="2">
        <v>14</v>
      </c>
      <c r="B233" s="2">
        <v>232</v>
      </c>
      <c r="C233" s="2">
        <v>1</v>
      </c>
      <c r="D233" s="2">
        <v>1</v>
      </c>
      <c r="E233" s="2">
        <v>0.747</v>
      </c>
    </row>
    <row r="234" spans="1:5" ht="14.25" customHeight="1">
      <c r="A234" s="2">
        <v>14</v>
      </c>
      <c r="B234" s="2">
        <v>233</v>
      </c>
      <c r="C234" s="2">
        <v>5</v>
      </c>
      <c r="D234" s="2">
        <v>1</v>
      </c>
      <c r="E234" s="2">
        <v>0.93799999999999994</v>
      </c>
    </row>
    <row r="235" spans="1:5" ht="14.25" customHeight="1">
      <c r="A235" s="2">
        <v>14</v>
      </c>
      <c r="B235" s="2">
        <v>234</v>
      </c>
      <c r="C235" s="2">
        <v>7</v>
      </c>
      <c r="D235" s="2">
        <v>1</v>
      </c>
      <c r="E235" s="2">
        <v>1.073</v>
      </c>
    </row>
    <row r="236" spans="1:5" ht="14.25" customHeight="1">
      <c r="A236" s="2">
        <v>14</v>
      </c>
      <c r="B236" s="2">
        <v>235</v>
      </c>
      <c r="C236" s="2">
        <v>1</v>
      </c>
      <c r="D236" s="2">
        <v>1</v>
      </c>
      <c r="E236" s="2">
        <v>1.1539999999999999</v>
      </c>
    </row>
    <row r="237" spans="1:5" ht="14.25" customHeight="1">
      <c r="A237" s="2">
        <v>14</v>
      </c>
      <c r="B237" s="2">
        <v>236</v>
      </c>
      <c r="C237" s="2">
        <v>5</v>
      </c>
      <c r="D237" s="2">
        <v>1</v>
      </c>
      <c r="E237" s="2">
        <v>1.103</v>
      </c>
    </row>
    <row r="238" spans="1:5" ht="14.25" customHeight="1">
      <c r="A238" s="2">
        <v>14</v>
      </c>
      <c r="B238" s="2">
        <v>237</v>
      </c>
      <c r="C238" s="2">
        <v>7</v>
      </c>
      <c r="D238" s="2">
        <v>1</v>
      </c>
      <c r="E238" s="2">
        <v>0.82399999999999995</v>
      </c>
    </row>
    <row r="239" spans="1:5" ht="14.25" customHeight="1">
      <c r="A239" s="2">
        <v>14</v>
      </c>
      <c r="B239" s="2">
        <v>238</v>
      </c>
      <c r="C239" s="2">
        <v>3</v>
      </c>
      <c r="D239" s="2">
        <v>1</v>
      </c>
      <c r="E239" s="2">
        <v>0.92300000000000004</v>
      </c>
    </row>
    <row r="240" spans="1:5" ht="14.25" customHeight="1">
      <c r="A240" s="2">
        <v>14</v>
      </c>
      <c r="B240" s="2">
        <v>239</v>
      </c>
      <c r="C240" s="2">
        <v>2</v>
      </c>
      <c r="D240" s="2">
        <v>1</v>
      </c>
      <c r="E240" s="2">
        <v>0.72299999999999998</v>
      </c>
    </row>
    <row r="241" spans="1:5" ht="14.25" customHeight="1">
      <c r="A241" s="2">
        <v>14</v>
      </c>
      <c r="B241" s="2">
        <v>240</v>
      </c>
      <c r="C241" s="2">
        <v>5</v>
      </c>
      <c r="D241" s="2">
        <v>1</v>
      </c>
      <c r="E241" s="2">
        <v>1.089</v>
      </c>
    </row>
    <row r="242" spans="1:5" ht="14.25" customHeight="1">
      <c r="A242" s="2">
        <v>14</v>
      </c>
      <c r="B242" s="2">
        <v>241</v>
      </c>
      <c r="C242" s="2">
        <v>7</v>
      </c>
      <c r="D242" s="2">
        <v>1</v>
      </c>
      <c r="E242" s="2">
        <v>0.85</v>
      </c>
    </row>
    <row r="243" spans="1:5" ht="14.25" customHeight="1">
      <c r="A243" s="2">
        <v>14</v>
      </c>
      <c r="B243" s="2">
        <v>242</v>
      </c>
      <c r="C243" s="2">
        <v>6</v>
      </c>
      <c r="D243" s="2">
        <v>1</v>
      </c>
      <c r="E243" s="2">
        <v>1.0129999999999999</v>
      </c>
    </row>
    <row r="244" spans="1:5" ht="14.25" customHeight="1">
      <c r="A244" s="2">
        <v>14</v>
      </c>
      <c r="B244" s="2">
        <v>243</v>
      </c>
      <c r="C244" s="2">
        <v>7</v>
      </c>
      <c r="D244" s="2">
        <v>1</v>
      </c>
      <c r="E244" s="2">
        <v>0.88100000000000001</v>
      </c>
    </row>
    <row r="245" spans="1:5" ht="14.25" customHeight="1">
      <c r="A245" s="2">
        <v>14</v>
      </c>
      <c r="B245" s="2">
        <v>244</v>
      </c>
      <c r="C245" s="2">
        <v>4</v>
      </c>
      <c r="D245" s="2">
        <v>1</v>
      </c>
      <c r="E245" s="2">
        <v>0.88300000000000001</v>
      </c>
    </row>
    <row r="246" spans="1:5" ht="14.25" customHeight="1">
      <c r="A246" s="2">
        <v>14</v>
      </c>
      <c r="B246" s="2">
        <v>245</v>
      </c>
      <c r="C246" s="2">
        <v>6</v>
      </c>
      <c r="D246" s="2">
        <v>1</v>
      </c>
      <c r="E246" s="2">
        <v>0.748</v>
      </c>
    </row>
    <row r="247" spans="1:5" ht="14.25" customHeight="1">
      <c r="A247" s="2">
        <v>14</v>
      </c>
      <c r="B247" s="2">
        <v>246</v>
      </c>
      <c r="C247" s="2">
        <v>3</v>
      </c>
      <c r="D247" s="2">
        <v>1</v>
      </c>
      <c r="E247" s="2">
        <v>0.78600000000000003</v>
      </c>
    </row>
    <row r="248" spans="1:5" ht="14.25" customHeight="1">
      <c r="A248" s="2">
        <v>14</v>
      </c>
      <c r="B248" s="2">
        <v>247</v>
      </c>
      <c r="C248" s="2">
        <v>5</v>
      </c>
      <c r="D248" s="2">
        <v>1</v>
      </c>
      <c r="E248" s="2">
        <v>0.93600000000000005</v>
      </c>
    </row>
    <row r="249" spans="1:5" ht="14.25" customHeight="1">
      <c r="A249" s="2">
        <v>14</v>
      </c>
      <c r="B249" s="2">
        <v>248</v>
      </c>
      <c r="C249" s="2">
        <v>4</v>
      </c>
      <c r="D249" s="2">
        <v>1</v>
      </c>
      <c r="E249" s="2">
        <v>1.151</v>
      </c>
    </row>
    <row r="250" spans="1:5" ht="14.25" customHeight="1">
      <c r="A250" s="2">
        <v>14</v>
      </c>
      <c r="B250" s="2">
        <v>249</v>
      </c>
      <c r="C250" s="2">
        <v>2</v>
      </c>
      <c r="D250" s="2">
        <v>1</v>
      </c>
      <c r="E250" s="2">
        <v>0.67</v>
      </c>
    </row>
    <row r="251" spans="1:5" ht="14.25" customHeight="1">
      <c r="A251" s="2">
        <v>14</v>
      </c>
      <c r="B251" s="2">
        <v>250</v>
      </c>
      <c r="C251" s="2">
        <v>6</v>
      </c>
      <c r="D251" s="2">
        <v>1</v>
      </c>
      <c r="E251" s="2">
        <v>0.65500000000000003</v>
      </c>
    </row>
    <row r="252" spans="1:5" ht="14.25" customHeight="1">
      <c r="A252" s="2">
        <v>14</v>
      </c>
      <c r="B252" s="2">
        <v>251</v>
      </c>
      <c r="C252" s="2">
        <v>5</v>
      </c>
    </row>
    <row r="253" spans="1:5" ht="14.25" customHeight="1">
      <c r="A253" s="2">
        <v>14</v>
      </c>
      <c r="B253" s="2">
        <v>252</v>
      </c>
      <c r="C253" s="2">
        <v>1</v>
      </c>
    </row>
    <row r="254" spans="1:5" ht="14.25" customHeight="1">
      <c r="A254" s="2">
        <v>14</v>
      </c>
      <c r="B254" s="2">
        <v>253</v>
      </c>
      <c r="C254" s="2">
        <v>7</v>
      </c>
    </row>
    <row r="255" spans="1:5" ht="14.25" customHeight="1">
      <c r="A255" s="2">
        <v>14</v>
      </c>
      <c r="B255" s="2">
        <v>254</v>
      </c>
      <c r="C255" s="2">
        <v>6</v>
      </c>
    </row>
    <row r="256" spans="1:5" ht="14.25" customHeight="1">
      <c r="A256" s="2">
        <v>14</v>
      </c>
      <c r="B256" s="2">
        <v>255</v>
      </c>
      <c r="C256" s="2">
        <v>5</v>
      </c>
    </row>
    <row r="257" spans="1:3" ht="14.25" customHeight="1">
      <c r="A257" s="2">
        <v>14</v>
      </c>
      <c r="B257" s="2">
        <v>256</v>
      </c>
      <c r="C257" s="2">
        <v>7</v>
      </c>
    </row>
    <row r="258" spans="1:3" ht="14.25" customHeight="1">
      <c r="A258" s="2">
        <v>14</v>
      </c>
      <c r="B258" s="2">
        <v>257</v>
      </c>
      <c r="C258" s="2">
        <v>2</v>
      </c>
    </row>
    <row r="259" spans="1:3" ht="14.25" customHeight="1">
      <c r="A259" s="2">
        <v>14</v>
      </c>
      <c r="B259" s="2">
        <v>258</v>
      </c>
      <c r="C259" s="2">
        <v>1</v>
      </c>
    </row>
    <row r="260" spans="1:3" ht="14.25" customHeight="1">
      <c r="A260" s="2">
        <v>14</v>
      </c>
      <c r="B260" s="2">
        <v>259</v>
      </c>
      <c r="C260" s="2">
        <v>4</v>
      </c>
    </row>
    <row r="261" spans="1:3" ht="14.25" customHeight="1">
      <c r="A261" s="2">
        <v>14</v>
      </c>
      <c r="B261" s="2">
        <v>260</v>
      </c>
      <c r="C261" s="2">
        <v>3</v>
      </c>
    </row>
    <row r="262" spans="1:3" ht="14.25" customHeight="1">
      <c r="A262" s="2">
        <v>14</v>
      </c>
      <c r="B262" s="2">
        <v>261</v>
      </c>
      <c r="C262" s="2">
        <v>2</v>
      </c>
    </row>
    <row r="263" spans="1:3" ht="14.25" customHeight="1">
      <c r="A263" s="2">
        <v>14</v>
      </c>
      <c r="B263" s="2">
        <v>262</v>
      </c>
      <c r="C263" s="2">
        <v>7</v>
      </c>
    </row>
    <row r="264" spans="1:3" ht="14.25" customHeight="1">
      <c r="A264" s="2">
        <v>14</v>
      </c>
      <c r="B264" s="2">
        <v>263</v>
      </c>
      <c r="C264" s="2">
        <v>2</v>
      </c>
    </row>
    <row r="265" spans="1:3" ht="14.25" customHeight="1">
      <c r="A265" s="2">
        <v>14</v>
      </c>
      <c r="B265" s="2">
        <v>264</v>
      </c>
      <c r="C265" s="2">
        <v>8</v>
      </c>
    </row>
    <row r="266" spans="1:3" ht="14.25" customHeight="1">
      <c r="A266" s="2">
        <v>14</v>
      </c>
      <c r="B266" s="2">
        <v>265</v>
      </c>
      <c r="C266" s="2">
        <v>3</v>
      </c>
    </row>
    <row r="267" spans="1:3" ht="14.25" customHeight="1">
      <c r="A267" s="2">
        <v>14</v>
      </c>
      <c r="B267" s="2">
        <v>266</v>
      </c>
      <c r="C267" s="2">
        <v>7</v>
      </c>
    </row>
    <row r="268" spans="1:3" ht="14.25" customHeight="1">
      <c r="A268" s="2">
        <v>14</v>
      </c>
      <c r="B268" s="2">
        <v>267</v>
      </c>
      <c r="C268" s="2">
        <v>6</v>
      </c>
    </row>
    <row r="269" spans="1:3" ht="14.25" customHeight="1">
      <c r="A269" s="2">
        <v>14</v>
      </c>
      <c r="B269" s="2">
        <v>268</v>
      </c>
      <c r="C269" s="2">
        <v>5</v>
      </c>
    </row>
    <row r="270" spans="1:3" ht="14.25" customHeight="1">
      <c r="A270" s="2">
        <v>14</v>
      </c>
      <c r="B270" s="2">
        <v>269</v>
      </c>
      <c r="C270" s="2">
        <v>1</v>
      </c>
    </row>
    <row r="271" spans="1:3" ht="14.25" customHeight="1">
      <c r="A271" s="2">
        <v>14</v>
      </c>
      <c r="B271" s="2">
        <v>270</v>
      </c>
      <c r="C271" s="2">
        <v>3</v>
      </c>
    </row>
    <row r="272" spans="1:3" ht="14.25" customHeight="1">
      <c r="A272" s="2">
        <v>14</v>
      </c>
      <c r="B272" s="2">
        <v>271</v>
      </c>
      <c r="C272" s="2">
        <v>2</v>
      </c>
    </row>
    <row r="273" spans="1:3" ht="14.25" customHeight="1">
      <c r="A273" s="2">
        <v>14</v>
      </c>
      <c r="B273" s="2">
        <v>272</v>
      </c>
      <c r="C273" s="2">
        <v>7</v>
      </c>
    </row>
    <row r="274" spans="1:3" ht="14.25" customHeight="1">
      <c r="A274" s="2">
        <v>14</v>
      </c>
      <c r="B274" s="2">
        <v>273</v>
      </c>
      <c r="C274" s="2">
        <v>5</v>
      </c>
    </row>
    <row r="275" spans="1:3" ht="14.25" customHeight="1">
      <c r="A275" s="2">
        <v>14</v>
      </c>
      <c r="B275" s="2">
        <v>274</v>
      </c>
      <c r="C275" s="2">
        <v>4</v>
      </c>
    </row>
    <row r="276" spans="1:3" ht="14.25" customHeight="1">
      <c r="A276" s="2">
        <v>14</v>
      </c>
      <c r="B276" s="2">
        <v>275</v>
      </c>
      <c r="C276" s="2">
        <v>2</v>
      </c>
    </row>
    <row r="277" spans="1:3" ht="14.25" customHeight="1">
      <c r="A277" s="2">
        <v>14</v>
      </c>
      <c r="B277" s="2">
        <v>276</v>
      </c>
      <c r="C277" s="2">
        <v>3</v>
      </c>
    </row>
    <row r="278" spans="1:3" ht="14.25" customHeight="1">
      <c r="A278" s="2">
        <v>14</v>
      </c>
      <c r="B278" s="2">
        <v>277</v>
      </c>
      <c r="C278" s="2">
        <v>1</v>
      </c>
    </row>
    <row r="279" spans="1:3" ht="14.25" customHeight="1">
      <c r="A279" s="2">
        <v>14</v>
      </c>
      <c r="B279" s="2">
        <v>278</v>
      </c>
      <c r="C279" s="2">
        <v>5</v>
      </c>
    </row>
    <row r="280" spans="1:3" ht="14.25" customHeight="1">
      <c r="A280" s="2">
        <v>14</v>
      </c>
      <c r="B280" s="2">
        <v>279</v>
      </c>
      <c r="C280" s="2">
        <v>6</v>
      </c>
    </row>
    <row r="281" spans="1:3" ht="14.25" customHeight="1">
      <c r="A281" s="2">
        <v>14</v>
      </c>
      <c r="B281" s="2">
        <v>280</v>
      </c>
      <c r="C281" s="2">
        <v>8</v>
      </c>
    </row>
    <row r="282" spans="1:3" ht="14.25" customHeight="1">
      <c r="A282" s="2">
        <v>14</v>
      </c>
      <c r="B282" s="2">
        <v>281</v>
      </c>
      <c r="C282" s="2">
        <v>5</v>
      </c>
    </row>
    <row r="283" spans="1:3" ht="14.25" customHeight="1">
      <c r="A283" s="2">
        <v>14</v>
      </c>
      <c r="B283" s="2">
        <v>282</v>
      </c>
      <c r="C283" s="2">
        <v>3</v>
      </c>
    </row>
    <row r="284" spans="1:3" ht="14.25" customHeight="1">
      <c r="A284" s="2">
        <v>14</v>
      </c>
      <c r="B284" s="2">
        <v>283</v>
      </c>
      <c r="C284" s="2">
        <v>8</v>
      </c>
    </row>
    <row r="285" spans="1:3" ht="14.25" customHeight="1">
      <c r="A285" s="2">
        <v>14</v>
      </c>
      <c r="B285" s="2">
        <v>284</v>
      </c>
      <c r="C285" s="2">
        <v>6</v>
      </c>
    </row>
    <row r="286" spans="1:3" ht="14.25" customHeight="1">
      <c r="A286" s="2">
        <v>14</v>
      </c>
      <c r="B286" s="2">
        <v>285</v>
      </c>
      <c r="C286" s="2">
        <v>1</v>
      </c>
    </row>
    <row r="287" spans="1:3" ht="14.25" customHeight="1">
      <c r="A287" s="2">
        <v>14</v>
      </c>
      <c r="B287" s="2">
        <v>286</v>
      </c>
      <c r="C287" s="2">
        <v>4</v>
      </c>
    </row>
    <row r="288" spans="1:3" ht="14.25" customHeight="1">
      <c r="A288" s="2">
        <v>14</v>
      </c>
      <c r="B288" s="2">
        <v>287</v>
      </c>
      <c r="C288" s="2">
        <v>3</v>
      </c>
    </row>
    <row r="289" spans="1:4" ht="14.25" customHeight="1">
      <c r="A289" s="2">
        <v>14</v>
      </c>
      <c r="B289" s="2">
        <v>288</v>
      </c>
      <c r="C289" s="2">
        <v>8</v>
      </c>
    </row>
    <row r="290" spans="1:4" ht="14.25" customHeight="1">
      <c r="A290" s="2">
        <v>14</v>
      </c>
      <c r="B290" s="2">
        <v>289</v>
      </c>
      <c r="C290" s="2">
        <v>4</v>
      </c>
    </row>
    <row r="291" spans="1:4" ht="14.25" customHeight="1">
      <c r="A291" s="2">
        <v>14</v>
      </c>
      <c r="B291" s="2">
        <v>290</v>
      </c>
      <c r="C291" s="2">
        <v>5</v>
      </c>
    </row>
    <row r="292" spans="1:4" ht="14.25" customHeight="1">
      <c r="A292" s="2">
        <v>14</v>
      </c>
      <c r="B292" s="2">
        <v>291</v>
      </c>
      <c r="C292" s="2">
        <v>2</v>
      </c>
    </row>
    <row r="293" spans="1:4" ht="14.25" customHeight="1">
      <c r="A293" s="2">
        <v>14</v>
      </c>
      <c r="B293" s="2">
        <v>292</v>
      </c>
      <c r="C293" s="2">
        <v>6</v>
      </c>
    </row>
    <row r="294" spans="1:4" ht="14.25" customHeight="1">
      <c r="A294" s="2">
        <v>14</v>
      </c>
      <c r="B294" s="2">
        <v>293</v>
      </c>
      <c r="C294" s="2">
        <v>7</v>
      </c>
    </row>
    <row r="295" spans="1:4" ht="14.25" customHeight="1">
      <c r="A295" s="2">
        <v>14</v>
      </c>
      <c r="B295" s="2">
        <v>294</v>
      </c>
      <c r="C295" s="2">
        <v>1</v>
      </c>
    </row>
    <row r="296" spans="1:4" ht="14.25" customHeight="1">
      <c r="A296" s="2">
        <v>14</v>
      </c>
      <c r="B296" s="2">
        <v>295</v>
      </c>
      <c r="C296" s="2">
        <v>8</v>
      </c>
    </row>
    <row r="297" spans="1:4" ht="14.25" customHeight="1">
      <c r="A297" s="2">
        <v>14</v>
      </c>
      <c r="B297" s="2">
        <v>296</v>
      </c>
      <c r="C297" s="2">
        <v>6</v>
      </c>
    </row>
    <row r="298" spans="1:4" ht="14.25" customHeight="1">
      <c r="A298" s="2">
        <v>14</v>
      </c>
      <c r="B298" s="2">
        <v>297</v>
      </c>
      <c r="C298" s="2">
        <v>4</v>
      </c>
    </row>
    <row r="299" spans="1:4" ht="14.25" customHeight="1">
      <c r="A299" s="2">
        <v>14</v>
      </c>
      <c r="B299" s="2">
        <v>298</v>
      </c>
      <c r="C299" s="2">
        <v>8</v>
      </c>
    </row>
    <row r="300" spans="1:4" ht="14.25" customHeight="1">
      <c r="A300" s="2">
        <v>14</v>
      </c>
      <c r="B300" s="2">
        <v>299</v>
      </c>
      <c r="C300" s="2">
        <v>4</v>
      </c>
    </row>
    <row r="301" spans="1:4" ht="14.25" customHeight="1">
      <c r="A301" s="2">
        <v>14</v>
      </c>
      <c r="B301" s="2">
        <v>300</v>
      </c>
      <c r="C301" s="2">
        <v>3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15</v>
      </c>
      <c r="I1" s="2">
        <v>100</v>
      </c>
      <c r="J1" s="2">
        <v>8</v>
      </c>
      <c r="K1" s="2">
        <v>0</v>
      </c>
      <c r="L1" s="2">
        <v>1.073</v>
      </c>
      <c r="M1" s="2">
        <v>2</v>
      </c>
    </row>
    <row r="2" spans="1:25" ht="14.25" customHeight="1">
      <c r="A2" s="2">
        <v>15</v>
      </c>
      <c r="B2" s="2">
        <v>1</v>
      </c>
      <c r="C2" s="2">
        <v>6</v>
      </c>
      <c r="E2" s="2">
        <v>2.0019999999999998</v>
      </c>
      <c r="H2" s="2">
        <v>15</v>
      </c>
      <c r="I2" s="2">
        <v>101</v>
      </c>
      <c r="J2" s="2">
        <v>1</v>
      </c>
      <c r="K2" s="2">
        <v>0</v>
      </c>
      <c r="L2" s="2">
        <v>0.872</v>
      </c>
      <c r="M2" s="2">
        <v>2</v>
      </c>
    </row>
    <row r="3" spans="1:25" ht="14.25" customHeight="1">
      <c r="A3" s="2">
        <v>15</v>
      </c>
      <c r="B3" s="2">
        <v>2</v>
      </c>
      <c r="C3" s="2">
        <v>4</v>
      </c>
      <c r="E3" s="2">
        <v>2.0009999999999999</v>
      </c>
      <c r="H3" s="2">
        <v>15</v>
      </c>
      <c r="I3" s="2">
        <v>102</v>
      </c>
      <c r="J3" s="2">
        <v>6</v>
      </c>
      <c r="K3" s="2">
        <v>0</v>
      </c>
      <c r="L3" s="2">
        <v>0.497</v>
      </c>
      <c r="M3" s="2">
        <v>1</v>
      </c>
    </row>
    <row r="4" spans="1:25" ht="14.25" customHeight="1">
      <c r="A4" s="2">
        <v>15</v>
      </c>
      <c r="B4" s="2">
        <v>3</v>
      </c>
      <c r="C4" s="2">
        <v>2</v>
      </c>
      <c r="E4" s="2">
        <v>2</v>
      </c>
      <c r="H4" s="2">
        <v>15</v>
      </c>
      <c r="I4" s="2">
        <v>103</v>
      </c>
      <c r="J4" s="2">
        <v>7</v>
      </c>
      <c r="K4" s="2">
        <v>1</v>
      </c>
      <c r="L4" s="2">
        <v>0.64200000000000002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15</v>
      </c>
      <c r="B5" s="2">
        <v>4</v>
      </c>
      <c r="C5" s="2">
        <v>6</v>
      </c>
      <c r="E5" s="2">
        <v>2.0009999999999999</v>
      </c>
      <c r="H5" s="2">
        <v>15</v>
      </c>
      <c r="I5" s="2">
        <v>104</v>
      </c>
      <c r="J5" s="2">
        <v>6</v>
      </c>
      <c r="K5" s="2">
        <v>0</v>
      </c>
      <c r="L5" s="2">
        <v>0.81200000000000006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15</v>
      </c>
      <c r="B6" s="2">
        <v>5</v>
      </c>
      <c r="C6" s="2">
        <v>2</v>
      </c>
      <c r="D6" s="2">
        <v>1</v>
      </c>
      <c r="E6" s="2">
        <v>0.86499999999999999</v>
      </c>
      <c r="F6" s="2">
        <v>2</v>
      </c>
      <c r="H6" s="2">
        <v>15</v>
      </c>
      <c r="I6" s="2">
        <v>105</v>
      </c>
      <c r="J6" s="2">
        <v>4</v>
      </c>
      <c r="K6" s="2">
        <v>0</v>
      </c>
      <c r="L6" s="2">
        <v>0.54400000000000004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15</v>
      </c>
      <c r="B7" s="2">
        <v>6</v>
      </c>
      <c r="C7" s="2">
        <v>4</v>
      </c>
      <c r="D7" s="2">
        <v>1</v>
      </c>
      <c r="E7" s="2">
        <v>1.337</v>
      </c>
      <c r="F7" s="2">
        <v>2</v>
      </c>
      <c r="H7" s="2">
        <v>15</v>
      </c>
      <c r="I7" s="2">
        <v>106</v>
      </c>
      <c r="J7" s="2">
        <v>6</v>
      </c>
      <c r="K7" s="2">
        <v>1</v>
      </c>
      <c r="L7" s="2">
        <v>0.32700000000000001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15</v>
      </c>
      <c r="B8" s="2">
        <v>7</v>
      </c>
      <c r="C8" s="2">
        <v>6</v>
      </c>
      <c r="D8" s="2">
        <v>0</v>
      </c>
      <c r="E8" s="2">
        <v>0.83099999999999996</v>
      </c>
      <c r="F8" s="2">
        <v>2</v>
      </c>
      <c r="H8" s="2">
        <v>15</v>
      </c>
      <c r="I8" s="2">
        <v>107</v>
      </c>
      <c r="J8" s="2">
        <v>2</v>
      </c>
      <c r="K8" s="2">
        <v>1</v>
      </c>
      <c r="L8" s="2">
        <v>0.89400000000000002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15</v>
      </c>
      <c r="B9" s="2">
        <v>8</v>
      </c>
      <c r="C9" s="2">
        <v>3</v>
      </c>
      <c r="D9" s="2">
        <v>0</v>
      </c>
      <c r="E9" s="2">
        <v>1.387</v>
      </c>
      <c r="F9" s="2">
        <v>2</v>
      </c>
      <c r="H9" s="2">
        <v>15</v>
      </c>
      <c r="I9" s="2">
        <v>108</v>
      </c>
      <c r="J9" s="2">
        <v>8</v>
      </c>
      <c r="K9" s="2">
        <v>0</v>
      </c>
      <c r="L9" s="2">
        <v>0.53500000000000003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15</v>
      </c>
      <c r="B10" s="2">
        <v>9</v>
      </c>
      <c r="C10" s="2">
        <v>8</v>
      </c>
      <c r="D10" s="2">
        <v>0</v>
      </c>
      <c r="E10" s="2">
        <v>0.97599999999999998</v>
      </c>
      <c r="F10" s="2">
        <v>1</v>
      </c>
      <c r="H10" s="2">
        <v>15</v>
      </c>
      <c r="I10" s="2">
        <v>109</v>
      </c>
      <c r="J10" s="2">
        <v>7</v>
      </c>
      <c r="K10" s="2">
        <v>0</v>
      </c>
      <c r="L10" s="2">
        <v>0.61399999999999999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15</v>
      </c>
      <c r="B11" s="2">
        <v>10</v>
      </c>
      <c r="C11" s="2">
        <v>2</v>
      </c>
      <c r="D11" s="2">
        <v>1</v>
      </c>
      <c r="E11" s="2">
        <v>0.78100000000000003</v>
      </c>
      <c r="F11" s="2">
        <v>2</v>
      </c>
      <c r="H11" s="2">
        <v>15</v>
      </c>
      <c r="I11" s="2">
        <v>110</v>
      </c>
      <c r="J11" s="2">
        <v>8</v>
      </c>
      <c r="K11" s="2">
        <v>1</v>
      </c>
      <c r="L11" s="2">
        <v>0.47499999999999998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15</v>
      </c>
      <c r="B12" s="2">
        <v>11</v>
      </c>
      <c r="C12" s="2">
        <v>1</v>
      </c>
      <c r="D12" s="2">
        <v>0</v>
      </c>
      <c r="E12" s="2">
        <v>0.79900000000000004</v>
      </c>
      <c r="F12" s="2">
        <v>2</v>
      </c>
      <c r="H12" s="2">
        <v>15</v>
      </c>
      <c r="I12" s="2">
        <v>111</v>
      </c>
      <c r="J12" s="2">
        <v>6</v>
      </c>
      <c r="K12" s="2">
        <v>0</v>
      </c>
      <c r="L12" s="2">
        <v>0.51500000000000001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15</v>
      </c>
      <c r="B13" s="2">
        <v>12</v>
      </c>
      <c r="C13" s="2">
        <v>2</v>
      </c>
      <c r="D13" s="2">
        <v>1</v>
      </c>
      <c r="E13" s="2">
        <v>0.77100000000000002</v>
      </c>
      <c r="F13" s="2">
        <v>2</v>
      </c>
      <c r="H13" s="2">
        <v>15</v>
      </c>
      <c r="I13" s="2">
        <v>112</v>
      </c>
      <c r="J13" s="2">
        <v>7</v>
      </c>
      <c r="K13" s="2">
        <v>0</v>
      </c>
      <c r="L13" s="2">
        <v>0.371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15</v>
      </c>
      <c r="B14" s="2">
        <v>13</v>
      </c>
      <c r="C14" s="2">
        <v>5</v>
      </c>
      <c r="D14" s="2">
        <v>1</v>
      </c>
      <c r="E14" s="2">
        <v>0.60899999999999999</v>
      </c>
      <c r="F14" s="2">
        <v>1</v>
      </c>
      <c r="H14" s="2">
        <v>15</v>
      </c>
      <c r="I14" s="2">
        <v>113</v>
      </c>
      <c r="J14" s="2">
        <v>8</v>
      </c>
      <c r="K14" s="2">
        <v>1</v>
      </c>
      <c r="L14" s="2">
        <v>0.224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15</v>
      </c>
      <c r="B15" s="2">
        <v>14</v>
      </c>
      <c r="C15" s="2">
        <v>8</v>
      </c>
      <c r="D15" s="2">
        <v>0</v>
      </c>
      <c r="E15" s="2">
        <v>1.1639999999999999</v>
      </c>
      <c r="F15" s="2">
        <v>1</v>
      </c>
      <c r="H15" s="2">
        <v>15</v>
      </c>
      <c r="I15" s="2">
        <v>114</v>
      </c>
      <c r="J15" s="2">
        <v>6</v>
      </c>
      <c r="K15" s="2">
        <v>0</v>
      </c>
      <c r="L15" s="2">
        <v>1.02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15</v>
      </c>
      <c r="B16" s="2">
        <v>15</v>
      </c>
      <c r="C16" s="2">
        <v>6</v>
      </c>
      <c r="D16" s="2">
        <v>0</v>
      </c>
      <c r="E16" s="2">
        <v>1.034</v>
      </c>
      <c r="F16" s="2">
        <v>2</v>
      </c>
      <c r="H16" s="2">
        <v>15</v>
      </c>
      <c r="I16" s="2">
        <v>115</v>
      </c>
      <c r="J16" s="2">
        <v>4</v>
      </c>
      <c r="K16" s="2">
        <v>1</v>
      </c>
      <c r="L16" s="2">
        <v>0.57499999999999996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15</v>
      </c>
      <c r="B17" s="2">
        <v>16</v>
      </c>
      <c r="C17" s="2">
        <v>8</v>
      </c>
      <c r="D17" s="2">
        <v>0</v>
      </c>
      <c r="E17" s="2">
        <v>0.98199999999999998</v>
      </c>
      <c r="F17" s="2">
        <v>1</v>
      </c>
      <c r="H17" s="2">
        <v>15</v>
      </c>
      <c r="I17" s="2">
        <v>116</v>
      </c>
      <c r="J17" s="2">
        <v>5</v>
      </c>
      <c r="K17" s="2">
        <v>1</v>
      </c>
      <c r="L17" s="2">
        <v>0.63600000000000001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43.559999999999995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7.2899999999999965</v>
      </c>
      <c r="S17" s="3">
        <f t="shared" ref="S17:T17" si="4">(S6*COUNTIF($J$1:$J$101,S$16) - COUNTIFS($J$1:$J$101,S$16,$K$1:$K$101,"=0"))^2</f>
        <v>13.690000000000001</v>
      </c>
      <c r="T17" s="3">
        <f t="shared" si="4"/>
        <v>13.690000000000001</v>
      </c>
      <c r="U17" s="3">
        <f t="shared" ref="U17:V17" si="5">(U6*COUNTIF($J$1:$J$101,U$16) - COUNTIFS($J$1:$J$101,U$16,$K$1:$K$101,"=1"))^2</f>
        <v>13.689999999999994</v>
      </c>
      <c r="V17" s="3">
        <f t="shared" si="5"/>
        <v>13.322499999999996</v>
      </c>
      <c r="W17" s="4"/>
      <c r="X17" s="4"/>
      <c r="Y17" s="4"/>
    </row>
    <row r="18" spans="1:25" ht="14.25" customHeight="1">
      <c r="A18" s="2">
        <v>15</v>
      </c>
      <c r="B18" s="2">
        <v>17</v>
      </c>
      <c r="C18" s="2">
        <v>7</v>
      </c>
      <c r="D18" s="2">
        <v>1</v>
      </c>
      <c r="E18" s="2">
        <v>0.747</v>
      </c>
      <c r="F18" s="2">
        <v>2</v>
      </c>
      <c r="H18" s="2">
        <v>15</v>
      </c>
      <c r="I18" s="2">
        <v>117</v>
      </c>
      <c r="J18" s="2">
        <v>3</v>
      </c>
      <c r="K18" s="2">
        <v>1</v>
      </c>
      <c r="L18" s="2">
        <v>0.60799999999999998</v>
      </c>
      <c r="M18" s="2">
        <v>2</v>
      </c>
      <c r="N18" s="3">
        <v>2</v>
      </c>
      <c r="O18" s="3">
        <f t="shared" si="0"/>
        <v>43.559999999999995</v>
      </c>
      <c r="P18" s="3">
        <f t="shared" si="1"/>
        <v>7.2900000000000009</v>
      </c>
      <c r="Q18" s="6">
        <f t="shared" si="2"/>
        <v>25</v>
      </c>
      <c r="R18" s="3">
        <f t="shared" si="3"/>
        <v>7.2899999999999965</v>
      </c>
      <c r="S18" s="6">
        <f t="shared" ref="S18:T18" si="6">(S7*COUNTIF($J$1:$J$101,S$16) - COUNTIFS($J$1:$J$101,S$16,$K$1:$K$101,"=0"))^2</f>
        <v>13.690000000000001</v>
      </c>
      <c r="T18" s="6">
        <f t="shared" si="6"/>
        <v>13.690000000000001</v>
      </c>
      <c r="U18" s="6">
        <f t="shared" ref="U18:V18" si="7">(U7*COUNTIF($J$1:$J$101,U$16) - COUNTIFS($J$1:$J$101,U$16,$K$1:$K$101,"=1"))^2</f>
        <v>13.689999999999994</v>
      </c>
      <c r="V18" s="6">
        <f t="shared" si="7"/>
        <v>13.322499999999996</v>
      </c>
      <c r="W18" s="4"/>
      <c r="X18" s="4"/>
      <c r="Y18" s="4"/>
    </row>
    <row r="19" spans="1:25" ht="14.25" customHeight="1">
      <c r="A19" s="2">
        <v>15</v>
      </c>
      <c r="B19" s="2">
        <v>18</v>
      </c>
      <c r="C19" s="2">
        <v>4</v>
      </c>
      <c r="D19" s="2">
        <v>1</v>
      </c>
      <c r="E19" s="2">
        <v>1.1539999999999999</v>
      </c>
      <c r="F19" s="2">
        <v>2</v>
      </c>
      <c r="H19" s="2">
        <v>15</v>
      </c>
      <c r="I19" s="2">
        <v>118</v>
      </c>
      <c r="J19" s="2">
        <v>2</v>
      </c>
      <c r="K19" s="2">
        <v>0</v>
      </c>
      <c r="L19" s="2">
        <v>0.82799999999999996</v>
      </c>
      <c r="M19" s="2">
        <v>1</v>
      </c>
      <c r="N19" s="3">
        <v>3</v>
      </c>
      <c r="O19" s="3">
        <f t="shared" si="0"/>
        <v>43.559999999999995</v>
      </c>
      <c r="P19" s="3">
        <f t="shared" si="1"/>
        <v>7.2899999999999965</v>
      </c>
      <c r="Q19" s="3">
        <f t="shared" si="2"/>
        <v>0.15999999999999992</v>
      </c>
      <c r="R19" s="3">
        <f t="shared" si="3"/>
        <v>7.2899999999999965</v>
      </c>
      <c r="S19" s="6">
        <f t="shared" ref="S19:T19" si="8">(S8*COUNTIF($J$1:$J$101,S$16) - COUNTIFS($J$1:$J$101,S$16,$K$1:$K$101,"=0"))^2</f>
        <v>13.690000000000001</v>
      </c>
      <c r="T19" s="6">
        <f t="shared" si="8"/>
        <v>2.8899999999999975</v>
      </c>
      <c r="U19" s="3">
        <f t="shared" ref="U19:V19" si="9">(U8*COUNTIF($J$1:$J$101,U$16) - COUNTIFS($J$1:$J$101,U$16,$K$1:$K$101,"=1"))^2</f>
        <v>2.8899999999999997</v>
      </c>
      <c r="V19" s="6">
        <f t="shared" si="9"/>
        <v>13.322499999999996</v>
      </c>
      <c r="W19" s="4"/>
      <c r="X19" s="4"/>
      <c r="Y19" s="4"/>
    </row>
    <row r="20" spans="1:25" ht="14.25" customHeight="1">
      <c r="A20" s="2">
        <v>15</v>
      </c>
      <c r="B20" s="2">
        <v>19</v>
      </c>
      <c r="C20" s="2">
        <v>3</v>
      </c>
      <c r="D20" s="2">
        <v>0</v>
      </c>
      <c r="E20" s="2">
        <v>1.5680000000000001</v>
      </c>
      <c r="F20" s="2">
        <v>2</v>
      </c>
      <c r="H20" s="2">
        <v>15</v>
      </c>
      <c r="I20" s="2">
        <v>119</v>
      </c>
      <c r="J20" s="2">
        <v>6</v>
      </c>
      <c r="K20" s="2">
        <v>1</v>
      </c>
      <c r="L20" s="2">
        <v>0.61499999999999999</v>
      </c>
      <c r="M20" s="2">
        <v>1</v>
      </c>
      <c r="N20" s="3">
        <v>4</v>
      </c>
      <c r="O20" s="3">
        <f t="shared" si="0"/>
        <v>9</v>
      </c>
      <c r="P20" s="3">
        <f t="shared" si="1"/>
        <v>0</v>
      </c>
      <c r="Q20" s="3">
        <f t="shared" si="2"/>
        <v>4</v>
      </c>
      <c r="R20" s="3">
        <f t="shared" si="3"/>
        <v>0</v>
      </c>
      <c r="S20" s="6">
        <f t="shared" ref="S20:T20" si="10">(S9*COUNTIF($J$1:$J$101,S$16) - COUNTIFS($J$1:$J$101,S$16,$K$1:$K$101,"=0"))^2</f>
        <v>13.690000000000001</v>
      </c>
      <c r="T20" s="6">
        <f t="shared" si="10"/>
        <v>13.690000000000001</v>
      </c>
      <c r="U20" s="6">
        <f t="shared" ref="U20:V20" si="11">(U9*COUNTIF($J$1:$J$101,U$16) - COUNTIFS($J$1:$J$101,U$16,$K$1:$K$101,"=1"))^2</f>
        <v>13.689999999999994</v>
      </c>
      <c r="V20" s="6">
        <f t="shared" si="11"/>
        <v>13.322499999999996</v>
      </c>
      <c r="W20" s="4"/>
      <c r="X20" s="4"/>
      <c r="Y20" s="4"/>
    </row>
    <row r="21" spans="1:25" ht="14.25" customHeight="1">
      <c r="A21" s="2">
        <v>15</v>
      </c>
      <c r="B21" s="2">
        <v>20</v>
      </c>
      <c r="C21" s="2">
        <v>7</v>
      </c>
      <c r="D21" s="2">
        <v>1</v>
      </c>
      <c r="E21" s="2">
        <v>1.198</v>
      </c>
      <c r="F21" s="2">
        <v>2</v>
      </c>
      <c r="H21" s="2">
        <v>15</v>
      </c>
      <c r="I21" s="2">
        <v>120</v>
      </c>
      <c r="J21" s="2">
        <v>4</v>
      </c>
      <c r="K21" s="2">
        <v>1</v>
      </c>
      <c r="L21" s="2">
        <v>0.61099999999999999</v>
      </c>
      <c r="M21" s="2">
        <v>2</v>
      </c>
      <c r="N21" s="3">
        <v>5</v>
      </c>
      <c r="O21" s="3">
        <f t="shared" si="0"/>
        <v>43.559999999999995</v>
      </c>
      <c r="P21" s="3">
        <f t="shared" si="1"/>
        <v>7.2899999999999965</v>
      </c>
      <c r="Q21" s="3">
        <f t="shared" si="2"/>
        <v>0.15999999999999992</v>
      </c>
      <c r="R21" s="3">
        <f t="shared" si="3"/>
        <v>7.2899999999999965</v>
      </c>
      <c r="S21" s="6">
        <f t="shared" ref="S21:T21" si="12">(S10*COUNTIF($J$1:$J$101,S$16) - COUNTIFS($J$1:$J$101,S$16,$K$1:$K$101,"=0"))^2</f>
        <v>1</v>
      </c>
      <c r="T21" s="6">
        <f t="shared" si="12"/>
        <v>1</v>
      </c>
      <c r="U21" s="6">
        <f t="shared" ref="U21:V21" si="13">(U10*COUNTIF($J$1:$J$101,U$16) - COUNTIFS($J$1:$J$101,U$16,$K$1:$K$101,"=1"))^2</f>
        <v>1</v>
      </c>
      <c r="V21" s="6">
        <f t="shared" si="13"/>
        <v>0.25</v>
      </c>
      <c r="W21" s="4"/>
      <c r="X21" s="4"/>
      <c r="Y21" s="4"/>
    </row>
    <row r="22" spans="1:25" ht="14.25" customHeight="1">
      <c r="A22" s="2">
        <v>15</v>
      </c>
      <c r="B22" s="2">
        <v>21</v>
      </c>
      <c r="C22" s="2">
        <v>4</v>
      </c>
      <c r="D22" s="2">
        <v>0</v>
      </c>
      <c r="E22" s="2">
        <v>1.107</v>
      </c>
      <c r="F22" s="2">
        <v>1</v>
      </c>
      <c r="H22" s="2">
        <v>15</v>
      </c>
      <c r="I22" s="2">
        <v>121</v>
      </c>
      <c r="J22" s="2">
        <v>7</v>
      </c>
      <c r="K22" s="2">
        <v>0</v>
      </c>
      <c r="L22" s="2">
        <v>0.76700000000000002</v>
      </c>
      <c r="M22" s="2">
        <v>1</v>
      </c>
      <c r="N22" s="3">
        <v>6</v>
      </c>
      <c r="O22" s="3">
        <f t="shared" si="0"/>
        <v>9</v>
      </c>
      <c r="P22" s="3">
        <f t="shared" si="1"/>
        <v>0</v>
      </c>
      <c r="Q22" s="3">
        <f t="shared" si="2"/>
        <v>4</v>
      </c>
      <c r="R22" s="3">
        <f t="shared" si="3"/>
        <v>0</v>
      </c>
      <c r="S22" s="6">
        <f t="shared" ref="S22:T22" si="14">(S11*COUNTIF($J$1:$J$101,S$16) - COUNTIFS($J$1:$J$101,S$16,$K$1:$K$101,"=0"))^2</f>
        <v>1</v>
      </c>
      <c r="T22" s="6">
        <f t="shared" si="14"/>
        <v>1</v>
      </c>
      <c r="U22" s="6">
        <f t="shared" ref="U22:V22" si="15">(U11*COUNTIF($J$1:$J$101,U$16) - COUNTIFS($J$1:$J$101,U$16,$K$1:$K$101,"=1"))^2</f>
        <v>1</v>
      </c>
      <c r="V22" s="6">
        <f t="shared" si="15"/>
        <v>0.25</v>
      </c>
      <c r="W22" s="4"/>
      <c r="X22" s="4"/>
      <c r="Y22" s="4"/>
    </row>
    <row r="23" spans="1:25" ht="14.25" customHeight="1">
      <c r="A23" s="2">
        <v>15</v>
      </c>
      <c r="B23" s="2">
        <v>22</v>
      </c>
      <c r="C23" s="2">
        <v>1</v>
      </c>
      <c r="D23" s="2">
        <v>0</v>
      </c>
      <c r="E23" s="2">
        <v>0.91400000000000003</v>
      </c>
      <c r="F23" s="2">
        <v>2</v>
      </c>
      <c r="H23" s="2">
        <v>15</v>
      </c>
      <c r="I23" s="2">
        <v>122</v>
      </c>
      <c r="J23" s="2">
        <v>5</v>
      </c>
      <c r="K23" s="2">
        <v>0</v>
      </c>
      <c r="L23" s="2">
        <v>0.71699999999999997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15</v>
      </c>
      <c r="B24" s="2">
        <v>23</v>
      </c>
      <c r="C24" s="2">
        <v>5</v>
      </c>
      <c r="D24" s="2">
        <v>0</v>
      </c>
      <c r="E24" s="2">
        <v>0.79500000000000004</v>
      </c>
      <c r="F24" s="2">
        <v>2</v>
      </c>
      <c r="H24" s="2">
        <v>15</v>
      </c>
      <c r="I24" s="2">
        <v>123</v>
      </c>
      <c r="J24" s="2">
        <v>1</v>
      </c>
      <c r="K24" s="2">
        <v>0</v>
      </c>
      <c r="L24" s="2">
        <v>0.68500000000000005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15</v>
      </c>
      <c r="B25" s="2">
        <v>24</v>
      </c>
      <c r="C25" s="2">
        <v>7</v>
      </c>
      <c r="D25" s="2">
        <v>0</v>
      </c>
      <c r="E25" s="2">
        <v>1.0309999999999999</v>
      </c>
      <c r="F25" s="2">
        <v>1</v>
      </c>
      <c r="H25" s="2">
        <v>15</v>
      </c>
      <c r="I25" s="2">
        <v>124</v>
      </c>
      <c r="J25" s="2">
        <v>3</v>
      </c>
      <c r="K25" s="2">
        <v>1</v>
      </c>
      <c r="L25" s="2">
        <v>0.495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15</v>
      </c>
      <c r="B26" s="2">
        <v>25</v>
      </c>
      <c r="C26" s="2">
        <v>1</v>
      </c>
      <c r="D26" s="2">
        <v>0</v>
      </c>
      <c r="E26" s="2">
        <v>0.81799999999999995</v>
      </c>
      <c r="F26" s="2">
        <v>2</v>
      </c>
      <c r="H26" s="2">
        <v>15</v>
      </c>
      <c r="I26" s="2">
        <v>125</v>
      </c>
      <c r="J26" s="2">
        <v>5</v>
      </c>
      <c r="K26" s="2">
        <v>1</v>
      </c>
      <c r="L26" s="2">
        <v>0.64700000000000002</v>
      </c>
      <c r="M26" s="2">
        <v>1</v>
      </c>
      <c r="N26" s="4"/>
      <c r="O26" s="3">
        <f t="shared" ref="O26:V26" si="16">COUNTIF($J$1:$J$102,O16)*COUNTIF($J$1:$J$102,O16)</f>
        <v>64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15</v>
      </c>
      <c r="B27" s="2">
        <v>26</v>
      </c>
      <c r="C27" s="2">
        <v>7</v>
      </c>
      <c r="D27" s="2">
        <v>0</v>
      </c>
      <c r="E27" s="2">
        <v>1.1659999999999999</v>
      </c>
      <c r="F27" s="2">
        <v>1</v>
      </c>
      <c r="H27" s="2">
        <v>15</v>
      </c>
      <c r="I27" s="2">
        <v>126</v>
      </c>
      <c r="J27" s="2">
        <v>8</v>
      </c>
      <c r="K27" s="2">
        <v>1</v>
      </c>
      <c r="L27" s="2">
        <v>0.57799999999999996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15</v>
      </c>
      <c r="B28" s="2">
        <v>27</v>
      </c>
      <c r="C28" s="2">
        <v>5</v>
      </c>
      <c r="D28" s="2">
        <v>0</v>
      </c>
      <c r="E28" s="2">
        <v>0.88500000000000001</v>
      </c>
      <c r="F28" s="2">
        <v>2</v>
      </c>
      <c r="H28" s="2">
        <v>15</v>
      </c>
      <c r="I28" s="2">
        <v>127</v>
      </c>
      <c r="J28" s="2">
        <v>2</v>
      </c>
      <c r="K28" s="2">
        <v>0</v>
      </c>
      <c r="L28" s="2">
        <v>0.58299999999999996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15</v>
      </c>
      <c r="B29" s="2">
        <v>28</v>
      </c>
      <c r="C29" s="2">
        <v>3</v>
      </c>
      <c r="D29" s="2">
        <v>1</v>
      </c>
      <c r="E29" s="2">
        <v>1.486</v>
      </c>
      <c r="F29" s="2">
        <v>1</v>
      </c>
      <c r="H29" s="2">
        <v>15</v>
      </c>
      <c r="I29" s="2">
        <v>128</v>
      </c>
      <c r="J29" s="2">
        <v>1</v>
      </c>
      <c r="K29" s="2">
        <v>0</v>
      </c>
      <c r="L29" s="2">
        <v>0.47699999999999998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15</v>
      </c>
      <c r="B30" s="2">
        <v>29</v>
      </c>
      <c r="C30" s="2">
        <v>8</v>
      </c>
      <c r="D30" s="2">
        <v>1</v>
      </c>
      <c r="E30" s="2">
        <v>0.96699999999999997</v>
      </c>
      <c r="F30" s="2">
        <v>2</v>
      </c>
      <c r="H30" s="2">
        <v>15</v>
      </c>
      <c r="I30" s="2">
        <v>129</v>
      </c>
      <c r="J30" s="2">
        <v>8</v>
      </c>
      <c r="K30" s="2">
        <v>0</v>
      </c>
      <c r="L30" s="2">
        <v>0.51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15</v>
      </c>
      <c r="B31" s="2">
        <v>30</v>
      </c>
      <c r="C31" s="2">
        <v>6</v>
      </c>
      <c r="D31" s="2">
        <v>0</v>
      </c>
      <c r="E31" s="2">
        <v>1.109</v>
      </c>
      <c r="F31" s="2">
        <v>2</v>
      </c>
      <c r="H31" s="2">
        <v>15</v>
      </c>
      <c r="I31" s="2">
        <v>130</v>
      </c>
      <c r="J31" s="2">
        <v>3</v>
      </c>
      <c r="K31" s="2">
        <v>0</v>
      </c>
      <c r="L31" s="2">
        <v>0.72599999999999998</v>
      </c>
      <c r="M31" s="2">
        <v>2</v>
      </c>
      <c r="N31" s="3">
        <v>1</v>
      </c>
      <c r="O31" s="3">
        <f t="shared" ref="O31:O36" si="17">SUM(O17:V17)/SUM(O$26:V$26)</f>
        <v>0.34253039513677808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15</v>
      </c>
      <c r="B32" s="2">
        <v>31</v>
      </c>
      <c r="C32" s="2">
        <v>1</v>
      </c>
      <c r="D32" s="2">
        <v>0</v>
      </c>
      <c r="E32" s="2">
        <v>1.157</v>
      </c>
      <c r="F32" s="2">
        <v>2</v>
      </c>
      <c r="H32" s="2">
        <v>15</v>
      </c>
      <c r="I32" s="2">
        <v>131</v>
      </c>
      <c r="J32" s="2">
        <v>7</v>
      </c>
      <c r="K32" s="2">
        <v>1</v>
      </c>
      <c r="L32" s="2">
        <v>0.54100000000000004</v>
      </c>
      <c r="M32" s="2">
        <v>1</v>
      </c>
      <c r="N32" s="3">
        <v>2</v>
      </c>
      <c r="O32" s="3">
        <f t="shared" si="17"/>
        <v>0.41803191489361691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15</v>
      </c>
      <c r="B33" s="2">
        <v>32</v>
      </c>
      <c r="C33" s="2">
        <v>4</v>
      </c>
      <c r="D33" s="2">
        <v>0</v>
      </c>
      <c r="E33" s="2">
        <v>0.80300000000000005</v>
      </c>
      <c r="F33" s="2">
        <v>1</v>
      </c>
      <c r="H33" s="2">
        <v>15</v>
      </c>
      <c r="I33" s="2">
        <v>132</v>
      </c>
      <c r="J33" s="2">
        <v>3</v>
      </c>
      <c r="K33" s="2">
        <v>1</v>
      </c>
      <c r="L33" s="2">
        <v>0.54</v>
      </c>
      <c r="M33" s="2">
        <v>2</v>
      </c>
      <c r="N33" s="3">
        <v>3</v>
      </c>
      <c r="O33" s="3">
        <f t="shared" si="17"/>
        <v>0.27687689969604862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15</v>
      </c>
      <c r="B34" s="2">
        <v>33</v>
      </c>
      <c r="C34" s="2">
        <v>7</v>
      </c>
      <c r="D34" s="2">
        <v>1</v>
      </c>
      <c r="E34" s="2">
        <v>0.59099999999999997</v>
      </c>
      <c r="F34" s="2">
        <v>2</v>
      </c>
      <c r="H34" s="2">
        <v>15</v>
      </c>
      <c r="I34" s="2">
        <v>133</v>
      </c>
      <c r="J34" s="2">
        <v>2</v>
      </c>
      <c r="K34" s="2">
        <v>1</v>
      </c>
      <c r="L34" s="2">
        <v>0.69099999999999995</v>
      </c>
      <c r="M34" s="2">
        <v>2</v>
      </c>
      <c r="N34" s="3">
        <v>4</v>
      </c>
      <c r="O34" s="3">
        <f t="shared" si="17"/>
        <v>0.20484042553191484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15</v>
      </c>
      <c r="B35" s="2">
        <v>34</v>
      </c>
      <c r="C35" s="2">
        <v>2</v>
      </c>
      <c r="D35" s="2">
        <v>1</v>
      </c>
      <c r="E35" s="2">
        <v>1.1240000000000001</v>
      </c>
      <c r="F35" s="2">
        <v>2</v>
      </c>
      <c r="H35" s="2">
        <v>15</v>
      </c>
      <c r="I35" s="2">
        <v>134</v>
      </c>
      <c r="J35" s="2">
        <v>1</v>
      </c>
      <c r="K35" s="2">
        <v>0</v>
      </c>
      <c r="L35" s="2">
        <v>0.53100000000000003</v>
      </c>
      <c r="M35" s="2">
        <v>1</v>
      </c>
      <c r="N35" s="3">
        <v>5</v>
      </c>
      <c r="O35" s="3">
        <f t="shared" si="17"/>
        <v>0.18708206686930087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15</v>
      </c>
      <c r="B36" s="2">
        <v>35</v>
      </c>
      <c r="C36" s="2">
        <v>1</v>
      </c>
      <c r="D36" s="2">
        <v>0</v>
      </c>
      <c r="E36" s="2">
        <v>0.89900000000000002</v>
      </c>
      <c r="F36" s="2">
        <v>2</v>
      </c>
      <c r="H36" s="2">
        <v>15</v>
      </c>
      <c r="I36" s="2">
        <v>135</v>
      </c>
      <c r="J36" s="2">
        <v>5</v>
      </c>
      <c r="K36" s="2">
        <v>0</v>
      </c>
      <c r="L36" s="2">
        <v>0.52200000000000002</v>
      </c>
      <c r="M36" s="2">
        <v>2</v>
      </c>
      <c r="N36" s="3">
        <v>6</v>
      </c>
      <c r="O36" s="3">
        <f t="shared" si="17"/>
        <v>4.939209726443769E-2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15</v>
      </c>
      <c r="B37" s="2">
        <v>36</v>
      </c>
      <c r="C37" s="2">
        <v>5</v>
      </c>
      <c r="D37" s="2">
        <v>1</v>
      </c>
      <c r="E37" s="2">
        <v>1.036</v>
      </c>
      <c r="F37" s="2">
        <v>1</v>
      </c>
      <c r="H37" s="2">
        <v>15</v>
      </c>
      <c r="I37" s="2">
        <v>136</v>
      </c>
      <c r="J37" s="2">
        <v>3</v>
      </c>
      <c r="K37" s="2">
        <v>1</v>
      </c>
      <c r="L37" s="2">
        <v>0.27300000000000002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15</v>
      </c>
      <c r="B38" s="2">
        <v>37</v>
      </c>
      <c r="C38" s="2">
        <v>1</v>
      </c>
      <c r="D38" s="2">
        <v>1</v>
      </c>
      <c r="E38" s="2">
        <v>1.3740000000000001</v>
      </c>
      <c r="F38" s="2">
        <v>1</v>
      </c>
      <c r="H38" s="2">
        <v>15</v>
      </c>
      <c r="I38" s="2">
        <v>137</v>
      </c>
      <c r="J38" s="2">
        <v>1</v>
      </c>
      <c r="K38" s="2">
        <v>0</v>
      </c>
      <c r="L38" s="2">
        <v>0.41099999999999998</v>
      </c>
      <c r="M38" s="2">
        <v>2</v>
      </c>
    </row>
    <row r="39" spans="1:25" ht="14.25" customHeight="1">
      <c r="A39" s="2">
        <v>15</v>
      </c>
      <c r="B39" s="2">
        <v>38</v>
      </c>
      <c r="C39" s="2">
        <v>6</v>
      </c>
      <c r="D39" s="2">
        <v>0</v>
      </c>
      <c r="E39" s="2">
        <v>0.9</v>
      </c>
      <c r="F39" s="2">
        <v>2</v>
      </c>
      <c r="H39" s="2">
        <v>15</v>
      </c>
      <c r="I39" s="2">
        <v>138</v>
      </c>
      <c r="J39" s="2">
        <v>4</v>
      </c>
      <c r="K39" s="2">
        <v>1</v>
      </c>
      <c r="L39" s="2">
        <v>0.35899999999999999</v>
      </c>
      <c r="M39" s="2">
        <v>1</v>
      </c>
    </row>
    <row r="40" spans="1:25" ht="14.25" customHeight="1">
      <c r="A40" s="2">
        <v>15</v>
      </c>
      <c r="B40" s="2">
        <v>39</v>
      </c>
      <c r="C40" s="2">
        <v>1</v>
      </c>
      <c r="D40" s="2">
        <v>1</v>
      </c>
      <c r="E40" s="2">
        <v>1.228</v>
      </c>
      <c r="F40" s="2">
        <v>1</v>
      </c>
      <c r="H40" s="2">
        <v>15</v>
      </c>
      <c r="I40" s="2">
        <v>139</v>
      </c>
      <c r="J40" s="2">
        <v>7</v>
      </c>
      <c r="K40" s="2">
        <v>0</v>
      </c>
      <c r="L40" s="2">
        <v>0.58099999999999996</v>
      </c>
      <c r="M40" s="2">
        <v>2</v>
      </c>
    </row>
    <row r="41" spans="1:25" ht="14.25" customHeight="1">
      <c r="A41" s="2">
        <v>15</v>
      </c>
      <c r="B41" s="2">
        <v>40</v>
      </c>
      <c r="C41" s="2">
        <v>7</v>
      </c>
      <c r="D41" s="2">
        <v>0</v>
      </c>
      <c r="E41" s="2">
        <v>1.024</v>
      </c>
      <c r="F41" s="2">
        <v>1</v>
      </c>
      <c r="H41" s="2">
        <v>15</v>
      </c>
      <c r="I41" s="2">
        <v>140</v>
      </c>
      <c r="J41" s="2">
        <v>3</v>
      </c>
      <c r="L41" s="2">
        <v>2.0009999999999999</v>
      </c>
    </row>
    <row r="42" spans="1:25" ht="14.25" customHeight="1">
      <c r="A42" s="2">
        <v>15</v>
      </c>
      <c r="B42" s="2">
        <v>41</v>
      </c>
      <c r="C42" s="2">
        <v>2</v>
      </c>
      <c r="D42" s="2">
        <v>1</v>
      </c>
      <c r="E42" s="2">
        <v>0.68300000000000005</v>
      </c>
      <c r="F42" s="2">
        <v>2</v>
      </c>
      <c r="H42" s="2">
        <v>15</v>
      </c>
      <c r="I42" s="2">
        <v>141</v>
      </c>
      <c r="J42" s="2">
        <v>1</v>
      </c>
      <c r="K42" s="2">
        <v>0</v>
      </c>
      <c r="L42" s="2">
        <v>0.65500000000000003</v>
      </c>
      <c r="M42" s="2">
        <v>1</v>
      </c>
    </row>
    <row r="43" spans="1:25" ht="14.25" customHeight="1">
      <c r="A43" s="2">
        <v>15</v>
      </c>
      <c r="B43" s="2">
        <v>42</v>
      </c>
      <c r="C43" s="2">
        <v>3</v>
      </c>
      <c r="D43" s="2">
        <v>0</v>
      </c>
      <c r="E43" s="2">
        <v>1.3640000000000001</v>
      </c>
      <c r="F43" s="2">
        <v>2</v>
      </c>
      <c r="H43" s="2">
        <v>15</v>
      </c>
      <c r="I43" s="2">
        <v>142</v>
      </c>
      <c r="J43" s="2">
        <v>8</v>
      </c>
      <c r="K43" s="2">
        <v>0</v>
      </c>
      <c r="L43" s="2">
        <v>0.433</v>
      </c>
      <c r="M43" s="2">
        <v>2</v>
      </c>
    </row>
    <row r="44" spans="1:25" ht="14.25" customHeight="1">
      <c r="A44" s="2">
        <v>15</v>
      </c>
      <c r="B44" s="2">
        <v>43</v>
      </c>
      <c r="C44" s="2">
        <v>1</v>
      </c>
      <c r="D44" s="2">
        <v>0</v>
      </c>
      <c r="E44" s="2">
        <v>0.82599999999999996</v>
      </c>
      <c r="F44" s="2">
        <v>2</v>
      </c>
      <c r="H44" s="2">
        <v>15</v>
      </c>
      <c r="I44" s="2">
        <v>143</v>
      </c>
      <c r="J44" s="2">
        <v>5</v>
      </c>
      <c r="K44" s="2">
        <v>0</v>
      </c>
      <c r="L44" s="2">
        <v>0.48499999999999999</v>
      </c>
      <c r="M44" s="2">
        <v>2</v>
      </c>
    </row>
    <row r="45" spans="1:25" ht="14.25" customHeight="1">
      <c r="A45" s="2">
        <v>15</v>
      </c>
      <c r="B45" s="2">
        <v>44</v>
      </c>
      <c r="C45" s="2">
        <v>3</v>
      </c>
      <c r="D45" s="2">
        <v>1</v>
      </c>
      <c r="E45" s="2">
        <v>0.79</v>
      </c>
      <c r="F45" s="2">
        <v>1</v>
      </c>
      <c r="H45" s="2">
        <v>15</v>
      </c>
      <c r="I45" s="2">
        <v>144</v>
      </c>
      <c r="J45" s="2">
        <v>1</v>
      </c>
      <c r="K45" s="2">
        <v>1</v>
      </c>
      <c r="L45" s="2">
        <v>0.95799999999999996</v>
      </c>
      <c r="M45" s="2">
        <v>1</v>
      </c>
    </row>
    <row r="46" spans="1:25" ht="14.25" customHeight="1">
      <c r="A46" s="2">
        <v>15</v>
      </c>
      <c r="B46" s="2">
        <v>45</v>
      </c>
      <c r="C46" s="2">
        <v>4</v>
      </c>
      <c r="D46" s="2">
        <v>0</v>
      </c>
      <c r="E46" s="2">
        <v>0.57799999999999996</v>
      </c>
      <c r="F46" s="2">
        <v>1</v>
      </c>
      <c r="H46" s="2">
        <v>15</v>
      </c>
      <c r="I46" s="2">
        <v>145</v>
      </c>
      <c r="J46" s="2">
        <v>4</v>
      </c>
      <c r="K46" s="2">
        <v>0</v>
      </c>
      <c r="L46" s="2">
        <v>0.68400000000000005</v>
      </c>
      <c r="M46" s="2">
        <v>1</v>
      </c>
    </row>
    <row r="47" spans="1:25" ht="14.25" customHeight="1">
      <c r="A47" s="2">
        <v>15</v>
      </c>
      <c r="B47" s="2">
        <v>46</v>
      </c>
      <c r="C47" s="2">
        <v>5</v>
      </c>
      <c r="D47" s="2">
        <v>0</v>
      </c>
      <c r="E47" s="2">
        <v>0.56699999999999995</v>
      </c>
      <c r="F47" s="2">
        <v>2</v>
      </c>
      <c r="H47" s="2">
        <v>15</v>
      </c>
      <c r="I47" s="2">
        <v>146</v>
      </c>
      <c r="J47" s="2">
        <v>5</v>
      </c>
      <c r="K47" s="2">
        <v>0</v>
      </c>
      <c r="L47" s="2">
        <v>0.93300000000000005</v>
      </c>
      <c r="M47" s="2">
        <v>2</v>
      </c>
    </row>
    <row r="48" spans="1:25" ht="14.25" customHeight="1">
      <c r="A48" s="2">
        <v>15</v>
      </c>
      <c r="B48" s="2">
        <v>47</v>
      </c>
      <c r="C48" s="2">
        <v>8</v>
      </c>
      <c r="D48" s="2">
        <v>0</v>
      </c>
      <c r="E48" s="2">
        <v>0.75800000000000001</v>
      </c>
      <c r="F48" s="2">
        <v>1</v>
      </c>
      <c r="H48" s="2">
        <v>15</v>
      </c>
      <c r="I48" s="2">
        <v>147</v>
      </c>
      <c r="J48" s="2">
        <v>4</v>
      </c>
      <c r="L48" s="2">
        <v>2</v>
      </c>
    </row>
    <row r="49" spans="1:13" ht="14.25" customHeight="1">
      <c r="A49" s="2">
        <v>15</v>
      </c>
      <c r="B49" s="2">
        <v>48</v>
      </c>
      <c r="C49" s="2">
        <v>3</v>
      </c>
      <c r="D49" s="2">
        <v>0</v>
      </c>
      <c r="E49" s="2">
        <v>1.02</v>
      </c>
      <c r="F49" s="2">
        <v>2</v>
      </c>
      <c r="H49" s="2">
        <v>15</v>
      </c>
      <c r="I49" s="2">
        <v>148</v>
      </c>
      <c r="J49" s="2">
        <v>2</v>
      </c>
      <c r="K49" s="2">
        <v>1</v>
      </c>
      <c r="L49" s="2">
        <v>0.42499999999999999</v>
      </c>
      <c r="M49" s="2">
        <v>1</v>
      </c>
    </row>
    <row r="50" spans="1:13" ht="14.25" customHeight="1">
      <c r="A50" s="2">
        <v>15</v>
      </c>
      <c r="B50" s="2">
        <v>49</v>
      </c>
      <c r="C50" s="2">
        <v>8</v>
      </c>
      <c r="D50" s="2">
        <v>0</v>
      </c>
      <c r="E50" s="2">
        <v>0.82299999999999995</v>
      </c>
      <c r="F50" s="2">
        <v>1</v>
      </c>
      <c r="H50" s="2">
        <v>15</v>
      </c>
      <c r="I50" s="2">
        <v>149</v>
      </c>
      <c r="J50" s="2">
        <v>1</v>
      </c>
      <c r="K50" s="2">
        <v>0</v>
      </c>
      <c r="L50" s="2">
        <v>0.64500000000000002</v>
      </c>
      <c r="M50" s="2">
        <v>1</v>
      </c>
    </row>
    <row r="51" spans="1:13" ht="14.25" customHeight="1">
      <c r="A51" s="2">
        <v>15</v>
      </c>
      <c r="B51" s="2">
        <v>50</v>
      </c>
      <c r="C51" s="2">
        <v>5</v>
      </c>
      <c r="D51" s="2">
        <v>0</v>
      </c>
      <c r="E51" s="2">
        <v>0.51400000000000001</v>
      </c>
      <c r="F51" s="2">
        <v>2</v>
      </c>
      <c r="H51" s="2">
        <v>15</v>
      </c>
      <c r="I51" s="2">
        <v>150</v>
      </c>
      <c r="J51" s="2">
        <v>2</v>
      </c>
      <c r="K51" s="2">
        <v>0</v>
      </c>
      <c r="L51" s="2">
        <v>1.3440000000000001</v>
      </c>
      <c r="M51" s="2">
        <v>2</v>
      </c>
    </row>
    <row r="52" spans="1:13" ht="14.25" customHeight="1">
      <c r="A52" s="2">
        <v>15</v>
      </c>
      <c r="B52" s="2">
        <v>51</v>
      </c>
      <c r="C52" s="2">
        <v>7</v>
      </c>
      <c r="D52" s="2">
        <v>0</v>
      </c>
      <c r="E52" s="2">
        <v>1.359</v>
      </c>
      <c r="F52" s="2">
        <v>2</v>
      </c>
    </row>
    <row r="53" spans="1:13" ht="14.25" customHeight="1">
      <c r="A53" s="2">
        <v>15</v>
      </c>
      <c r="B53" s="2">
        <v>52</v>
      </c>
      <c r="C53" s="2">
        <v>1</v>
      </c>
      <c r="D53" s="2">
        <v>0</v>
      </c>
      <c r="E53" s="2">
        <v>0.621</v>
      </c>
      <c r="F53" s="2">
        <v>1</v>
      </c>
    </row>
    <row r="54" spans="1:13" ht="14.25" customHeight="1">
      <c r="A54" s="2">
        <v>15</v>
      </c>
      <c r="B54" s="2">
        <v>53</v>
      </c>
      <c r="C54" s="2">
        <v>2</v>
      </c>
      <c r="D54" s="2">
        <v>1</v>
      </c>
      <c r="E54" s="2">
        <v>0.68</v>
      </c>
      <c r="F54" s="2">
        <v>2</v>
      </c>
    </row>
    <row r="55" spans="1:13" ht="14.25" customHeight="1">
      <c r="A55" s="2">
        <v>15</v>
      </c>
      <c r="B55" s="2">
        <v>54</v>
      </c>
      <c r="C55" s="2">
        <v>3</v>
      </c>
      <c r="D55" s="2">
        <v>1</v>
      </c>
      <c r="E55" s="2">
        <v>1.474</v>
      </c>
      <c r="F55" s="2">
        <v>1</v>
      </c>
    </row>
    <row r="56" spans="1:13" ht="14.25" customHeight="1">
      <c r="A56" s="2">
        <v>15</v>
      </c>
      <c r="B56" s="2">
        <v>55</v>
      </c>
      <c r="C56" s="2">
        <v>5</v>
      </c>
      <c r="D56" s="2">
        <v>1</v>
      </c>
      <c r="E56" s="2">
        <v>1.379</v>
      </c>
      <c r="F56" s="2">
        <v>2</v>
      </c>
    </row>
    <row r="57" spans="1:13" ht="14.25" customHeight="1">
      <c r="A57" s="2">
        <v>15</v>
      </c>
      <c r="B57" s="2">
        <v>56</v>
      </c>
      <c r="C57" s="2">
        <v>6</v>
      </c>
      <c r="D57" s="2">
        <v>0</v>
      </c>
      <c r="E57" s="2">
        <v>0.752</v>
      </c>
      <c r="F57" s="2">
        <v>1</v>
      </c>
    </row>
    <row r="58" spans="1:13" ht="14.25" customHeight="1">
      <c r="A58" s="2">
        <v>15</v>
      </c>
      <c r="B58" s="2">
        <v>57</v>
      </c>
      <c r="C58" s="2">
        <v>8</v>
      </c>
      <c r="D58" s="2">
        <v>0</v>
      </c>
      <c r="E58" s="2">
        <v>0.751</v>
      </c>
      <c r="F58" s="2">
        <v>2</v>
      </c>
    </row>
    <row r="59" spans="1:13" ht="14.25" customHeight="1">
      <c r="A59" s="2">
        <v>15</v>
      </c>
      <c r="B59" s="2">
        <v>58</v>
      </c>
      <c r="C59" s="2">
        <v>6</v>
      </c>
      <c r="D59" s="2">
        <v>0</v>
      </c>
      <c r="E59" s="2">
        <v>1.0620000000000001</v>
      </c>
      <c r="F59" s="2">
        <v>2</v>
      </c>
    </row>
    <row r="60" spans="1:13" ht="14.25" customHeight="1">
      <c r="A60" s="2">
        <v>15</v>
      </c>
      <c r="B60" s="2">
        <v>59</v>
      </c>
      <c r="C60" s="2">
        <v>5</v>
      </c>
      <c r="D60" s="2">
        <v>0</v>
      </c>
      <c r="E60" s="2">
        <v>0.71199999999999997</v>
      </c>
      <c r="F60" s="2">
        <v>1</v>
      </c>
    </row>
    <row r="61" spans="1:13" ht="14.25" customHeight="1">
      <c r="A61" s="2">
        <v>15</v>
      </c>
      <c r="B61" s="2">
        <v>60</v>
      </c>
      <c r="C61" s="2">
        <v>7</v>
      </c>
      <c r="D61" s="2">
        <v>1</v>
      </c>
      <c r="E61" s="2">
        <v>0.63100000000000001</v>
      </c>
      <c r="F61" s="2">
        <v>2</v>
      </c>
    </row>
    <row r="62" spans="1:13" ht="14.25" customHeight="1">
      <c r="A62" s="2">
        <v>15</v>
      </c>
      <c r="B62" s="2">
        <v>61</v>
      </c>
      <c r="C62" s="2">
        <v>3</v>
      </c>
      <c r="D62" s="2">
        <v>0</v>
      </c>
      <c r="E62" s="2">
        <v>1.05</v>
      </c>
      <c r="F62" s="2">
        <v>2</v>
      </c>
    </row>
    <row r="63" spans="1:13" ht="14.25" customHeight="1">
      <c r="A63" s="2">
        <v>15</v>
      </c>
      <c r="B63" s="2">
        <v>62</v>
      </c>
      <c r="C63" s="2">
        <v>2</v>
      </c>
      <c r="D63" s="2">
        <v>0</v>
      </c>
      <c r="E63" s="2">
        <v>0.58899999999999997</v>
      </c>
      <c r="F63" s="2">
        <v>1</v>
      </c>
    </row>
    <row r="64" spans="1:13" ht="14.25" customHeight="1">
      <c r="A64" s="2">
        <v>15</v>
      </c>
      <c r="B64" s="2">
        <v>63</v>
      </c>
      <c r="C64" s="2">
        <v>1</v>
      </c>
      <c r="D64" s="2">
        <v>0</v>
      </c>
      <c r="E64" s="2">
        <v>0.55300000000000005</v>
      </c>
      <c r="F64" s="2">
        <v>2</v>
      </c>
    </row>
    <row r="65" spans="1:6" ht="14.25" customHeight="1">
      <c r="A65" s="2">
        <v>15</v>
      </c>
      <c r="B65" s="2">
        <v>64</v>
      </c>
      <c r="C65" s="2">
        <v>6</v>
      </c>
      <c r="D65" s="2">
        <v>0</v>
      </c>
      <c r="E65" s="2">
        <v>0.63200000000000001</v>
      </c>
      <c r="F65" s="2">
        <v>1</v>
      </c>
    </row>
    <row r="66" spans="1:6" ht="14.25" customHeight="1">
      <c r="A66" s="2">
        <v>15</v>
      </c>
      <c r="B66" s="2">
        <v>65</v>
      </c>
      <c r="C66" s="2">
        <v>5</v>
      </c>
      <c r="D66" s="2">
        <v>0</v>
      </c>
      <c r="E66" s="2">
        <v>1.0429999999999999</v>
      </c>
      <c r="F66" s="2">
        <v>2</v>
      </c>
    </row>
    <row r="67" spans="1:6" ht="14.25" customHeight="1">
      <c r="A67" s="2">
        <v>15</v>
      </c>
      <c r="B67" s="2">
        <v>66</v>
      </c>
      <c r="C67" s="2">
        <v>1</v>
      </c>
      <c r="D67" s="2">
        <v>0</v>
      </c>
      <c r="E67" s="2">
        <v>1.022</v>
      </c>
      <c r="F67" s="2">
        <v>1</v>
      </c>
    </row>
    <row r="68" spans="1:6" ht="14.25" customHeight="1">
      <c r="A68" s="2">
        <v>15</v>
      </c>
      <c r="B68" s="2">
        <v>67</v>
      </c>
      <c r="C68" s="2">
        <v>3</v>
      </c>
      <c r="D68" s="2">
        <v>1</v>
      </c>
      <c r="E68" s="2">
        <v>1.1850000000000001</v>
      </c>
      <c r="F68" s="2">
        <v>2</v>
      </c>
    </row>
    <row r="69" spans="1:6" ht="14.25" customHeight="1">
      <c r="A69" s="2">
        <v>15</v>
      </c>
      <c r="B69" s="2">
        <v>68</v>
      </c>
      <c r="C69" s="2">
        <v>4</v>
      </c>
      <c r="D69" s="2">
        <v>0</v>
      </c>
      <c r="E69" s="2">
        <v>0.623</v>
      </c>
      <c r="F69" s="2">
        <v>1</v>
      </c>
    </row>
    <row r="70" spans="1:6" ht="14.25" customHeight="1">
      <c r="A70" s="2">
        <v>15</v>
      </c>
      <c r="B70" s="2">
        <v>69</v>
      </c>
      <c r="C70" s="2">
        <v>1</v>
      </c>
      <c r="D70" s="2">
        <v>0</v>
      </c>
      <c r="E70" s="2">
        <v>0.81</v>
      </c>
      <c r="F70" s="2">
        <v>2</v>
      </c>
    </row>
    <row r="71" spans="1:6" ht="14.25" customHeight="1">
      <c r="A71" s="2">
        <v>15</v>
      </c>
      <c r="B71" s="2">
        <v>70</v>
      </c>
      <c r="C71" s="2">
        <v>4</v>
      </c>
      <c r="D71" s="2">
        <v>1</v>
      </c>
      <c r="E71" s="2">
        <v>0.88600000000000001</v>
      </c>
      <c r="F71" s="2">
        <v>2</v>
      </c>
    </row>
    <row r="72" spans="1:6" ht="14.25" customHeight="1">
      <c r="A72" s="2">
        <v>15</v>
      </c>
      <c r="B72" s="2">
        <v>71</v>
      </c>
      <c r="C72" s="2">
        <v>3</v>
      </c>
      <c r="D72" s="2">
        <v>0</v>
      </c>
      <c r="E72" s="2">
        <v>0.67100000000000004</v>
      </c>
      <c r="F72" s="2">
        <v>1</v>
      </c>
    </row>
    <row r="73" spans="1:6" ht="14.25" customHeight="1">
      <c r="A73" s="2">
        <v>15</v>
      </c>
      <c r="B73" s="2">
        <v>72</v>
      </c>
      <c r="C73" s="2">
        <v>1</v>
      </c>
      <c r="D73" s="2">
        <v>0</v>
      </c>
      <c r="E73" s="2">
        <v>0.56100000000000005</v>
      </c>
      <c r="F73" s="2">
        <v>2</v>
      </c>
    </row>
    <row r="74" spans="1:6" ht="14.25" customHeight="1">
      <c r="A74" s="2">
        <v>15</v>
      </c>
      <c r="B74" s="2">
        <v>73</v>
      </c>
      <c r="C74" s="2">
        <v>7</v>
      </c>
      <c r="D74" s="2">
        <v>1</v>
      </c>
      <c r="E74" s="2">
        <v>0.623</v>
      </c>
      <c r="F74" s="2">
        <v>1</v>
      </c>
    </row>
    <row r="75" spans="1:6" ht="14.25" customHeight="1">
      <c r="A75" s="2">
        <v>15</v>
      </c>
      <c r="B75" s="2">
        <v>74</v>
      </c>
      <c r="C75" s="2">
        <v>2</v>
      </c>
      <c r="D75" s="2">
        <v>0</v>
      </c>
      <c r="E75" s="2">
        <v>0.89800000000000002</v>
      </c>
      <c r="F75" s="2">
        <v>1</v>
      </c>
    </row>
    <row r="76" spans="1:6" ht="14.25" customHeight="1">
      <c r="A76" s="2">
        <v>15</v>
      </c>
      <c r="B76" s="2">
        <v>75</v>
      </c>
      <c r="C76" s="2">
        <v>6</v>
      </c>
      <c r="D76" s="2">
        <v>0</v>
      </c>
      <c r="E76" s="2">
        <v>0.52200000000000002</v>
      </c>
      <c r="F76" s="2">
        <v>2</v>
      </c>
    </row>
    <row r="77" spans="1:6" ht="14.25" customHeight="1">
      <c r="A77" s="2">
        <v>15</v>
      </c>
      <c r="B77" s="2">
        <v>76</v>
      </c>
      <c r="C77" s="2">
        <v>5</v>
      </c>
      <c r="D77" s="2">
        <v>0</v>
      </c>
      <c r="E77" s="2">
        <v>0.70599999999999996</v>
      </c>
      <c r="F77" s="2">
        <v>1</v>
      </c>
    </row>
    <row r="78" spans="1:6" ht="14.25" customHeight="1">
      <c r="A78" s="2">
        <v>15</v>
      </c>
      <c r="B78" s="2">
        <v>77</v>
      </c>
      <c r="C78" s="2">
        <v>8</v>
      </c>
      <c r="D78" s="2">
        <v>0</v>
      </c>
      <c r="E78" s="2">
        <v>0.57799999999999996</v>
      </c>
      <c r="F78" s="2">
        <v>2</v>
      </c>
    </row>
    <row r="79" spans="1:6" ht="14.25" customHeight="1">
      <c r="A79" s="2">
        <v>15</v>
      </c>
      <c r="B79" s="2">
        <v>78</v>
      </c>
      <c r="C79" s="2">
        <v>6</v>
      </c>
      <c r="D79" s="2">
        <v>1</v>
      </c>
      <c r="E79" s="2">
        <v>0.68700000000000006</v>
      </c>
      <c r="F79" s="2">
        <v>1</v>
      </c>
    </row>
    <row r="80" spans="1:6" ht="14.25" customHeight="1">
      <c r="A80" s="2">
        <v>15</v>
      </c>
      <c r="B80" s="2">
        <v>79</v>
      </c>
      <c r="C80" s="2">
        <v>3</v>
      </c>
      <c r="D80" s="2">
        <v>0</v>
      </c>
      <c r="E80" s="2">
        <v>0.879</v>
      </c>
      <c r="F80" s="2">
        <v>1</v>
      </c>
    </row>
    <row r="81" spans="1:6" ht="14.25" customHeight="1">
      <c r="A81" s="2">
        <v>15</v>
      </c>
      <c r="B81" s="2">
        <v>80</v>
      </c>
      <c r="C81" s="2">
        <v>7</v>
      </c>
      <c r="D81" s="2">
        <v>1</v>
      </c>
      <c r="E81" s="2">
        <v>0.56100000000000005</v>
      </c>
      <c r="F81" s="2">
        <v>1</v>
      </c>
    </row>
    <row r="82" spans="1:6" ht="14.25" customHeight="1">
      <c r="A82" s="2">
        <v>15</v>
      </c>
      <c r="B82" s="2">
        <v>81</v>
      </c>
      <c r="C82" s="2">
        <v>4</v>
      </c>
      <c r="D82" s="2">
        <v>0</v>
      </c>
      <c r="E82" s="2">
        <v>0.54300000000000004</v>
      </c>
      <c r="F82" s="2">
        <v>2</v>
      </c>
    </row>
    <row r="83" spans="1:6" ht="14.25" customHeight="1">
      <c r="A83" s="2">
        <v>15</v>
      </c>
      <c r="B83" s="2">
        <v>82</v>
      </c>
      <c r="C83" s="2">
        <v>5</v>
      </c>
      <c r="D83" s="2">
        <v>0</v>
      </c>
      <c r="E83" s="2">
        <v>0.44600000000000001</v>
      </c>
      <c r="F83" s="2">
        <v>1</v>
      </c>
    </row>
    <row r="84" spans="1:6" ht="14.25" customHeight="1">
      <c r="A84" s="2">
        <v>15</v>
      </c>
      <c r="B84" s="2">
        <v>83</v>
      </c>
      <c r="C84" s="2">
        <v>1</v>
      </c>
      <c r="D84" s="2">
        <v>1</v>
      </c>
      <c r="E84" s="2">
        <v>0.39300000000000002</v>
      </c>
      <c r="F84" s="2">
        <v>2</v>
      </c>
    </row>
    <row r="85" spans="1:6" ht="14.25" customHeight="1">
      <c r="A85" s="2">
        <v>15</v>
      </c>
      <c r="B85" s="2">
        <v>84</v>
      </c>
      <c r="C85" s="2">
        <v>8</v>
      </c>
      <c r="D85" s="2">
        <v>1</v>
      </c>
      <c r="E85" s="2">
        <v>1.413</v>
      </c>
      <c r="F85" s="2">
        <v>2</v>
      </c>
    </row>
    <row r="86" spans="1:6" ht="14.25" customHeight="1">
      <c r="A86" s="2">
        <v>15</v>
      </c>
      <c r="B86" s="2">
        <v>85</v>
      </c>
      <c r="C86" s="2">
        <v>7</v>
      </c>
      <c r="D86" s="2">
        <v>0</v>
      </c>
      <c r="E86" s="2">
        <v>0.56999999999999995</v>
      </c>
      <c r="F86" s="2">
        <v>2</v>
      </c>
    </row>
    <row r="87" spans="1:6" ht="14.25" customHeight="1">
      <c r="A87" s="2">
        <v>15</v>
      </c>
      <c r="B87" s="2">
        <v>86</v>
      </c>
      <c r="C87" s="2">
        <v>4</v>
      </c>
      <c r="D87" s="2">
        <v>1</v>
      </c>
      <c r="E87" s="2">
        <v>0.66300000000000003</v>
      </c>
      <c r="F87" s="2">
        <v>1</v>
      </c>
    </row>
    <row r="88" spans="1:6" ht="14.25" customHeight="1">
      <c r="A88" s="2">
        <v>15</v>
      </c>
      <c r="B88" s="2">
        <v>87</v>
      </c>
      <c r="C88" s="2">
        <v>6</v>
      </c>
      <c r="D88" s="2">
        <v>0</v>
      </c>
      <c r="E88" s="2">
        <v>0.66500000000000004</v>
      </c>
      <c r="F88" s="2">
        <v>2</v>
      </c>
    </row>
    <row r="89" spans="1:6" ht="14.25" customHeight="1">
      <c r="A89" s="2">
        <v>15</v>
      </c>
      <c r="B89" s="2">
        <v>88</v>
      </c>
      <c r="C89" s="2">
        <v>1</v>
      </c>
      <c r="D89" s="2">
        <v>1</v>
      </c>
      <c r="E89" s="2">
        <v>0.53900000000000003</v>
      </c>
      <c r="F89" s="2">
        <v>1</v>
      </c>
    </row>
    <row r="90" spans="1:6" ht="14.25" customHeight="1">
      <c r="A90" s="2">
        <v>15</v>
      </c>
      <c r="B90" s="2">
        <v>89</v>
      </c>
      <c r="C90" s="2">
        <v>2</v>
      </c>
      <c r="D90" s="2">
        <v>0</v>
      </c>
      <c r="E90" s="2">
        <v>0.626</v>
      </c>
      <c r="F90" s="2">
        <v>2</v>
      </c>
    </row>
    <row r="91" spans="1:6" ht="14.25" customHeight="1">
      <c r="A91" s="2">
        <v>15</v>
      </c>
      <c r="B91" s="2">
        <v>90</v>
      </c>
      <c r="C91" s="2">
        <v>8</v>
      </c>
      <c r="D91" s="2">
        <v>0</v>
      </c>
      <c r="E91" s="2">
        <v>0.64500000000000002</v>
      </c>
      <c r="F91" s="2">
        <v>1</v>
      </c>
    </row>
    <row r="92" spans="1:6" ht="14.25" customHeight="1">
      <c r="A92" s="2">
        <v>15</v>
      </c>
      <c r="B92" s="2">
        <v>91</v>
      </c>
      <c r="C92" s="2">
        <v>5</v>
      </c>
      <c r="D92" s="2">
        <v>1</v>
      </c>
      <c r="E92" s="2">
        <v>0.55200000000000005</v>
      </c>
      <c r="F92" s="2">
        <v>2</v>
      </c>
    </row>
    <row r="93" spans="1:6" ht="14.25" customHeight="1">
      <c r="A93" s="2">
        <v>15</v>
      </c>
      <c r="B93" s="2">
        <v>92</v>
      </c>
      <c r="C93" s="2">
        <v>2</v>
      </c>
      <c r="D93" s="2">
        <v>0</v>
      </c>
      <c r="E93" s="2">
        <v>0.44700000000000001</v>
      </c>
      <c r="F93" s="2">
        <v>2</v>
      </c>
    </row>
    <row r="94" spans="1:6" ht="14.25" customHeight="1">
      <c r="A94" s="2">
        <v>15</v>
      </c>
      <c r="B94" s="2">
        <v>93</v>
      </c>
      <c r="C94" s="2">
        <v>8</v>
      </c>
      <c r="D94" s="2">
        <v>1</v>
      </c>
      <c r="E94" s="2">
        <v>0.61699999999999999</v>
      </c>
      <c r="F94" s="2">
        <v>1</v>
      </c>
    </row>
    <row r="95" spans="1:6" ht="14.25" customHeight="1">
      <c r="A95" s="2">
        <v>15</v>
      </c>
      <c r="B95" s="2">
        <v>94</v>
      </c>
      <c r="C95" s="2">
        <v>2</v>
      </c>
      <c r="D95" s="2">
        <v>1</v>
      </c>
      <c r="E95" s="2">
        <v>0.70099999999999996</v>
      </c>
      <c r="F95" s="2">
        <v>1</v>
      </c>
    </row>
    <row r="96" spans="1:6" ht="14.25" customHeight="1">
      <c r="A96" s="2">
        <v>15</v>
      </c>
      <c r="B96" s="2">
        <v>95</v>
      </c>
      <c r="C96" s="2">
        <v>3</v>
      </c>
      <c r="D96" s="2">
        <v>0</v>
      </c>
      <c r="E96" s="2">
        <v>0.878</v>
      </c>
      <c r="F96" s="2">
        <v>1</v>
      </c>
    </row>
    <row r="97" spans="1:6" ht="14.25" customHeight="1">
      <c r="A97" s="2">
        <v>15</v>
      </c>
      <c r="B97" s="2">
        <v>96</v>
      </c>
      <c r="C97" s="2">
        <v>4</v>
      </c>
      <c r="D97" s="2">
        <v>0</v>
      </c>
      <c r="E97" s="2">
        <v>0.59899999999999998</v>
      </c>
      <c r="F97" s="2">
        <v>2</v>
      </c>
    </row>
    <row r="98" spans="1:6" ht="14.25" customHeight="1">
      <c r="A98" s="2">
        <v>15</v>
      </c>
      <c r="B98" s="2">
        <v>97</v>
      </c>
      <c r="C98" s="2">
        <v>1</v>
      </c>
      <c r="D98" s="2">
        <v>0</v>
      </c>
      <c r="E98" s="2">
        <v>0.5</v>
      </c>
      <c r="F98" s="2">
        <v>1</v>
      </c>
    </row>
    <row r="99" spans="1:6" ht="14.25" customHeight="1">
      <c r="A99" s="2">
        <v>15</v>
      </c>
      <c r="B99" s="2">
        <v>98</v>
      </c>
      <c r="C99" s="2">
        <v>7</v>
      </c>
      <c r="D99" s="2">
        <v>0</v>
      </c>
      <c r="E99" s="2">
        <v>0.45300000000000001</v>
      </c>
      <c r="F99" s="2">
        <v>2</v>
      </c>
    </row>
    <row r="100" spans="1:6" ht="14.25" customHeight="1">
      <c r="A100" s="2">
        <v>15</v>
      </c>
      <c r="B100" s="2">
        <v>99</v>
      </c>
      <c r="C100" s="2">
        <v>4</v>
      </c>
      <c r="D100" s="2">
        <v>0</v>
      </c>
      <c r="E100" s="2">
        <v>0.879</v>
      </c>
      <c r="F100" s="2">
        <v>1</v>
      </c>
    </row>
    <row r="101" spans="1:6" ht="14.25" customHeight="1">
      <c r="A101" s="2">
        <v>15</v>
      </c>
      <c r="B101" s="2">
        <v>100</v>
      </c>
      <c r="C101" s="2">
        <v>8</v>
      </c>
      <c r="D101" s="2">
        <v>0</v>
      </c>
      <c r="E101" s="2">
        <v>1.073</v>
      </c>
      <c r="F101" s="2">
        <v>2</v>
      </c>
    </row>
    <row r="102" spans="1:6" ht="14.25" customHeight="1">
      <c r="A102" s="2">
        <v>15</v>
      </c>
      <c r="B102" s="2">
        <v>101</v>
      </c>
      <c r="C102" s="2">
        <v>1</v>
      </c>
      <c r="D102" s="2">
        <v>0</v>
      </c>
      <c r="E102" s="2">
        <v>0.872</v>
      </c>
      <c r="F102" s="2">
        <v>2</v>
      </c>
    </row>
    <row r="103" spans="1:6" ht="14.25" customHeight="1">
      <c r="A103" s="2">
        <v>15</v>
      </c>
      <c r="B103" s="2">
        <v>102</v>
      </c>
      <c r="C103" s="2">
        <v>6</v>
      </c>
      <c r="D103" s="2">
        <v>0</v>
      </c>
      <c r="E103" s="2">
        <v>0.497</v>
      </c>
      <c r="F103" s="2">
        <v>1</v>
      </c>
    </row>
    <row r="104" spans="1:6" ht="14.25" customHeight="1">
      <c r="A104" s="2">
        <v>15</v>
      </c>
      <c r="B104" s="2">
        <v>103</v>
      </c>
      <c r="C104" s="2">
        <v>7</v>
      </c>
      <c r="D104" s="2">
        <v>1</v>
      </c>
      <c r="E104" s="2">
        <v>0.64200000000000002</v>
      </c>
      <c r="F104" s="2">
        <v>2</v>
      </c>
    </row>
    <row r="105" spans="1:6" ht="14.25" customHeight="1">
      <c r="A105" s="2">
        <v>15</v>
      </c>
      <c r="B105" s="2">
        <v>104</v>
      </c>
      <c r="C105" s="2">
        <v>6</v>
      </c>
      <c r="D105" s="2">
        <v>0</v>
      </c>
      <c r="E105" s="2">
        <v>0.81200000000000006</v>
      </c>
      <c r="F105" s="2">
        <v>2</v>
      </c>
    </row>
    <row r="106" spans="1:6" ht="14.25" customHeight="1">
      <c r="A106" s="2">
        <v>15</v>
      </c>
      <c r="B106" s="2">
        <v>105</v>
      </c>
      <c r="C106" s="2">
        <v>4</v>
      </c>
      <c r="D106" s="2">
        <v>0</v>
      </c>
      <c r="E106" s="2">
        <v>0.54400000000000004</v>
      </c>
      <c r="F106" s="2">
        <v>1</v>
      </c>
    </row>
    <row r="107" spans="1:6" ht="14.25" customHeight="1">
      <c r="A107" s="2">
        <v>15</v>
      </c>
      <c r="B107" s="2">
        <v>106</v>
      </c>
      <c r="C107" s="2">
        <v>6</v>
      </c>
      <c r="D107" s="2">
        <v>1</v>
      </c>
      <c r="E107" s="2">
        <v>0.32700000000000001</v>
      </c>
      <c r="F107" s="2">
        <v>2</v>
      </c>
    </row>
    <row r="108" spans="1:6" ht="14.25" customHeight="1">
      <c r="A108" s="2">
        <v>15</v>
      </c>
      <c r="B108" s="2">
        <v>107</v>
      </c>
      <c r="C108" s="2">
        <v>2</v>
      </c>
      <c r="D108" s="2">
        <v>1</v>
      </c>
      <c r="E108" s="2">
        <v>0.89400000000000002</v>
      </c>
      <c r="F108" s="2">
        <v>1</v>
      </c>
    </row>
    <row r="109" spans="1:6" ht="14.25" customHeight="1">
      <c r="A109" s="2">
        <v>15</v>
      </c>
      <c r="B109" s="2">
        <v>108</v>
      </c>
      <c r="C109" s="2">
        <v>8</v>
      </c>
      <c r="D109" s="2">
        <v>0</v>
      </c>
      <c r="E109" s="2">
        <v>0.53500000000000003</v>
      </c>
      <c r="F109" s="2">
        <v>2</v>
      </c>
    </row>
    <row r="110" spans="1:6" ht="14.25" customHeight="1">
      <c r="A110" s="2">
        <v>15</v>
      </c>
      <c r="B110" s="2">
        <v>109</v>
      </c>
      <c r="C110" s="2">
        <v>7</v>
      </c>
      <c r="D110" s="2">
        <v>0</v>
      </c>
      <c r="E110" s="2">
        <v>0.61399999999999999</v>
      </c>
      <c r="F110" s="2">
        <v>1</v>
      </c>
    </row>
    <row r="111" spans="1:6" ht="14.25" customHeight="1">
      <c r="A111" s="2">
        <v>15</v>
      </c>
      <c r="B111" s="2">
        <v>110</v>
      </c>
      <c r="C111" s="2">
        <v>8</v>
      </c>
      <c r="D111" s="2">
        <v>1</v>
      </c>
      <c r="E111" s="2">
        <v>0.47499999999999998</v>
      </c>
      <c r="F111" s="2">
        <v>2</v>
      </c>
    </row>
    <row r="112" spans="1:6" ht="14.25" customHeight="1">
      <c r="A112" s="2">
        <v>15</v>
      </c>
      <c r="B112" s="2">
        <v>111</v>
      </c>
      <c r="C112" s="2">
        <v>6</v>
      </c>
      <c r="D112" s="2">
        <v>0</v>
      </c>
      <c r="E112" s="2">
        <v>0.51500000000000001</v>
      </c>
      <c r="F112" s="2">
        <v>2</v>
      </c>
    </row>
    <row r="113" spans="1:6" ht="14.25" customHeight="1">
      <c r="A113" s="2">
        <v>15</v>
      </c>
      <c r="B113" s="2">
        <v>112</v>
      </c>
      <c r="C113" s="2">
        <v>7</v>
      </c>
      <c r="D113" s="2">
        <v>0</v>
      </c>
      <c r="E113" s="2">
        <v>0.371</v>
      </c>
      <c r="F113" s="2">
        <v>1</v>
      </c>
    </row>
    <row r="114" spans="1:6" ht="14.25" customHeight="1">
      <c r="A114" s="2">
        <v>15</v>
      </c>
      <c r="B114" s="2">
        <v>113</v>
      </c>
      <c r="C114" s="2">
        <v>8</v>
      </c>
      <c r="D114" s="2">
        <v>1</v>
      </c>
      <c r="E114" s="2">
        <v>0.224</v>
      </c>
      <c r="F114" s="2">
        <v>1</v>
      </c>
    </row>
    <row r="115" spans="1:6" ht="14.25" customHeight="1">
      <c r="A115" s="2">
        <v>15</v>
      </c>
      <c r="B115" s="2">
        <v>114</v>
      </c>
      <c r="C115" s="2">
        <v>6</v>
      </c>
      <c r="D115" s="2">
        <v>0</v>
      </c>
      <c r="E115" s="2">
        <v>1.02</v>
      </c>
      <c r="F115" s="2">
        <v>1</v>
      </c>
    </row>
    <row r="116" spans="1:6" ht="14.25" customHeight="1">
      <c r="A116" s="2">
        <v>15</v>
      </c>
      <c r="B116" s="2">
        <v>115</v>
      </c>
      <c r="C116" s="2">
        <v>4</v>
      </c>
      <c r="D116" s="2">
        <v>1</v>
      </c>
      <c r="E116" s="2">
        <v>0.57499999999999996</v>
      </c>
      <c r="F116" s="2">
        <v>1</v>
      </c>
    </row>
    <row r="117" spans="1:6" ht="14.25" customHeight="1">
      <c r="A117" s="2">
        <v>15</v>
      </c>
      <c r="B117" s="2">
        <v>116</v>
      </c>
      <c r="C117" s="2">
        <v>5</v>
      </c>
      <c r="D117" s="2">
        <v>1</v>
      </c>
      <c r="E117" s="2">
        <v>0.63600000000000001</v>
      </c>
      <c r="F117" s="2">
        <v>2</v>
      </c>
    </row>
    <row r="118" spans="1:6" ht="14.25" customHeight="1">
      <c r="A118" s="2">
        <v>15</v>
      </c>
      <c r="B118" s="2">
        <v>117</v>
      </c>
      <c r="C118" s="2">
        <v>3</v>
      </c>
      <c r="D118" s="2">
        <v>1</v>
      </c>
      <c r="E118" s="2">
        <v>0.60799999999999998</v>
      </c>
      <c r="F118" s="2">
        <v>2</v>
      </c>
    </row>
    <row r="119" spans="1:6" ht="14.25" customHeight="1">
      <c r="A119" s="2">
        <v>15</v>
      </c>
      <c r="B119" s="2">
        <v>118</v>
      </c>
      <c r="C119" s="2">
        <v>2</v>
      </c>
      <c r="D119" s="2">
        <v>0</v>
      </c>
      <c r="E119" s="2">
        <v>0.82799999999999996</v>
      </c>
      <c r="F119" s="2">
        <v>1</v>
      </c>
    </row>
    <row r="120" spans="1:6" ht="14.25" customHeight="1">
      <c r="A120" s="2">
        <v>15</v>
      </c>
      <c r="B120" s="2">
        <v>119</v>
      </c>
      <c r="C120" s="2">
        <v>6</v>
      </c>
      <c r="D120" s="2">
        <v>1</v>
      </c>
      <c r="E120" s="2">
        <v>0.61499999999999999</v>
      </c>
      <c r="F120" s="2">
        <v>1</v>
      </c>
    </row>
    <row r="121" spans="1:6" ht="14.25" customHeight="1">
      <c r="A121" s="2">
        <v>15</v>
      </c>
      <c r="B121" s="2">
        <v>120</v>
      </c>
      <c r="C121" s="2">
        <v>4</v>
      </c>
      <c r="D121" s="2">
        <v>1</v>
      </c>
      <c r="E121" s="2">
        <v>0.61099999999999999</v>
      </c>
      <c r="F121" s="2">
        <v>2</v>
      </c>
    </row>
    <row r="122" spans="1:6" ht="14.25" customHeight="1">
      <c r="A122" s="2">
        <v>15</v>
      </c>
      <c r="B122" s="2">
        <v>121</v>
      </c>
      <c r="C122" s="2">
        <v>7</v>
      </c>
      <c r="D122" s="2">
        <v>0</v>
      </c>
      <c r="E122" s="2">
        <v>0.76700000000000002</v>
      </c>
      <c r="F122" s="2">
        <v>1</v>
      </c>
    </row>
    <row r="123" spans="1:6" ht="14.25" customHeight="1">
      <c r="A123" s="2">
        <v>15</v>
      </c>
      <c r="B123" s="2">
        <v>122</v>
      </c>
      <c r="C123" s="2">
        <v>5</v>
      </c>
      <c r="D123" s="2">
        <v>0</v>
      </c>
      <c r="E123" s="2">
        <v>0.71699999999999997</v>
      </c>
      <c r="F123" s="2">
        <v>2</v>
      </c>
    </row>
    <row r="124" spans="1:6" ht="14.25" customHeight="1">
      <c r="A124" s="2">
        <v>15</v>
      </c>
      <c r="B124" s="2">
        <v>123</v>
      </c>
      <c r="C124" s="2">
        <v>1</v>
      </c>
      <c r="D124" s="2">
        <v>0</v>
      </c>
      <c r="E124" s="2">
        <v>0.68500000000000005</v>
      </c>
      <c r="F124" s="2">
        <v>2</v>
      </c>
    </row>
    <row r="125" spans="1:6" ht="14.25" customHeight="1">
      <c r="A125" s="2">
        <v>15</v>
      </c>
      <c r="B125" s="2">
        <v>124</v>
      </c>
      <c r="C125" s="2">
        <v>3</v>
      </c>
      <c r="D125" s="2">
        <v>1</v>
      </c>
      <c r="E125" s="2">
        <v>0.495</v>
      </c>
      <c r="F125" s="2">
        <v>2</v>
      </c>
    </row>
    <row r="126" spans="1:6" ht="14.25" customHeight="1">
      <c r="A126" s="2">
        <v>15</v>
      </c>
      <c r="B126" s="2">
        <v>125</v>
      </c>
      <c r="C126" s="2">
        <v>5</v>
      </c>
      <c r="D126" s="2">
        <v>1</v>
      </c>
      <c r="E126" s="2">
        <v>0.64700000000000002</v>
      </c>
      <c r="F126" s="2">
        <v>1</v>
      </c>
    </row>
    <row r="127" spans="1:6" ht="14.25" customHeight="1">
      <c r="A127" s="2">
        <v>15</v>
      </c>
      <c r="B127" s="2">
        <v>126</v>
      </c>
      <c r="C127" s="2">
        <v>8</v>
      </c>
      <c r="D127" s="2">
        <v>1</v>
      </c>
      <c r="E127" s="2">
        <v>0.57799999999999996</v>
      </c>
      <c r="F127" s="2">
        <v>2</v>
      </c>
    </row>
    <row r="128" spans="1:6" ht="14.25" customHeight="1">
      <c r="A128" s="2">
        <v>15</v>
      </c>
      <c r="B128" s="2">
        <v>127</v>
      </c>
      <c r="C128" s="2">
        <v>2</v>
      </c>
      <c r="D128" s="2">
        <v>0</v>
      </c>
      <c r="E128" s="2">
        <v>0.58299999999999996</v>
      </c>
      <c r="F128" s="2">
        <v>2</v>
      </c>
    </row>
    <row r="129" spans="1:6" ht="14.25" customHeight="1">
      <c r="A129" s="2">
        <v>15</v>
      </c>
      <c r="B129" s="2">
        <v>128</v>
      </c>
      <c r="C129" s="2">
        <v>1</v>
      </c>
      <c r="D129" s="2">
        <v>0</v>
      </c>
      <c r="E129" s="2">
        <v>0.47699999999999998</v>
      </c>
      <c r="F129" s="2">
        <v>2</v>
      </c>
    </row>
    <row r="130" spans="1:6" ht="14.25" customHeight="1">
      <c r="A130" s="2">
        <v>15</v>
      </c>
      <c r="B130" s="2">
        <v>129</v>
      </c>
      <c r="C130" s="2">
        <v>8</v>
      </c>
      <c r="D130" s="2">
        <v>0</v>
      </c>
      <c r="E130" s="2">
        <v>0.51</v>
      </c>
      <c r="F130" s="2">
        <v>1</v>
      </c>
    </row>
    <row r="131" spans="1:6" ht="14.25" customHeight="1">
      <c r="A131" s="2">
        <v>15</v>
      </c>
      <c r="B131" s="2">
        <v>130</v>
      </c>
      <c r="C131" s="2">
        <v>3</v>
      </c>
      <c r="D131" s="2">
        <v>0</v>
      </c>
      <c r="E131" s="2">
        <v>0.72599999999999998</v>
      </c>
      <c r="F131" s="2">
        <v>2</v>
      </c>
    </row>
    <row r="132" spans="1:6" ht="14.25" customHeight="1">
      <c r="A132" s="2">
        <v>15</v>
      </c>
      <c r="B132" s="2">
        <v>131</v>
      </c>
      <c r="C132" s="2">
        <v>7</v>
      </c>
      <c r="D132" s="2">
        <v>1</v>
      </c>
      <c r="E132" s="2">
        <v>0.54100000000000004</v>
      </c>
      <c r="F132" s="2">
        <v>1</v>
      </c>
    </row>
    <row r="133" spans="1:6" ht="14.25" customHeight="1">
      <c r="A133" s="2">
        <v>15</v>
      </c>
      <c r="B133" s="2">
        <v>132</v>
      </c>
      <c r="C133" s="2">
        <v>3</v>
      </c>
      <c r="D133" s="2">
        <v>1</v>
      </c>
      <c r="E133" s="2">
        <v>0.54</v>
      </c>
      <c r="F133" s="2">
        <v>2</v>
      </c>
    </row>
    <row r="134" spans="1:6" ht="14.25" customHeight="1">
      <c r="A134" s="2">
        <v>15</v>
      </c>
      <c r="B134" s="2">
        <v>133</v>
      </c>
      <c r="C134" s="2">
        <v>2</v>
      </c>
      <c r="D134" s="2">
        <v>1</v>
      </c>
      <c r="E134" s="2">
        <v>0.69099999999999995</v>
      </c>
      <c r="F134" s="2">
        <v>2</v>
      </c>
    </row>
    <row r="135" spans="1:6" ht="14.25" customHeight="1">
      <c r="A135" s="2">
        <v>15</v>
      </c>
      <c r="B135" s="2">
        <v>134</v>
      </c>
      <c r="C135" s="2">
        <v>1</v>
      </c>
      <c r="D135" s="2">
        <v>0</v>
      </c>
      <c r="E135" s="2">
        <v>0.53100000000000003</v>
      </c>
      <c r="F135" s="2">
        <v>1</v>
      </c>
    </row>
    <row r="136" spans="1:6" ht="14.25" customHeight="1">
      <c r="A136" s="2">
        <v>15</v>
      </c>
      <c r="B136" s="2">
        <v>135</v>
      </c>
      <c r="C136" s="2">
        <v>5</v>
      </c>
      <c r="D136" s="2">
        <v>0</v>
      </c>
      <c r="E136" s="2">
        <v>0.52200000000000002</v>
      </c>
      <c r="F136" s="2">
        <v>2</v>
      </c>
    </row>
    <row r="137" spans="1:6" ht="14.25" customHeight="1">
      <c r="A137" s="2">
        <v>15</v>
      </c>
      <c r="B137" s="2">
        <v>136</v>
      </c>
      <c r="C137" s="2">
        <v>3</v>
      </c>
      <c r="D137" s="2">
        <v>1</v>
      </c>
      <c r="E137" s="2">
        <v>0.27300000000000002</v>
      </c>
      <c r="F137" s="2">
        <v>1</v>
      </c>
    </row>
    <row r="138" spans="1:6" ht="14.25" customHeight="1">
      <c r="A138" s="2">
        <v>15</v>
      </c>
      <c r="B138" s="2">
        <v>137</v>
      </c>
      <c r="C138" s="2">
        <v>1</v>
      </c>
      <c r="D138" s="2">
        <v>0</v>
      </c>
      <c r="E138" s="2">
        <v>0.41099999999999998</v>
      </c>
      <c r="F138" s="2">
        <v>2</v>
      </c>
    </row>
    <row r="139" spans="1:6" ht="14.25" customHeight="1">
      <c r="A139" s="2">
        <v>15</v>
      </c>
      <c r="B139" s="2">
        <v>138</v>
      </c>
      <c r="C139" s="2">
        <v>4</v>
      </c>
      <c r="D139" s="2">
        <v>1</v>
      </c>
      <c r="E139" s="2">
        <v>0.35899999999999999</v>
      </c>
      <c r="F139" s="2">
        <v>1</v>
      </c>
    </row>
    <row r="140" spans="1:6" ht="14.25" customHeight="1">
      <c r="A140" s="2">
        <v>15</v>
      </c>
      <c r="B140" s="2">
        <v>139</v>
      </c>
      <c r="C140" s="2">
        <v>7</v>
      </c>
      <c r="D140" s="2">
        <v>0</v>
      </c>
      <c r="E140" s="2">
        <v>0.58099999999999996</v>
      </c>
      <c r="F140" s="2">
        <v>2</v>
      </c>
    </row>
    <row r="141" spans="1:6" ht="14.25" customHeight="1">
      <c r="A141" s="2">
        <v>15</v>
      </c>
      <c r="B141" s="2">
        <v>140</v>
      </c>
      <c r="C141" s="2">
        <v>3</v>
      </c>
      <c r="E141" s="2">
        <v>2.0009999999999999</v>
      </c>
    </row>
    <row r="142" spans="1:6" ht="14.25" customHeight="1">
      <c r="A142" s="2">
        <v>15</v>
      </c>
      <c r="B142" s="2">
        <v>141</v>
      </c>
      <c r="C142" s="2">
        <v>1</v>
      </c>
      <c r="D142" s="2">
        <v>0</v>
      </c>
      <c r="E142" s="2">
        <v>0.65500000000000003</v>
      </c>
      <c r="F142" s="2">
        <v>1</v>
      </c>
    </row>
    <row r="143" spans="1:6" ht="14.25" customHeight="1">
      <c r="A143" s="2">
        <v>15</v>
      </c>
      <c r="B143" s="2">
        <v>142</v>
      </c>
      <c r="C143" s="2">
        <v>8</v>
      </c>
      <c r="D143" s="2">
        <v>0</v>
      </c>
      <c r="E143" s="2">
        <v>0.433</v>
      </c>
      <c r="F143" s="2">
        <v>2</v>
      </c>
    </row>
    <row r="144" spans="1:6" ht="14.25" customHeight="1">
      <c r="A144" s="2">
        <v>15</v>
      </c>
      <c r="B144" s="2">
        <v>143</v>
      </c>
      <c r="C144" s="2">
        <v>5</v>
      </c>
      <c r="D144" s="2">
        <v>0</v>
      </c>
      <c r="E144" s="2">
        <v>0.48499999999999999</v>
      </c>
      <c r="F144" s="2">
        <v>2</v>
      </c>
    </row>
    <row r="145" spans="1:6" ht="14.25" customHeight="1">
      <c r="A145" s="2">
        <v>15</v>
      </c>
      <c r="B145" s="2">
        <v>144</v>
      </c>
      <c r="C145" s="2">
        <v>1</v>
      </c>
      <c r="D145" s="2">
        <v>1</v>
      </c>
      <c r="E145" s="2">
        <v>0.95799999999999996</v>
      </c>
      <c r="F145" s="2">
        <v>1</v>
      </c>
    </row>
    <row r="146" spans="1:6" ht="14.25" customHeight="1">
      <c r="A146" s="2">
        <v>15</v>
      </c>
      <c r="B146" s="2">
        <v>145</v>
      </c>
      <c r="C146" s="2">
        <v>4</v>
      </c>
      <c r="D146" s="2">
        <v>0</v>
      </c>
      <c r="E146" s="2">
        <v>0.68400000000000005</v>
      </c>
      <c r="F146" s="2">
        <v>1</v>
      </c>
    </row>
    <row r="147" spans="1:6" ht="14.25" customHeight="1">
      <c r="A147" s="2">
        <v>15</v>
      </c>
      <c r="B147" s="2">
        <v>146</v>
      </c>
      <c r="C147" s="2">
        <v>5</v>
      </c>
      <c r="D147" s="2">
        <v>0</v>
      </c>
      <c r="E147" s="2">
        <v>0.93300000000000005</v>
      </c>
      <c r="F147" s="2">
        <v>2</v>
      </c>
    </row>
    <row r="148" spans="1:6" ht="14.25" customHeight="1">
      <c r="A148" s="2">
        <v>15</v>
      </c>
      <c r="B148" s="2">
        <v>147</v>
      </c>
      <c r="C148" s="2">
        <v>4</v>
      </c>
      <c r="E148" s="2">
        <v>2</v>
      </c>
    </row>
    <row r="149" spans="1:6" ht="14.25" customHeight="1">
      <c r="A149" s="2">
        <v>15</v>
      </c>
      <c r="B149" s="2">
        <v>148</v>
      </c>
      <c r="C149" s="2">
        <v>2</v>
      </c>
      <c r="D149" s="2">
        <v>1</v>
      </c>
      <c r="E149" s="2">
        <v>0.42499999999999999</v>
      </c>
      <c r="F149" s="2">
        <v>1</v>
      </c>
    </row>
    <row r="150" spans="1:6" ht="14.25" customHeight="1">
      <c r="A150" s="2">
        <v>15</v>
      </c>
      <c r="B150" s="2">
        <v>149</v>
      </c>
      <c r="C150" s="2">
        <v>1</v>
      </c>
      <c r="D150" s="2">
        <v>0</v>
      </c>
      <c r="E150" s="2">
        <v>0.64500000000000002</v>
      </c>
      <c r="F150" s="2">
        <v>1</v>
      </c>
    </row>
    <row r="151" spans="1:6" ht="14.25" customHeight="1">
      <c r="A151" s="2">
        <v>15</v>
      </c>
      <c r="B151" s="2">
        <v>150</v>
      </c>
      <c r="C151" s="2">
        <v>2</v>
      </c>
      <c r="D151" s="2">
        <v>0</v>
      </c>
      <c r="E151" s="2">
        <v>1.3440000000000001</v>
      </c>
      <c r="F151" s="2">
        <v>2</v>
      </c>
    </row>
    <row r="152" spans="1:6" ht="14.25" customHeight="1">
      <c r="A152" s="2">
        <v>15</v>
      </c>
      <c r="B152" s="2">
        <v>151</v>
      </c>
      <c r="C152" s="2">
        <v>8</v>
      </c>
      <c r="D152" s="2">
        <v>0</v>
      </c>
      <c r="E152" s="2">
        <v>0.97299999999999998</v>
      </c>
      <c r="F152" s="2">
        <v>2</v>
      </c>
    </row>
    <row r="153" spans="1:6" ht="14.25" customHeight="1">
      <c r="A153" s="2">
        <v>15</v>
      </c>
      <c r="B153" s="2">
        <v>152</v>
      </c>
      <c r="C153" s="2">
        <v>3</v>
      </c>
      <c r="D153" s="2">
        <v>0</v>
      </c>
      <c r="E153" s="2">
        <v>0.48299999999999998</v>
      </c>
      <c r="F153" s="2">
        <v>1</v>
      </c>
    </row>
    <row r="154" spans="1:6" ht="14.25" customHeight="1">
      <c r="A154" s="2">
        <v>15</v>
      </c>
      <c r="B154" s="2">
        <v>153</v>
      </c>
      <c r="C154" s="2">
        <v>5</v>
      </c>
      <c r="D154" s="2">
        <v>1</v>
      </c>
      <c r="E154" s="2">
        <v>0.34799999999999998</v>
      </c>
      <c r="F154" s="2">
        <v>2</v>
      </c>
    </row>
    <row r="155" spans="1:6" ht="14.25" customHeight="1">
      <c r="A155" s="2">
        <v>15</v>
      </c>
      <c r="B155" s="2">
        <v>154</v>
      </c>
      <c r="C155" s="2">
        <v>1</v>
      </c>
      <c r="D155" s="2">
        <v>1</v>
      </c>
      <c r="E155" s="2">
        <v>0.49</v>
      </c>
      <c r="F155" s="2">
        <v>1</v>
      </c>
    </row>
    <row r="156" spans="1:6" ht="14.25" customHeight="1">
      <c r="A156" s="2">
        <v>15</v>
      </c>
      <c r="B156" s="2">
        <v>155</v>
      </c>
      <c r="C156" s="2">
        <v>5</v>
      </c>
      <c r="D156" s="2">
        <v>1</v>
      </c>
      <c r="E156" s="2">
        <v>0.57099999999999995</v>
      </c>
      <c r="F156" s="2">
        <v>2</v>
      </c>
    </row>
    <row r="157" spans="1:6" ht="14.25" customHeight="1">
      <c r="A157" s="2">
        <v>15</v>
      </c>
      <c r="B157" s="2">
        <v>156</v>
      </c>
      <c r="C157" s="2">
        <v>4</v>
      </c>
      <c r="D157" s="2">
        <v>0</v>
      </c>
      <c r="E157" s="2">
        <v>0.432</v>
      </c>
      <c r="F157" s="2">
        <v>1</v>
      </c>
    </row>
    <row r="158" spans="1:6" ht="14.25" customHeight="1">
      <c r="A158" s="2">
        <v>15</v>
      </c>
      <c r="B158" s="2">
        <v>157</v>
      </c>
      <c r="C158" s="2">
        <v>3</v>
      </c>
      <c r="D158" s="2">
        <v>1</v>
      </c>
      <c r="E158" s="2">
        <v>0.39600000000000002</v>
      </c>
      <c r="F158" s="2">
        <v>1</v>
      </c>
    </row>
    <row r="159" spans="1:6" ht="14.25" customHeight="1">
      <c r="A159" s="2">
        <v>15</v>
      </c>
      <c r="B159" s="2">
        <v>158</v>
      </c>
      <c r="C159" s="2">
        <v>4</v>
      </c>
      <c r="D159" s="2">
        <v>0</v>
      </c>
      <c r="E159" s="2">
        <v>0.48799999999999999</v>
      </c>
      <c r="F159" s="2">
        <v>2</v>
      </c>
    </row>
    <row r="160" spans="1:6" ht="14.25" customHeight="1">
      <c r="A160" s="2">
        <v>15</v>
      </c>
      <c r="B160" s="2">
        <v>159</v>
      </c>
      <c r="C160" s="2">
        <v>1</v>
      </c>
      <c r="D160" s="2">
        <v>1</v>
      </c>
      <c r="E160" s="2">
        <v>0.434</v>
      </c>
      <c r="F160" s="2">
        <v>2</v>
      </c>
    </row>
    <row r="161" spans="1:6" ht="14.25" customHeight="1">
      <c r="A161" s="2">
        <v>15</v>
      </c>
      <c r="B161" s="2">
        <v>160</v>
      </c>
      <c r="C161" s="2">
        <v>5</v>
      </c>
      <c r="D161" s="2">
        <v>1</v>
      </c>
      <c r="E161" s="2">
        <v>0.58899999999999997</v>
      </c>
      <c r="F161" s="2">
        <v>2</v>
      </c>
    </row>
    <row r="162" spans="1:6" ht="14.25" customHeight="1">
      <c r="A162" s="2">
        <v>15</v>
      </c>
      <c r="B162" s="2">
        <v>161</v>
      </c>
      <c r="C162" s="2">
        <v>4</v>
      </c>
      <c r="D162" s="2">
        <v>0</v>
      </c>
      <c r="E162" s="2">
        <v>0.873</v>
      </c>
      <c r="F162" s="2">
        <v>2</v>
      </c>
    </row>
    <row r="163" spans="1:6" ht="14.25" customHeight="1">
      <c r="A163" s="2">
        <v>15</v>
      </c>
      <c r="B163" s="2">
        <v>162</v>
      </c>
      <c r="C163" s="2">
        <v>6</v>
      </c>
      <c r="D163" s="2">
        <v>0</v>
      </c>
      <c r="E163" s="2">
        <v>0.56999999999999995</v>
      </c>
      <c r="F163" s="2">
        <v>1</v>
      </c>
    </row>
    <row r="164" spans="1:6" ht="14.25" customHeight="1">
      <c r="A164" s="2">
        <v>15</v>
      </c>
      <c r="B164" s="2">
        <v>163</v>
      </c>
      <c r="C164" s="2">
        <v>1</v>
      </c>
      <c r="D164" s="2">
        <v>1</v>
      </c>
      <c r="E164" s="2">
        <v>0.89600000000000002</v>
      </c>
      <c r="F164" s="2">
        <v>1</v>
      </c>
    </row>
    <row r="165" spans="1:6" ht="14.25" customHeight="1">
      <c r="A165" s="2">
        <v>15</v>
      </c>
      <c r="B165" s="2">
        <v>164</v>
      </c>
      <c r="C165" s="2">
        <v>7</v>
      </c>
      <c r="D165" s="2">
        <v>0</v>
      </c>
      <c r="E165" s="2">
        <v>0.80100000000000005</v>
      </c>
      <c r="F165" s="2">
        <v>1</v>
      </c>
    </row>
    <row r="166" spans="1:6" ht="14.25" customHeight="1">
      <c r="A166" s="2">
        <v>15</v>
      </c>
      <c r="B166" s="2">
        <v>165</v>
      </c>
      <c r="C166" s="2">
        <v>2</v>
      </c>
      <c r="D166" s="2">
        <v>0</v>
      </c>
      <c r="E166" s="2">
        <v>0.49299999999999999</v>
      </c>
      <c r="F166" s="2">
        <v>2</v>
      </c>
    </row>
    <row r="167" spans="1:6" ht="14.25" customHeight="1">
      <c r="A167" s="2">
        <v>15</v>
      </c>
      <c r="B167" s="2">
        <v>166</v>
      </c>
      <c r="C167" s="2">
        <v>3</v>
      </c>
      <c r="D167" s="2">
        <v>0</v>
      </c>
      <c r="E167" s="2">
        <v>1E-3</v>
      </c>
      <c r="F167" s="2">
        <v>1</v>
      </c>
    </row>
    <row r="168" spans="1:6" ht="14.25" customHeight="1">
      <c r="A168" s="2">
        <v>15</v>
      </c>
      <c r="B168" s="2">
        <v>167</v>
      </c>
      <c r="C168" s="2">
        <v>6</v>
      </c>
      <c r="D168" s="2">
        <v>1</v>
      </c>
      <c r="E168" s="2">
        <v>0.77100000000000002</v>
      </c>
      <c r="F168" s="2">
        <v>2</v>
      </c>
    </row>
    <row r="169" spans="1:6" ht="14.25" customHeight="1">
      <c r="A169" s="2">
        <v>15</v>
      </c>
      <c r="B169" s="2">
        <v>168</v>
      </c>
      <c r="C169" s="2">
        <v>7</v>
      </c>
      <c r="D169" s="2">
        <v>0</v>
      </c>
      <c r="E169" s="2">
        <v>0.53600000000000003</v>
      </c>
      <c r="F169" s="2">
        <v>1</v>
      </c>
    </row>
    <row r="170" spans="1:6" ht="14.25" customHeight="1">
      <c r="A170" s="2">
        <v>15</v>
      </c>
      <c r="B170" s="2">
        <v>169</v>
      </c>
      <c r="C170" s="2">
        <v>5</v>
      </c>
      <c r="D170" s="2">
        <v>0</v>
      </c>
      <c r="E170" s="2">
        <v>0.43099999999999999</v>
      </c>
      <c r="F170" s="2">
        <v>2</v>
      </c>
    </row>
    <row r="171" spans="1:6" ht="14.25" customHeight="1">
      <c r="A171" s="2">
        <v>15</v>
      </c>
      <c r="B171" s="2">
        <v>170</v>
      </c>
      <c r="C171" s="2">
        <v>2</v>
      </c>
      <c r="D171" s="2">
        <v>0</v>
      </c>
      <c r="E171" s="2">
        <v>0.51500000000000001</v>
      </c>
      <c r="F171" s="2">
        <v>1</v>
      </c>
    </row>
    <row r="172" spans="1:6" ht="14.25" customHeight="1">
      <c r="A172" s="2">
        <v>15</v>
      </c>
      <c r="B172" s="2">
        <v>171</v>
      </c>
      <c r="C172" s="2">
        <v>7</v>
      </c>
      <c r="D172" s="2">
        <v>0</v>
      </c>
      <c r="E172" s="2">
        <v>0.71499999999999997</v>
      </c>
      <c r="F172" s="2">
        <v>1</v>
      </c>
    </row>
    <row r="173" spans="1:6" ht="14.25" customHeight="1">
      <c r="A173" s="2">
        <v>15</v>
      </c>
      <c r="B173" s="2">
        <v>172</v>
      </c>
      <c r="C173" s="2">
        <v>6</v>
      </c>
      <c r="D173" s="2">
        <v>0</v>
      </c>
      <c r="E173" s="2">
        <v>0.45100000000000001</v>
      </c>
      <c r="F173" s="2">
        <v>2</v>
      </c>
    </row>
    <row r="174" spans="1:6" ht="14.25" customHeight="1">
      <c r="A174" s="2">
        <v>15</v>
      </c>
      <c r="B174" s="2">
        <v>173</v>
      </c>
      <c r="C174" s="2">
        <v>4</v>
      </c>
      <c r="D174" s="2">
        <v>1</v>
      </c>
      <c r="E174" s="2">
        <v>0.74199999999999999</v>
      </c>
      <c r="F174" s="2">
        <v>1</v>
      </c>
    </row>
    <row r="175" spans="1:6" ht="14.25" customHeight="1">
      <c r="A175" s="2">
        <v>15</v>
      </c>
      <c r="B175" s="2">
        <v>174</v>
      </c>
      <c r="C175" s="2">
        <v>1</v>
      </c>
      <c r="D175" s="2">
        <v>1</v>
      </c>
      <c r="E175" s="2">
        <v>0.63600000000000001</v>
      </c>
      <c r="F175" s="2">
        <v>2</v>
      </c>
    </row>
    <row r="176" spans="1:6" ht="14.25" customHeight="1">
      <c r="A176" s="2">
        <v>15</v>
      </c>
      <c r="B176" s="2">
        <v>175</v>
      </c>
      <c r="C176" s="2">
        <v>8</v>
      </c>
      <c r="D176" s="2">
        <v>0</v>
      </c>
      <c r="E176" s="2">
        <v>1.1679999999999999</v>
      </c>
      <c r="F176" s="2">
        <v>2</v>
      </c>
    </row>
    <row r="177" spans="1:6" ht="14.25" customHeight="1">
      <c r="A177" s="2">
        <v>15</v>
      </c>
      <c r="B177" s="2">
        <v>176</v>
      </c>
      <c r="C177" s="2">
        <v>1</v>
      </c>
      <c r="D177" s="2">
        <v>0</v>
      </c>
      <c r="E177" s="2">
        <v>0.61399999999999999</v>
      </c>
      <c r="F177" s="2">
        <v>1</v>
      </c>
    </row>
    <row r="178" spans="1:6" ht="14.25" customHeight="1">
      <c r="A178" s="2">
        <v>15</v>
      </c>
      <c r="B178" s="2">
        <v>177</v>
      </c>
      <c r="C178" s="2">
        <v>8</v>
      </c>
      <c r="E178" s="2">
        <v>2.0009999999999999</v>
      </c>
    </row>
    <row r="179" spans="1:6" ht="14.25" customHeight="1">
      <c r="A179" s="2">
        <v>15</v>
      </c>
      <c r="B179" s="2">
        <v>178</v>
      </c>
      <c r="C179" s="2">
        <v>1</v>
      </c>
      <c r="D179" s="2">
        <v>1</v>
      </c>
      <c r="E179" s="2">
        <v>0.69499999999999995</v>
      </c>
      <c r="F179" s="2">
        <v>1</v>
      </c>
    </row>
    <row r="180" spans="1:6" ht="14.25" customHeight="1">
      <c r="A180" s="2">
        <v>15</v>
      </c>
      <c r="B180" s="2">
        <v>179</v>
      </c>
      <c r="C180" s="2">
        <v>4</v>
      </c>
      <c r="D180" s="2">
        <v>1</v>
      </c>
      <c r="E180" s="2">
        <v>0.60699999999999998</v>
      </c>
      <c r="F180" s="2">
        <v>2</v>
      </c>
    </row>
    <row r="181" spans="1:6" ht="14.25" customHeight="1">
      <c r="A181" s="2">
        <v>15</v>
      </c>
      <c r="B181" s="2">
        <v>180</v>
      </c>
      <c r="C181" s="2">
        <v>7</v>
      </c>
      <c r="D181" s="2">
        <v>1</v>
      </c>
      <c r="E181" s="2">
        <v>0.59499999999999997</v>
      </c>
      <c r="F181" s="2">
        <v>1</v>
      </c>
    </row>
    <row r="182" spans="1:6" ht="14.25" customHeight="1">
      <c r="A182" s="2">
        <v>15</v>
      </c>
      <c r="B182" s="2">
        <v>181</v>
      </c>
      <c r="C182" s="2">
        <v>8</v>
      </c>
      <c r="D182" s="2">
        <v>1</v>
      </c>
      <c r="E182" s="2">
        <v>0.69599999999999995</v>
      </c>
      <c r="F182" s="2">
        <v>1</v>
      </c>
    </row>
    <row r="183" spans="1:6" ht="14.25" customHeight="1">
      <c r="A183" s="2">
        <v>15</v>
      </c>
      <c r="B183" s="2">
        <v>182</v>
      </c>
      <c r="C183" s="2">
        <v>2</v>
      </c>
      <c r="D183" s="2">
        <v>0</v>
      </c>
      <c r="E183" s="2">
        <v>0.90500000000000003</v>
      </c>
      <c r="F183" s="2">
        <v>1</v>
      </c>
    </row>
    <row r="184" spans="1:6" ht="14.25" customHeight="1">
      <c r="A184" s="2">
        <v>15</v>
      </c>
      <c r="B184" s="2">
        <v>183</v>
      </c>
      <c r="C184" s="2">
        <v>1</v>
      </c>
      <c r="D184" s="2">
        <v>1</v>
      </c>
      <c r="E184" s="2">
        <v>0.48099999999999998</v>
      </c>
      <c r="F184" s="2">
        <v>2</v>
      </c>
    </row>
    <row r="185" spans="1:6" ht="14.25" customHeight="1">
      <c r="A185" s="2">
        <v>15</v>
      </c>
      <c r="B185" s="2">
        <v>184</v>
      </c>
      <c r="C185" s="2">
        <v>5</v>
      </c>
      <c r="D185" s="2">
        <v>0</v>
      </c>
      <c r="E185" s="2">
        <v>0.69099999999999995</v>
      </c>
      <c r="F185" s="2">
        <v>1</v>
      </c>
    </row>
    <row r="186" spans="1:6" ht="14.25" customHeight="1">
      <c r="A186" s="2">
        <v>15</v>
      </c>
      <c r="B186" s="2">
        <v>185</v>
      </c>
      <c r="C186" s="2">
        <v>2</v>
      </c>
      <c r="D186" s="2">
        <v>0</v>
      </c>
      <c r="E186" s="2">
        <v>0.48299999999999998</v>
      </c>
      <c r="F186" s="2">
        <v>2</v>
      </c>
    </row>
    <row r="187" spans="1:6" ht="14.25" customHeight="1">
      <c r="A187" s="2">
        <v>15</v>
      </c>
      <c r="B187" s="2">
        <v>186</v>
      </c>
      <c r="C187" s="2">
        <v>3</v>
      </c>
      <c r="D187" s="2">
        <v>1</v>
      </c>
      <c r="E187" s="2">
        <v>0.51600000000000001</v>
      </c>
      <c r="F187" s="2">
        <v>1</v>
      </c>
    </row>
    <row r="188" spans="1:6" ht="14.25" customHeight="1">
      <c r="A188" s="2">
        <v>15</v>
      </c>
      <c r="B188" s="2">
        <v>187</v>
      </c>
      <c r="C188" s="2">
        <v>7</v>
      </c>
      <c r="D188" s="2">
        <v>0</v>
      </c>
      <c r="E188" s="2">
        <v>0.86099999999999999</v>
      </c>
      <c r="F188" s="2">
        <v>2</v>
      </c>
    </row>
    <row r="189" spans="1:6" ht="14.25" customHeight="1">
      <c r="A189" s="2">
        <v>15</v>
      </c>
      <c r="B189" s="2">
        <v>188</v>
      </c>
      <c r="C189" s="2">
        <v>6</v>
      </c>
      <c r="D189" s="2">
        <v>1</v>
      </c>
      <c r="E189" s="2">
        <v>0.39800000000000002</v>
      </c>
      <c r="F189" s="2">
        <v>1</v>
      </c>
    </row>
    <row r="190" spans="1:6" ht="14.25" customHeight="1">
      <c r="A190" s="2">
        <v>15</v>
      </c>
      <c r="B190" s="2">
        <v>189</v>
      </c>
      <c r="C190" s="2">
        <v>8</v>
      </c>
      <c r="D190" s="2">
        <v>1</v>
      </c>
      <c r="E190" s="2">
        <v>0.73099999999999998</v>
      </c>
      <c r="F190" s="2">
        <v>1</v>
      </c>
    </row>
    <row r="191" spans="1:6" ht="14.25" customHeight="1">
      <c r="A191" s="2">
        <v>15</v>
      </c>
      <c r="B191" s="2">
        <v>190</v>
      </c>
      <c r="C191" s="2">
        <v>3</v>
      </c>
      <c r="D191" s="2">
        <v>0</v>
      </c>
      <c r="E191" s="2">
        <v>0.64200000000000002</v>
      </c>
      <c r="F191" s="2">
        <v>1</v>
      </c>
    </row>
    <row r="192" spans="1:6" ht="14.25" customHeight="1">
      <c r="A192" s="2">
        <v>15</v>
      </c>
      <c r="B192" s="2">
        <v>191</v>
      </c>
      <c r="C192" s="2">
        <v>8</v>
      </c>
      <c r="D192" s="2">
        <v>1</v>
      </c>
      <c r="E192" s="2">
        <v>0.621</v>
      </c>
      <c r="F192" s="2">
        <v>2</v>
      </c>
    </row>
    <row r="193" spans="1:6" ht="14.25" customHeight="1">
      <c r="A193" s="2">
        <v>15</v>
      </c>
      <c r="B193" s="2">
        <v>192</v>
      </c>
      <c r="C193" s="2">
        <v>6</v>
      </c>
      <c r="D193" s="2">
        <v>1</v>
      </c>
      <c r="E193" s="2">
        <v>0.625</v>
      </c>
      <c r="F193" s="2">
        <v>1</v>
      </c>
    </row>
    <row r="194" spans="1:6" ht="14.25" customHeight="1">
      <c r="A194" s="2">
        <v>15</v>
      </c>
      <c r="B194" s="2">
        <v>193</v>
      </c>
      <c r="C194" s="2">
        <v>1</v>
      </c>
      <c r="D194" s="2">
        <v>0</v>
      </c>
      <c r="E194" s="2">
        <v>0.60399999999999998</v>
      </c>
      <c r="F194" s="2">
        <v>2</v>
      </c>
    </row>
    <row r="195" spans="1:6" ht="14.25" customHeight="1">
      <c r="A195" s="2">
        <v>15</v>
      </c>
      <c r="B195" s="2">
        <v>194</v>
      </c>
      <c r="C195" s="2">
        <v>2</v>
      </c>
      <c r="D195" s="2">
        <v>1</v>
      </c>
      <c r="E195" s="2">
        <v>0.76800000000000002</v>
      </c>
      <c r="F195" s="2">
        <v>1</v>
      </c>
    </row>
    <row r="196" spans="1:6" ht="14.25" customHeight="1">
      <c r="A196" s="2">
        <v>15</v>
      </c>
      <c r="B196" s="2">
        <v>195</v>
      </c>
      <c r="C196" s="2">
        <v>6</v>
      </c>
      <c r="E196" s="2">
        <v>2</v>
      </c>
    </row>
    <row r="197" spans="1:6" ht="14.25" customHeight="1">
      <c r="A197" s="2">
        <v>15</v>
      </c>
      <c r="B197" s="2">
        <v>196</v>
      </c>
      <c r="C197" s="2">
        <v>2</v>
      </c>
      <c r="D197" s="2">
        <v>1</v>
      </c>
      <c r="E197" s="2">
        <v>0.499</v>
      </c>
      <c r="F197" s="2">
        <v>1</v>
      </c>
    </row>
    <row r="198" spans="1:6" ht="14.25" customHeight="1">
      <c r="A198" s="2">
        <v>15</v>
      </c>
      <c r="B198" s="2">
        <v>197</v>
      </c>
      <c r="C198" s="2">
        <v>5</v>
      </c>
      <c r="D198" s="2">
        <v>1</v>
      </c>
      <c r="E198" s="2">
        <v>0.61199999999999999</v>
      </c>
      <c r="F198" s="2">
        <v>2</v>
      </c>
    </row>
    <row r="199" spans="1:6" ht="14.25" customHeight="1">
      <c r="A199" s="2">
        <v>15</v>
      </c>
      <c r="B199" s="2">
        <v>198</v>
      </c>
      <c r="C199" s="2">
        <v>4</v>
      </c>
      <c r="D199" s="2">
        <v>0</v>
      </c>
      <c r="E199" s="2">
        <v>0.51200000000000001</v>
      </c>
      <c r="F199" s="2">
        <v>2</v>
      </c>
    </row>
    <row r="200" spans="1:6" ht="14.25" customHeight="1">
      <c r="A200" s="2">
        <v>15</v>
      </c>
      <c r="B200" s="2">
        <v>199</v>
      </c>
      <c r="C200" s="2">
        <v>7</v>
      </c>
      <c r="D200" s="2">
        <v>0</v>
      </c>
      <c r="E200" s="2">
        <v>0.51100000000000001</v>
      </c>
      <c r="F200" s="2">
        <v>1</v>
      </c>
    </row>
    <row r="201" spans="1:6" ht="14.25" customHeight="1">
      <c r="A201" s="2">
        <v>15</v>
      </c>
      <c r="B201" s="2">
        <v>200</v>
      </c>
      <c r="C201" s="2">
        <v>3</v>
      </c>
      <c r="D201" s="2">
        <v>0</v>
      </c>
      <c r="E201" s="2">
        <v>0.64800000000000002</v>
      </c>
      <c r="F201" s="2">
        <v>2</v>
      </c>
    </row>
    <row r="202" spans="1:6" ht="14.25" customHeight="1">
      <c r="A202" s="2">
        <v>15</v>
      </c>
      <c r="B202" s="2">
        <v>201</v>
      </c>
      <c r="C202" s="2">
        <v>1</v>
      </c>
      <c r="D202" s="2">
        <v>0</v>
      </c>
      <c r="E202" s="2">
        <v>0.76100000000000001</v>
      </c>
      <c r="F202" s="2">
        <v>2</v>
      </c>
    </row>
    <row r="203" spans="1:6" ht="14.25" customHeight="1">
      <c r="A203" s="2">
        <v>15</v>
      </c>
      <c r="B203" s="2">
        <v>202</v>
      </c>
      <c r="C203" s="2">
        <v>4</v>
      </c>
      <c r="D203" s="2">
        <v>0</v>
      </c>
      <c r="E203" s="2">
        <v>0.39100000000000001</v>
      </c>
      <c r="F203" s="2">
        <v>1</v>
      </c>
    </row>
    <row r="204" spans="1:6" ht="14.25" customHeight="1">
      <c r="A204" s="2">
        <v>15</v>
      </c>
      <c r="B204" s="2">
        <v>203</v>
      </c>
      <c r="C204" s="2">
        <v>7</v>
      </c>
      <c r="D204" s="2">
        <v>1</v>
      </c>
      <c r="E204" s="2">
        <v>0.436</v>
      </c>
      <c r="F204" s="2">
        <v>2</v>
      </c>
    </row>
    <row r="205" spans="1:6" ht="14.25" customHeight="1">
      <c r="A205" s="2">
        <v>15</v>
      </c>
      <c r="B205" s="2">
        <v>204</v>
      </c>
      <c r="C205" s="2">
        <v>5</v>
      </c>
      <c r="D205" s="2">
        <v>0</v>
      </c>
      <c r="E205" s="2">
        <v>0.61499999999999999</v>
      </c>
      <c r="F205" s="2">
        <v>2</v>
      </c>
    </row>
    <row r="206" spans="1:6" ht="14.25" customHeight="1">
      <c r="A206" s="2">
        <v>15</v>
      </c>
      <c r="B206" s="2">
        <v>205</v>
      </c>
      <c r="C206" s="2">
        <v>8</v>
      </c>
      <c r="D206" s="2">
        <v>0</v>
      </c>
      <c r="E206" s="2">
        <v>0.65900000000000003</v>
      </c>
      <c r="F206" s="2">
        <v>1</v>
      </c>
    </row>
    <row r="207" spans="1:6" ht="14.25" customHeight="1">
      <c r="A207" s="2">
        <v>15</v>
      </c>
      <c r="B207" s="2">
        <v>206</v>
      </c>
      <c r="C207" s="2">
        <v>1</v>
      </c>
      <c r="D207" s="2">
        <v>1</v>
      </c>
      <c r="E207" s="2">
        <v>0.45300000000000001</v>
      </c>
      <c r="F207" s="2">
        <v>2</v>
      </c>
    </row>
    <row r="208" spans="1:6" ht="14.25" customHeight="1">
      <c r="A208" s="2">
        <v>15</v>
      </c>
      <c r="B208" s="2">
        <v>207</v>
      </c>
      <c r="C208" s="2">
        <v>7</v>
      </c>
      <c r="D208" s="2">
        <v>1</v>
      </c>
      <c r="E208" s="2">
        <v>0.84699999999999998</v>
      </c>
      <c r="F208" s="2">
        <v>1</v>
      </c>
    </row>
    <row r="209" spans="1:6" ht="14.25" customHeight="1">
      <c r="A209" s="2">
        <v>15</v>
      </c>
      <c r="B209" s="2">
        <v>208</v>
      </c>
      <c r="C209" s="2">
        <v>2</v>
      </c>
      <c r="D209" s="2">
        <v>0</v>
      </c>
      <c r="E209" s="2">
        <v>0.59399999999999997</v>
      </c>
      <c r="F209" s="2">
        <v>2</v>
      </c>
    </row>
    <row r="210" spans="1:6" ht="14.25" customHeight="1">
      <c r="A210" s="2">
        <v>15</v>
      </c>
      <c r="B210" s="2">
        <v>209</v>
      </c>
      <c r="C210" s="2">
        <v>6</v>
      </c>
      <c r="D210" s="2">
        <v>0</v>
      </c>
      <c r="E210" s="2">
        <v>0.69499999999999995</v>
      </c>
      <c r="F210" s="2">
        <v>1</v>
      </c>
    </row>
    <row r="211" spans="1:6" ht="14.25" customHeight="1">
      <c r="A211" s="2">
        <v>15</v>
      </c>
      <c r="B211" s="2">
        <v>210</v>
      </c>
      <c r="C211" s="2">
        <v>8</v>
      </c>
      <c r="D211" s="2">
        <v>0</v>
      </c>
      <c r="E211" s="2">
        <v>0.78300000000000003</v>
      </c>
      <c r="F211" s="2">
        <v>1</v>
      </c>
    </row>
    <row r="212" spans="1:6" ht="14.25" customHeight="1">
      <c r="A212" s="2">
        <v>15</v>
      </c>
      <c r="B212" s="2">
        <v>211</v>
      </c>
      <c r="C212" s="2">
        <v>4</v>
      </c>
      <c r="D212" s="2">
        <v>1</v>
      </c>
      <c r="E212" s="2">
        <v>0.91600000000000004</v>
      </c>
      <c r="F212" s="2">
        <v>1</v>
      </c>
    </row>
    <row r="213" spans="1:6" ht="14.25" customHeight="1">
      <c r="A213" s="2">
        <v>15</v>
      </c>
      <c r="B213" s="2">
        <v>212</v>
      </c>
      <c r="C213" s="2">
        <v>2</v>
      </c>
      <c r="D213" s="2">
        <v>1</v>
      </c>
      <c r="E213" s="2">
        <v>0.70799999999999996</v>
      </c>
      <c r="F213" s="2">
        <v>2</v>
      </c>
    </row>
    <row r="214" spans="1:6" ht="14.25" customHeight="1">
      <c r="A214" s="2">
        <v>15</v>
      </c>
      <c r="B214" s="2">
        <v>213</v>
      </c>
      <c r="C214" s="2">
        <v>5</v>
      </c>
      <c r="D214" s="2">
        <v>0</v>
      </c>
      <c r="E214" s="2">
        <v>0.63600000000000001</v>
      </c>
      <c r="F214" s="2">
        <v>2</v>
      </c>
    </row>
    <row r="215" spans="1:6" ht="14.25" customHeight="1">
      <c r="A215" s="2">
        <v>15</v>
      </c>
      <c r="B215" s="2">
        <v>214</v>
      </c>
      <c r="C215" s="2">
        <v>4</v>
      </c>
      <c r="D215" s="2">
        <v>1</v>
      </c>
      <c r="E215" s="2">
        <v>0.33500000000000002</v>
      </c>
      <c r="F215" s="2">
        <v>2</v>
      </c>
    </row>
    <row r="216" spans="1:6" ht="14.25" customHeight="1">
      <c r="A216" s="2">
        <v>15</v>
      </c>
      <c r="B216" s="2">
        <v>215</v>
      </c>
      <c r="C216" s="2">
        <v>6</v>
      </c>
      <c r="D216" s="2">
        <v>1</v>
      </c>
      <c r="E216" s="2">
        <v>0.34300000000000003</v>
      </c>
      <c r="F216" s="2">
        <v>1</v>
      </c>
    </row>
    <row r="217" spans="1:6" ht="14.25" customHeight="1">
      <c r="A217" s="2">
        <v>15</v>
      </c>
      <c r="B217" s="2">
        <v>216</v>
      </c>
      <c r="C217" s="2">
        <v>3</v>
      </c>
      <c r="D217" s="2">
        <v>1</v>
      </c>
      <c r="E217" s="2">
        <v>0.50900000000000001</v>
      </c>
      <c r="F217" s="2">
        <v>2</v>
      </c>
    </row>
    <row r="218" spans="1:6" ht="14.25" customHeight="1">
      <c r="A218" s="2">
        <v>15</v>
      </c>
      <c r="B218" s="2">
        <v>217</v>
      </c>
      <c r="C218" s="2">
        <v>5</v>
      </c>
      <c r="D218" s="2">
        <v>0</v>
      </c>
      <c r="E218" s="2">
        <v>0.54100000000000004</v>
      </c>
      <c r="F218" s="2">
        <v>1</v>
      </c>
    </row>
    <row r="219" spans="1:6" ht="14.25" customHeight="1">
      <c r="A219" s="2">
        <v>15</v>
      </c>
      <c r="B219" s="2">
        <v>218</v>
      </c>
      <c r="C219" s="2">
        <v>6</v>
      </c>
      <c r="E219" s="2">
        <v>2</v>
      </c>
    </row>
    <row r="220" spans="1:6" ht="14.25" customHeight="1">
      <c r="A220" s="2">
        <v>15</v>
      </c>
      <c r="B220" s="2">
        <v>219</v>
      </c>
      <c r="C220" s="2">
        <v>3</v>
      </c>
      <c r="D220" s="2">
        <v>0</v>
      </c>
      <c r="E220" s="2">
        <v>0.30499999999999999</v>
      </c>
      <c r="F220" s="2">
        <v>2</v>
      </c>
    </row>
    <row r="221" spans="1:6" ht="14.25" customHeight="1">
      <c r="A221" s="2">
        <v>15</v>
      </c>
      <c r="B221" s="2">
        <v>220</v>
      </c>
      <c r="C221" s="2">
        <v>4</v>
      </c>
      <c r="D221" s="2">
        <v>0</v>
      </c>
      <c r="E221" s="2">
        <v>0.44</v>
      </c>
      <c r="F221" s="2">
        <v>1</v>
      </c>
    </row>
    <row r="222" spans="1:6" ht="14.25" customHeight="1">
      <c r="A222" s="2">
        <v>15</v>
      </c>
      <c r="B222" s="2">
        <v>221</v>
      </c>
      <c r="C222" s="2">
        <v>3</v>
      </c>
      <c r="D222" s="2">
        <v>1</v>
      </c>
      <c r="E222" s="2">
        <v>0.28299999999999997</v>
      </c>
      <c r="F222" s="2">
        <v>2</v>
      </c>
    </row>
    <row r="223" spans="1:6" ht="14.25" customHeight="1">
      <c r="A223" s="2">
        <v>15</v>
      </c>
      <c r="B223" s="2">
        <v>222</v>
      </c>
      <c r="C223" s="2">
        <v>1</v>
      </c>
      <c r="D223" s="2">
        <v>1</v>
      </c>
      <c r="E223" s="2">
        <v>0.38900000000000001</v>
      </c>
      <c r="F223" s="2">
        <v>1</v>
      </c>
    </row>
    <row r="224" spans="1:6" ht="14.25" customHeight="1">
      <c r="A224" s="2">
        <v>15</v>
      </c>
      <c r="B224" s="2">
        <v>223</v>
      </c>
      <c r="C224" s="2">
        <v>2</v>
      </c>
      <c r="D224" s="2">
        <v>0</v>
      </c>
      <c r="E224" s="2">
        <v>0.41699999999999998</v>
      </c>
      <c r="F224" s="2">
        <v>2</v>
      </c>
    </row>
    <row r="225" spans="1:6" ht="14.25" customHeight="1">
      <c r="A225" s="2">
        <v>15</v>
      </c>
      <c r="B225" s="2">
        <v>224</v>
      </c>
      <c r="C225" s="2">
        <v>3</v>
      </c>
      <c r="D225" s="2">
        <v>0</v>
      </c>
      <c r="E225" s="2">
        <v>0.38100000000000001</v>
      </c>
      <c r="F225" s="2">
        <v>1</v>
      </c>
    </row>
    <row r="226" spans="1:6" ht="14.25" customHeight="1">
      <c r="A226" s="2">
        <v>15</v>
      </c>
      <c r="B226" s="2">
        <v>225</v>
      </c>
      <c r="C226" s="2">
        <v>8</v>
      </c>
      <c r="D226" s="2">
        <v>0</v>
      </c>
      <c r="E226" s="2">
        <v>0.55500000000000005</v>
      </c>
      <c r="F226" s="2">
        <v>2</v>
      </c>
    </row>
    <row r="227" spans="1:6" ht="14.25" customHeight="1">
      <c r="A227" s="2">
        <v>15</v>
      </c>
      <c r="B227" s="2">
        <v>226</v>
      </c>
      <c r="C227" s="2">
        <v>6</v>
      </c>
      <c r="D227" s="2">
        <v>0</v>
      </c>
      <c r="E227" s="2">
        <v>0.745</v>
      </c>
      <c r="F227" s="2">
        <v>1</v>
      </c>
    </row>
    <row r="228" spans="1:6" ht="14.25" customHeight="1">
      <c r="A228" s="2">
        <v>15</v>
      </c>
      <c r="B228" s="2">
        <v>227</v>
      </c>
      <c r="C228" s="2">
        <v>1</v>
      </c>
      <c r="D228" s="2">
        <v>0</v>
      </c>
      <c r="E228" s="2">
        <v>0.57499999999999996</v>
      </c>
      <c r="F228" s="2">
        <v>2</v>
      </c>
    </row>
    <row r="229" spans="1:6" ht="14.25" customHeight="1">
      <c r="A229" s="2">
        <v>15</v>
      </c>
      <c r="B229" s="2">
        <v>228</v>
      </c>
      <c r="C229" s="2">
        <v>7</v>
      </c>
      <c r="D229" s="2">
        <v>1</v>
      </c>
      <c r="E229" s="2">
        <v>0.66900000000000004</v>
      </c>
      <c r="F229" s="2">
        <v>1</v>
      </c>
    </row>
    <row r="230" spans="1:6" ht="14.25" customHeight="1">
      <c r="A230" s="2">
        <v>15</v>
      </c>
      <c r="B230" s="2">
        <v>229</v>
      </c>
      <c r="C230" s="2">
        <v>4</v>
      </c>
      <c r="D230" s="2">
        <v>1</v>
      </c>
      <c r="E230" s="2">
        <v>0.79900000000000004</v>
      </c>
      <c r="F230" s="2">
        <v>2</v>
      </c>
    </row>
    <row r="231" spans="1:6" ht="14.25" customHeight="1">
      <c r="A231" s="2">
        <v>15</v>
      </c>
      <c r="B231" s="2">
        <v>230</v>
      </c>
      <c r="C231" s="2">
        <v>8</v>
      </c>
      <c r="D231" s="2">
        <v>1</v>
      </c>
      <c r="E231" s="2">
        <v>0.34699999999999998</v>
      </c>
      <c r="F231" s="2">
        <v>1</v>
      </c>
    </row>
    <row r="232" spans="1:6" ht="14.25" customHeight="1">
      <c r="A232" s="2">
        <v>15</v>
      </c>
      <c r="B232" s="2">
        <v>231</v>
      </c>
      <c r="C232" s="2">
        <v>7</v>
      </c>
      <c r="D232" s="2">
        <v>0</v>
      </c>
      <c r="E232" s="2">
        <v>0.78600000000000003</v>
      </c>
      <c r="F232" s="2">
        <v>2</v>
      </c>
    </row>
    <row r="233" spans="1:6" ht="14.25" customHeight="1">
      <c r="A233" s="2">
        <v>15</v>
      </c>
      <c r="B233" s="2">
        <v>232</v>
      </c>
      <c r="C233" s="2">
        <v>1</v>
      </c>
      <c r="D233" s="2">
        <v>0</v>
      </c>
      <c r="E233" s="2">
        <v>1.2629999999999999</v>
      </c>
      <c r="F233" s="2">
        <v>1</v>
      </c>
    </row>
    <row r="234" spans="1:6" ht="14.25" customHeight="1">
      <c r="A234" s="2">
        <v>15</v>
      </c>
      <c r="B234" s="2">
        <v>233</v>
      </c>
      <c r="C234" s="2">
        <v>6</v>
      </c>
      <c r="D234" s="2">
        <v>1</v>
      </c>
      <c r="E234" s="2">
        <v>0.46500000000000002</v>
      </c>
      <c r="F234" s="2">
        <v>2</v>
      </c>
    </row>
    <row r="235" spans="1:6" ht="14.25" customHeight="1">
      <c r="A235" s="2">
        <v>15</v>
      </c>
      <c r="B235" s="2">
        <v>234</v>
      </c>
      <c r="C235" s="2">
        <v>7</v>
      </c>
      <c r="D235" s="2">
        <v>1</v>
      </c>
      <c r="E235" s="2">
        <v>0.47499999999999998</v>
      </c>
      <c r="F235" s="2">
        <v>2</v>
      </c>
    </row>
    <row r="236" spans="1:6" ht="14.25" customHeight="1">
      <c r="A236" s="2">
        <v>15</v>
      </c>
      <c r="B236" s="2">
        <v>235</v>
      </c>
      <c r="C236" s="2">
        <v>5</v>
      </c>
      <c r="D236" s="2">
        <v>0</v>
      </c>
      <c r="E236" s="2">
        <v>0.74</v>
      </c>
      <c r="F236" s="2">
        <v>2</v>
      </c>
    </row>
    <row r="237" spans="1:6" ht="14.25" customHeight="1">
      <c r="A237" s="2">
        <v>15</v>
      </c>
      <c r="B237" s="2">
        <v>236</v>
      </c>
      <c r="C237" s="2">
        <v>2</v>
      </c>
      <c r="D237" s="2">
        <v>1</v>
      </c>
      <c r="E237" s="2">
        <v>0.48299999999999998</v>
      </c>
      <c r="F237" s="2">
        <v>1</v>
      </c>
    </row>
    <row r="238" spans="1:6" ht="14.25" customHeight="1">
      <c r="A238" s="2">
        <v>15</v>
      </c>
      <c r="B238" s="2">
        <v>237</v>
      </c>
      <c r="C238" s="2">
        <v>1</v>
      </c>
      <c r="D238" s="2">
        <v>0</v>
      </c>
      <c r="E238" s="2">
        <v>0.34100000000000003</v>
      </c>
      <c r="F238" s="2">
        <v>2</v>
      </c>
    </row>
    <row r="239" spans="1:6" ht="14.25" customHeight="1">
      <c r="A239" s="2">
        <v>15</v>
      </c>
      <c r="B239" s="2">
        <v>238</v>
      </c>
      <c r="C239" s="2">
        <v>5</v>
      </c>
      <c r="D239" s="2">
        <v>1</v>
      </c>
      <c r="E239" s="2">
        <v>0.499</v>
      </c>
      <c r="F239" s="2">
        <v>1</v>
      </c>
    </row>
    <row r="240" spans="1:6" ht="14.25" customHeight="1">
      <c r="A240" s="2">
        <v>15</v>
      </c>
      <c r="B240" s="2">
        <v>239</v>
      </c>
      <c r="C240" s="2">
        <v>2</v>
      </c>
      <c r="D240" s="2">
        <v>1</v>
      </c>
      <c r="E240" s="2">
        <v>0.79600000000000004</v>
      </c>
      <c r="F240" s="2">
        <v>1</v>
      </c>
    </row>
    <row r="241" spans="1:6" ht="14.25" customHeight="1">
      <c r="A241" s="2">
        <v>15</v>
      </c>
      <c r="B241" s="2">
        <v>240</v>
      </c>
      <c r="C241" s="2">
        <v>8</v>
      </c>
      <c r="D241" s="2">
        <v>0</v>
      </c>
      <c r="E241" s="2">
        <v>0.45600000000000002</v>
      </c>
      <c r="F241" s="2">
        <v>1</v>
      </c>
    </row>
    <row r="242" spans="1:6" ht="14.25" customHeight="1">
      <c r="A242" s="2">
        <v>15</v>
      </c>
      <c r="B242" s="2">
        <v>241</v>
      </c>
      <c r="C242" s="2">
        <v>6</v>
      </c>
      <c r="D242" s="2">
        <v>0</v>
      </c>
      <c r="E242" s="2">
        <v>1.242</v>
      </c>
      <c r="F242" s="2">
        <v>1</v>
      </c>
    </row>
    <row r="243" spans="1:6" ht="14.25" customHeight="1">
      <c r="A243" s="2">
        <v>15</v>
      </c>
      <c r="B243" s="2">
        <v>242</v>
      </c>
      <c r="C243" s="2">
        <v>4</v>
      </c>
      <c r="D243" s="2">
        <v>0</v>
      </c>
      <c r="E243" s="2">
        <v>0.61299999999999999</v>
      </c>
      <c r="F243" s="2">
        <v>2</v>
      </c>
    </row>
    <row r="244" spans="1:6" ht="14.25" customHeight="1">
      <c r="A244" s="2">
        <v>15</v>
      </c>
      <c r="B244" s="2">
        <v>243</v>
      </c>
      <c r="C244" s="2">
        <v>8</v>
      </c>
      <c r="D244" s="2">
        <v>1</v>
      </c>
      <c r="E244" s="2">
        <v>0.505</v>
      </c>
      <c r="F244" s="2">
        <v>1</v>
      </c>
    </row>
    <row r="245" spans="1:6" ht="14.25" customHeight="1">
      <c r="A245" s="2">
        <v>15</v>
      </c>
      <c r="B245" s="2">
        <v>244</v>
      </c>
      <c r="C245" s="2">
        <v>5</v>
      </c>
      <c r="D245" s="2">
        <v>0</v>
      </c>
      <c r="E245" s="2">
        <v>0.45700000000000002</v>
      </c>
      <c r="F245" s="2">
        <v>2</v>
      </c>
    </row>
    <row r="246" spans="1:6" ht="14.25" customHeight="1">
      <c r="A246" s="2">
        <v>15</v>
      </c>
      <c r="B246" s="2">
        <v>245</v>
      </c>
      <c r="C246" s="2">
        <v>7</v>
      </c>
      <c r="D246" s="2">
        <v>0</v>
      </c>
      <c r="E246" s="2">
        <v>0.41099999999999998</v>
      </c>
      <c r="F246" s="2">
        <v>1</v>
      </c>
    </row>
    <row r="247" spans="1:6" ht="14.25" customHeight="1">
      <c r="A247" s="2">
        <v>15</v>
      </c>
      <c r="B247" s="2">
        <v>246</v>
      </c>
      <c r="C247" s="2">
        <v>3</v>
      </c>
      <c r="D247" s="2">
        <v>0</v>
      </c>
      <c r="E247" s="2">
        <v>0.40699999999999997</v>
      </c>
      <c r="F247" s="2">
        <v>2</v>
      </c>
    </row>
    <row r="248" spans="1:6" ht="14.25" customHeight="1">
      <c r="A248" s="2">
        <v>15</v>
      </c>
      <c r="B248" s="2">
        <v>247</v>
      </c>
      <c r="C248" s="2">
        <v>1</v>
      </c>
      <c r="D248" s="2">
        <v>0</v>
      </c>
      <c r="E248" s="2">
        <v>0.499</v>
      </c>
      <c r="F248" s="2">
        <v>1</v>
      </c>
    </row>
    <row r="249" spans="1:6" ht="14.25" customHeight="1">
      <c r="A249" s="2">
        <v>15</v>
      </c>
      <c r="B249" s="2">
        <v>248</v>
      </c>
      <c r="C249" s="2">
        <v>2</v>
      </c>
      <c r="D249" s="2">
        <v>0</v>
      </c>
      <c r="E249" s="2">
        <v>0.82799999999999996</v>
      </c>
      <c r="F249" s="2">
        <v>2</v>
      </c>
    </row>
    <row r="250" spans="1:6" ht="14.25" customHeight="1">
      <c r="A250" s="2">
        <v>15</v>
      </c>
      <c r="B250" s="2">
        <v>249</v>
      </c>
      <c r="C250" s="2">
        <v>3</v>
      </c>
      <c r="D250" s="2">
        <v>0</v>
      </c>
      <c r="E250" s="2">
        <v>0.55100000000000005</v>
      </c>
      <c r="F250" s="2">
        <v>1</v>
      </c>
    </row>
    <row r="251" spans="1:6" ht="14.25" customHeight="1">
      <c r="A251" s="2">
        <v>15</v>
      </c>
      <c r="B251" s="2">
        <v>250</v>
      </c>
      <c r="C251" s="2">
        <v>1</v>
      </c>
      <c r="D251" s="2">
        <v>0</v>
      </c>
      <c r="E251" s="2">
        <v>0.318</v>
      </c>
      <c r="F251" s="2">
        <v>2</v>
      </c>
    </row>
    <row r="252" spans="1:6" ht="14.25" customHeight="1">
      <c r="A252" s="2">
        <v>15</v>
      </c>
      <c r="B252" s="2">
        <v>251</v>
      </c>
      <c r="C252" s="2">
        <v>3</v>
      </c>
      <c r="D252" s="2">
        <v>1</v>
      </c>
      <c r="E252" s="2">
        <v>0.55700000000000005</v>
      </c>
      <c r="F252" s="2">
        <v>1</v>
      </c>
    </row>
    <row r="253" spans="1:6" ht="14.25" customHeight="1">
      <c r="A253" s="2">
        <v>15</v>
      </c>
      <c r="B253" s="2">
        <v>252</v>
      </c>
      <c r="C253" s="2">
        <v>7</v>
      </c>
      <c r="D253" s="2">
        <v>1</v>
      </c>
      <c r="E253" s="2">
        <v>0.65</v>
      </c>
      <c r="F253" s="2">
        <v>2</v>
      </c>
    </row>
    <row r="254" spans="1:6" ht="14.25" customHeight="1">
      <c r="A254" s="2">
        <v>15</v>
      </c>
      <c r="B254" s="2">
        <v>253</v>
      </c>
      <c r="C254" s="2">
        <v>1</v>
      </c>
      <c r="D254" s="2">
        <v>1</v>
      </c>
      <c r="E254" s="2">
        <v>0.75700000000000001</v>
      </c>
      <c r="F254" s="2">
        <v>2</v>
      </c>
    </row>
    <row r="255" spans="1:6" ht="14.25" customHeight="1">
      <c r="A255" s="2">
        <v>15</v>
      </c>
      <c r="B255" s="2">
        <v>254</v>
      </c>
      <c r="C255" s="2">
        <v>6</v>
      </c>
      <c r="D255" s="2">
        <v>1</v>
      </c>
      <c r="E255" s="2">
        <v>0.60299999999999998</v>
      </c>
      <c r="F255" s="2">
        <v>1</v>
      </c>
    </row>
    <row r="256" spans="1:6" ht="14.25" customHeight="1">
      <c r="A256" s="2">
        <v>15</v>
      </c>
      <c r="B256" s="2">
        <v>255</v>
      </c>
      <c r="C256" s="2">
        <v>2</v>
      </c>
      <c r="D256" s="2">
        <v>0</v>
      </c>
      <c r="E256" s="2">
        <v>0.96699999999999997</v>
      </c>
      <c r="F256" s="2">
        <v>1</v>
      </c>
    </row>
    <row r="257" spans="1:6" ht="14.25" customHeight="1">
      <c r="A257" s="2">
        <v>15</v>
      </c>
      <c r="B257" s="2">
        <v>256</v>
      </c>
      <c r="C257" s="2">
        <v>4</v>
      </c>
      <c r="D257" s="2">
        <v>0</v>
      </c>
      <c r="E257" s="2">
        <v>0.76500000000000001</v>
      </c>
      <c r="F257" s="2">
        <v>1</v>
      </c>
    </row>
    <row r="258" spans="1:6" ht="14.25" customHeight="1">
      <c r="A258" s="2">
        <v>15</v>
      </c>
      <c r="B258" s="2">
        <v>257</v>
      </c>
      <c r="C258" s="2">
        <v>7</v>
      </c>
      <c r="D258" s="2">
        <v>0</v>
      </c>
      <c r="E258" s="2">
        <v>0.67500000000000004</v>
      </c>
      <c r="F258" s="2">
        <v>2</v>
      </c>
    </row>
    <row r="259" spans="1:6" ht="14.25" customHeight="1">
      <c r="A259" s="2">
        <v>15</v>
      </c>
      <c r="B259" s="2">
        <v>258</v>
      </c>
      <c r="C259" s="2">
        <v>3</v>
      </c>
      <c r="D259" s="2">
        <v>1</v>
      </c>
      <c r="E259" s="2">
        <v>0.35599999999999998</v>
      </c>
      <c r="F259" s="2">
        <v>1</v>
      </c>
    </row>
    <row r="260" spans="1:6" ht="14.25" customHeight="1">
      <c r="A260" s="2">
        <v>15</v>
      </c>
      <c r="B260" s="2">
        <v>259</v>
      </c>
      <c r="C260" s="2">
        <v>1</v>
      </c>
      <c r="D260" s="2">
        <v>1</v>
      </c>
      <c r="E260" s="2">
        <v>0.39400000000000002</v>
      </c>
      <c r="F260" s="2">
        <v>2</v>
      </c>
    </row>
    <row r="261" spans="1:6" ht="14.25" customHeight="1">
      <c r="A261" s="2">
        <v>15</v>
      </c>
      <c r="B261" s="2">
        <v>260</v>
      </c>
      <c r="C261" s="2">
        <v>3</v>
      </c>
      <c r="D261" s="2">
        <v>0</v>
      </c>
      <c r="E261" s="2">
        <v>0.41499999999999998</v>
      </c>
      <c r="F261" s="2">
        <v>1</v>
      </c>
    </row>
    <row r="262" spans="1:6" ht="14.25" customHeight="1">
      <c r="A262" s="2">
        <v>15</v>
      </c>
      <c r="B262" s="2">
        <v>261</v>
      </c>
      <c r="C262" s="2">
        <v>5</v>
      </c>
      <c r="D262" s="2">
        <v>1</v>
      </c>
      <c r="E262" s="2">
        <v>0.33</v>
      </c>
      <c r="F262" s="2">
        <v>1</v>
      </c>
    </row>
    <row r="263" spans="1:6" ht="14.25" customHeight="1">
      <c r="A263" s="2">
        <v>15</v>
      </c>
      <c r="B263" s="2">
        <v>262</v>
      </c>
      <c r="C263" s="2">
        <v>2</v>
      </c>
      <c r="D263" s="2">
        <v>1</v>
      </c>
      <c r="E263" s="2">
        <v>0.65800000000000003</v>
      </c>
      <c r="F263" s="2">
        <v>2</v>
      </c>
    </row>
    <row r="264" spans="1:6" ht="14.25" customHeight="1">
      <c r="A264" s="2">
        <v>15</v>
      </c>
      <c r="B264" s="2">
        <v>263</v>
      </c>
      <c r="C264" s="2">
        <v>7</v>
      </c>
      <c r="D264" s="2">
        <v>1</v>
      </c>
      <c r="E264" s="2">
        <v>0.83599999999999997</v>
      </c>
      <c r="F264" s="2">
        <v>1</v>
      </c>
    </row>
    <row r="265" spans="1:6" ht="14.25" customHeight="1">
      <c r="A265" s="2">
        <v>15</v>
      </c>
      <c r="B265" s="2">
        <v>264</v>
      </c>
      <c r="C265" s="2">
        <v>6</v>
      </c>
      <c r="D265" s="2">
        <v>1</v>
      </c>
      <c r="E265" s="2">
        <v>1.103</v>
      </c>
      <c r="F265" s="2">
        <v>2</v>
      </c>
    </row>
    <row r="266" spans="1:6" ht="14.25" customHeight="1">
      <c r="A266" s="2">
        <v>15</v>
      </c>
      <c r="B266" s="2">
        <v>265</v>
      </c>
      <c r="C266" s="2">
        <v>1</v>
      </c>
      <c r="D266" s="2">
        <v>1</v>
      </c>
      <c r="E266" s="2">
        <v>0.69599999999999995</v>
      </c>
      <c r="F266" s="2">
        <v>1</v>
      </c>
    </row>
    <row r="267" spans="1:6" ht="14.25" customHeight="1">
      <c r="A267" s="2">
        <v>15</v>
      </c>
      <c r="B267" s="2">
        <v>266</v>
      </c>
      <c r="C267" s="2">
        <v>6</v>
      </c>
      <c r="D267" s="2">
        <v>1</v>
      </c>
      <c r="E267" s="2">
        <v>1.6319999999999999</v>
      </c>
      <c r="F267" s="2">
        <v>2</v>
      </c>
    </row>
    <row r="268" spans="1:6" ht="14.25" customHeight="1">
      <c r="A268" s="2">
        <v>15</v>
      </c>
      <c r="B268" s="2">
        <v>267</v>
      </c>
      <c r="C268" s="2">
        <v>1</v>
      </c>
      <c r="D268" s="2">
        <v>0</v>
      </c>
      <c r="E268" s="2">
        <v>0.69899999999999995</v>
      </c>
      <c r="F268" s="2">
        <v>1</v>
      </c>
    </row>
    <row r="269" spans="1:6" ht="14.25" customHeight="1">
      <c r="A269" s="2">
        <v>15</v>
      </c>
      <c r="B269" s="2">
        <v>268</v>
      </c>
      <c r="C269" s="2">
        <v>8</v>
      </c>
      <c r="D269" s="2">
        <v>0</v>
      </c>
      <c r="E269" s="2">
        <v>1.212</v>
      </c>
      <c r="F269" s="2">
        <v>1</v>
      </c>
    </row>
    <row r="270" spans="1:6" ht="14.25" customHeight="1">
      <c r="A270" s="2">
        <v>15</v>
      </c>
      <c r="B270" s="2">
        <v>269</v>
      </c>
      <c r="C270" s="2">
        <v>2</v>
      </c>
      <c r="D270" s="2">
        <v>1</v>
      </c>
      <c r="E270" s="2">
        <v>0.63200000000000001</v>
      </c>
      <c r="F270" s="2">
        <v>1</v>
      </c>
    </row>
    <row r="271" spans="1:6" ht="14.25" customHeight="1">
      <c r="A271" s="2">
        <v>15</v>
      </c>
      <c r="B271" s="2">
        <v>270</v>
      </c>
      <c r="C271" s="2">
        <v>3</v>
      </c>
      <c r="D271" s="2">
        <v>1</v>
      </c>
      <c r="E271" s="2">
        <v>0.7</v>
      </c>
      <c r="F271" s="2">
        <v>2</v>
      </c>
    </row>
    <row r="272" spans="1:6" ht="14.25" customHeight="1">
      <c r="A272" s="2">
        <v>15</v>
      </c>
      <c r="B272" s="2">
        <v>271</v>
      </c>
      <c r="C272" s="2">
        <v>6</v>
      </c>
      <c r="D272" s="2">
        <v>0</v>
      </c>
      <c r="E272" s="2">
        <v>0.38800000000000001</v>
      </c>
      <c r="F272" s="2">
        <v>1</v>
      </c>
    </row>
    <row r="273" spans="1:6" ht="14.25" customHeight="1">
      <c r="A273" s="2">
        <v>15</v>
      </c>
      <c r="B273" s="2">
        <v>272</v>
      </c>
      <c r="C273" s="2">
        <v>5</v>
      </c>
      <c r="D273" s="2">
        <v>0</v>
      </c>
      <c r="E273" s="2">
        <v>0.33700000000000002</v>
      </c>
      <c r="F273" s="2">
        <v>2</v>
      </c>
    </row>
    <row r="274" spans="1:6" ht="14.25" customHeight="1">
      <c r="A274" s="2">
        <v>15</v>
      </c>
      <c r="B274" s="2">
        <v>273</v>
      </c>
      <c r="C274" s="2">
        <v>8</v>
      </c>
      <c r="D274" s="2">
        <v>1</v>
      </c>
      <c r="E274" s="2">
        <v>0.51200000000000001</v>
      </c>
      <c r="F274" s="2">
        <v>1</v>
      </c>
    </row>
    <row r="275" spans="1:6" ht="14.25" customHeight="1">
      <c r="A275" s="2">
        <v>15</v>
      </c>
      <c r="B275" s="2">
        <v>274</v>
      </c>
      <c r="C275" s="2">
        <v>5</v>
      </c>
      <c r="D275" s="2">
        <v>0</v>
      </c>
      <c r="E275" s="2">
        <v>0.47899999999999998</v>
      </c>
      <c r="F275" s="2">
        <v>1</v>
      </c>
    </row>
    <row r="276" spans="1:6" ht="14.25" customHeight="1">
      <c r="A276" s="2">
        <v>15</v>
      </c>
      <c r="B276" s="2">
        <v>275</v>
      </c>
      <c r="C276" s="2">
        <v>1</v>
      </c>
      <c r="D276" s="2">
        <v>0</v>
      </c>
      <c r="E276" s="2">
        <v>0.76900000000000002</v>
      </c>
      <c r="F276" s="2">
        <v>2</v>
      </c>
    </row>
    <row r="277" spans="1:6" ht="14.25" customHeight="1">
      <c r="A277" s="2">
        <v>15</v>
      </c>
      <c r="B277" s="2">
        <v>276</v>
      </c>
      <c r="C277" s="2">
        <v>2</v>
      </c>
      <c r="D277" s="2">
        <v>0</v>
      </c>
      <c r="E277" s="2">
        <v>0.30299999999999999</v>
      </c>
      <c r="F277" s="2">
        <v>1</v>
      </c>
    </row>
    <row r="278" spans="1:6" ht="14.25" customHeight="1">
      <c r="A278" s="2">
        <v>15</v>
      </c>
      <c r="B278" s="2">
        <v>277</v>
      </c>
      <c r="C278" s="2">
        <v>7</v>
      </c>
      <c r="D278" s="2">
        <v>0</v>
      </c>
      <c r="E278" s="2">
        <v>0.64</v>
      </c>
      <c r="F278" s="2">
        <v>2</v>
      </c>
    </row>
    <row r="279" spans="1:6" ht="14.25" customHeight="1">
      <c r="A279" s="2">
        <v>15</v>
      </c>
      <c r="B279" s="2">
        <v>278</v>
      </c>
      <c r="C279" s="2">
        <v>8</v>
      </c>
      <c r="D279" s="2">
        <v>1</v>
      </c>
      <c r="E279" s="2">
        <v>0.63400000000000001</v>
      </c>
      <c r="F279" s="2">
        <v>1</v>
      </c>
    </row>
    <row r="280" spans="1:6" ht="14.25" customHeight="1">
      <c r="A280" s="2">
        <v>15</v>
      </c>
      <c r="B280" s="2">
        <v>279</v>
      </c>
      <c r="C280" s="2">
        <v>4</v>
      </c>
      <c r="D280" s="2">
        <v>1</v>
      </c>
      <c r="E280" s="2">
        <v>0.35</v>
      </c>
      <c r="F280" s="2">
        <v>2</v>
      </c>
    </row>
    <row r="281" spans="1:6" ht="14.25" customHeight="1">
      <c r="A281" s="2">
        <v>15</v>
      </c>
      <c r="B281" s="2">
        <v>280</v>
      </c>
      <c r="C281" s="2">
        <v>5</v>
      </c>
      <c r="D281" s="2">
        <v>1</v>
      </c>
      <c r="E281" s="2">
        <v>0.48399999999999999</v>
      </c>
      <c r="F281" s="2">
        <v>1</v>
      </c>
    </row>
    <row r="282" spans="1:6" ht="14.25" customHeight="1">
      <c r="A282" s="2">
        <v>15</v>
      </c>
      <c r="B282" s="2">
        <v>281</v>
      </c>
      <c r="C282" s="2">
        <v>1</v>
      </c>
      <c r="D282" s="2">
        <v>0</v>
      </c>
      <c r="E282" s="2">
        <v>0.38900000000000001</v>
      </c>
      <c r="F282" s="2">
        <v>2</v>
      </c>
    </row>
    <row r="283" spans="1:6" ht="14.25" customHeight="1">
      <c r="A283" s="2">
        <v>15</v>
      </c>
      <c r="B283" s="2">
        <v>282</v>
      </c>
      <c r="C283" s="2">
        <v>4</v>
      </c>
      <c r="D283" s="2">
        <v>0</v>
      </c>
      <c r="E283" s="2">
        <v>0.435</v>
      </c>
      <c r="F283" s="2">
        <v>1</v>
      </c>
    </row>
    <row r="284" spans="1:6" ht="14.25" customHeight="1">
      <c r="A284" s="2">
        <v>15</v>
      </c>
      <c r="B284" s="2">
        <v>283</v>
      </c>
      <c r="C284" s="2">
        <v>5</v>
      </c>
      <c r="D284" s="2">
        <v>1</v>
      </c>
      <c r="E284" s="2">
        <v>0.55800000000000005</v>
      </c>
      <c r="F284" s="2">
        <v>2</v>
      </c>
    </row>
    <row r="285" spans="1:6" ht="14.25" customHeight="1">
      <c r="A285" s="2">
        <v>15</v>
      </c>
      <c r="B285" s="2">
        <v>284</v>
      </c>
      <c r="C285" s="2">
        <v>6</v>
      </c>
      <c r="D285" s="2">
        <v>0</v>
      </c>
      <c r="E285" s="2">
        <v>0.379</v>
      </c>
      <c r="F285" s="2">
        <v>1</v>
      </c>
    </row>
    <row r="286" spans="1:6" ht="14.25" customHeight="1">
      <c r="A286" s="2">
        <v>15</v>
      </c>
      <c r="B286" s="2">
        <v>285</v>
      </c>
      <c r="C286" s="2">
        <v>3</v>
      </c>
      <c r="D286" s="2">
        <v>0</v>
      </c>
      <c r="E286" s="2">
        <v>0.46500000000000002</v>
      </c>
      <c r="F286" s="2">
        <v>2</v>
      </c>
    </row>
    <row r="287" spans="1:6" ht="14.25" customHeight="1">
      <c r="A287" s="2">
        <v>15</v>
      </c>
      <c r="B287" s="2">
        <v>286</v>
      </c>
      <c r="C287" s="2">
        <v>8</v>
      </c>
      <c r="D287" s="2">
        <v>1</v>
      </c>
      <c r="E287" s="2">
        <v>0.45100000000000001</v>
      </c>
      <c r="F287" s="2">
        <v>1</v>
      </c>
    </row>
    <row r="288" spans="1:6" ht="14.25" customHeight="1">
      <c r="A288" s="2">
        <v>15</v>
      </c>
      <c r="B288" s="2">
        <v>287</v>
      </c>
      <c r="C288" s="2">
        <v>5</v>
      </c>
      <c r="D288" s="2">
        <v>1</v>
      </c>
      <c r="E288" s="2">
        <v>0.35799999999999998</v>
      </c>
      <c r="F288" s="2">
        <v>1</v>
      </c>
    </row>
    <row r="289" spans="1:6" ht="14.25" customHeight="1">
      <c r="A289" s="2">
        <v>15</v>
      </c>
      <c r="B289" s="2">
        <v>288</v>
      </c>
      <c r="C289" s="2">
        <v>2</v>
      </c>
      <c r="D289" s="2">
        <v>1</v>
      </c>
      <c r="E289" s="2">
        <v>0.58799999999999997</v>
      </c>
      <c r="F289" s="2">
        <v>1</v>
      </c>
    </row>
    <row r="290" spans="1:6" ht="14.25" customHeight="1">
      <c r="A290" s="2">
        <v>15</v>
      </c>
      <c r="B290" s="2">
        <v>289</v>
      </c>
      <c r="C290" s="2">
        <v>1</v>
      </c>
      <c r="D290" s="2">
        <v>1</v>
      </c>
      <c r="E290" s="2">
        <v>0.44</v>
      </c>
      <c r="F290" s="2">
        <v>1</v>
      </c>
    </row>
    <row r="291" spans="1:6" ht="14.25" customHeight="1">
      <c r="A291" s="2">
        <v>15</v>
      </c>
      <c r="B291" s="2">
        <v>290</v>
      </c>
      <c r="C291" s="2">
        <v>4</v>
      </c>
      <c r="D291" s="2">
        <v>1</v>
      </c>
      <c r="E291" s="2">
        <v>0.78700000000000003</v>
      </c>
      <c r="F291" s="2">
        <v>2</v>
      </c>
    </row>
    <row r="292" spans="1:6" ht="14.25" customHeight="1">
      <c r="A292" s="2">
        <v>15</v>
      </c>
      <c r="B292" s="2">
        <v>291</v>
      </c>
      <c r="C292" s="2">
        <v>2</v>
      </c>
      <c r="D292" s="2">
        <v>1</v>
      </c>
      <c r="E292" s="2">
        <v>0.88</v>
      </c>
      <c r="F292" s="2">
        <v>2</v>
      </c>
    </row>
    <row r="293" spans="1:6" ht="14.25" customHeight="1">
      <c r="A293" s="2">
        <v>15</v>
      </c>
      <c r="B293" s="2">
        <v>292</v>
      </c>
      <c r="C293" s="2">
        <v>3</v>
      </c>
      <c r="D293" s="2">
        <v>1</v>
      </c>
      <c r="E293" s="2">
        <v>0.45700000000000002</v>
      </c>
      <c r="F293" s="2">
        <v>1</v>
      </c>
    </row>
    <row r="294" spans="1:6" ht="14.25" customHeight="1">
      <c r="A294" s="2">
        <v>15</v>
      </c>
      <c r="B294" s="2">
        <v>293</v>
      </c>
      <c r="C294" s="2">
        <v>6</v>
      </c>
      <c r="D294" s="2">
        <v>0</v>
      </c>
      <c r="E294" s="2">
        <v>0.371</v>
      </c>
      <c r="F294" s="2">
        <v>2</v>
      </c>
    </row>
    <row r="295" spans="1:6" ht="14.25" customHeight="1">
      <c r="A295" s="2">
        <v>15</v>
      </c>
      <c r="B295" s="2">
        <v>294</v>
      </c>
      <c r="C295" s="2">
        <v>1</v>
      </c>
      <c r="D295" s="2">
        <v>1</v>
      </c>
      <c r="E295" s="2">
        <v>0.92800000000000005</v>
      </c>
      <c r="F295" s="2">
        <v>1</v>
      </c>
    </row>
    <row r="296" spans="1:6" ht="14.25" customHeight="1">
      <c r="A296" s="2">
        <v>15</v>
      </c>
      <c r="B296" s="2">
        <v>295</v>
      </c>
      <c r="C296" s="2">
        <v>7</v>
      </c>
      <c r="D296" s="2">
        <v>1</v>
      </c>
      <c r="E296" s="2">
        <v>0.6</v>
      </c>
      <c r="F296" s="2">
        <v>2</v>
      </c>
    </row>
    <row r="297" spans="1:6" ht="14.25" customHeight="1">
      <c r="A297" s="2">
        <v>15</v>
      </c>
      <c r="B297" s="2">
        <v>296</v>
      </c>
      <c r="C297" s="2">
        <v>8</v>
      </c>
      <c r="D297" s="2">
        <v>1</v>
      </c>
      <c r="E297" s="2">
        <v>0.372</v>
      </c>
      <c r="F297" s="2">
        <v>1</v>
      </c>
    </row>
    <row r="298" spans="1:6" ht="14.25" customHeight="1">
      <c r="A298" s="2">
        <v>15</v>
      </c>
      <c r="B298" s="2">
        <v>297</v>
      </c>
      <c r="C298" s="2">
        <v>4</v>
      </c>
      <c r="D298" s="2">
        <v>0</v>
      </c>
      <c r="E298" s="2">
        <v>0.60199999999999998</v>
      </c>
      <c r="F298" s="2">
        <v>1</v>
      </c>
    </row>
    <row r="299" spans="1:6" ht="14.25" customHeight="1">
      <c r="A299" s="2">
        <v>15</v>
      </c>
      <c r="B299" s="2">
        <v>298</v>
      </c>
      <c r="C299" s="2">
        <v>8</v>
      </c>
      <c r="D299" s="2">
        <v>0</v>
      </c>
      <c r="E299" s="2">
        <v>0.54300000000000004</v>
      </c>
      <c r="F299" s="2">
        <v>2</v>
      </c>
    </row>
    <row r="300" spans="1:6" ht="14.25" customHeight="1">
      <c r="A300" s="2">
        <v>15</v>
      </c>
      <c r="B300" s="2">
        <v>299</v>
      </c>
      <c r="C300" s="2">
        <v>7</v>
      </c>
      <c r="D300" s="2">
        <v>0</v>
      </c>
      <c r="E300" s="2">
        <v>1.5489999999999999</v>
      </c>
      <c r="F300" s="2">
        <v>1</v>
      </c>
    </row>
    <row r="301" spans="1:6" ht="14.25" customHeight="1">
      <c r="A301" s="2">
        <v>15</v>
      </c>
      <c r="B301" s="2">
        <v>300</v>
      </c>
      <c r="C301" s="2">
        <v>4</v>
      </c>
      <c r="D301" s="2">
        <v>0</v>
      </c>
      <c r="E301" s="2">
        <v>0.48299999999999998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11.1640625" customWidth="1"/>
    <col min="5" max="5" width="9.164062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16</v>
      </c>
      <c r="I1" s="2">
        <v>251</v>
      </c>
      <c r="J1" s="2">
        <v>4</v>
      </c>
      <c r="K1" s="2">
        <v>1</v>
      </c>
      <c r="L1" s="2">
        <v>1.069</v>
      </c>
    </row>
    <row r="2" spans="1:22" ht="14.25" customHeight="1">
      <c r="A2" s="2">
        <v>16</v>
      </c>
      <c r="B2" s="2">
        <v>1</v>
      </c>
      <c r="C2" s="2">
        <v>3</v>
      </c>
      <c r="E2" s="2">
        <v>2.0009999999999999</v>
      </c>
      <c r="H2" s="2">
        <v>16</v>
      </c>
      <c r="I2" s="2">
        <v>252</v>
      </c>
      <c r="J2" s="2">
        <v>8</v>
      </c>
      <c r="K2" s="2">
        <v>1</v>
      </c>
      <c r="L2" s="2">
        <v>0.66200000000000003</v>
      </c>
    </row>
    <row r="3" spans="1:22" ht="14.25" customHeight="1">
      <c r="A3" s="2">
        <v>16</v>
      </c>
      <c r="B3" s="2">
        <v>2</v>
      </c>
      <c r="C3" s="2">
        <v>5</v>
      </c>
      <c r="D3" s="2">
        <v>0</v>
      </c>
      <c r="E3" s="2">
        <v>1.6220000000000001</v>
      </c>
      <c r="F3" s="2">
        <v>1</v>
      </c>
      <c r="H3" s="2">
        <v>16</v>
      </c>
      <c r="I3" s="2">
        <v>253</v>
      </c>
      <c r="J3" s="2">
        <v>3</v>
      </c>
      <c r="K3" s="2">
        <v>1</v>
      </c>
      <c r="L3" s="2">
        <v>1.1759999999999999</v>
      </c>
    </row>
    <row r="4" spans="1:22" ht="14.25" customHeight="1">
      <c r="A4" s="2">
        <v>16</v>
      </c>
      <c r="B4" s="2">
        <v>3</v>
      </c>
      <c r="C4" s="2">
        <v>6</v>
      </c>
      <c r="D4" s="2">
        <v>1</v>
      </c>
      <c r="E4" s="2">
        <v>1.9370000000000001</v>
      </c>
      <c r="F4" s="2">
        <v>2</v>
      </c>
      <c r="H4" s="2">
        <v>16</v>
      </c>
      <c r="I4" s="2">
        <v>254</v>
      </c>
      <c r="J4" s="2">
        <v>5</v>
      </c>
      <c r="K4" s="2">
        <v>1</v>
      </c>
      <c r="L4" s="2">
        <v>0.99</v>
      </c>
      <c r="O4" s="2" t="s">
        <v>6</v>
      </c>
    </row>
    <row r="5" spans="1:22" ht="14.25" customHeight="1">
      <c r="A5" s="2">
        <v>16</v>
      </c>
      <c r="B5" s="2">
        <v>4</v>
      </c>
      <c r="C5" s="2">
        <v>2</v>
      </c>
      <c r="D5" s="2">
        <v>1</v>
      </c>
      <c r="E5" s="2">
        <v>1.663</v>
      </c>
      <c r="F5" s="2">
        <v>1</v>
      </c>
      <c r="H5" s="2">
        <v>16</v>
      </c>
      <c r="I5" s="2">
        <v>255</v>
      </c>
      <c r="J5" s="2">
        <v>2</v>
      </c>
      <c r="K5" s="2">
        <v>1</v>
      </c>
      <c r="L5" s="2">
        <v>0.77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16</v>
      </c>
      <c r="B6" s="2">
        <v>5</v>
      </c>
      <c r="C6" s="2">
        <v>5</v>
      </c>
      <c r="D6" s="2">
        <v>1</v>
      </c>
      <c r="E6" s="2">
        <v>1.2490000000000001</v>
      </c>
      <c r="F6" s="2">
        <v>2</v>
      </c>
      <c r="H6" s="2">
        <v>16</v>
      </c>
      <c r="I6" s="2">
        <v>256</v>
      </c>
      <c r="J6" s="2">
        <v>6</v>
      </c>
      <c r="K6" s="2">
        <v>1</v>
      </c>
      <c r="L6" s="2">
        <v>1.04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16</v>
      </c>
      <c r="B7" s="2">
        <v>6</v>
      </c>
      <c r="C7" s="2">
        <v>1</v>
      </c>
      <c r="D7" s="2">
        <v>1</v>
      </c>
      <c r="E7" s="2">
        <v>0.89200000000000002</v>
      </c>
      <c r="F7" s="2">
        <v>2</v>
      </c>
      <c r="H7" s="2">
        <v>16</v>
      </c>
      <c r="I7" s="2">
        <v>257</v>
      </c>
      <c r="J7" s="2">
        <v>4</v>
      </c>
      <c r="K7" s="2">
        <v>0</v>
      </c>
      <c r="L7" s="2">
        <v>0.65100000000000002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16</v>
      </c>
      <c r="B8" s="2">
        <v>7</v>
      </c>
      <c r="C8" s="2">
        <v>6</v>
      </c>
      <c r="D8" s="2">
        <v>0</v>
      </c>
      <c r="E8" s="2">
        <v>0.83699999999999997</v>
      </c>
      <c r="F8" s="2">
        <v>1</v>
      </c>
      <c r="H8" s="2">
        <v>16</v>
      </c>
      <c r="I8" s="2">
        <v>258</v>
      </c>
      <c r="J8" s="2">
        <v>1</v>
      </c>
      <c r="K8" s="2">
        <v>1</v>
      </c>
      <c r="L8" s="2">
        <v>0.74099999999999999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16</v>
      </c>
      <c r="B9" s="2">
        <v>8</v>
      </c>
      <c r="C9" s="2">
        <v>5</v>
      </c>
      <c r="D9" s="2">
        <v>1</v>
      </c>
      <c r="E9" s="2">
        <v>0.98299999999999998</v>
      </c>
      <c r="F9" s="2">
        <v>2</v>
      </c>
      <c r="H9" s="2">
        <v>16</v>
      </c>
      <c r="I9" s="2">
        <v>259</v>
      </c>
      <c r="J9" s="2">
        <v>3</v>
      </c>
      <c r="K9" s="2">
        <v>1</v>
      </c>
      <c r="L9" s="2">
        <v>1.0920000000000001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16</v>
      </c>
      <c r="B10" s="2">
        <v>9</v>
      </c>
      <c r="C10" s="2">
        <v>4</v>
      </c>
      <c r="D10" s="2">
        <v>1</v>
      </c>
      <c r="E10" s="2">
        <v>0.85199999999999998</v>
      </c>
      <c r="F10" s="2">
        <v>1</v>
      </c>
      <c r="H10" s="2">
        <v>16</v>
      </c>
      <c r="I10" s="2">
        <v>260</v>
      </c>
      <c r="J10" s="2">
        <v>5</v>
      </c>
      <c r="K10" s="2">
        <v>1</v>
      </c>
      <c r="L10" s="2">
        <v>0.90100000000000002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16</v>
      </c>
      <c r="B11" s="2">
        <v>10</v>
      </c>
      <c r="C11" s="2">
        <v>3</v>
      </c>
      <c r="D11" s="2">
        <v>0</v>
      </c>
      <c r="E11" s="2">
        <v>1.2230000000000001</v>
      </c>
      <c r="F11" s="2">
        <v>1</v>
      </c>
      <c r="H11" s="2">
        <v>16</v>
      </c>
      <c r="I11" s="2">
        <v>261</v>
      </c>
      <c r="J11" s="2">
        <v>2</v>
      </c>
      <c r="K11" s="2">
        <v>1</v>
      </c>
      <c r="L11" s="2">
        <v>1.204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16</v>
      </c>
      <c r="B12" s="2">
        <v>11</v>
      </c>
      <c r="C12" s="2">
        <v>2</v>
      </c>
      <c r="D12" s="2">
        <v>0</v>
      </c>
      <c r="E12" s="2">
        <v>1.145</v>
      </c>
      <c r="F12" s="2">
        <v>2</v>
      </c>
      <c r="H12" s="2">
        <v>16</v>
      </c>
      <c r="I12" s="2">
        <v>262</v>
      </c>
      <c r="J12" s="2">
        <v>6</v>
      </c>
      <c r="K12" s="2">
        <v>1</v>
      </c>
      <c r="L12" s="2">
        <v>0.92</v>
      </c>
    </row>
    <row r="13" spans="1:22" ht="14.25" customHeight="1">
      <c r="A13" s="2">
        <v>16</v>
      </c>
      <c r="B13" s="2">
        <v>12</v>
      </c>
      <c r="C13" s="2">
        <v>1</v>
      </c>
      <c r="D13" s="2">
        <v>1</v>
      </c>
      <c r="E13" s="2">
        <v>0.84</v>
      </c>
      <c r="F13" s="2">
        <v>2</v>
      </c>
      <c r="H13" s="2">
        <v>16</v>
      </c>
      <c r="I13" s="2">
        <v>263</v>
      </c>
      <c r="J13" s="2">
        <v>1</v>
      </c>
      <c r="K13" s="2">
        <v>1</v>
      </c>
      <c r="L13" s="2">
        <v>1.0469999999999999</v>
      </c>
    </row>
    <row r="14" spans="1:22" ht="14.25" customHeight="1">
      <c r="A14" s="2">
        <v>16</v>
      </c>
      <c r="B14" s="2">
        <v>13</v>
      </c>
      <c r="C14" s="2">
        <v>2</v>
      </c>
      <c r="D14" s="2">
        <v>0</v>
      </c>
      <c r="E14" s="2">
        <v>1.635</v>
      </c>
      <c r="F14" s="2">
        <v>2</v>
      </c>
      <c r="H14" s="2">
        <v>16</v>
      </c>
      <c r="I14" s="2">
        <v>264</v>
      </c>
      <c r="J14" s="2">
        <v>8</v>
      </c>
      <c r="K14" s="2">
        <v>1</v>
      </c>
      <c r="L14" s="2">
        <v>0.76200000000000001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16</v>
      </c>
      <c r="B15" s="2">
        <v>14</v>
      </c>
      <c r="C15" s="2">
        <v>1</v>
      </c>
      <c r="D15" s="2">
        <v>1</v>
      </c>
      <c r="E15" s="2">
        <v>1.5649999999999999</v>
      </c>
      <c r="F15" s="2">
        <v>2</v>
      </c>
      <c r="H15" s="2">
        <v>16</v>
      </c>
      <c r="I15" s="2">
        <v>265</v>
      </c>
      <c r="J15" s="2">
        <v>3</v>
      </c>
      <c r="K15" s="2">
        <v>1</v>
      </c>
      <c r="L15" s="2">
        <v>1</v>
      </c>
      <c r="O15" s="2" t="s">
        <v>9</v>
      </c>
    </row>
    <row r="16" spans="1:22" ht="14.25" customHeight="1">
      <c r="A16" s="2">
        <v>16</v>
      </c>
      <c r="B16" s="2">
        <v>15</v>
      </c>
      <c r="C16" s="2">
        <v>5</v>
      </c>
      <c r="E16" s="2">
        <v>2.0009999999999999</v>
      </c>
      <c r="H16" s="2">
        <v>16</v>
      </c>
      <c r="I16" s="2">
        <v>266</v>
      </c>
      <c r="J16" s="2">
        <v>1</v>
      </c>
      <c r="K16" s="2">
        <v>1</v>
      </c>
      <c r="L16" s="2">
        <v>0.75700000000000001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16</v>
      </c>
      <c r="B17" s="2">
        <v>16</v>
      </c>
      <c r="C17" s="2">
        <v>4</v>
      </c>
      <c r="D17" s="2">
        <v>1</v>
      </c>
      <c r="E17" s="2">
        <v>1.32</v>
      </c>
      <c r="F17" s="2">
        <v>1</v>
      </c>
      <c r="H17" s="2">
        <v>16</v>
      </c>
      <c r="I17" s="2">
        <v>267</v>
      </c>
      <c r="J17" s="2">
        <v>4</v>
      </c>
      <c r="K17" s="2">
        <v>1</v>
      </c>
      <c r="L17" s="2">
        <v>1.115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0.16000000000000028</v>
      </c>
      <c r="R17" s="2">
        <f t="shared" ref="R17:R22" si="3">(R6*COUNTIF($J$1:$J$100,R$16) - COUNTIFS($J$1:$J$100,R$16,$K$1:$K$100,"=0"))^2</f>
        <v>0.48999999999999994</v>
      </c>
      <c r="S17" s="2">
        <f t="shared" ref="S17:T17" si="4">(S6*COUNTIF($J$1:$J$100,S$16) - COUNTIFS($J$1:$J$100,S$16,$K$1:$K$100,"=1"))^2</f>
        <v>0.48999999999999899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9.0000000000000024E-2</v>
      </c>
    </row>
    <row r="18" spans="1:22" ht="14.25" customHeight="1">
      <c r="A18" s="2">
        <v>16</v>
      </c>
      <c r="B18" s="2">
        <v>17</v>
      </c>
      <c r="C18" s="2">
        <v>8</v>
      </c>
      <c r="D18" s="2">
        <v>0</v>
      </c>
      <c r="E18" s="2">
        <v>1.8069999999999999</v>
      </c>
      <c r="F18" s="2">
        <v>2</v>
      </c>
      <c r="H18" s="2">
        <v>16</v>
      </c>
      <c r="I18" s="2">
        <v>268</v>
      </c>
      <c r="J18" s="2">
        <v>6</v>
      </c>
      <c r="K18" s="2">
        <v>1</v>
      </c>
      <c r="L18" s="2">
        <v>0.85099999999999998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57.76</v>
      </c>
      <c r="R18" s="2">
        <f t="shared" si="3"/>
        <v>0.48999999999999994</v>
      </c>
      <c r="S18" s="2">
        <f t="shared" ref="S18:T18" si="6">(S7*COUNTIF($J$1:$J$100,S$16) - COUNTIFS($J$1:$J$100,S$16,$K$1:$K$100,"=1"))^2</f>
        <v>0.48999999999999899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9.0000000000000024E-2</v>
      </c>
    </row>
    <row r="19" spans="1:22" ht="14.25" customHeight="1">
      <c r="A19" s="2">
        <v>16</v>
      </c>
      <c r="B19" s="2">
        <v>18</v>
      </c>
      <c r="C19" s="2">
        <v>6</v>
      </c>
      <c r="D19" s="2">
        <v>1</v>
      </c>
      <c r="E19" s="2">
        <v>1.3220000000000001</v>
      </c>
      <c r="F19" s="2">
        <v>2</v>
      </c>
      <c r="H19" s="2">
        <v>16</v>
      </c>
      <c r="I19" s="2">
        <v>269</v>
      </c>
      <c r="J19" s="2">
        <v>7</v>
      </c>
      <c r="K19" s="2">
        <v>1</v>
      </c>
      <c r="L19" s="2">
        <v>1.35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0.16000000000000028</v>
      </c>
      <c r="R19" s="2">
        <f t="shared" si="3"/>
        <v>0.48999999999999994</v>
      </c>
      <c r="S19" s="2">
        <f t="shared" ref="S19:T19" si="8">(S8*COUNTIF($J$1:$J$100,S$16) - COUNTIFS($J$1:$J$100,S$16,$K$1:$K$100,"=1"))^2</f>
        <v>0.48999999999999899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9.0000000000000024E-2</v>
      </c>
    </row>
    <row r="20" spans="1:22" ht="14.25" customHeight="1">
      <c r="A20" s="2">
        <v>16</v>
      </c>
      <c r="B20" s="2">
        <v>19</v>
      </c>
      <c r="C20" s="2">
        <v>3</v>
      </c>
      <c r="D20" s="2">
        <v>0</v>
      </c>
      <c r="E20" s="2">
        <v>1.5529999999999999</v>
      </c>
      <c r="F20" s="2">
        <v>1</v>
      </c>
      <c r="H20" s="2">
        <v>16</v>
      </c>
      <c r="I20" s="2">
        <v>270</v>
      </c>
      <c r="J20" s="2">
        <v>8</v>
      </c>
      <c r="K20" s="2">
        <v>1</v>
      </c>
      <c r="L20" s="2">
        <v>1.1559999999999999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16</v>
      </c>
      <c r="R20" s="2">
        <f t="shared" si="3"/>
        <v>4</v>
      </c>
      <c r="S20" s="2">
        <f t="shared" ref="S20:T20" si="10">(S9*COUNTIF($J$1:$J$100,S$16) - COUNTIFS($J$1:$J$100,S$16,$K$1:$K$100,"=1"))^2</f>
        <v>0.48999999999999899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9.0000000000000024E-2</v>
      </c>
    </row>
    <row r="21" spans="1:22" ht="14.25" customHeight="1">
      <c r="A21" s="2">
        <v>16</v>
      </c>
      <c r="B21" s="2">
        <v>20</v>
      </c>
      <c r="C21" s="2">
        <v>2</v>
      </c>
      <c r="D21" s="2">
        <v>0</v>
      </c>
      <c r="E21" s="2">
        <v>1.5509999999999999</v>
      </c>
      <c r="F21" s="2">
        <v>2</v>
      </c>
      <c r="H21" s="2">
        <v>16</v>
      </c>
      <c r="I21" s="2">
        <v>271</v>
      </c>
      <c r="J21" s="2">
        <v>3</v>
      </c>
      <c r="K21" s="2">
        <v>1</v>
      </c>
      <c r="L21" s="2">
        <v>0.79400000000000004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0.16000000000000028</v>
      </c>
      <c r="R21" s="2">
        <f t="shared" si="3"/>
        <v>0.48999999999999994</v>
      </c>
      <c r="S21" s="2">
        <f t="shared" ref="S21:T21" si="12">(S10*COUNTIF($J$1:$J$100,S$16) - COUNTIFS($J$1:$J$100,S$16,$K$1:$K$100,"=1"))^2</f>
        <v>4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9</v>
      </c>
    </row>
    <row r="22" spans="1:22" ht="14.25" customHeight="1">
      <c r="A22" s="2">
        <v>16</v>
      </c>
      <c r="B22" s="2">
        <v>21</v>
      </c>
      <c r="C22" s="2">
        <v>7</v>
      </c>
      <c r="D22" s="2">
        <v>1</v>
      </c>
      <c r="E22" s="2">
        <v>1.302</v>
      </c>
      <c r="F22" s="2">
        <v>1</v>
      </c>
      <c r="H22" s="2">
        <v>16</v>
      </c>
      <c r="I22" s="2">
        <v>272</v>
      </c>
      <c r="J22" s="2">
        <v>2</v>
      </c>
      <c r="K22" s="2">
        <v>1</v>
      </c>
      <c r="L22" s="2">
        <v>0.79900000000000004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16</v>
      </c>
      <c r="R22" s="2">
        <f t="shared" si="3"/>
        <v>4</v>
      </c>
      <c r="S22" s="2">
        <f t="shared" ref="S22:T22" si="14">(S11*COUNTIF($J$1:$J$100,S$16) - COUNTIFS($J$1:$J$100,S$16,$K$1:$K$100,"=1"))^2</f>
        <v>4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9</v>
      </c>
    </row>
    <row r="23" spans="1:22" ht="14.25" customHeight="1">
      <c r="A23" s="2">
        <v>16</v>
      </c>
      <c r="B23" s="2">
        <v>22</v>
      </c>
      <c r="C23" s="2">
        <v>6</v>
      </c>
      <c r="D23" s="2">
        <v>0</v>
      </c>
      <c r="E23" s="2">
        <v>1.8120000000000001</v>
      </c>
      <c r="F23" s="2">
        <v>1</v>
      </c>
      <c r="H23" s="2">
        <v>16</v>
      </c>
      <c r="I23" s="2">
        <v>273</v>
      </c>
      <c r="J23" s="2">
        <v>1</v>
      </c>
      <c r="K23" s="2">
        <v>1</v>
      </c>
      <c r="L23" s="2">
        <v>0.78</v>
      </c>
    </row>
    <row r="24" spans="1:22" ht="14.25" customHeight="1">
      <c r="A24" s="2">
        <v>16</v>
      </c>
      <c r="B24" s="2">
        <v>23</v>
      </c>
      <c r="C24" s="2">
        <v>7</v>
      </c>
      <c r="D24" s="2">
        <v>1</v>
      </c>
      <c r="E24" s="2">
        <v>1.264</v>
      </c>
      <c r="F24" s="2">
        <v>1</v>
      </c>
      <c r="H24" s="2">
        <v>16</v>
      </c>
      <c r="I24" s="2">
        <v>274</v>
      </c>
      <c r="J24" s="2">
        <v>5</v>
      </c>
      <c r="K24" s="2">
        <v>1</v>
      </c>
      <c r="L24" s="2">
        <v>1.0009999999999999</v>
      </c>
    </row>
    <row r="25" spans="1:22" ht="14.25" customHeight="1">
      <c r="A25" s="2">
        <v>16</v>
      </c>
      <c r="B25" s="2">
        <v>24</v>
      </c>
      <c r="C25" s="2">
        <v>3</v>
      </c>
      <c r="E25" s="2">
        <v>2</v>
      </c>
      <c r="H25" s="2">
        <v>16</v>
      </c>
      <c r="I25" s="2">
        <v>275</v>
      </c>
      <c r="J25" s="2">
        <v>7</v>
      </c>
      <c r="K25" s="2">
        <v>1</v>
      </c>
      <c r="L25" s="2">
        <v>0.84599999999999997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16</v>
      </c>
      <c r="B26" s="2">
        <v>25</v>
      </c>
      <c r="C26" s="2">
        <v>8</v>
      </c>
      <c r="D26" s="2">
        <v>1</v>
      </c>
      <c r="E26" s="2">
        <v>1.6319999999999999</v>
      </c>
      <c r="F26" s="2">
        <v>1</v>
      </c>
      <c r="H26" s="2">
        <v>16</v>
      </c>
      <c r="I26" s="2">
        <v>276</v>
      </c>
      <c r="J26" s="2">
        <v>4</v>
      </c>
      <c r="K26" s="2">
        <v>1</v>
      </c>
      <c r="L26" s="2">
        <v>0.89600000000000002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64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16</v>
      </c>
      <c r="B27" s="2">
        <v>26</v>
      </c>
      <c r="C27" s="2">
        <v>4</v>
      </c>
      <c r="D27" s="2">
        <v>0</v>
      </c>
      <c r="E27" s="2">
        <v>1.4750000000000001</v>
      </c>
      <c r="F27" s="2">
        <v>2</v>
      </c>
      <c r="H27" s="2">
        <v>16</v>
      </c>
      <c r="I27" s="2">
        <v>277</v>
      </c>
      <c r="J27" s="2">
        <v>2</v>
      </c>
      <c r="K27" s="2">
        <v>1</v>
      </c>
      <c r="L27" s="2">
        <v>0.46500000000000002</v>
      </c>
    </row>
    <row r="28" spans="1:22" ht="14.25" customHeight="1">
      <c r="A28" s="2">
        <v>16</v>
      </c>
      <c r="B28" s="2">
        <v>27</v>
      </c>
      <c r="C28" s="2">
        <v>5</v>
      </c>
      <c r="D28" s="2">
        <v>1</v>
      </c>
      <c r="E28" s="2">
        <v>0.52400000000000002</v>
      </c>
      <c r="F28" s="2">
        <v>2</v>
      </c>
      <c r="H28" s="2">
        <v>16</v>
      </c>
      <c r="I28" s="2">
        <v>278</v>
      </c>
      <c r="J28" s="2">
        <v>1</v>
      </c>
      <c r="K28" s="2">
        <v>1</v>
      </c>
      <c r="L28" s="2">
        <v>1.0509999999999999</v>
      </c>
    </row>
    <row r="29" spans="1:22" ht="14.25" customHeight="1">
      <c r="A29" s="2">
        <v>16</v>
      </c>
      <c r="B29" s="2">
        <v>28</v>
      </c>
      <c r="C29" s="2">
        <v>7</v>
      </c>
      <c r="D29" s="2">
        <v>1</v>
      </c>
      <c r="E29" s="2">
        <v>1.6839999999999999</v>
      </c>
      <c r="F29" s="2">
        <v>1</v>
      </c>
      <c r="H29" s="2">
        <v>16</v>
      </c>
      <c r="I29" s="2">
        <v>279</v>
      </c>
      <c r="J29" s="2">
        <v>7</v>
      </c>
      <c r="K29" s="2">
        <v>1</v>
      </c>
      <c r="L29" s="2">
        <v>0.85399999999999998</v>
      </c>
    </row>
    <row r="30" spans="1:22" ht="14.25" customHeight="1">
      <c r="A30" s="2">
        <v>16</v>
      </c>
      <c r="B30" s="2">
        <v>29</v>
      </c>
      <c r="C30" s="2">
        <v>1</v>
      </c>
      <c r="D30" s="2">
        <v>1</v>
      </c>
      <c r="E30" s="2">
        <v>0.66900000000000004</v>
      </c>
      <c r="F30" s="2">
        <v>2</v>
      </c>
      <c r="H30" s="2">
        <v>16</v>
      </c>
      <c r="I30" s="2">
        <v>280</v>
      </c>
      <c r="J30" s="2">
        <v>5</v>
      </c>
      <c r="K30" s="2">
        <v>0</v>
      </c>
      <c r="L30" s="2">
        <v>0.44800000000000001</v>
      </c>
    </row>
    <row r="31" spans="1:22" ht="14.25" customHeight="1">
      <c r="A31" s="2">
        <v>16</v>
      </c>
      <c r="B31" s="2">
        <v>30</v>
      </c>
      <c r="C31" s="2">
        <v>6</v>
      </c>
      <c r="D31" s="2">
        <v>1</v>
      </c>
      <c r="E31" s="2">
        <v>1.3029999999999999</v>
      </c>
      <c r="F31" s="2">
        <v>2</v>
      </c>
      <c r="H31" s="2">
        <v>16</v>
      </c>
      <c r="I31" s="2">
        <v>281</v>
      </c>
      <c r="J31" s="2">
        <v>7</v>
      </c>
      <c r="K31" s="2">
        <v>1</v>
      </c>
      <c r="L31" s="2">
        <v>1.0509999999999999</v>
      </c>
      <c r="N31" s="2">
        <v>1</v>
      </c>
      <c r="O31" s="2">
        <f t="shared" ref="O31:O36" si="17">SUM(O17:V17)/(SUM($O$26:$V$26))</f>
        <v>5.031645569620255E-3</v>
      </c>
    </row>
    <row r="32" spans="1:22" ht="14.25" customHeight="1">
      <c r="A32" s="2">
        <v>16</v>
      </c>
      <c r="B32" s="2">
        <v>31</v>
      </c>
      <c r="C32" s="2">
        <v>4</v>
      </c>
      <c r="D32" s="2">
        <v>1</v>
      </c>
      <c r="E32" s="2">
        <v>0.56699999999999995</v>
      </c>
      <c r="F32" s="2">
        <v>1</v>
      </c>
      <c r="H32" s="2">
        <v>16</v>
      </c>
      <c r="I32" s="2">
        <v>282</v>
      </c>
      <c r="J32" s="2">
        <v>6</v>
      </c>
      <c r="K32" s="2">
        <v>1</v>
      </c>
      <c r="L32" s="2">
        <v>1.022</v>
      </c>
      <c r="N32" s="2">
        <v>2</v>
      </c>
      <c r="O32" s="2">
        <f t="shared" si="17"/>
        <v>0.28984177215189877</v>
      </c>
    </row>
    <row r="33" spans="1:15" ht="14.25" customHeight="1">
      <c r="A33" s="2">
        <v>16</v>
      </c>
      <c r="B33" s="2">
        <v>32</v>
      </c>
      <c r="C33" s="2">
        <v>3</v>
      </c>
      <c r="D33" s="2">
        <v>0</v>
      </c>
      <c r="E33" s="2">
        <v>0.86099999999999999</v>
      </c>
      <c r="F33" s="2">
        <v>1</v>
      </c>
      <c r="H33" s="2">
        <v>16</v>
      </c>
      <c r="I33" s="2">
        <v>283</v>
      </c>
      <c r="J33" s="2">
        <v>1</v>
      </c>
      <c r="K33" s="2">
        <v>1</v>
      </c>
      <c r="L33" s="2">
        <v>1.369</v>
      </c>
      <c r="N33" s="2">
        <v>3</v>
      </c>
      <c r="O33" s="2">
        <f t="shared" si="17"/>
        <v>0.21009493670886076</v>
      </c>
    </row>
    <row r="34" spans="1:15" ht="14.25" customHeight="1">
      <c r="A34" s="2">
        <v>16</v>
      </c>
      <c r="B34" s="2">
        <v>33</v>
      </c>
      <c r="C34" s="2">
        <v>1</v>
      </c>
      <c r="D34" s="2">
        <v>1</v>
      </c>
      <c r="E34" s="2">
        <v>0.68700000000000006</v>
      </c>
      <c r="F34" s="2">
        <v>2</v>
      </c>
      <c r="H34" s="2">
        <v>16</v>
      </c>
      <c r="I34" s="2">
        <v>284</v>
      </c>
      <c r="J34" s="2">
        <v>5</v>
      </c>
      <c r="K34" s="2">
        <v>1</v>
      </c>
      <c r="L34" s="2">
        <v>0.85499999999999998</v>
      </c>
      <c r="N34" s="2">
        <v>4</v>
      </c>
      <c r="O34" s="2">
        <f t="shared" si="17"/>
        <v>0.12265822784810131</v>
      </c>
    </row>
    <row r="35" spans="1:15" ht="14.25" customHeight="1">
      <c r="A35" s="2">
        <v>16</v>
      </c>
      <c r="B35" s="2">
        <v>34</v>
      </c>
      <c r="C35" s="2">
        <v>2</v>
      </c>
      <c r="D35" s="2">
        <v>0</v>
      </c>
      <c r="E35" s="2">
        <v>0.88</v>
      </c>
      <c r="F35" s="2">
        <v>2</v>
      </c>
      <c r="H35" s="2">
        <v>16</v>
      </c>
      <c r="I35" s="2">
        <v>285</v>
      </c>
      <c r="J35" s="2">
        <v>4</v>
      </c>
      <c r="K35" s="2">
        <v>1</v>
      </c>
      <c r="L35" s="2">
        <v>0.91300000000000003</v>
      </c>
      <c r="N35" s="2">
        <v>5</v>
      </c>
      <c r="O35" s="2">
        <f t="shared" si="17"/>
        <v>0.10072784810126582</v>
      </c>
    </row>
    <row r="36" spans="1:15" ht="14.25" customHeight="1">
      <c r="A36" s="2">
        <v>16</v>
      </c>
      <c r="B36" s="2">
        <v>35</v>
      </c>
      <c r="C36" s="2">
        <v>8</v>
      </c>
      <c r="E36" s="2">
        <v>2</v>
      </c>
      <c r="H36" s="2">
        <v>16</v>
      </c>
      <c r="I36" s="2">
        <v>286</v>
      </c>
      <c r="J36" s="2">
        <v>3</v>
      </c>
      <c r="K36" s="2">
        <v>1</v>
      </c>
      <c r="L36" s="2">
        <v>1.2490000000000001</v>
      </c>
      <c r="N36" s="2">
        <v>6</v>
      </c>
      <c r="O36" s="2">
        <f t="shared" si="17"/>
        <v>0.21835443037974683</v>
      </c>
    </row>
    <row r="37" spans="1:15" ht="14.25" customHeight="1">
      <c r="A37" s="2">
        <v>16</v>
      </c>
      <c r="B37" s="2">
        <v>36</v>
      </c>
      <c r="C37" s="2">
        <v>3</v>
      </c>
      <c r="D37" s="2">
        <v>0</v>
      </c>
      <c r="E37" s="2">
        <v>0.95799999999999996</v>
      </c>
      <c r="F37" s="2">
        <v>1</v>
      </c>
      <c r="H37" s="2">
        <v>16</v>
      </c>
      <c r="I37" s="2">
        <v>287</v>
      </c>
      <c r="J37" s="2">
        <v>6</v>
      </c>
      <c r="K37" s="2">
        <v>1</v>
      </c>
      <c r="L37" s="2">
        <v>0.79600000000000004</v>
      </c>
    </row>
    <row r="38" spans="1:15" ht="14.25" customHeight="1">
      <c r="A38" s="2">
        <v>16</v>
      </c>
      <c r="B38" s="2">
        <v>37</v>
      </c>
      <c r="C38" s="2">
        <v>7</v>
      </c>
      <c r="D38" s="2">
        <v>1</v>
      </c>
      <c r="E38" s="2">
        <v>1.276</v>
      </c>
      <c r="F38" s="2">
        <v>1</v>
      </c>
      <c r="H38" s="2">
        <v>16</v>
      </c>
      <c r="I38" s="2">
        <v>288</v>
      </c>
      <c r="J38" s="2">
        <v>7</v>
      </c>
      <c r="K38" s="2">
        <v>1</v>
      </c>
      <c r="L38" s="2">
        <v>1.2330000000000001</v>
      </c>
    </row>
    <row r="39" spans="1:15" ht="14.25" customHeight="1">
      <c r="A39" s="2">
        <v>16</v>
      </c>
      <c r="B39" s="2">
        <v>38</v>
      </c>
      <c r="C39" s="2">
        <v>4</v>
      </c>
      <c r="D39" s="2">
        <v>0</v>
      </c>
      <c r="E39" s="2">
        <v>1.3740000000000001</v>
      </c>
      <c r="F39" s="2">
        <v>2</v>
      </c>
      <c r="H39" s="2">
        <v>16</v>
      </c>
      <c r="I39" s="2">
        <v>289</v>
      </c>
      <c r="J39" s="2">
        <v>5</v>
      </c>
      <c r="K39" s="2">
        <v>1</v>
      </c>
      <c r="L39" s="2">
        <v>1.252</v>
      </c>
    </row>
    <row r="40" spans="1:15" ht="14.25" customHeight="1">
      <c r="A40" s="2">
        <v>16</v>
      </c>
      <c r="B40" s="2">
        <v>39</v>
      </c>
      <c r="C40" s="2">
        <v>8</v>
      </c>
      <c r="D40" s="2">
        <v>1</v>
      </c>
      <c r="E40" s="2">
        <v>1.411</v>
      </c>
      <c r="F40" s="2">
        <v>1</v>
      </c>
      <c r="H40" s="2">
        <v>16</v>
      </c>
      <c r="I40" s="2">
        <v>290</v>
      </c>
      <c r="J40" s="2">
        <v>7</v>
      </c>
      <c r="K40" s="2">
        <v>1</v>
      </c>
      <c r="L40" s="2">
        <v>0.90300000000000002</v>
      </c>
    </row>
    <row r="41" spans="1:15" ht="14.25" customHeight="1">
      <c r="A41" s="2">
        <v>16</v>
      </c>
      <c r="B41" s="2">
        <v>40</v>
      </c>
      <c r="C41" s="2">
        <v>4</v>
      </c>
      <c r="E41" s="2">
        <v>2</v>
      </c>
      <c r="H41" s="2">
        <v>16</v>
      </c>
      <c r="I41" s="2">
        <v>291</v>
      </c>
      <c r="J41" s="2">
        <v>2</v>
      </c>
      <c r="K41" s="2">
        <v>1</v>
      </c>
      <c r="L41" s="2">
        <v>0.47899999999999998</v>
      </c>
    </row>
    <row r="42" spans="1:15" ht="14.25" customHeight="1">
      <c r="A42" s="2">
        <v>16</v>
      </c>
      <c r="B42" s="2">
        <v>41</v>
      </c>
      <c r="C42" s="2">
        <v>5</v>
      </c>
      <c r="D42" s="2">
        <v>1</v>
      </c>
      <c r="E42" s="2">
        <v>0.59599999999999997</v>
      </c>
      <c r="F42" s="2">
        <v>2</v>
      </c>
      <c r="H42" s="2">
        <v>16</v>
      </c>
      <c r="I42" s="2">
        <v>292</v>
      </c>
      <c r="J42" s="2">
        <v>3</v>
      </c>
      <c r="K42" s="2">
        <v>1</v>
      </c>
      <c r="L42" s="2">
        <v>0.74399999999999999</v>
      </c>
    </row>
    <row r="43" spans="1:15" ht="14.25" customHeight="1">
      <c r="A43" s="2">
        <v>16</v>
      </c>
      <c r="B43" s="2">
        <v>42</v>
      </c>
      <c r="C43" s="2">
        <v>8</v>
      </c>
      <c r="D43" s="2">
        <v>1</v>
      </c>
      <c r="E43" s="2">
        <v>1.569</v>
      </c>
      <c r="F43" s="2">
        <v>1</v>
      </c>
      <c r="H43" s="2">
        <v>16</v>
      </c>
      <c r="I43" s="2">
        <v>293</v>
      </c>
      <c r="J43" s="2">
        <v>8</v>
      </c>
      <c r="K43" s="2">
        <v>1</v>
      </c>
      <c r="L43" s="2">
        <v>1.151</v>
      </c>
    </row>
    <row r="44" spans="1:15" ht="14.25" customHeight="1">
      <c r="A44" s="2">
        <v>16</v>
      </c>
      <c r="B44" s="2">
        <v>43</v>
      </c>
      <c r="C44" s="2">
        <v>3</v>
      </c>
      <c r="D44" s="2">
        <v>1</v>
      </c>
      <c r="E44" s="2">
        <v>0.99099999999999999</v>
      </c>
      <c r="F44" s="2">
        <v>2</v>
      </c>
      <c r="H44" s="2">
        <v>16</v>
      </c>
      <c r="I44" s="2">
        <v>294</v>
      </c>
      <c r="J44" s="2">
        <v>6</v>
      </c>
      <c r="K44" s="2">
        <v>1</v>
      </c>
      <c r="L44" s="2">
        <v>0.94899999999999995</v>
      </c>
    </row>
    <row r="45" spans="1:15" ht="14.25" customHeight="1">
      <c r="A45" s="2">
        <v>16</v>
      </c>
      <c r="B45" s="2">
        <v>44</v>
      </c>
      <c r="C45" s="2">
        <v>1</v>
      </c>
      <c r="D45" s="2">
        <v>1</v>
      </c>
      <c r="E45" s="2">
        <v>0.51500000000000001</v>
      </c>
      <c r="F45" s="2">
        <v>2</v>
      </c>
      <c r="H45" s="2">
        <v>16</v>
      </c>
      <c r="I45" s="2">
        <v>295</v>
      </c>
      <c r="J45" s="2">
        <v>2</v>
      </c>
      <c r="K45" s="2">
        <v>1</v>
      </c>
      <c r="L45" s="2">
        <v>0.92400000000000004</v>
      </c>
    </row>
    <row r="46" spans="1:15" ht="14.25" customHeight="1">
      <c r="A46" s="2">
        <v>16</v>
      </c>
      <c r="B46" s="2">
        <v>45</v>
      </c>
      <c r="C46" s="2">
        <v>7</v>
      </c>
      <c r="D46" s="2">
        <v>1</v>
      </c>
      <c r="E46" s="2">
        <v>1.587</v>
      </c>
      <c r="F46" s="2">
        <v>1</v>
      </c>
      <c r="H46" s="2">
        <v>16</v>
      </c>
      <c r="I46" s="2">
        <v>296</v>
      </c>
      <c r="J46" s="2">
        <v>4</v>
      </c>
      <c r="K46" s="2">
        <v>1</v>
      </c>
      <c r="L46" s="2">
        <v>1.1319999999999999</v>
      </c>
    </row>
    <row r="47" spans="1:15" ht="14.25" customHeight="1">
      <c r="A47" s="2">
        <v>16</v>
      </c>
      <c r="B47" s="2">
        <v>46</v>
      </c>
      <c r="C47" s="2">
        <v>3</v>
      </c>
      <c r="D47" s="2">
        <v>1</v>
      </c>
      <c r="E47" s="2">
        <v>1.1120000000000001</v>
      </c>
      <c r="F47" s="2">
        <v>2</v>
      </c>
      <c r="H47" s="2">
        <v>16</v>
      </c>
      <c r="I47" s="2">
        <v>297</v>
      </c>
      <c r="J47" s="2">
        <v>8</v>
      </c>
      <c r="K47" s="2">
        <v>1</v>
      </c>
      <c r="L47" s="2">
        <v>0.81899999999999995</v>
      </c>
    </row>
    <row r="48" spans="1:15" ht="14.25" customHeight="1">
      <c r="A48" s="2">
        <v>16</v>
      </c>
      <c r="B48" s="2">
        <v>47</v>
      </c>
      <c r="C48" s="2">
        <v>7</v>
      </c>
      <c r="D48" s="2">
        <v>1</v>
      </c>
      <c r="E48" s="2">
        <v>1.391</v>
      </c>
      <c r="F48" s="2">
        <v>1</v>
      </c>
      <c r="H48" s="2">
        <v>16</v>
      </c>
      <c r="I48" s="2">
        <v>298</v>
      </c>
      <c r="J48" s="2">
        <v>3</v>
      </c>
      <c r="K48" s="2">
        <v>1</v>
      </c>
      <c r="L48" s="2">
        <v>0.83199999999999996</v>
      </c>
    </row>
    <row r="49" spans="1:12" ht="14.25" customHeight="1">
      <c r="A49" s="2">
        <v>16</v>
      </c>
      <c r="B49" s="2">
        <v>48</v>
      </c>
      <c r="C49" s="2">
        <v>6</v>
      </c>
      <c r="D49" s="2">
        <v>1</v>
      </c>
      <c r="E49" s="2">
        <v>0.72399999999999998</v>
      </c>
      <c r="F49" s="2">
        <v>2</v>
      </c>
      <c r="H49" s="2">
        <v>16</v>
      </c>
      <c r="I49" s="2">
        <v>299</v>
      </c>
      <c r="J49" s="2">
        <v>8</v>
      </c>
      <c r="K49" s="2">
        <v>1</v>
      </c>
      <c r="L49" s="2">
        <v>1.1539999999999999</v>
      </c>
    </row>
    <row r="50" spans="1:12" ht="14.25" customHeight="1">
      <c r="A50" s="2">
        <v>16</v>
      </c>
      <c r="B50" s="2">
        <v>49</v>
      </c>
      <c r="C50" s="2">
        <v>2</v>
      </c>
      <c r="D50" s="2">
        <v>1</v>
      </c>
      <c r="E50" s="2">
        <v>1.508</v>
      </c>
      <c r="F50" s="2">
        <v>1</v>
      </c>
      <c r="H50" s="2">
        <v>16</v>
      </c>
      <c r="I50" s="2">
        <v>300</v>
      </c>
      <c r="J50" s="2">
        <v>3</v>
      </c>
      <c r="K50" s="2">
        <v>1</v>
      </c>
      <c r="L50" s="2">
        <v>0.70499999999999996</v>
      </c>
    </row>
    <row r="51" spans="1:12" ht="14.25" customHeight="1">
      <c r="A51" s="2">
        <v>16</v>
      </c>
      <c r="B51" s="2">
        <v>50</v>
      </c>
      <c r="C51" s="2">
        <v>8</v>
      </c>
      <c r="D51" s="2">
        <v>0</v>
      </c>
      <c r="E51" s="2">
        <v>0.42799999999999999</v>
      </c>
      <c r="F51" s="2">
        <v>2</v>
      </c>
    </row>
    <row r="52" spans="1:12" ht="14.25" customHeight="1">
      <c r="A52" s="2">
        <v>16</v>
      </c>
      <c r="B52" s="2">
        <v>51</v>
      </c>
      <c r="C52" s="2">
        <v>1</v>
      </c>
      <c r="D52" s="2">
        <v>0</v>
      </c>
      <c r="E52" s="2">
        <v>1.4059999999999999</v>
      </c>
      <c r="F52" s="2">
        <v>1</v>
      </c>
    </row>
    <row r="53" spans="1:12" ht="14.25" customHeight="1">
      <c r="A53" s="2">
        <v>16</v>
      </c>
      <c r="B53" s="2">
        <v>52</v>
      </c>
      <c r="C53" s="2">
        <v>3</v>
      </c>
      <c r="D53" s="2">
        <v>1</v>
      </c>
      <c r="E53" s="2">
        <v>0.64200000000000002</v>
      </c>
      <c r="F53" s="2">
        <v>2</v>
      </c>
    </row>
    <row r="54" spans="1:12" ht="14.25" customHeight="1">
      <c r="A54" s="2">
        <v>16</v>
      </c>
      <c r="B54" s="2">
        <v>53</v>
      </c>
      <c r="C54" s="2">
        <v>8</v>
      </c>
      <c r="D54" s="2">
        <v>0</v>
      </c>
      <c r="E54" s="2">
        <v>1.0840000000000001</v>
      </c>
      <c r="F54" s="2">
        <v>1</v>
      </c>
    </row>
    <row r="55" spans="1:12" ht="14.25" customHeight="1">
      <c r="A55" s="2">
        <v>16</v>
      </c>
      <c r="B55" s="2">
        <v>54</v>
      </c>
      <c r="C55" s="2">
        <v>7</v>
      </c>
      <c r="D55" s="2">
        <v>1</v>
      </c>
      <c r="E55" s="2">
        <v>1.1659999999999999</v>
      </c>
      <c r="F55" s="2">
        <v>1</v>
      </c>
    </row>
    <row r="56" spans="1:12" ht="14.25" customHeight="1">
      <c r="A56" s="2">
        <v>16</v>
      </c>
      <c r="B56" s="2">
        <v>55</v>
      </c>
      <c r="C56" s="2">
        <v>2</v>
      </c>
      <c r="D56" s="2">
        <v>1</v>
      </c>
      <c r="E56" s="2">
        <v>0.82699999999999996</v>
      </c>
      <c r="F56" s="2">
        <v>2</v>
      </c>
    </row>
    <row r="57" spans="1:12" ht="14.25" customHeight="1">
      <c r="A57" s="2">
        <v>16</v>
      </c>
      <c r="B57" s="2">
        <v>56</v>
      </c>
      <c r="C57" s="2">
        <v>6</v>
      </c>
      <c r="D57" s="2">
        <v>1</v>
      </c>
      <c r="E57" s="2">
        <v>1.5029999999999999</v>
      </c>
      <c r="F57" s="2">
        <v>2</v>
      </c>
    </row>
    <row r="58" spans="1:12" ht="14.25" customHeight="1">
      <c r="A58" s="2">
        <v>16</v>
      </c>
      <c r="B58" s="2">
        <v>57</v>
      </c>
      <c r="C58" s="2">
        <v>7</v>
      </c>
      <c r="D58" s="2">
        <v>0</v>
      </c>
      <c r="E58" s="2">
        <v>1.071</v>
      </c>
      <c r="F58" s="2">
        <v>1</v>
      </c>
    </row>
    <row r="59" spans="1:12" ht="14.25" customHeight="1">
      <c r="A59" s="2">
        <v>16</v>
      </c>
      <c r="B59" s="2">
        <v>58</v>
      </c>
      <c r="C59" s="2">
        <v>4</v>
      </c>
      <c r="D59" s="2">
        <v>1</v>
      </c>
      <c r="E59" s="2">
        <v>1.121</v>
      </c>
      <c r="F59" s="2">
        <v>2</v>
      </c>
    </row>
    <row r="60" spans="1:12" ht="14.25" customHeight="1">
      <c r="A60" s="2">
        <v>16</v>
      </c>
      <c r="B60" s="2">
        <v>59</v>
      </c>
      <c r="C60" s="2">
        <v>1</v>
      </c>
      <c r="D60" s="2">
        <v>1</v>
      </c>
      <c r="E60" s="2">
        <v>0.504</v>
      </c>
      <c r="F60" s="2">
        <v>1</v>
      </c>
    </row>
    <row r="61" spans="1:12" ht="14.25" customHeight="1">
      <c r="A61" s="2">
        <v>16</v>
      </c>
      <c r="B61" s="2">
        <v>60</v>
      </c>
      <c r="C61" s="2">
        <v>3</v>
      </c>
      <c r="D61" s="2">
        <v>0</v>
      </c>
      <c r="E61" s="2">
        <v>1.087</v>
      </c>
      <c r="F61" s="2">
        <v>1</v>
      </c>
    </row>
    <row r="62" spans="1:12" ht="14.25" customHeight="1">
      <c r="A62" s="2">
        <v>16</v>
      </c>
      <c r="B62" s="2">
        <v>61</v>
      </c>
      <c r="C62" s="2">
        <v>5</v>
      </c>
      <c r="D62" s="2">
        <v>0</v>
      </c>
      <c r="E62" s="2">
        <v>1.3839999999999999</v>
      </c>
      <c r="F62" s="2">
        <v>2</v>
      </c>
    </row>
    <row r="63" spans="1:12" ht="14.25" customHeight="1">
      <c r="A63" s="2">
        <v>16</v>
      </c>
      <c r="B63" s="2">
        <v>62</v>
      </c>
      <c r="C63" s="2">
        <v>3</v>
      </c>
      <c r="D63" s="2">
        <v>1</v>
      </c>
      <c r="E63" s="2">
        <v>1.141</v>
      </c>
      <c r="F63" s="2">
        <v>2</v>
      </c>
    </row>
    <row r="64" spans="1:12" ht="14.25" customHeight="1">
      <c r="A64" s="2">
        <v>16</v>
      </c>
      <c r="B64" s="2">
        <v>63</v>
      </c>
      <c r="C64" s="2">
        <v>7</v>
      </c>
      <c r="D64" s="2">
        <v>1</v>
      </c>
      <c r="E64" s="2">
        <v>1.0349999999999999</v>
      </c>
      <c r="F64" s="2">
        <v>1</v>
      </c>
    </row>
    <row r="65" spans="1:6" ht="14.25" customHeight="1">
      <c r="A65" s="2">
        <v>16</v>
      </c>
      <c r="B65" s="2">
        <v>64</v>
      </c>
      <c r="C65" s="2">
        <v>1</v>
      </c>
      <c r="D65" s="2">
        <v>1</v>
      </c>
      <c r="E65" s="2">
        <v>1.079</v>
      </c>
      <c r="F65" s="2">
        <v>2</v>
      </c>
    </row>
    <row r="66" spans="1:6" ht="14.25" customHeight="1">
      <c r="A66" s="2">
        <v>16</v>
      </c>
      <c r="B66" s="2">
        <v>65</v>
      </c>
      <c r="C66" s="2">
        <v>6</v>
      </c>
      <c r="D66" s="2">
        <v>1</v>
      </c>
      <c r="E66" s="2">
        <v>0.78500000000000003</v>
      </c>
      <c r="F66" s="2">
        <v>2</v>
      </c>
    </row>
    <row r="67" spans="1:6" ht="14.25" customHeight="1">
      <c r="A67" s="2">
        <v>16</v>
      </c>
      <c r="B67" s="2">
        <v>66</v>
      </c>
      <c r="C67" s="2">
        <v>8</v>
      </c>
      <c r="D67" s="2">
        <v>1</v>
      </c>
      <c r="E67" s="2">
        <v>0.78200000000000003</v>
      </c>
      <c r="F67" s="2">
        <v>1</v>
      </c>
    </row>
    <row r="68" spans="1:6" ht="14.25" customHeight="1">
      <c r="A68" s="2">
        <v>16</v>
      </c>
      <c r="B68" s="2">
        <v>67</v>
      </c>
      <c r="C68" s="2">
        <v>5</v>
      </c>
      <c r="D68" s="2">
        <v>1</v>
      </c>
      <c r="E68" s="2">
        <v>0.73099999999999998</v>
      </c>
      <c r="F68" s="2">
        <v>1</v>
      </c>
    </row>
    <row r="69" spans="1:6" ht="14.25" customHeight="1">
      <c r="A69" s="2">
        <v>16</v>
      </c>
      <c r="B69" s="2">
        <v>68</v>
      </c>
      <c r="C69" s="2">
        <v>7</v>
      </c>
      <c r="D69" s="2">
        <v>0</v>
      </c>
      <c r="E69" s="2">
        <v>1.0189999999999999</v>
      </c>
      <c r="F69" s="2">
        <v>1</v>
      </c>
    </row>
    <row r="70" spans="1:6" ht="14.25" customHeight="1">
      <c r="A70" s="2">
        <v>16</v>
      </c>
      <c r="B70" s="2">
        <v>69</v>
      </c>
      <c r="C70" s="2">
        <v>1</v>
      </c>
      <c r="D70" s="2">
        <v>0</v>
      </c>
      <c r="E70" s="2">
        <v>0.70199999999999996</v>
      </c>
      <c r="F70" s="2">
        <v>1</v>
      </c>
    </row>
    <row r="71" spans="1:6" ht="14.25" customHeight="1">
      <c r="A71" s="2">
        <v>16</v>
      </c>
      <c r="B71" s="2">
        <v>70</v>
      </c>
      <c r="C71" s="2">
        <v>8</v>
      </c>
      <c r="D71" s="2">
        <v>0</v>
      </c>
      <c r="E71" s="2">
        <v>1.23</v>
      </c>
      <c r="F71" s="2">
        <v>2</v>
      </c>
    </row>
    <row r="72" spans="1:6" ht="14.25" customHeight="1">
      <c r="A72" s="2">
        <v>16</v>
      </c>
      <c r="B72" s="2">
        <v>71</v>
      </c>
      <c r="C72" s="2">
        <v>4</v>
      </c>
      <c r="D72" s="2">
        <v>1</v>
      </c>
      <c r="E72" s="2">
        <v>1.018</v>
      </c>
      <c r="F72" s="2">
        <v>1</v>
      </c>
    </row>
    <row r="73" spans="1:6" ht="14.25" customHeight="1">
      <c r="A73" s="2">
        <v>16</v>
      </c>
      <c r="B73" s="2">
        <v>72</v>
      </c>
      <c r="C73" s="2">
        <v>6</v>
      </c>
      <c r="D73" s="2">
        <v>1</v>
      </c>
      <c r="E73" s="2">
        <v>1.294</v>
      </c>
      <c r="F73" s="2">
        <v>2</v>
      </c>
    </row>
    <row r="74" spans="1:6" ht="14.25" customHeight="1">
      <c r="A74" s="2">
        <v>16</v>
      </c>
      <c r="B74" s="2">
        <v>73</v>
      </c>
      <c r="C74" s="2">
        <v>3</v>
      </c>
      <c r="D74" s="2">
        <v>1</v>
      </c>
      <c r="E74" s="2">
        <v>0.75800000000000001</v>
      </c>
      <c r="F74" s="2">
        <v>1</v>
      </c>
    </row>
    <row r="75" spans="1:6" ht="14.25" customHeight="1">
      <c r="A75" s="2">
        <v>16</v>
      </c>
      <c r="B75" s="2">
        <v>74</v>
      </c>
      <c r="C75" s="2">
        <v>6</v>
      </c>
      <c r="D75" s="2">
        <v>0</v>
      </c>
      <c r="E75" s="2">
        <v>1.0840000000000001</v>
      </c>
      <c r="F75" s="2">
        <v>1</v>
      </c>
    </row>
    <row r="76" spans="1:6" ht="14.25" customHeight="1">
      <c r="A76" s="2">
        <v>16</v>
      </c>
      <c r="B76" s="2">
        <v>75</v>
      </c>
      <c r="C76" s="2">
        <v>8</v>
      </c>
      <c r="D76" s="2">
        <v>1</v>
      </c>
      <c r="E76" s="2">
        <v>0.78900000000000003</v>
      </c>
      <c r="F76" s="2">
        <v>1</v>
      </c>
    </row>
    <row r="77" spans="1:6" ht="14.25" customHeight="1">
      <c r="A77" s="2">
        <v>16</v>
      </c>
      <c r="B77" s="2">
        <v>76</v>
      </c>
      <c r="C77" s="2">
        <v>2</v>
      </c>
      <c r="D77" s="2">
        <v>1</v>
      </c>
      <c r="E77" s="2">
        <v>0.81</v>
      </c>
      <c r="F77" s="2">
        <v>1</v>
      </c>
    </row>
    <row r="78" spans="1:6" ht="14.25" customHeight="1">
      <c r="A78" s="2">
        <v>16</v>
      </c>
      <c r="B78" s="2">
        <v>77</v>
      </c>
      <c r="C78" s="2">
        <v>8</v>
      </c>
      <c r="D78" s="2">
        <v>1</v>
      </c>
      <c r="E78" s="2">
        <v>0.66200000000000003</v>
      </c>
      <c r="F78" s="2">
        <v>2</v>
      </c>
    </row>
    <row r="79" spans="1:6" ht="14.25" customHeight="1">
      <c r="A79" s="2">
        <v>16</v>
      </c>
      <c r="B79" s="2">
        <v>78</v>
      </c>
      <c r="C79" s="2">
        <v>7</v>
      </c>
      <c r="D79" s="2">
        <v>1</v>
      </c>
      <c r="E79" s="2">
        <v>0.72</v>
      </c>
      <c r="F79" s="2">
        <v>1</v>
      </c>
    </row>
    <row r="80" spans="1:6" ht="14.25" customHeight="1">
      <c r="A80" s="2">
        <v>16</v>
      </c>
      <c r="B80" s="2">
        <v>79</v>
      </c>
      <c r="C80" s="2">
        <v>3</v>
      </c>
      <c r="D80" s="2">
        <v>1</v>
      </c>
      <c r="E80" s="2">
        <v>0.84799999999999998</v>
      </c>
      <c r="F80" s="2">
        <v>2</v>
      </c>
    </row>
    <row r="81" spans="1:6" ht="14.25" customHeight="1">
      <c r="A81" s="2">
        <v>16</v>
      </c>
      <c r="B81" s="2">
        <v>80</v>
      </c>
      <c r="C81" s="2">
        <v>4</v>
      </c>
      <c r="D81" s="2">
        <v>1</v>
      </c>
      <c r="E81" s="2">
        <v>1.0980000000000001</v>
      </c>
      <c r="F81" s="2">
        <v>2</v>
      </c>
    </row>
    <row r="82" spans="1:6" ht="14.25" customHeight="1">
      <c r="A82" s="2">
        <v>16</v>
      </c>
      <c r="B82" s="2">
        <v>81</v>
      </c>
      <c r="C82" s="2">
        <v>5</v>
      </c>
      <c r="D82" s="2">
        <v>1</v>
      </c>
      <c r="E82" s="2">
        <v>0.627</v>
      </c>
      <c r="F82" s="2">
        <v>1</v>
      </c>
    </row>
    <row r="83" spans="1:6" ht="14.25" customHeight="1">
      <c r="A83" s="2">
        <v>16</v>
      </c>
      <c r="B83" s="2">
        <v>82</v>
      </c>
      <c r="C83" s="2">
        <v>6</v>
      </c>
      <c r="D83" s="2">
        <v>0</v>
      </c>
      <c r="E83" s="2">
        <v>0.71</v>
      </c>
      <c r="F83" s="2">
        <v>1</v>
      </c>
    </row>
    <row r="84" spans="1:6" ht="14.25" customHeight="1">
      <c r="A84" s="2">
        <v>16</v>
      </c>
      <c r="B84" s="2">
        <v>83</v>
      </c>
      <c r="C84" s="2">
        <v>4</v>
      </c>
      <c r="D84" s="2">
        <v>1</v>
      </c>
      <c r="E84" s="2">
        <v>0.64600000000000002</v>
      </c>
      <c r="F84" s="2">
        <v>2</v>
      </c>
    </row>
    <row r="85" spans="1:6" ht="14.25" customHeight="1">
      <c r="A85" s="2">
        <v>16</v>
      </c>
      <c r="B85" s="2">
        <v>84</v>
      </c>
      <c r="C85" s="2">
        <v>1</v>
      </c>
      <c r="D85" s="2">
        <v>1</v>
      </c>
      <c r="E85" s="2">
        <v>1.4890000000000001</v>
      </c>
      <c r="F85" s="2">
        <v>1</v>
      </c>
    </row>
    <row r="86" spans="1:6" ht="14.25" customHeight="1">
      <c r="A86" s="2">
        <v>16</v>
      </c>
      <c r="B86" s="2">
        <v>85</v>
      </c>
      <c r="C86" s="2">
        <v>5</v>
      </c>
      <c r="D86" s="2">
        <v>0</v>
      </c>
      <c r="E86" s="2">
        <v>1.353</v>
      </c>
      <c r="F86" s="2">
        <v>2</v>
      </c>
    </row>
    <row r="87" spans="1:6" ht="14.25" customHeight="1">
      <c r="A87" s="2">
        <v>16</v>
      </c>
      <c r="B87" s="2">
        <v>86</v>
      </c>
      <c r="C87" s="2">
        <v>2</v>
      </c>
      <c r="D87" s="2">
        <v>1</v>
      </c>
      <c r="E87" s="2">
        <v>1.167</v>
      </c>
      <c r="F87" s="2">
        <v>2</v>
      </c>
    </row>
    <row r="88" spans="1:6" ht="14.25" customHeight="1">
      <c r="A88" s="2">
        <v>16</v>
      </c>
      <c r="B88" s="2">
        <v>87</v>
      </c>
      <c r="C88" s="2">
        <v>3</v>
      </c>
      <c r="D88" s="2">
        <v>0</v>
      </c>
      <c r="E88" s="2">
        <v>1.3089999999999999</v>
      </c>
      <c r="F88" s="2">
        <v>2</v>
      </c>
    </row>
    <row r="89" spans="1:6" ht="14.25" customHeight="1">
      <c r="A89" s="2">
        <v>16</v>
      </c>
      <c r="B89" s="2">
        <v>88</v>
      </c>
      <c r="C89" s="2">
        <v>1</v>
      </c>
      <c r="D89" s="2">
        <v>0</v>
      </c>
      <c r="E89" s="2">
        <v>0.82199999999999995</v>
      </c>
      <c r="F89" s="2">
        <v>2</v>
      </c>
    </row>
    <row r="90" spans="1:6" ht="14.25" customHeight="1">
      <c r="A90" s="2">
        <v>16</v>
      </c>
      <c r="B90" s="2">
        <v>89</v>
      </c>
      <c r="C90" s="2">
        <v>5</v>
      </c>
      <c r="D90" s="2">
        <v>1</v>
      </c>
      <c r="E90" s="2">
        <v>1.609</v>
      </c>
      <c r="F90" s="2">
        <v>1</v>
      </c>
    </row>
    <row r="91" spans="1:6" ht="14.25" customHeight="1">
      <c r="A91" s="2">
        <v>16</v>
      </c>
      <c r="B91" s="2">
        <v>90</v>
      </c>
      <c r="C91" s="2">
        <v>7</v>
      </c>
      <c r="D91" s="2">
        <v>0</v>
      </c>
      <c r="E91" s="2">
        <v>1.2689999999999999</v>
      </c>
      <c r="F91" s="2">
        <v>2</v>
      </c>
    </row>
    <row r="92" spans="1:6" ht="14.25" customHeight="1">
      <c r="A92" s="2">
        <v>16</v>
      </c>
      <c r="B92" s="2">
        <v>91</v>
      </c>
      <c r="C92" s="2">
        <v>3</v>
      </c>
      <c r="D92" s="2">
        <v>1</v>
      </c>
      <c r="E92" s="2">
        <v>0.69499999999999995</v>
      </c>
      <c r="F92" s="2">
        <v>2</v>
      </c>
    </row>
    <row r="93" spans="1:6" ht="14.25" customHeight="1">
      <c r="A93" s="2">
        <v>16</v>
      </c>
      <c r="B93" s="2">
        <v>92</v>
      </c>
      <c r="C93" s="2">
        <v>2</v>
      </c>
      <c r="D93" s="2">
        <v>1</v>
      </c>
      <c r="E93" s="2">
        <v>1.264</v>
      </c>
      <c r="F93" s="2">
        <v>1</v>
      </c>
    </row>
    <row r="94" spans="1:6" ht="14.25" customHeight="1">
      <c r="A94" s="2">
        <v>16</v>
      </c>
      <c r="B94" s="2">
        <v>93</v>
      </c>
      <c r="C94" s="2">
        <v>8</v>
      </c>
      <c r="D94" s="2">
        <v>1</v>
      </c>
      <c r="E94" s="2">
        <v>1.242</v>
      </c>
      <c r="F94" s="2">
        <v>2</v>
      </c>
    </row>
    <row r="95" spans="1:6" ht="14.25" customHeight="1">
      <c r="A95" s="2">
        <v>16</v>
      </c>
      <c r="B95" s="2">
        <v>94</v>
      </c>
      <c r="C95" s="2">
        <v>4</v>
      </c>
      <c r="D95" s="2">
        <v>1</v>
      </c>
      <c r="E95" s="2">
        <v>1.0920000000000001</v>
      </c>
      <c r="F95" s="2">
        <v>2</v>
      </c>
    </row>
    <row r="96" spans="1:6" ht="14.25" customHeight="1">
      <c r="A96" s="2">
        <v>16</v>
      </c>
      <c r="B96" s="2">
        <v>95</v>
      </c>
      <c r="C96" s="2">
        <v>6</v>
      </c>
      <c r="D96" s="2">
        <v>1</v>
      </c>
      <c r="E96" s="2">
        <v>1.077</v>
      </c>
      <c r="F96" s="2">
        <v>1</v>
      </c>
    </row>
    <row r="97" spans="1:6" ht="14.25" customHeight="1">
      <c r="A97" s="2">
        <v>16</v>
      </c>
      <c r="B97" s="2">
        <v>96</v>
      </c>
      <c r="C97" s="2">
        <v>3</v>
      </c>
      <c r="D97" s="2">
        <v>1</v>
      </c>
      <c r="E97" s="2">
        <v>1.0629999999999999</v>
      </c>
      <c r="F97" s="2">
        <v>2</v>
      </c>
    </row>
    <row r="98" spans="1:6" ht="14.25" customHeight="1">
      <c r="A98" s="2">
        <v>16</v>
      </c>
      <c r="B98" s="2">
        <v>97</v>
      </c>
      <c r="C98" s="2">
        <v>2</v>
      </c>
      <c r="D98" s="2">
        <v>1</v>
      </c>
      <c r="E98" s="2">
        <v>0.90400000000000003</v>
      </c>
      <c r="F98" s="2">
        <v>1</v>
      </c>
    </row>
    <row r="99" spans="1:6" ht="14.25" customHeight="1">
      <c r="A99" s="2">
        <v>16</v>
      </c>
      <c r="B99" s="2">
        <v>98</v>
      </c>
      <c r="C99" s="2">
        <v>5</v>
      </c>
      <c r="D99" s="2">
        <v>1</v>
      </c>
      <c r="E99" s="2">
        <v>0.68799999999999994</v>
      </c>
      <c r="F99" s="2">
        <v>2</v>
      </c>
    </row>
    <row r="100" spans="1:6" ht="14.25" customHeight="1">
      <c r="A100" s="2">
        <v>16</v>
      </c>
      <c r="B100" s="2">
        <v>99</v>
      </c>
      <c r="C100" s="2">
        <v>4</v>
      </c>
      <c r="D100" s="2">
        <v>0</v>
      </c>
      <c r="E100" s="2">
        <v>0.79300000000000004</v>
      </c>
      <c r="F100" s="2">
        <v>2</v>
      </c>
    </row>
    <row r="101" spans="1:6" ht="14.25" customHeight="1">
      <c r="A101" s="2">
        <v>16</v>
      </c>
      <c r="B101" s="2">
        <v>100</v>
      </c>
      <c r="C101" s="2">
        <v>2</v>
      </c>
      <c r="D101" s="2">
        <v>1</v>
      </c>
      <c r="E101" s="2">
        <v>0.83799999999999997</v>
      </c>
      <c r="F101" s="2">
        <v>1</v>
      </c>
    </row>
    <row r="102" spans="1:6" ht="14.25" customHeight="1">
      <c r="A102" s="2">
        <v>16</v>
      </c>
      <c r="B102" s="2">
        <v>101</v>
      </c>
      <c r="C102" s="2">
        <v>5</v>
      </c>
      <c r="D102" s="2">
        <v>0</v>
      </c>
      <c r="E102" s="2">
        <v>1.76</v>
      </c>
      <c r="F102" s="2">
        <v>1</v>
      </c>
    </row>
    <row r="103" spans="1:6" ht="14.25" customHeight="1">
      <c r="A103" s="2">
        <v>16</v>
      </c>
      <c r="B103" s="2">
        <v>102</v>
      </c>
      <c r="C103" s="2">
        <v>6</v>
      </c>
      <c r="D103" s="2">
        <v>1</v>
      </c>
      <c r="E103" s="2">
        <v>0.65300000000000002</v>
      </c>
      <c r="F103" s="2">
        <v>2</v>
      </c>
    </row>
    <row r="104" spans="1:6" ht="14.25" customHeight="1">
      <c r="A104" s="2">
        <v>16</v>
      </c>
      <c r="B104" s="2">
        <v>103</v>
      </c>
      <c r="C104" s="2">
        <v>2</v>
      </c>
      <c r="D104" s="2">
        <v>1</v>
      </c>
      <c r="E104" s="2">
        <v>0.57499999999999996</v>
      </c>
      <c r="F104" s="2">
        <v>2</v>
      </c>
    </row>
    <row r="105" spans="1:6" ht="14.25" customHeight="1">
      <c r="A105" s="2">
        <v>16</v>
      </c>
      <c r="B105" s="2">
        <v>104</v>
      </c>
      <c r="C105" s="2">
        <v>6</v>
      </c>
      <c r="D105" s="2">
        <v>0</v>
      </c>
      <c r="E105" s="2">
        <v>0.85199999999999998</v>
      </c>
      <c r="F105" s="2">
        <v>2</v>
      </c>
    </row>
    <row r="106" spans="1:6" ht="14.25" customHeight="1">
      <c r="A106" s="2">
        <v>16</v>
      </c>
      <c r="B106" s="2">
        <v>105</v>
      </c>
      <c r="C106" s="2">
        <v>5</v>
      </c>
      <c r="D106" s="2">
        <v>1</v>
      </c>
      <c r="E106" s="2">
        <v>0.98199999999999998</v>
      </c>
      <c r="F106" s="2">
        <v>2</v>
      </c>
    </row>
    <row r="107" spans="1:6" ht="14.25" customHeight="1">
      <c r="A107" s="2">
        <v>16</v>
      </c>
      <c r="B107" s="2">
        <v>106</v>
      </c>
      <c r="C107" s="2">
        <v>4</v>
      </c>
      <c r="D107" s="2">
        <v>0</v>
      </c>
      <c r="E107" s="2">
        <v>0.98799999999999999</v>
      </c>
      <c r="F107" s="2">
        <v>1</v>
      </c>
    </row>
    <row r="108" spans="1:6" ht="14.25" customHeight="1">
      <c r="A108" s="2">
        <v>16</v>
      </c>
      <c r="B108" s="2">
        <v>107</v>
      </c>
      <c r="C108" s="2">
        <v>7</v>
      </c>
      <c r="D108" s="2">
        <v>1</v>
      </c>
      <c r="E108" s="2">
        <v>1.153</v>
      </c>
      <c r="F108" s="2">
        <v>2</v>
      </c>
    </row>
    <row r="109" spans="1:6" ht="14.25" customHeight="1">
      <c r="A109" s="2">
        <v>16</v>
      </c>
      <c r="B109" s="2">
        <v>108</v>
      </c>
      <c r="C109" s="2">
        <v>5</v>
      </c>
      <c r="D109" s="2">
        <v>1</v>
      </c>
      <c r="E109" s="2">
        <v>0.71799999999999997</v>
      </c>
      <c r="F109" s="2">
        <v>2</v>
      </c>
    </row>
    <row r="110" spans="1:6" ht="14.25" customHeight="1">
      <c r="A110" s="2">
        <v>16</v>
      </c>
      <c r="B110" s="2">
        <v>109</v>
      </c>
      <c r="C110" s="2">
        <v>4</v>
      </c>
      <c r="D110" s="2">
        <v>1</v>
      </c>
      <c r="E110" s="2">
        <v>0.80700000000000005</v>
      </c>
      <c r="F110" s="2">
        <v>1</v>
      </c>
    </row>
    <row r="111" spans="1:6" ht="14.25" customHeight="1">
      <c r="A111" s="2">
        <v>16</v>
      </c>
      <c r="B111" s="2">
        <v>110</v>
      </c>
      <c r="C111" s="2">
        <v>2</v>
      </c>
      <c r="D111" s="2">
        <v>0</v>
      </c>
      <c r="E111" s="2">
        <v>0.97099999999999997</v>
      </c>
      <c r="F111" s="2">
        <v>1</v>
      </c>
    </row>
    <row r="112" spans="1:6" ht="14.25" customHeight="1">
      <c r="A112" s="2">
        <v>16</v>
      </c>
      <c r="B112" s="2">
        <v>111</v>
      </c>
      <c r="C112" s="2">
        <v>8</v>
      </c>
      <c r="D112" s="2">
        <v>0</v>
      </c>
      <c r="E112" s="2">
        <v>0.76700000000000002</v>
      </c>
      <c r="F112" s="2">
        <v>2</v>
      </c>
    </row>
    <row r="113" spans="1:6" ht="14.25" customHeight="1">
      <c r="A113" s="2">
        <v>16</v>
      </c>
      <c r="B113" s="2">
        <v>112</v>
      </c>
      <c r="C113" s="2">
        <v>7</v>
      </c>
      <c r="D113" s="2">
        <v>1</v>
      </c>
      <c r="E113" s="2">
        <v>1.429</v>
      </c>
      <c r="F113" s="2">
        <v>2</v>
      </c>
    </row>
    <row r="114" spans="1:6" ht="14.25" customHeight="1">
      <c r="A114" s="2">
        <v>16</v>
      </c>
      <c r="B114" s="2">
        <v>113</v>
      </c>
      <c r="C114" s="2">
        <v>4</v>
      </c>
      <c r="D114" s="2">
        <v>1</v>
      </c>
      <c r="E114" s="2">
        <v>1.0409999999999999</v>
      </c>
      <c r="F114" s="2">
        <v>1</v>
      </c>
    </row>
    <row r="115" spans="1:6" ht="14.25" customHeight="1">
      <c r="A115" s="2">
        <v>16</v>
      </c>
      <c r="B115" s="2">
        <v>114</v>
      </c>
      <c r="C115" s="2">
        <v>7</v>
      </c>
      <c r="D115" s="2">
        <v>1</v>
      </c>
      <c r="E115" s="2">
        <v>1.5309999999999999</v>
      </c>
      <c r="F115" s="2">
        <v>2</v>
      </c>
    </row>
    <row r="116" spans="1:6" ht="14.25" customHeight="1">
      <c r="A116" s="2">
        <v>16</v>
      </c>
      <c r="B116" s="2">
        <v>115</v>
      </c>
      <c r="C116" s="2">
        <v>5</v>
      </c>
      <c r="D116" s="2">
        <v>0</v>
      </c>
      <c r="E116" s="2">
        <v>1.6739999999999999</v>
      </c>
      <c r="F116" s="2">
        <v>1</v>
      </c>
    </row>
    <row r="117" spans="1:6" ht="14.25" customHeight="1">
      <c r="A117" s="2">
        <v>16</v>
      </c>
      <c r="B117" s="2">
        <v>116</v>
      </c>
      <c r="C117" s="2">
        <v>2</v>
      </c>
      <c r="D117" s="2">
        <v>1</v>
      </c>
      <c r="E117" s="2">
        <v>0.74</v>
      </c>
      <c r="F117" s="2">
        <v>1</v>
      </c>
    </row>
    <row r="118" spans="1:6" ht="14.25" customHeight="1">
      <c r="A118" s="2">
        <v>16</v>
      </c>
      <c r="B118" s="2">
        <v>117</v>
      </c>
      <c r="C118" s="2">
        <v>1</v>
      </c>
      <c r="D118" s="2">
        <v>0</v>
      </c>
      <c r="E118" s="2">
        <v>1.4350000000000001</v>
      </c>
      <c r="F118" s="2">
        <v>2</v>
      </c>
    </row>
    <row r="119" spans="1:6" ht="14.25" customHeight="1">
      <c r="A119" s="2">
        <v>16</v>
      </c>
      <c r="B119" s="2">
        <v>118</v>
      </c>
      <c r="C119" s="2">
        <v>8</v>
      </c>
      <c r="D119" s="2">
        <v>1</v>
      </c>
      <c r="E119" s="2">
        <v>1.5409999999999999</v>
      </c>
      <c r="F119" s="2">
        <v>2</v>
      </c>
    </row>
    <row r="120" spans="1:6" ht="14.25" customHeight="1">
      <c r="A120" s="2">
        <v>16</v>
      </c>
      <c r="B120" s="2">
        <v>119</v>
      </c>
      <c r="C120" s="2">
        <v>3</v>
      </c>
      <c r="D120" s="2">
        <v>0</v>
      </c>
      <c r="E120" s="2">
        <v>1.42</v>
      </c>
      <c r="F120" s="2">
        <v>1</v>
      </c>
    </row>
    <row r="121" spans="1:6" ht="14.25" customHeight="1">
      <c r="A121" s="2">
        <v>16</v>
      </c>
      <c r="B121" s="2">
        <v>120</v>
      </c>
      <c r="C121" s="2">
        <v>6</v>
      </c>
      <c r="D121" s="2">
        <v>0</v>
      </c>
      <c r="E121" s="2">
        <v>1.304</v>
      </c>
      <c r="F121" s="2">
        <v>2</v>
      </c>
    </row>
    <row r="122" spans="1:6" ht="14.25" customHeight="1">
      <c r="A122" s="2">
        <v>16</v>
      </c>
      <c r="B122" s="2">
        <v>121</v>
      </c>
      <c r="C122" s="2">
        <v>7</v>
      </c>
      <c r="D122" s="2">
        <v>0</v>
      </c>
      <c r="E122" s="2">
        <v>1.464</v>
      </c>
      <c r="F122" s="2">
        <v>2</v>
      </c>
    </row>
    <row r="123" spans="1:6" ht="14.25" customHeight="1">
      <c r="A123" s="2">
        <v>16</v>
      </c>
      <c r="B123" s="2">
        <v>122</v>
      </c>
      <c r="C123" s="2">
        <v>8</v>
      </c>
      <c r="D123" s="2">
        <v>0</v>
      </c>
      <c r="E123" s="2">
        <v>1.659</v>
      </c>
      <c r="F123" s="2">
        <v>1</v>
      </c>
    </row>
    <row r="124" spans="1:6" ht="14.25" customHeight="1">
      <c r="A124" s="2">
        <v>16</v>
      </c>
      <c r="B124" s="2">
        <v>123</v>
      </c>
      <c r="C124" s="2">
        <v>4</v>
      </c>
      <c r="D124" s="2">
        <v>1</v>
      </c>
      <c r="E124" s="2">
        <v>1.6359999999999999</v>
      </c>
      <c r="F124" s="2">
        <v>1</v>
      </c>
    </row>
    <row r="125" spans="1:6" ht="14.25" customHeight="1">
      <c r="A125" s="2">
        <v>16</v>
      </c>
      <c r="B125" s="2">
        <v>124</v>
      </c>
      <c r="C125" s="2">
        <v>8</v>
      </c>
      <c r="D125" s="2">
        <v>1</v>
      </c>
      <c r="E125" s="2">
        <v>1.151</v>
      </c>
      <c r="F125" s="2">
        <v>2</v>
      </c>
    </row>
    <row r="126" spans="1:6" ht="14.25" customHeight="1">
      <c r="A126" s="2">
        <v>16</v>
      </c>
      <c r="B126" s="2">
        <v>125</v>
      </c>
      <c r="C126" s="2">
        <v>3</v>
      </c>
      <c r="D126" s="2">
        <v>0</v>
      </c>
      <c r="E126" s="2">
        <v>1.1579999999999999</v>
      </c>
      <c r="F126" s="2">
        <v>2</v>
      </c>
    </row>
    <row r="127" spans="1:6" ht="14.25" customHeight="1">
      <c r="A127" s="2">
        <v>16</v>
      </c>
      <c r="B127" s="2">
        <v>126</v>
      </c>
      <c r="C127" s="2">
        <v>2</v>
      </c>
      <c r="D127" s="2">
        <v>0</v>
      </c>
      <c r="E127" s="2">
        <v>1.3240000000000001</v>
      </c>
      <c r="F127" s="2">
        <v>2</v>
      </c>
    </row>
    <row r="128" spans="1:6" ht="14.25" customHeight="1">
      <c r="A128" s="2">
        <v>16</v>
      </c>
      <c r="B128" s="2">
        <v>127</v>
      </c>
      <c r="C128" s="2">
        <v>4</v>
      </c>
      <c r="D128" s="2">
        <v>1</v>
      </c>
      <c r="E128" s="2">
        <v>0.89200000000000002</v>
      </c>
      <c r="F128" s="2">
        <v>2</v>
      </c>
    </row>
    <row r="129" spans="1:6" ht="14.25" customHeight="1">
      <c r="A129" s="2">
        <v>16</v>
      </c>
      <c r="B129" s="2">
        <v>128</v>
      </c>
      <c r="C129" s="2">
        <v>1</v>
      </c>
      <c r="D129" s="2">
        <v>1</v>
      </c>
      <c r="E129" s="2">
        <v>1.3240000000000001</v>
      </c>
      <c r="F129" s="2">
        <v>1</v>
      </c>
    </row>
    <row r="130" spans="1:6" ht="14.25" customHeight="1">
      <c r="A130" s="2">
        <v>16</v>
      </c>
      <c r="B130" s="2">
        <v>129</v>
      </c>
      <c r="C130" s="2">
        <v>3</v>
      </c>
      <c r="D130" s="2">
        <v>1</v>
      </c>
      <c r="E130" s="2">
        <v>0.69099999999999995</v>
      </c>
      <c r="F130" s="2">
        <v>2</v>
      </c>
    </row>
    <row r="131" spans="1:6" ht="14.25" customHeight="1">
      <c r="A131" s="2">
        <v>16</v>
      </c>
      <c r="B131" s="2">
        <v>130</v>
      </c>
      <c r="C131" s="2">
        <v>6</v>
      </c>
      <c r="D131" s="2">
        <v>0</v>
      </c>
      <c r="E131" s="2">
        <v>1.5</v>
      </c>
      <c r="F131" s="2">
        <v>1</v>
      </c>
    </row>
    <row r="132" spans="1:6" ht="14.25" customHeight="1">
      <c r="A132" s="2">
        <v>16</v>
      </c>
      <c r="B132" s="2">
        <v>131</v>
      </c>
      <c r="C132" s="2">
        <v>3</v>
      </c>
      <c r="D132" s="2">
        <v>0</v>
      </c>
      <c r="E132" s="2">
        <v>0.79700000000000004</v>
      </c>
      <c r="F132" s="2">
        <v>2</v>
      </c>
    </row>
    <row r="133" spans="1:6" ht="14.25" customHeight="1">
      <c r="A133" s="2">
        <v>16</v>
      </c>
      <c r="B133" s="2">
        <v>132</v>
      </c>
      <c r="C133" s="2">
        <v>5</v>
      </c>
      <c r="D133" s="2">
        <v>1</v>
      </c>
      <c r="E133" s="2">
        <v>0.88100000000000001</v>
      </c>
      <c r="F133" s="2">
        <v>2</v>
      </c>
    </row>
    <row r="134" spans="1:6" ht="14.25" customHeight="1">
      <c r="A134" s="2">
        <v>16</v>
      </c>
      <c r="B134" s="2">
        <v>133</v>
      </c>
      <c r="C134" s="2">
        <v>3</v>
      </c>
      <c r="D134" s="2">
        <v>1</v>
      </c>
      <c r="E134" s="2">
        <v>0.69</v>
      </c>
      <c r="F134" s="2">
        <v>2</v>
      </c>
    </row>
    <row r="135" spans="1:6" ht="14.25" customHeight="1">
      <c r="A135" s="2">
        <v>16</v>
      </c>
      <c r="B135" s="2">
        <v>134</v>
      </c>
      <c r="C135" s="2">
        <v>6</v>
      </c>
      <c r="D135" s="2">
        <v>0</v>
      </c>
      <c r="E135" s="2">
        <v>1.5549999999999999</v>
      </c>
      <c r="F135" s="2">
        <v>2</v>
      </c>
    </row>
    <row r="136" spans="1:6" ht="14.25" customHeight="1">
      <c r="A136" s="2">
        <v>16</v>
      </c>
      <c r="B136" s="2">
        <v>135</v>
      </c>
      <c r="C136" s="2">
        <v>8</v>
      </c>
      <c r="D136" s="2">
        <v>1</v>
      </c>
      <c r="E136" s="2">
        <v>1.5129999999999999</v>
      </c>
      <c r="F136" s="2">
        <v>1</v>
      </c>
    </row>
    <row r="137" spans="1:6" ht="14.25" customHeight="1">
      <c r="A137" s="2">
        <v>16</v>
      </c>
      <c r="B137" s="2">
        <v>136</v>
      </c>
      <c r="C137" s="2">
        <v>1</v>
      </c>
      <c r="D137" s="2">
        <v>1</v>
      </c>
      <c r="E137" s="2">
        <v>1.2569999999999999</v>
      </c>
      <c r="F137" s="2">
        <v>2</v>
      </c>
    </row>
    <row r="138" spans="1:6" ht="14.25" customHeight="1">
      <c r="A138" s="2">
        <v>16</v>
      </c>
      <c r="B138" s="2">
        <v>137</v>
      </c>
      <c r="C138" s="2">
        <v>5</v>
      </c>
      <c r="D138" s="2">
        <v>0</v>
      </c>
      <c r="E138" s="2">
        <v>1.395</v>
      </c>
      <c r="F138" s="2">
        <v>2</v>
      </c>
    </row>
    <row r="139" spans="1:6" ht="14.25" customHeight="1">
      <c r="A139" s="2">
        <v>16</v>
      </c>
      <c r="B139" s="2">
        <v>138</v>
      </c>
      <c r="C139" s="2">
        <v>3</v>
      </c>
      <c r="D139" s="2">
        <v>0</v>
      </c>
      <c r="E139" s="2">
        <v>1.28</v>
      </c>
      <c r="F139" s="2">
        <v>2</v>
      </c>
    </row>
    <row r="140" spans="1:6" ht="14.25" customHeight="1">
      <c r="A140" s="2">
        <v>16</v>
      </c>
      <c r="B140" s="2">
        <v>139</v>
      </c>
      <c r="C140" s="2">
        <v>1</v>
      </c>
      <c r="D140" s="2">
        <v>1</v>
      </c>
      <c r="E140" s="2">
        <v>1.321</v>
      </c>
      <c r="F140" s="2">
        <v>1</v>
      </c>
    </row>
    <row r="141" spans="1:6" ht="14.25" customHeight="1">
      <c r="A141" s="2">
        <v>16</v>
      </c>
      <c r="B141" s="2">
        <v>140</v>
      </c>
      <c r="C141" s="2">
        <v>4</v>
      </c>
      <c r="D141" s="2">
        <v>1</v>
      </c>
      <c r="E141" s="2">
        <v>0.94399999999999995</v>
      </c>
      <c r="F141" s="2">
        <v>1</v>
      </c>
    </row>
    <row r="142" spans="1:6" ht="14.25" customHeight="1">
      <c r="A142" s="2">
        <v>16</v>
      </c>
      <c r="B142" s="2">
        <v>141</v>
      </c>
      <c r="C142" s="2">
        <v>2</v>
      </c>
      <c r="D142" s="2">
        <v>1</v>
      </c>
      <c r="E142" s="2">
        <v>0.44700000000000001</v>
      </c>
      <c r="F142" s="2">
        <v>2</v>
      </c>
    </row>
    <row r="143" spans="1:6" ht="14.25" customHeight="1">
      <c r="A143" s="2">
        <v>16</v>
      </c>
      <c r="B143" s="2">
        <v>142</v>
      </c>
      <c r="C143" s="2">
        <v>7</v>
      </c>
      <c r="D143" s="2">
        <v>1</v>
      </c>
      <c r="E143" s="2">
        <v>0.69799999999999995</v>
      </c>
      <c r="F143" s="2">
        <v>1</v>
      </c>
    </row>
    <row r="144" spans="1:6" ht="14.25" customHeight="1">
      <c r="A144" s="2">
        <v>16</v>
      </c>
      <c r="B144" s="2">
        <v>143</v>
      </c>
      <c r="C144" s="2">
        <v>2</v>
      </c>
      <c r="D144" s="2">
        <v>0</v>
      </c>
      <c r="E144" s="2">
        <v>0.83399999999999996</v>
      </c>
      <c r="F144" s="2">
        <v>1</v>
      </c>
    </row>
    <row r="145" spans="1:6" ht="14.25" customHeight="1">
      <c r="A145" s="2">
        <v>16</v>
      </c>
      <c r="B145" s="2">
        <v>144</v>
      </c>
      <c r="C145" s="2">
        <v>3</v>
      </c>
      <c r="D145" s="2">
        <v>1</v>
      </c>
      <c r="E145" s="2">
        <v>0.71799999999999997</v>
      </c>
      <c r="F145" s="2">
        <v>2</v>
      </c>
    </row>
    <row r="146" spans="1:6" ht="14.25" customHeight="1">
      <c r="A146" s="2">
        <v>16</v>
      </c>
      <c r="B146" s="2">
        <v>145</v>
      </c>
      <c r="C146" s="2">
        <v>6</v>
      </c>
      <c r="D146" s="2">
        <v>1</v>
      </c>
      <c r="E146" s="2">
        <v>0.51</v>
      </c>
      <c r="F146" s="2">
        <v>1</v>
      </c>
    </row>
    <row r="147" spans="1:6" ht="14.25" customHeight="1">
      <c r="A147" s="2">
        <v>16</v>
      </c>
      <c r="B147" s="2">
        <v>146</v>
      </c>
      <c r="C147" s="2">
        <v>1</v>
      </c>
      <c r="D147" s="2">
        <v>1</v>
      </c>
      <c r="E147" s="2">
        <v>0.99</v>
      </c>
      <c r="F147" s="2">
        <v>2</v>
      </c>
    </row>
    <row r="148" spans="1:6" ht="14.25" customHeight="1">
      <c r="A148" s="2">
        <v>16</v>
      </c>
      <c r="B148" s="2">
        <v>147</v>
      </c>
      <c r="C148" s="2">
        <v>7</v>
      </c>
      <c r="D148" s="2">
        <v>1</v>
      </c>
      <c r="E148" s="2">
        <v>0.56999999999999995</v>
      </c>
      <c r="F148" s="2">
        <v>1</v>
      </c>
    </row>
    <row r="149" spans="1:6" ht="14.25" customHeight="1">
      <c r="A149" s="2">
        <v>16</v>
      </c>
      <c r="B149" s="2">
        <v>148</v>
      </c>
      <c r="C149" s="2">
        <v>1</v>
      </c>
      <c r="D149" s="2">
        <v>1</v>
      </c>
      <c r="E149" s="2">
        <v>0.70399999999999996</v>
      </c>
      <c r="F149" s="2">
        <v>2</v>
      </c>
    </row>
    <row r="150" spans="1:6" ht="14.25" customHeight="1">
      <c r="A150" s="2">
        <v>16</v>
      </c>
      <c r="B150" s="2">
        <v>149</v>
      </c>
      <c r="C150" s="2">
        <v>8</v>
      </c>
      <c r="D150" s="2">
        <v>0</v>
      </c>
      <c r="E150" s="2">
        <v>1.329</v>
      </c>
      <c r="F150" s="2">
        <v>2</v>
      </c>
    </row>
    <row r="151" spans="1:6" ht="14.25" customHeight="1">
      <c r="A151" s="2">
        <v>16</v>
      </c>
      <c r="B151" s="2">
        <v>150</v>
      </c>
      <c r="C151" s="2">
        <v>3</v>
      </c>
      <c r="D151" s="2">
        <v>1</v>
      </c>
      <c r="E151" s="2">
        <v>0.56699999999999995</v>
      </c>
      <c r="F151" s="2">
        <v>1</v>
      </c>
    </row>
    <row r="152" spans="1:6" ht="14.25" customHeight="1">
      <c r="A152" s="2">
        <v>16</v>
      </c>
      <c r="B152" s="2">
        <v>151</v>
      </c>
      <c r="C152" s="2">
        <v>2</v>
      </c>
      <c r="D152" s="2">
        <v>1</v>
      </c>
      <c r="E152" s="2">
        <v>1.2450000000000001</v>
      </c>
      <c r="F152" s="2">
        <v>2</v>
      </c>
    </row>
    <row r="153" spans="1:6" ht="14.25" customHeight="1">
      <c r="A153" s="2">
        <v>16</v>
      </c>
      <c r="B153" s="2">
        <v>152</v>
      </c>
      <c r="C153" s="2">
        <v>1</v>
      </c>
      <c r="D153" s="2">
        <v>1</v>
      </c>
      <c r="E153" s="2">
        <v>1.1830000000000001</v>
      </c>
      <c r="F153" s="2">
        <v>2</v>
      </c>
    </row>
    <row r="154" spans="1:6" ht="14.25" customHeight="1">
      <c r="A154" s="2">
        <v>16</v>
      </c>
      <c r="B154" s="2">
        <v>153</v>
      </c>
      <c r="C154" s="2">
        <v>8</v>
      </c>
      <c r="D154" s="2">
        <v>1</v>
      </c>
      <c r="E154" s="2">
        <v>1.133</v>
      </c>
      <c r="F154" s="2">
        <v>2</v>
      </c>
    </row>
    <row r="155" spans="1:6" ht="14.25" customHeight="1">
      <c r="A155" s="2">
        <v>16</v>
      </c>
      <c r="B155" s="2">
        <v>154</v>
      </c>
      <c r="C155" s="2">
        <v>3</v>
      </c>
      <c r="D155" s="2">
        <v>1</v>
      </c>
      <c r="E155" s="2">
        <v>1.052</v>
      </c>
      <c r="F155" s="2">
        <v>1</v>
      </c>
    </row>
    <row r="156" spans="1:6" ht="14.25" customHeight="1">
      <c r="A156" s="2">
        <v>16</v>
      </c>
      <c r="B156" s="2">
        <v>155</v>
      </c>
      <c r="C156" s="2">
        <v>5</v>
      </c>
      <c r="D156" s="2">
        <v>1</v>
      </c>
      <c r="E156" s="2">
        <v>0.86299999999999999</v>
      </c>
      <c r="F156" s="2">
        <v>2</v>
      </c>
    </row>
    <row r="157" spans="1:6" ht="14.25" customHeight="1">
      <c r="A157" s="2">
        <v>16</v>
      </c>
      <c r="B157" s="2">
        <v>156</v>
      </c>
      <c r="C157" s="2">
        <v>4</v>
      </c>
      <c r="D157" s="2">
        <v>0</v>
      </c>
      <c r="E157" s="2">
        <v>0.84799999999999998</v>
      </c>
      <c r="F157" s="2">
        <v>1</v>
      </c>
    </row>
    <row r="158" spans="1:6" ht="14.25" customHeight="1">
      <c r="A158" s="2">
        <v>16</v>
      </c>
      <c r="B158" s="2">
        <v>157</v>
      </c>
      <c r="C158" s="2">
        <v>8</v>
      </c>
      <c r="D158" s="2">
        <v>0</v>
      </c>
      <c r="E158" s="2">
        <v>1.411</v>
      </c>
      <c r="F158" s="2">
        <v>1</v>
      </c>
    </row>
    <row r="159" spans="1:6" ht="14.25" customHeight="1">
      <c r="A159" s="2">
        <v>16</v>
      </c>
      <c r="B159" s="2">
        <v>158</v>
      </c>
      <c r="C159" s="2">
        <v>5</v>
      </c>
      <c r="D159" s="2">
        <v>1</v>
      </c>
      <c r="E159" s="2">
        <v>0.60699999999999998</v>
      </c>
      <c r="F159" s="2">
        <v>2</v>
      </c>
    </row>
    <row r="160" spans="1:6" ht="14.25" customHeight="1">
      <c r="A160" s="2">
        <v>16</v>
      </c>
      <c r="B160" s="2">
        <v>159</v>
      </c>
      <c r="C160" s="2">
        <v>7</v>
      </c>
      <c r="D160" s="2">
        <v>1</v>
      </c>
      <c r="E160" s="2">
        <v>0.81899999999999995</v>
      </c>
      <c r="F160" s="2">
        <v>1</v>
      </c>
    </row>
    <row r="161" spans="1:6" ht="14.25" customHeight="1">
      <c r="A161" s="2">
        <v>16</v>
      </c>
      <c r="B161" s="2">
        <v>160</v>
      </c>
      <c r="C161" s="2">
        <v>1</v>
      </c>
      <c r="D161" s="2">
        <v>0</v>
      </c>
      <c r="E161" s="2">
        <v>0.98299999999999998</v>
      </c>
      <c r="F161" s="2">
        <v>1</v>
      </c>
    </row>
    <row r="162" spans="1:6" ht="14.25" customHeight="1">
      <c r="A162" s="2">
        <v>16</v>
      </c>
      <c r="B162" s="2">
        <v>161</v>
      </c>
      <c r="C162" s="2">
        <v>5</v>
      </c>
      <c r="D162" s="2">
        <v>0</v>
      </c>
      <c r="E162" s="2">
        <v>0.81200000000000006</v>
      </c>
      <c r="F162" s="2">
        <v>2</v>
      </c>
    </row>
    <row r="163" spans="1:6" ht="14.25" customHeight="1">
      <c r="A163" s="2">
        <v>16</v>
      </c>
      <c r="B163" s="2">
        <v>162</v>
      </c>
      <c r="C163" s="2">
        <v>1</v>
      </c>
      <c r="D163" s="2">
        <v>0</v>
      </c>
      <c r="E163" s="2">
        <v>0.90400000000000003</v>
      </c>
      <c r="F163" s="2">
        <v>1</v>
      </c>
    </row>
    <row r="164" spans="1:6" ht="14.25" customHeight="1">
      <c r="A164" s="2">
        <v>16</v>
      </c>
      <c r="B164" s="2">
        <v>163</v>
      </c>
      <c r="C164" s="2">
        <v>4</v>
      </c>
      <c r="D164" s="2">
        <v>1</v>
      </c>
      <c r="E164" s="2">
        <v>1.512</v>
      </c>
      <c r="F164" s="2">
        <v>1</v>
      </c>
    </row>
    <row r="165" spans="1:6" ht="14.25" customHeight="1">
      <c r="A165" s="2">
        <v>16</v>
      </c>
      <c r="B165" s="2">
        <v>164</v>
      </c>
      <c r="C165" s="2">
        <v>3</v>
      </c>
      <c r="D165" s="2">
        <v>1</v>
      </c>
      <c r="E165" s="2">
        <v>0.83099999999999996</v>
      </c>
      <c r="F165" s="2">
        <v>2</v>
      </c>
    </row>
    <row r="166" spans="1:6" ht="14.25" customHeight="1">
      <c r="A166" s="2">
        <v>16</v>
      </c>
      <c r="B166" s="2">
        <v>165</v>
      </c>
      <c r="C166" s="2">
        <v>7</v>
      </c>
      <c r="D166" s="2">
        <v>1</v>
      </c>
      <c r="E166" s="2">
        <v>1.107</v>
      </c>
      <c r="F166" s="2">
        <v>2</v>
      </c>
    </row>
    <row r="167" spans="1:6" ht="14.25" customHeight="1">
      <c r="A167" s="2">
        <v>16</v>
      </c>
      <c r="B167" s="2">
        <v>166</v>
      </c>
      <c r="C167" s="2">
        <v>8</v>
      </c>
      <c r="D167" s="2">
        <v>1</v>
      </c>
      <c r="E167" s="2">
        <v>0.86699999999999999</v>
      </c>
      <c r="F167" s="2">
        <v>1</v>
      </c>
    </row>
    <row r="168" spans="1:6" ht="14.25" customHeight="1">
      <c r="A168" s="2">
        <v>16</v>
      </c>
      <c r="B168" s="2">
        <v>167</v>
      </c>
      <c r="C168" s="2">
        <v>3</v>
      </c>
      <c r="D168" s="2">
        <v>1</v>
      </c>
      <c r="E168" s="2">
        <v>0.64500000000000002</v>
      </c>
      <c r="F168" s="2">
        <v>1</v>
      </c>
    </row>
    <row r="169" spans="1:6" ht="14.25" customHeight="1">
      <c r="A169" s="2">
        <v>16</v>
      </c>
      <c r="B169" s="2">
        <v>168</v>
      </c>
      <c r="C169" s="2">
        <v>8</v>
      </c>
      <c r="D169" s="2">
        <v>1</v>
      </c>
      <c r="E169" s="2">
        <v>0.70399999999999996</v>
      </c>
      <c r="F169" s="2">
        <v>2</v>
      </c>
    </row>
    <row r="170" spans="1:6" ht="14.25" customHeight="1">
      <c r="A170" s="2">
        <v>16</v>
      </c>
      <c r="B170" s="2">
        <v>169</v>
      </c>
      <c r="C170" s="2">
        <v>6</v>
      </c>
      <c r="D170" s="2">
        <v>0</v>
      </c>
      <c r="E170" s="2">
        <v>1.1759999999999999</v>
      </c>
      <c r="F170" s="2">
        <v>1</v>
      </c>
    </row>
    <row r="171" spans="1:6" ht="14.25" customHeight="1">
      <c r="A171" s="2">
        <v>16</v>
      </c>
      <c r="B171" s="2">
        <v>170</v>
      </c>
      <c r="C171" s="2">
        <v>8</v>
      </c>
      <c r="D171" s="2">
        <v>0</v>
      </c>
      <c r="E171" s="2">
        <v>0.85299999999999998</v>
      </c>
      <c r="F171" s="2">
        <v>2</v>
      </c>
    </row>
    <row r="172" spans="1:6" ht="14.25" customHeight="1">
      <c r="A172" s="2">
        <v>16</v>
      </c>
      <c r="B172" s="2">
        <v>171</v>
      </c>
      <c r="C172" s="2">
        <v>4</v>
      </c>
      <c r="D172" s="2">
        <v>1</v>
      </c>
      <c r="E172" s="2">
        <v>1.1990000000000001</v>
      </c>
      <c r="F172" s="2">
        <v>1</v>
      </c>
    </row>
    <row r="173" spans="1:6" ht="14.25" customHeight="1">
      <c r="A173" s="2">
        <v>16</v>
      </c>
      <c r="B173" s="2">
        <v>172</v>
      </c>
      <c r="C173" s="2">
        <v>6</v>
      </c>
      <c r="D173" s="2">
        <v>1</v>
      </c>
      <c r="E173" s="2">
        <v>1.1399999999999999</v>
      </c>
      <c r="F173" s="2">
        <v>2</v>
      </c>
    </row>
    <row r="174" spans="1:6" ht="14.25" customHeight="1">
      <c r="A174" s="2">
        <v>16</v>
      </c>
      <c r="B174" s="2">
        <v>173</v>
      </c>
      <c r="C174" s="2">
        <v>4</v>
      </c>
      <c r="D174" s="2">
        <v>1</v>
      </c>
      <c r="E174" s="2">
        <v>0.91400000000000003</v>
      </c>
      <c r="F174" s="2">
        <v>1</v>
      </c>
    </row>
    <row r="175" spans="1:6" ht="14.25" customHeight="1">
      <c r="A175" s="2">
        <v>16</v>
      </c>
      <c r="B175" s="2">
        <v>174</v>
      </c>
      <c r="C175" s="2">
        <v>2</v>
      </c>
      <c r="D175" s="2">
        <v>1</v>
      </c>
      <c r="E175" s="2">
        <v>0.41</v>
      </c>
      <c r="F175" s="2">
        <v>2</v>
      </c>
    </row>
    <row r="176" spans="1:6" ht="14.25" customHeight="1">
      <c r="A176" s="2">
        <v>16</v>
      </c>
      <c r="B176" s="2">
        <v>175</v>
      </c>
      <c r="C176" s="2">
        <v>6</v>
      </c>
      <c r="D176" s="2">
        <v>1</v>
      </c>
      <c r="E176" s="2">
        <v>0.57499999999999996</v>
      </c>
      <c r="F176" s="2">
        <v>1</v>
      </c>
    </row>
    <row r="177" spans="1:6" ht="14.25" customHeight="1">
      <c r="A177" s="2">
        <v>16</v>
      </c>
      <c r="B177" s="2">
        <v>176</v>
      </c>
      <c r="C177" s="2">
        <v>4</v>
      </c>
      <c r="D177" s="2">
        <v>1</v>
      </c>
      <c r="E177" s="2">
        <v>1.284</v>
      </c>
      <c r="F177" s="2">
        <v>1</v>
      </c>
    </row>
    <row r="178" spans="1:6" ht="14.25" customHeight="1">
      <c r="A178" s="2">
        <v>16</v>
      </c>
      <c r="B178" s="2">
        <v>177</v>
      </c>
      <c r="C178" s="2">
        <v>8</v>
      </c>
      <c r="D178" s="2">
        <v>1</v>
      </c>
      <c r="E178" s="2">
        <v>0.57299999999999995</v>
      </c>
      <c r="F178" s="2">
        <v>2</v>
      </c>
    </row>
    <row r="179" spans="1:6" ht="14.25" customHeight="1">
      <c r="A179" s="2">
        <v>16</v>
      </c>
      <c r="B179" s="2">
        <v>178</v>
      </c>
      <c r="C179" s="2">
        <v>6</v>
      </c>
      <c r="D179" s="2">
        <v>1</v>
      </c>
      <c r="E179" s="2">
        <v>0.81799999999999995</v>
      </c>
      <c r="F179" s="2">
        <v>1</v>
      </c>
    </row>
    <row r="180" spans="1:6" ht="14.25" customHeight="1">
      <c r="A180" s="2">
        <v>16</v>
      </c>
      <c r="B180" s="2">
        <v>179</v>
      </c>
      <c r="C180" s="2">
        <v>1</v>
      </c>
      <c r="D180" s="2">
        <v>1</v>
      </c>
      <c r="E180" s="2">
        <v>0.67800000000000005</v>
      </c>
      <c r="F180" s="2">
        <v>2</v>
      </c>
    </row>
    <row r="181" spans="1:6" ht="14.25" customHeight="1">
      <c r="A181" s="2">
        <v>16</v>
      </c>
      <c r="B181" s="2">
        <v>180</v>
      </c>
      <c r="C181" s="2">
        <v>7</v>
      </c>
      <c r="D181" s="2">
        <v>0</v>
      </c>
      <c r="E181" s="2">
        <v>0.57599999999999996</v>
      </c>
      <c r="F181" s="2">
        <v>1</v>
      </c>
    </row>
    <row r="182" spans="1:6" ht="14.25" customHeight="1">
      <c r="A182" s="2">
        <v>16</v>
      </c>
      <c r="B182" s="2">
        <v>181</v>
      </c>
      <c r="C182" s="2">
        <v>4</v>
      </c>
      <c r="D182" s="2">
        <v>0</v>
      </c>
      <c r="E182" s="2">
        <v>1.093</v>
      </c>
      <c r="F182" s="2">
        <v>2</v>
      </c>
    </row>
    <row r="183" spans="1:6" ht="14.25" customHeight="1">
      <c r="A183" s="2">
        <v>16</v>
      </c>
      <c r="B183" s="2">
        <v>182</v>
      </c>
      <c r="C183" s="2">
        <v>2</v>
      </c>
      <c r="D183" s="2">
        <v>0</v>
      </c>
      <c r="E183" s="2">
        <v>1.222</v>
      </c>
      <c r="F183" s="2">
        <v>1</v>
      </c>
    </row>
    <row r="184" spans="1:6" ht="14.25" customHeight="1">
      <c r="A184" s="2">
        <v>16</v>
      </c>
      <c r="B184" s="2">
        <v>183</v>
      </c>
      <c r="C184" s="2">
        <v>3</v>
      </c>
      <c r="D184" s="2">
        <v>1</v>
      </c>
      <c r="E184" s="2">
        <v>0.61699999999999999</v>
      </c>
      <c r="F184" s="2">
        <v>2</v>
      </c>
    </row>
    <row r="185" spans="1:6" ht="14.25" customHeight="1">
      <c r="A185" s="2">
        <v>16</v>
      </c>
      <c r="B185" s="2">
        <v>184</v>
      </c>
      <c r="C185" s="2">
        <v>5</v>
      </c>
      <c r="D185" s="2">
        <v>0</v>
      </c>
      <c r="E185" s="2">
        <v>0.94899999999999995</v>
      </c>
      <c r="F185" s="2">
        <v>2</v>
      </c>
    </row>
    <row r="186" spans="1:6" ht="14.25" customHeight="1">
      <c r="A186" s="2">
        <v>16</v>
      </c>
      <c r="B186" s="2">
        <v>185</v>
      </c>
      <c r="C186" s="2">
        <v>3</v>
      </c>
      <c r="D186" s="2">
        <v>1</v>
      </c>
      <c r="E186" s="2">
        <v>0.61199999999999999</v>
      </c>
      <c r="F186" s="2">
        <v>1</v>
      </c>
    </row>
    <row r="187" spans="1:6" ht="14.25" customHeight="1">
      <c r="A187" s="2">
        <v>16</v>
      </c>
      <c r="B187" s="2">
        <v>186</v>
      </c>
      <c r="C187" s="2">
        <v>7</v>
      </c>
      <c r="D187" s="2">
        <v>1</v>
      </c>
      <c r="E187" s="2">
        <v>0.80800000000000005</v>
      </c>
      <c r="F187" s="2">
        <v>2</v>
      </c>
    </row>
    <row r="188" spans="1:6" ht="14.25" customHeight="1">
      <c r="A188" s="2">
        <v>16</v>
      </c>
      <c r="B188" s="2">
        <v>187</v>
      </c>
      <c r="C188" s="2">
        <v>2</v>
      </c>
      <c r="D188" s="2">
        <v>1</v>
      </c>
      <c r="E188" s="2">
        <v>0.84399999999999997</v>
      </c>
      <c r="F188" s="2">
        <v>1</v>
      </c>
    </row>
    <row r="189" spans="1:6" ht="14.25" customHeight="1">
      <c r="A189" s="2">
        <v>16</v>
      </c>
      <c r="B189" s="2">
        <v>188</v>
      </c>
      <c r="C189" s="2">
        <v>7</v>
      </c>
      <c r="D189" s="2">
        <v>0</v>
      </c>
      <c r="E189" s="2">
        <v>0.81399999999999995</v>
      </c>
      <c r="F189" s="2">
        <v>2</v>
      </c>
    </row>
    <row r="190" spans="1:6" ht="14.25" customHeight="1">
      <c r="A190" s="2">
        <v>16</v>
      </c>
      <c r="B190" s="2">
        <v>189</v>
      </c>
      <c r="C190" s="2">
        <v>5</v>
      </c>
      <c r="D190" s="2">
        <v>1</v>
      </c>
      <c r="E190" s="2">
        <v>1.0669999999999999</v>
      </c>
      <c r="F190" s="2">
        <v>1</v>
      </c>
    </row>
    <row r="191" spans="1:6" ht="14.25" customHeight="1">
      <c r="A191" s="2">
        <v>16</v>
      </c>
      <c r="B191" s="2">
        <v>190</v>
      </c>
      <c r="C191" s="2">
        <v>6</v>
      </c>
      <c r="D191" s="2">
        <v>0</v>
      </c>
      <c r="E191" s="2">
        <v>1.1160000000000001</v>
      </c>
      <c r="F191" s="2">
        <v>2</v>
      </c>
    </row>
    <row r="192" spans="1:6" ht="14.25" customHeight="1">
      <c r="A192" s="2">
        <v>16</v>
      </c>
      <c r="B192" s="2">
        <v>191</v>
      </c>
      <c r="C192" s="2">
        <v>2</v>
      </c>
      <c r="D192" s="2">
        <v>1</v>
      </c>
      <c r="E192" s="2">
        <v>0.76500000000000001</v>
      </c>
      <c r="F192" s="2">
        <v>2</v>
      </c>
    </row>
    <row r="193" spans="1:6" ht="14.25" customHeight="1">
      <c r="A193" s="2">
        <v>16</v>
      </c>
      <c r="B193" s="2">
        <v>192</v>
      </c>
      <c r="C193" s="2">
        <v>3</v>
      </c>
      <c r="D193" s="2">
        <v>1</v>
      </c>
      <c r="E193" s="2">
        <v>0.47399999999999998</v>
      </c>
      <c r="F193" s="2">
        <v>1</v>
      </c>
    </row>
    <row r="194" spans="1:6" ht="14.25" customHeight="1">
      <c r="A194" s="2">
        <v>16</v>
      </c>
      <c r="B194" s="2">
        <v>193</v>
      </c>
      <c r="C194" s="2">
        <v>6</v>
      </c>
      <c r="D194" s="2">
        <v>1</v>
      </c>
      <c r="E194" s="2">
        <v>0.81200000000000006</v>
      </c>
      <c r="F194" s="2">
        <v>2</v>
      </c>
    </row>
    <row r="195" spans="1:6" ht="14.25" customHeight="1">
      <c r="A195" s="2">
        <v>16</v>
      </c>
      <c r="B195" s="2">
        <v>194</v>
      </c>
      <c r="C195" s="2">
        <v>7</v>
      </c>
      <c r="D195" s="2">
        <v>0</v>
      </c>
      <c r="E195" s="2">
        <v>1.0880000000000001</v>
      </c>
      <c r="F195" s="2">
        <v>1</v>
      </c>
    </row>
    <row r="196" spans="1:6" ht="14.25" customHeight="1">
      <c r="A196" s="2">
        <v>16</v>
      </c>
      <c r="B196" s="2">
        <v>195</v>
      </c>
      <c r="C196" s="2">
        <v>1</v>
      </c>
      <c r="D196" s="2">
        <v>0</v>
      </c>
      <c r="E196" s="2">
        <v>1.1599999999999999</v>
      </c>
      <c r="F196" s="2">
        <v>2</v>
      </c>
    </row>
    <row r="197" spans="1:6" ht="14.25" customHeight="1">
      <c r="A197" s="2">
        <v>16</v>
      </c>
      <c r="B197" s="2">
        <v>196</v>
      </c>
      <c r="C197" s="2">
        <v>3</v>
      </c>
      <c r="D197" s="2">
        <v>1</v>
      </c>
      <c r="E197" s="2">
        <v>0.99</v>
      </c>
      <c r="F197" s="2">
        <v>2</v>
      </c>
    </row>
    <row r="198" spans="1:6" ht="14.25" customHeight="1">
      <c r="A198" s="2">
        <v>16</v>
      </c>
      <c r="B198" s="2">
        <v>197</v>
      </c>
      <c r="C198" s="2">
        <v>2</v>
      </c>
      <c r="D198" s="2">
        <v>1</v>
      </c>
      <c r="E198" s="2">
        <v>0.77900000000000003</v>
      </c>
      <c r="F198" s="2">
        <v>1</v>
      </c>
    </row>
    <row r="199" spans="1:6" ht="14.25" customHeight="1">
      <c r="A199" s="2">
        <v>16</v>
      </c>
      <c r="B199" s="2">
        <v>198</v>
      </c>
      <c r="C199" s="2">
        <v>3</v>
      </c>
      <c r="D199" s="2">
        <v>1</v>
      </c>
      <c r="E199" s="2">
        <v>0.68</v>
      </c>
      <c r="F199" s="2">
        <v>2</v>
      </c>
    </row>
    <row r="200" spans="1:6" ht="14.25" customHeight="1">
      <c r="A200" s="2">
        <v>16</v>
      </c>
      <c r="B200" s="2">
        <v>199</v>
      </c>
      <c r="C200" s="2">
        <v>1</v>
      </c>
      <c r="D200" s="2">
        <v>0</v>
      </c>
      <c r="E200" s="2">
        <v>0.60899999999999999</v>
      </c>
      <c r="F200" s="2">
        <v>2</v>
      </c>
    </row>
    <row r="201" spans="1:6" ht="14.25" customHeight="1">
      <c r="A201" s="2">
        <v>16</v>
      </c>
      <c r="B201" s="2">
        <v>200</v>
      </c>
      <c r="C201" s="2">
        <v>5</v>
      </c>
      <c r="D201" s="2">
        <v>0</v>
      </c>
      <c r="E201" s="2">
        <v>0.99</v>
      </c>
      <c r="F201" s="2">
        <v>2</v>
      </c>
    </row>
    <row r="202" spans="1:6" ht="14.25" customHeight="1">
      <c r="A202" s="2">
        <v>16</v>
      </c>
      <c r="B202" s="2">
        <v>201</v>
      </c>
      <c r="C202" s="2">
        <v>4</v>
      </c>
      <c r="D202" s="2">
        <v>1</v>
      </c>
      <c r="E202" s="2">
        <v>1.1220000000000001</v>
      </c>
      <c r="F202" s="2">
        <v>2</v>
      </c>
    </row>
    <row r="203" spans="1:6" ht="14.25" customHeight="1">
      <c r="A203" s="2">
        <v>16</v>
      </c>
      <c r="B203" s="2">
        <v>202</v>
      </c>
      <c r="C203" s="2">
        <v>3</v>
      </c>
      <c r="D203" s="2">
        <v>1</v>
      </c>
      <c r="E203" s="2">
        <v>0.63200000000000001</v>
      </c>
      <c r="F203" s="2">
        <v>2</v>
      </c>
    </row>
    <row r="204" spans="1:6" ht="14.25" customHeight="1">
      <c r="A204" s="2">
        <v>16</v>
      </c>
      <c r="B204" s="2">
        <v>203</v>
      </c>
      <c r="C204" s="2">
        <v>7</v>
      </c>
      <c r="D204" s="2">
        <v>1</v>
      </c>
      <c r="E204" s="2">
        <v>0.93899999999999995</v>
      </c>
      <c r="F204" s="2">
        <v>2</v>
      </c>
    </row>
    <row r="205" spans="1:6" ht="14.25" customHeight="1">
      <c r="A205" s="2">
        <v>16</v>
      </c>
      <c r="B205" s="2">
        <v>204</v>
      </c>
      <c r="C205" s="2">
        <v>8</v>
      </c>
      <c r="D205" s="2">
        <v>1</v>
      </c>
      <c r="E205" s="2">
        <v>1.0349999999999999</v>
      </c>
      <c r="F205" s="2">
        <v>1</v>
      </c>
    </row>
    <row r="206" spans="1:6" ht="14.25" customHeight="1">
      <c r="A206" s="2">
        <v>16</v>
      </c>
      <c r="B206" s="2">
        <v>205</v>
      </c>
      <c r="C206" s="2">
        <v>4</v>
      </c>
      <c r="D206" s="2">
        <v>1</v>
      </c>
      <c r="E206" s="2">
        <v>1.0860000000000001</v>
      </c>
      <c r="F206" s="2">
        <v>2</v>
      </c>
    </row>
    <row r="207" spans="1:6" ht="14.25" customHeight="1">
      <c r="A207" s="2">
        <v>16</v>
      </c>
      <c r="B207" s="2">
        <v>206</v>
      </c>
      <c r="C207" s="2">
        <v>3</v>
      </c>
      <c r="D207" s="2">
        <v>0</v>
      </c>
      <c r="E207" s="2">
        <v>0.86199999999999999</v>
      </c>
      <c r="F207" s="2">
        <v>1</v>
      </c>
    </row>
    <row r="208" spans="1:6" ht="14.25" customHeight="1">
      <c r="A208" s="2">
        <v>16</v>
      </c>
      <c r="B208" s="2">
        <v>207</v>
      </c>
      <c r="C208" s="2">
        <v>6</v>
      </c>
      <c r="D208" s="2">
        <v>1</v>
      </c>
      <c r="E208" s="2">
        <v>1</v>
      </c>
      <c r="F208" s="2">
        <v>2</v>
      </c>
    </row>
    <row r="209" spans="1:6" ht="14.25" customHeight="1">
      <c r="A209" s="2">
        <v>16</v>
      </c>
      <c r="B209" s="2">
        <v>208</v>
      </c>
      <c r="C209" s="2">
        <v>8</v>
      </c>
      <c r="D209" s="2">
        <v>1</v>
      </c>
      <c r="E209" s="2">
        <v>0.749</v>
      </c>
      <c r="F209" s="2">
        <v>2</v>
      </c>
    </row>
    <row r="210" spans="1:6" ht="14.25" customHeight="1">
      <c r="A210" s="2">
        <v>16</v>
      </c>
      <c r="B210" s="2">
        <v>209</v>
      </c>
      <c r="C210" s="2">
        <v>6</v>
      </c>
      <c r="D210" s="2">
        <v>1</v>
      </c>
      <c r="E210" s="2">
        <v>0.436</v>
      </c>
      <c r="F210" s="2">
        <v>1</v>
      </c>
    </row>
    <row r="211" spans="1:6" ht="14.25" customHeight="1">
      <c r="A211" s="2">
        <v>16</v>
      </c>
      <c r="B211" s="2">
        <v>210</v>
      </c>
      <c r="C211" s="2">
        <v>3</v>
      </c>
      <c r="D211" s="2">
        <v>0</v>
      </c>
      <c r="E211" s="2">
        <v>0.83899999999999997</v>
      </c>
      <c r="F211" s="2">
        <v>1</v>
      </c>
    </row>
    <row r="212" spans="1:6" ht="14.25" customHeight="1">
      <c r="A212" s="2">
        <v>16</v>
      </c>
      <c r="B212" s="2">
        <v>211</v>
      </c>
      <c r="C212" s="2">
        <v>2</v>
      </c>
      <c r="D212" s="2">
        <v>1</v>
      </c>
      <c r="E212" s="2">
        <v>1.1759999999999999</v>
      </c>
      <c r="F212" s="2">
        <v>1</v>
      </c>
    </row>
    <row r="213" spans="1:6" ht="14.25" customHeight="1">
      <c r="A213" s="2">
        <v>16</v>
      </c>
      <c r="B213" s="2">
        <v>212</v>
      </c>
      <c r="C213" s="2">
        <v>3</v>
      </c>
      <c r="D213" s="2">
        <v>0</v>
      </c>
      <c r="E213" s="2">
        <v>1.0940000000000001</v>
      </c>
      <c r="F213" s="2">
        <v>1</v>
      </c>
    </row>
    <row r="214" spans="1:6" ht="14.25" customHeight="1">
      <c r="A214" s="2">
        <v>16</v>
      </c>
      <c r="B214" s="2">
        <v>213</v>
      </c>
      <c r="C214" s="2">
        <v>6</v>
      </c>
      <c r="D214" s="2">
        <v>1</v>
      </c>
      <c r="E214" s="2">
        <v>1.351</v>
      </c>
      <c r="F214" s="2">
        <v>1</v>
      </c>
    </row>
    <row r="215" spans="1:6" ht="14.25" customHeight="1">
      <c r="A215" s="2">
        <v>16</v>
      </c>
      <c r="B215" s="2">
        <v>214</v>
      </c>
      <c r="C215" s="2">
        <v>4</v>
      </c>
      <c r="D215" s="2">
        <v>1</v>
      </c>
      <c r="E215" s="2">
        <v>0.79700000000000004</v>
      </c>
      <c r="F215" s="2">
        <v>2</v>
      </c>
    </row>
    <row r="216" spans="1:6" ht="14.25" customHeight="1">
      <c r="A216" s="2">
        <v>16</v>
      </c>
      <c r="B216" s="2">
        <v>215</v>
      </c>
      <c r="C216" s="2">
        <v>2</v>
      </c>
      <c r="D216" s="2">
        <v>1</v>
      </c>
      <c r="E216" s="2">
        <v>0.95399999999999996</v>
      </c>
      <c r="F216" s="2">
        <v>2</v>
      </c>
    </row>
    <row r="217" spans="1:6" ht="14.25" customHeight="1">
      <c r="A217" s="2">
        <v>16</v>
      </c>
      <c r="B217" s="2">
        <v>216</v>
      </c>
      <c r="C217" s="2">
        <v>7</v>
      </c>
      <c r="D217" s="2">
        <v>1</v>
      </c>
      <c r="E217" s="2">
        <v>1.153</v>
      </c>
      <c r="F217" s="2">
        <v>1</v>
      </c>
    </row>
    <row r="218" spans="1:6" ht="14.25" customHeight="1">
      <c r="A218" s="2">
        <v>16</v>
      </c>
      <c r="B218" s="2">
        <v>217</v>
      </c>
      <c r="C218" s="2">
        <v>2</v>
      </c>
      <c r="D218" s="2">
        <v>1</v>
      </c>
      <c r="E218" s="2">
        <v>1.2549999999999999</v>
      </c>
      <c r="F218" s="2">
        <v>1</v>
      </c>
    </row>
    <row r="219" spans="1:6" ht="14.25" customHeight="1">
      <c r="A219" s="2">
        <v>16</v>
      </c>
      <c r="B219" s="2">
        <v>218</v>
      </c>
      <c r="C219" s="2">
        <v>6</v>
      </c>
      <c r="D219" s="2">
        <v>1</v>
      </c>
      <c r="E219" s="2">
        <v>1.4650000000000001</v>
      </c>
      <c r="F219" s="2">
        <v>2</v>
      </c>
    </row>
    <row r="220" spans="1:6" ht="14.25" customHeight="1">
      <c r="A220" s="2">
        <v>16</v>
      </c>
      <c r="B220" s="2">
        <v>219</v>
      </c>
      <c r="C220" s="2">
        <v>8</v>
      </c>
      <c r="D220" s="2">
        <v>1</v>
      </c>
      <c r="E220" s="2">
        <v>1.371</v>
      </c>
      <c r="F220" s="2">
        <v>2</v>
      </c>
    </row>
    <row r="221" spans="1:6" ht="14.25" customHeight="1">
      <c r="A221" s="2">
        <v>16</v>
      </c>
      <c r="B221" s="2">
        <v>220</v>
      </c>
      <c r="C221" s="2">
        <v>4</v>
      </c>
      <c r="D221" s="2">
        <v>1</v>
      </c>
      <c r="E221" s="2">
        <v>1.0640000000000001</v>
      </c>
      <c r="F221" s="2">
        <v>1</v>
      </c>
    </row>
    <row r="222" spans="1:6" ht="14.25" customHeight="1">
      <c r="A222" s="2">
        <v>16</v>
      </c>
      <c r="B222" s="2">
        <v>221</v>
      </c>
      <c r="C222" s="2">
        <v>3</v>
      </c>
      <c r="D222" s="2">
        <v>1</v>
      </c>
      <c r="E222" s="2">
        <v>1.506</v>
      </c>
      <c r="F222" s="2">
        <v>1</v>
      </c>
    </row>
    <row r="223" spans="1:6" ht="14.25" customHeight="1">
      <c r="A223" s="2">
        <v>16</v>
      </c>
      <c r="B223" s="2">
        <v>222</v>
      </c>
      <c r="C223" s="2">
        <v>2</v>
      </c>
      <c r="D223" s="2">
        <v>1</v>
      </c>
      <c r="E223" s="2">
        <v>0.85</v>
      </c>
      <c r="F223" s="2">
        <v>2</v>
      </c>
    </row>
    <row r="224" spans="1:6" ht="14.25" customHeight="1">
      <c r="A224" s="2">
        <v>16</v>
      </c>
      <c r="B224" s="2">
        <v>223</v>
      </c>
      <c r="C224" s="2">
        <v>1</v>
      </c>
      <c r="D224" s="2">
        <v>1</v>
      </c>
      <c r="E224" s="2">
        <v>0.81299999999999994</v>
      </c>
      <c r="F224" s="2">
        <v>1</v>
      </c>
    </row>
    <row r="225" spans="1:6" ht="14.25" customHeight="1">
      <c r="A225" s="2">
        <v>16</v>
      </c>
      <c r="B225" s="2">
        <v>224</v>
      </c>
      <c r="C225" s="2">
        <v>5</v>
      </c>
      <c r="D225" s="2">
        <v>1</v>
      </c>
      <c r="E225" s="2">
        <v>1.361</v>
      </c>
      <c r="F225" s="2">
        <v>2</v>
      </c>
    </row>
    <row r="226" spans="1:6" ht="14.25" customHeight="1">
      <c r="A226" s="2">
        <v>16</v>
      </c>
      <c r="B226" s="2">
        <v>225</v>
      </c>
      <c r="C226" s="2">
        <v>7</v>
      </c>
      <c r="D226" s="2">
        <v>1</v>
      </c>
      <c r="E226" s="2">
        <v>0.94299999999999995</v>
      </c>
      <c r="F226" s="2">
        <v>1</v>
      </c>
    </row>
    <row r="227" spans="1:6" ht="14.25" customHeight="1">
      <c r="A227" s="2">
        <v>16</v>
      </c>
      <c r="B227" s="2">
        <v>226</v>
      </c>
      <c r="C227" s="2">
        <v>5</v>
      </c>
      <c r="D227" s="2">
        <v>1</v>
      </c>
      <c r="E227" s="2">
        <v>1.246</v>
      </c>
      <c r="F227" s="2">
        <v>1</v>
      </c>
    </row>
    <row r="228" spans="1:6" ht="14.25" customHeight="1">
      <c r="A228" s="2">
        <v>16</v>
      </c>
      <c r="B228" s="2">
        <v>227</v>
      </c>
      <c r="C228" s="2">
        <v>8</v>
      </c>
      <c r="D228" s="2">
        <v>1</v>
      </c>
      <c r="E228" s="2">
        <v>0.45700000000000002</v>
      </c>
      <c r="F228" s="2">
        <v>2</v>
      </c>
    </row>
    <row r="229" spans="1:6" ht="14.25" customHeight="1">
      <c r="A229" s="2">
        <v>16</v>
      </c>
      <c r="B229" s="2">
        <v>228</v>
      </c>
      <c r="C229" s="2">
        <v>3</v>
      </c>
      <c r="D229" s="2">
        <v>1</v>
      </c>
      <c r="E229" s="2">
        <v>1.018</v>
      </c>
      <c r="F229" s="2">
        <v>1</v>
      </c>
    </row>
    <row r="230" spans="1:6" ht="14.25" customHeight="1">
      <c r="A230" s="2">
        <v>16</v>
      </c>
      <c r="B230" s="2">
        <v>229</v>
      </c>
      <c r="C230" s="2">
        <v>4</v>
      </c>
      <c r="D230" s="2">
        <v>1</v>
      </c>
      <c r="E230" s="2">
        <v>1.3340000000000001</v>
      </c>
      <c r="F230" s="2">
        <v>2</v>
      </c>
    </row>
    <row r="231" spans="1:6" ht="14.25" customHeight="1">
      <c r="A231" s="2">
        <v>16</v>
      </c>
      <c r="B231" s="2">
        <v>230</v>
      </c>
      <c r="C231" s="2">
        <v>1</v>
      </c>
      <c r="D231" s="2">
        <v>1</v>
      </c>
      <c r="E231" s="2">
        <v>0.998</v>
      </c>
      <c r="F231" s="2">
        <v>2</v>
      </c>
    </row>
    <row r="232" spans="1:6" ht="14.25" customHeight="1">
      <c r="A232" s="2">
        <v>16</v>
      </c>
      <c r="B232" s="2">
        <v>231</v>
      </c>
      <c r="C232" s="2">
        <v>3</v>
      </c>
      <c r="D232" s="2">
        <v>1</v>
      </c>
      <c r="E232" s="2">
        <v>0.56999999999999995</v>
      </c>
      <c r="F232" s="2">
        <v>1</v>
      </c>
    </row>
    <row r="233" spans="1:6" ht="14.25" customHeight="1">
      <c r="A233" s="2">
        <v>16</v>
      </c>
      <c r="B233" s="2">
        <v>232</v>
      </c>
      <c r="C233" s="2">
        <v>5</v>
      </c>
      <c r="D233" s="2">
        <v>1</v>
      </c>
      <c r="E233" s="2">
        <v>1</v>
      </c>
      <c r="F233" s="2">
        <v>2</v>
      </c>
    </row>
    <row r="234" spans="1:6" ht="14.25" customHeight="1">
      <c r="A234" s="2">
        <v>16</v>
      </c>
      <c r="B234" s="2">
        <v>233</v>
      </c>
      <c r="C234" s="2">
        <v>1</v>
      </c>
      <c r="D234" s="2">
        <v>1</v>
      </c>
      <c r="E234" s="2">
        <v>1.3</v>
      </c>
      <c r="F234" s="2">
        <v>2</v>
      </c>
    </row>
    <row r="235" spans="1:6" ht="14.25" customHeight="1">
      <c r="A235" s="2">
        <v>16</v>
      </c>
      <c r="B235" s="2">
        <v>234</v>
      </c>
      <c r="C235" s="2">
        <v>2</v>
      </c>
      <c r="D235" s="2">
        <v>1</v>
      </c>
      <c r="E235" s="2">
        <v>1.077</v>
      </c>
      <c r="F235" s="2">
        <v>1</v>
      </c>
    </row>
    <row r="236" spans="1:6" ht="14.25" customHeight="1">
      <c r="A236" s="2">
        <v>16</v>
      </c>
      <c r="B236" s="2">
        <v>235</v>
      </c>
      <c r="C236" s="2">
        <v>8</v>
      </c>
      <c r="D236" s="2">
        <v>1</v>
      </c>
      <c r="E236" s="2">
        <v>0.90200000000000002</v>
      </c>
      <c r="F236" s="2">
        <v>1</v>
      </c>
    </row>
    <row r="237" spans="1:6" ht="14.25" customHeight="1">
      <c r="A237" s="2">
        <v>16</v>
      </c>
      <c r="B237" s="2">
        <v>236</v>
      </c>
      <c r="C237" s="2">
        <v>5</v>
      </c>
      <c r="D237" s="2">
        <v>1</v>
      </c>
      <c r="E237" s="2">
        <v>0.77500000000000002</v>
      </c>
      <c r="F237" s="2">
        <v>2</v>
      </c>
    </row>
    <row r="238" spans="1:6" ht="14.25" customHeight="1">
      <c r="A238" s="2">
        <v>16</v>
      </c>
      <c r="B238" s="2">
        <v>237</v>
      </c>
      <c r="C238" s="2">
        <v>2</v>
      </c>
      <c r="D238" s="2">
        <v>1</v>
      </c>
      <c r="E238" s="2">
        <v>1.133</v>
      </c>
      <c r="F238" s="2">
        <v>1</v>
      </c>
    </row>
    <row r="239" spans="1:6" ht="14.25" customHeight="1">
      <c r="A239" s="2">
        <v>16</v>
      </c>
      <c r="B239" s="2">
        <v>238</v>
      </c>
      <c r="C239" s="2">
        <v>5</v>
      </c>
      <c r="D239" s="2">
        <v>0</v>
      </c>
      <c r="E239" s="2">
        <v>0.88300000000000001</v>
      </c>
      <c r="F239" s="2">
        <v>2</v>
      </c>
    </row>
    <row r="240" spans="1:6" ht="14.25" customHeight="1">
      <c r="A240" s="2">
        <v>16</v>
      </c>
      <c r="B240" s="2">
        <v>239</v>
      </c>
      <c r="C240" s="2">
        <v>6</v>
      </c>
      <c r="D240" s="2">
        <v>1</v>
      </c>
      <c r="E240" s="2">
        <v>1.0449999999999999</v>
      </c>
      <c r="F240" s="2">
        <v>1</v>
      </c>
    </row>
    <row r="241" spans="1:6" ht="14.25" customHeight="1">
      <c r="A241" s="2">
        <v>16</v>
      </c>
      <c r="B241" s="2">
        <v>240</v>
      </c>
      <c r="C241" s="2">
        <v>7</v>
      </c>
      <c r="D241" s="2">
        <v>0</v>
      </c>
      <c r="E241" s="2">
        <v>0.872</v>
      </c>
      <c r="F241" s="2">
        <v>2</v>
      </c>
    </row>
    <row r="242" spans="1:6" ht="14.25" customHeight="1">
      <c r="A242" s="2">
        <v>16</v>
      </c>
      <c r="B242" s="2">
        <v>241</v>
      </c>
      <c r="C242" s="2">
        <v>3</v>
      </c>
      <c r="D242" s="2">
        <v>1</v>
      </c>
      <c r="E242" s="2">
        <v>0.47299999999999998</v>
      </c>
      <c r="F242" s="2">
        <v>2</v>
      </c>
    </row>
    <row r="243" spans="1:6" ht="14.25" customHeight="1">
      <c r="A243" s="2">
        <v>16</v>
      </c>
      <c r="B243" s="2">
        <v>242</v>
      </c>
      <c r="C243" s="2">
        <v>5</v>
      </c>
      <c r="D243" s="2">
        <v>1</v>
      </c>
      <c r="E243" s="2">
        <v>0.57099999999999995</v>
      </c>
      <c r="F243" s="2">
        <v>1</v>
      </c>
    </row>
    <row r="244" spans="1:6" ht="14.25" customHeight="1">
      <c r="A244" s="2">
        <v>16</v>
      </c>
      <c r="B244" s="2">
        <v>243</v>
      </c>
      <c r="C244" s="2">
        <v>8</v>
      </c>
      <c r="D244" s="2">
        <v>1</v>
      </c>
      <c r="E244" s="2">
        <v>1.1759999999999999</v>
      </c>
      <c r="F244" s="2">
        <v>2</v>
      </c>
    </row>
    <row r="245" spans="1:6" ht="14.25" customHeight="1">
      <c r="A245" s="2">
        <v>16</v>
      </c>
      <c r="B245" s="2">
        <v>244</v>
      </c>
      <c r="C245" s="2">
        <v>1</v>
      </c>
      <c r="D245" s="2">
        <v>1</v>
      </c>
      <c r="E245" s="2">
        <v>1.165</v>
      </c>
      <c r="F245" s="2">
        <v>2</v>
      </c>
    </row>
    <row r="246" spans="1:6" ht="14.25" customHeight="1">
      <c r="A246" s="2">
        <v>16</v>
      </c>
      <c r="B246" s="2">
        <v>245</v>
      </c>
      <c r="C246" s="2">
        <v>7</v>
      </c>
      <c r="D246" s="2">
        <v>1</v>
      </c>
      <c r="E246" s="2">
        <v>0.73899999999999999</v>
      </c>
      <c r="F246" s="2">
        <v>1</v>
      </c>
    </row>
    <row r="247" spans="1:6" ht="14.25" customHeight="1">
      <c r="A247" s="2">
        <v>16</v>
      </c>
      <c r="B247" s="2">
        <v>246</v>
      </c>
      <c r="C247" s="2">
        <v>6</v>
      </c>
      <c r="D247" s="2">
        <v>1</v>
      </c>
      <c r="E247" s="2">
        <v>0.85799999999999998</v>
      </c>
      <c r="F247" s="2">
        <v>2</v>
      </c>
    </row>
    <row r="248" spans="1:6" ht="14.25" customHeight="1">
      <c r="A248" s="2">
        <v>16</v>
      </c>
      <c r="B248" s="2">
        <v>247</v>
      </c>
      <c r="C248" s="2">
        <v>1</v>
      </c>
      <c r="D248" s="2">
        <v>1</v>
      </c>
      <c r="E248" s="2">
        <v>1.292</v>
      </c>
      <c r="F248" s="2">
        <v>1</v>
      </c>
    </row>
    <row r="249" spans="1:6" ht="14.25" customHeight="1">
      <c r="A249" s="2">
        <v>16</v>
      </c>
      <c r="B249" s="2">
        <v>248</v>
      </c>
      <c r="C249" s="2">
        <v>7</v>
      </c>
      <c r="D249" s="2">
        <v>1</v>
      </c>
      <c r="E249" s="2">
        <v>0.86899999999999999</v>
      </c>
      <c r="F249" s="2">
        <v>2</v>
      </c>
    </row>
    <row r="250" spans="1:6" ht="14.25" customHeight="1">
      <c r="A250" s="2">
        <v>16</v>
      </c>
      <c r="B250" s="2">
        <v>249</v>
      </c>
      <c r="C250" s="2">
        <v>4</v>
      </c>
      <c r="D250" s="2">
        <v>1</v>
      </c>
      <c r="E250" s="2">
        <v>1.0129999999999999</v>
      </c>
      <c r="F250" s="2">
        <v>1</v>
      </c>
    </row>
    <row r="251" spans="1:6" ht="14.25" customHeight="1">
      <c r="A251" s="2">
        <v>16</v>
      </c>
      <c r="B251" s="2">
        <v>250</v>
      </c>
      <c r="C251" s="2">
        <v>1</v>
      </c>
      <c r="D251" s="2">
        <v>1</v>
      </c>
      <c r="E251" s="2">
        <v>0.81699999999999995</v>
      </c>
      <c r="F251" s="2">
        <v>1</v>
      </c>
    </row>
    <row r="252" spans="1:6" ht="14.25" customHeight="1">
      <c r="A252" s="2">
        <v>16</v>
      </c>
      <c r="B252" s="2">
        <v>251</v>
      </c>
      <c r="C252" s="2">
        <v>4</v>
      </c>
      <c r="D252" s="2">
        <v>1</v>
      </c>
      <c r="E252" s="2">
        <v>1.069</v>
      </c>
    </row>
    <row r="253" spans="1:6" ht="14.25" customHeight="1">
      <c r="A253" s="2">
        <v>16</v>
      </c>
      <c r="B253" s="2">
        <v>252</v>
      </c>
      <c r="C253" s="2">
        <v>8</v>
      </c>
      <c r="D253" s="2">
        <v>1</v>
      </c>
      <c r="E253" s="2">
        <v>0.66200000000000003</v>
      </c>
    </row>
    <row r="254" spans="1:6" ht="14.25" customHeight="1">
      <c r="A254" s="2">
        <v>16</v>
      </c>
      <c r="B254" s="2">
        <v>253</v>
      </c>
      <c r="C254" s="2">
        <v>3</v>
      </c>
      <c r="D254" s="2">
        <v>1</v>
      </c>
      <c r="E254" s="2">
        <v>1.1759999999999999</v>
      </c>
    </row>
    <row r="255" spans="1:6" ht="14.25" customHeight="1">
      <c r="A255" s="2">
        <v>16</v>
      </c>
      <c r="B255" s="2">
        <v>254</v>
      </c>
      <c r="C255" s="2">
        <v>5</v>
      </c>
      <c r="D255" s="2">
        <v>1</v>
      </c>
      <c r="E255" s="2">
        <v>0.99</v>
      </c>
    </row>
    <row r="256" spans="1:6" ht="14.25" customHeight="1">
      <c r="A256" s="2">
        <v>16</v>
      </c>
      <c r="B256" s="2">
        <v>255</v>
      </c>
      <c r="C256" s="2">
        <v>2</v>
      </c>
      <c r="D256" s="2">
        <v>1</v>
      </c>
      <c r="E256" s="2">
        <v>0.77</v>
      </c>
    </row>
    <row r="257" spans="1:5" ht="14.25" customHeight="1">
      <c r="A257" s="2">
        <v>16</v>
      </c>
      <c r="B257" s="2">
        <v>256</v>
      </c>
      <c r="C257" s="2">
        <v>6</v>
      </c>
      <c r="D257" s="2">
        <v>1</v>
      </c>
      <c r="E257" s="2">
        <v>1.04</v>
      </c>
    </row>
    <row r="258" spans="1:5" ht="14.25" customHeight="1">
      <c r="A258" s="2">
        <v>16</v>
      </c>
      <c r="B258" s="2">
        <v>257</v>
      </c>
      <c r="C258" s="2">
        <v>4</v>
      </c>
      <c r="D258" s="2">
        <v>0</v>
      </c>
      <c r="E258" s="2">
        <v>0.65100000000000002</v>
      </c>
    </row>
    <row r="259" spans="1:5" ht="14.25" customHeight="1">
      <c r="A259" s="2">
        <v>16</v>
      </c>
      <c r="B259" s="2">
        <v>258</v>
      </c>
      <c r="C259" s="2">
        <v>1</v>
      </c>
      <c r="D259" s="2">
        <v>1</v>
      </c>
      <c r="E259" s="2">
        <v>0.74099999999999999</v>
      </c>
    </row>
    <row r="260" spans="1:5" ht="14.25" customHeight="1">
      <c r="A260" s="2">
        <v>16</v>
      </c>
      <c r="B260" s="2">
        <v>259</v>
      </c>
      <c r="C260" s="2">
        <v>3</v>
      </c>
      <c r="D260" s="2">
        <v>1</v>
      </c>
      <c r="E260" s="2">
        <v>1.0920000000000001</v>
      </c>
    </row>
    <row r="261" spans="1:5" ht="14.25" customHeight="1">
      <c r="A261" s="2">
        <v>16</v>
      </c>
      <c r="B261" s="2">
        <v>260</v>
      </c>
      <c r="C261" s="2">
        <v>5</v>
      </c>
      <c r="D261" s="2">
        <v>1</v>
      </c>
      <c r="E261" s="2">
        <v>0.90100000000000002</v>
      </c>
    </row>
    <row r="262" spans="1:5" ht="14.25" customHeight="1">
      <c r="A262" s="2">
        <v>16</v>
      </c>
      <c r="B262" s="2">
        <v>261</v>
      </c>
      <c r="C262" s="2">
        <v>2</v>
      </c>
      <c r="D262" s="2">
        <v>1</v>
      </c>
      <c r="E262" s="2">
        <v>1.204</v>
      </c>
    </row>
    <row r="263" spans="1:5" ht="14.25" customHeight="1">
      <c r="A263" s="2">
        <v>16</v>
      </c>
      <c r="B263" s="2">
        <v>262</v>
      </c>
      <c r="C263" s="2">
        <v>6</v>
      </c>
      <c r="D263" s="2">
        <v>1</v>
      </c>
      <c r="E263" s="2">
        <v>0.92</v>
      </c>
    </row>
    <row r="264" spans="1:5" ht="14.25" customHeight="1">
      <c r="A264" s="2">
        <v>16</v>
      </c>
      <c r="B264" s="2">
        <v>263</v>
      </c>
      <c r="C264" s="2">
        <v>1</v>
      </c>
      <c r="D264" s="2">
        <v>1</v>
      </c>
      <c r="E264" s="2">
        <v>1.0469999999999999</v>
      </c>
    </row>
    <row r="265" spans="1:5" ht="14.25" customHeight="1">
      <c r="A265" s="2">
        <v>16</v>
      </c>
      <c r="B265" s="2">
        <v>264</v>
      </c>
      <c r="C265" s="2">
        <v>8</v>
      </c>
      <c r="D265" s="2">
        <v>1</v>
      </c>
      <c r="E265" s="2">
        <v>0.76200000000000001</v>
      </c>
    </row>
    <row r="266" spans="1:5" ht="14.25" customHeight="1">
      <c r="A266" s="2">
        <v>16</v>
      </c>
      <c r="B266" s="2">
        <v>265</v>
      </c>
      <c r="C266" s="2">
        <v>3</v>
      </c>
      <c r="D266" s="2">
        <v>1</v>
      </c>
      <c r="E266" s="2">
        <v>1</v>
      </c>
    </row>
    <row r="267" spans="1:5" ht="14.25" customHeight="1">
      <c r="A267" s="2">
        <v>16</v>
      </c>
      <c r="B267" s="2">
        <v>266</v>
      </c>
      <c r="C267" s="2">
        <v>1</v>
      </c>
      <c r="D267" s="2">
        <v>1</v>
      </c>
      <c r="E267" s="2">
        <v>0.75700000000000001</v>
      </c>
    </row>
    <row r="268" spans="1:5" ht="14.25" customHeight="1">
      <c r="A268" s="2">
        <v>16</v>
      </c>
      <c r="B268" s="2">
        <v>267</v>
      </c>
      <c r="C268" s="2">
        <v>4</v>
      </c>
      <c r="D268" s="2">
        <v>1</v>
      </c>
      <c r="E268" s="2">
        <v>1.115</v>
      </c>
    </row>
    <row r="269" spans="1:5" ht="14.25" customHeight="1">
      <c r="A269" s="2">
        <v>16</v>
      </c>
      <c r="B269" s="2">
        <v>268</v>
      </c>
      <c r="C269" s="2">
        <v>6</v>
      </c>
      <c r="D269" s="2">
        <v>1</v>
      </c>
      <c r="E269" s="2">
        <v>0.85099999999999998</v>
      </c>
    </row>
    <row r="270" spans="1:5" ht="14.25" customHeight="1">
      <c r="A270" s="2">
        <v>16</v>
      </c>
      <c r="B270" s="2">
        <v>269</v>
      </c>
      <c r="C270" s="2">
        <v>7</v>
      </c>
      <c r="D270" s="2">
        <v>1</v>
      </c>
      <c r="E270" s="2">
        <v>1.35</v>
      </c>
    </row>
    <row r="271" spans="1:5" ht="14.25" customHeight="1">
      <c r="A271" s="2">
        <v>16</v>
      </c>
      <c r="B271" s="2">
        <v>270</v>
      </c>
      <c r="C271" s="2">
        <v>8</v>
      </c>
      <c r="D271" s="2">
        <v>1</v>
      </c>
      <c r="E271" s="2">
        <v>1.1559999999999999</v>
      </c>
    </row>
    <row r="272" spans="1:5" ht="14.25" customHeight="1">
      <c r="A272" s="2">
        <v>16</v>
      </c>
      <c r="B272" s="2">
        <v>271</v>
      </c>
      <c r="C272" s="2">
        <v>3</v>
      </c>
      <c r="D272" s="2">
        <v>1</v>
      </c>
      <c r="E272" s="2">
        <v>0.79400000000000004</v>
      </c>
    </row>
    <row r="273" spans="1:5" ht="14.25" customHeight="1">
      <c r="A273" s="2">
        <v>16</v>
      </c>
      <c r="B273" s="2">
        <v>272</v>
      </c>
      <c r="C273" s="2">
        <v>2</v>
      </c>
      <c r="D273" s="2">
        <v>1</v>
      </c>
      <c r="E273" s="2">
        <v>0.79900000000000004</v>
      </c>
    </row>
    <row r="274" spans="1:5" ht="14.25" customHeight="1">
      <c r="A274" s="2">
        <v>16</v>
      </c>
      <c r="B274" s="2">
        <v>273</v>
      </c>
      <c r="C274" s="2">
        <v>1</v>
      </c>
      <c r="D274" s="2">
        <v>1</v>
      </c>
      <c r="E274" s="2">
        <v>0.78</v>
      </c>
    </row>
    <row r="275" spans="1:5" ht="14.25" customHeight="1">
      <c r="A275" s="2">
        <v>16</v>
      </c>
      <c r="B275" s="2">
        <v>274</v>
      </c>
      <c r="C275" s="2">
        <v>5</v>
      </c>
      <c r="D275" s="2">
        <v>1</v>
      </c>
      <c r="E275" s="2">
        <v>1.0009999999999999</v>
      </c>
    </row>
    <row r="276" spans="1:5" ht="14.25" customHeight="1">
      <c r="A276" s="2">
        <v>16</v>
      </c>
      <c r="B276" s="2">
        <v>275</v>
      </c>
      <c r="C276" s="2">
        <v>7</v>
      </c>
      <c r="D276" s="2">
        <v>1</v>
      </c>
      <c r="E276" s="2">
        <v>0.84599999999999997</v>
      </c>
    </row>
    <row r="277" spans="1:5" ht="14.25" customHeight="1">
      <c r="A277" s="2">
        <v>16</v>
      </c>
      <c r="B277" s="2">
        <v>276</v>
      </c>
      <c r="C277" s="2">
        <v>4</v>
      </c>
      <c r="D277" s="2">
        <v>1</v>
      </c>
      <c r="E277" s="2">
        <v>0.89600000000000002</v>
      </c>
    </row>
    <row r="278" spans="1:5" ht="14.25" customHeight="1">
      <c r="A278" s="2">
        <v>16</v>
      </c>
      <c r="B278" s="2">
        <v>277</v>
      </c>
      <c r="C278" s="2">
        <v>2</v>
      </c>
      <c r="D278" s="2">
        <v>1</v>
      </c>
      <c r="E278" s="2">
        <v>0.46500000000000002</v>
      </c>
    </row>
    <row r="279" spans="1:5" ht="14.25" customHeight="1">
      <c r="A279" s="2">
        <v>16</v>
      </c>
      <c r="B279" s="2">
        <v>278</v>
      </c>
      <c r="C279" s="2">
        <v>1</v>
      </c>
      <c r="D279" s="2">
        <v>1</v>
      </c>
      <c r="E279" s="2">
        <v>1.0509999999999999</v>
      </c>
    </row>
    <row r="280" spans="1:5" ht="14.25" customHeight="1">
      <c r="A280" s="2">
        <v>16</v>
      </c>
      <c r="B280" s="2">
        <v>279</v>
      </c>
      <c r="C280" s="2">
        <v>7</v>
      </c>
      <c r="D280" s="2">
        <v>1</v>
      </c>
      <c r="E280" s="2">
        <v>0.85399999999999998</v>
      </c>
    </row>
    <row r="281" spans="1:5" ht="14.25" customHeight="1">
      <c r="A281" s="2">
        <v>16</v>
      </c>
      <c r="B281" s="2">
        <v>280</v>
      </c>
      <c r="C281" s="2">
        <v>5</v>
      </c>
      <c r="D281" s="2">
        <v>0</v>
      </c>
      <c r="E281" s="2">
        <v>0.44800000000000001</v>
      </c>
    </row>
    <row r="282" spans="1:5" ht="14.25" customHeight="1">
      <c r="A282" s="2">
        <v>16</v>
      </c>
      <c r="B282" s="2">
        <v>281</v>
      </c>
      <c r="C282" s="2">
        <v>7</v>
      </c>
      <c r="D282" s="2">
        <v>1</v>
      </c>
      <c r="E282" s="2">
        <v>1.0509999999999999</v>
      </c>
    </row>
    <row r="283" spans="1:5" ht="14.25" customHeight="1">
      <c r="A283" s="2">
        <v>16</v>
      </c>
      <c r="B283" s="2">
        <v>282</v>
      </c>
      <c r="C283" s="2">
        <v>6</v>
      </c>
      <c r="D283" s="2">
        <v>1</v>
      </c>
      <c r="E283" s="2">
        <v>1.022</v>
      </c>
    </row>
    <row r="284" spans="1:5" ht="14.25" customHeight="1">
      <c r="A284" s="2">
        <v>16</v>
      </c>
      <c r="B284" s="2">
        <v>283</v>
      </c>
      <c r="C284" s="2">
        <v>1</v>
      </c>
      <c r="D284" s="2">
        <v>1</v>
      </c>
      <c r="E284" s="2">
        <v>1.369</v>
      </c>
    </row>
    <row r="285" spans="1:5" ht="14.25" customHeight="1">
      <c r="A285" s="2">
        <v>16</v>
      </c>
      <c r="B285" s="2">
        <v>284</v>
      </c>
      <c r="C285" s="2">
        <v>5</v>
      </c>
      <c r="D285" s="2">
        <v>1</v>
      </c>
      <c r="E285" s="2">
        <v>0.85499999999999998</v>
      </c>
    </row>
    <row r="286" spans="1:5" ht="14.25" customHeight="1">
      <c r="A286" s="2">
        <v>16</v>
      </c>
      <c r="B286" s="2">
        <v>285</v>
      </c>
      <c r="C286" s="2">
        <v>4</v>
      </c>
      <c r="D286" s="2">
        <v>1</v>
      </c>
      <c r="E286" s="2">
        <v>0.91300000000000003</v>
      </c>
    </row>
    <row r="287" spans="1:5" ht="14.25" customHeight="1">
      <c r="A287" s="2">
        <v>16</v>
      </c>
      <c r="B287" s="2">
        <v>286</v>
      </c>
      <c r="C287" s="2">
        <v>3</v>
      </c>
      <c r="D287" s="2">
        <v>1</v>
      </c>
      <c r="E287" s="2">
        <v>1.2490000000000001</v>
      </c>
    </row>
    <row r="288" spans="1:5" ht="14.25" customHeight="1">
      <c r="A288" s="2">
        <v>16</v>
      </c>
      <c r="B288" s="2">
        <v>287</v>
      </c>
      <c r="C288" s="2">
        <v>6</v>
      </c>
      <c r="D288" s="2">
        <v>1</v>
      </c>
      <c r="E288" s="2">
        <v>0.79600000000000004</v>
      </c>
    </row>
    <row r="289" spans="1:5" ht="14.25" customHeight="1">
      <c r="A289" s="2">
        <v>16</v>
      </c>
      <c r="B289" s="2">
        <v>288</v>
      </c>
      <c r="C289" s="2">
        <v>7</v>
      </c>
      <c r="D289" s="2">
        <v>1</v>
      </c>
      <c r="E289" s="2">
        <v>1.2330000000000001</v>
      </c>
    </row>
    <row r="290" spans="1:5" ht="14.25" customHeight="1">
      <c r="A290" s="2">
        <v>16</v>
      </c>
      <c r="B290" s="2">
        <v>289</v>
      </c>
      <c r="C290" s="2">
        <v>5</v>
      </c>
      <c r="D290" s="2">
        <v>1</v>
      </c>
      <c r="E290" s="2">
        <v>1.252</v>
      </c>
    </row>
    <row r="291" spans="1:5" ht="14.25" customHeight="1">
      <c r="A291" s="2">
        <v>16</v>
      </c>
      <c r="B291" s="2">
        <v>290</v>
      </c>
      <c r="C291" s="2">
        <v>7</v>
      </c>
      <c r="D291" s="2">
        <v>1</v>
      </c>
      <c r="E291" s="2">
        <v>0.90300000000000002</v>
      </c>
    </row>
    <row r="292" spans="1:5" ht="14.25" customHeight="1">
      <c r="A292" s="2">
        <v>16</v>
      </c>
      <c r="B292" s="2">
        <v>291</v>
      </c>
      <c r="C292" s="2">
        <v>2</v>
      </c>
      <c r="D292" s="2">
        <v>1</v>
      </c>
      <c r="E292" s="2">
        <v>0.47899999999999998</v>
      </c>
    </row>
    <row r="293" spans="1:5" ht="14.25" customHeight="1">
      <c r="A293" s="2">
        <v>16</v>
      </c>
      <c r="B293" s="2">
        <v>292</v>
      </c>
      <c r="C293" s="2">
        <v>3</v>
      </c>
      <c r="D293" s="2">
        <v>1</v>
      </c>
      <c r="E293" s="2">
        <v>0.74399999999999999</v>
      </c>
    </row>
    <row r="294" spans="1:5" ht="14.25" customHeight="1">
      <c r="A294" s="2">
        <v>16</v>
      </c>
      <c r="B294" s="2">
        <v>293</v>
      </c>
      <c r="C294" s="2">
        <v>8</v>
      </c>
      <c r="D294" s="2">
        <v>1</v>
      </c>
      <c r="E294" s="2">
        <v>1.151</v>
      </c>
    </row>
    <row r="295" spans="1:5" ht="14.25" customHeight="1">
      <c r="A295" s="2">
        <v>16</v>
      </c>
      <c r="B295" s="2">
        <v>294</v>
      </c>
      <c r="C295" s="2">
        <v>6</v>
      </c>
      <c r="D295" s="2">
        <v>1</v>
      </c>
      <c r="E295" s="2">
        <v>0.94899999999999995</v>
      </c>
    </row>
    <row r="296" spans="1:5" ht="14.25" customHeight="1">
      <c r="A296" s="2">
        <v>16</v>
      </c>
      <c r="B296" s="2">
        <v>295</v>
      </c>
      <c r="C296" s="2">
        <v>2</v>
      </c>
      <c r="D296" s="2">
        <v>1</v>
      </c>
      <c r="E296" s="2">
        <v>0.92400000000000004</v>
      </c>
    </row>
    <row r="297" spans="1:5" ht="14.25" customHeight="1">
      <c r="A297" s="2">
        <v>16</v>
      </c>
      <c r="B297" s="2">
        <v>296</v>
      </c>
      <c r="C297" s="2">
        <v>4</v>
      </c>
      <c r="D297" s="2">
        <v>1</v>
      </c>
      <c r="E297" s="2">
        <v>1.1319999999999999</v>
      </c>
    </row>
    <row r="298" spans="1:5" ht="14.25" customHeight="1">
      <c r="A298" s="2">
        <v>16</v>
      </c>
      <c r="B298" s="2">
        <v>297</v>
      </c>
      <c r="C298" s="2">
        <v>8</v>
      </c>
      <c r="D298" s="2">
        <v>1</v>
      </c>
      <c r="E298" s="2">
        <v>0.81899999999999995</v>
      </c>
    </row>
    <row r="299" spans="1:5" ht="14.25" customHeight="1">
      <c r="A299" s="2">
        <v>16</v>
      </c>
      <c r="B299" s="2">
        <v>298</v>
      </c>
      <c r="C299" s="2">
        <v>3</v>
      </c>
      <c r="D299" s="2">
        <v>1</v>
      </c>
      <c r="E299" s="2">
        <v>0.83199999999999996</v>
      </c>
    </row>
    <row r="300" spans="1:5" ht="14.25" customHeight="1">
      <c r="A300" s="2">
        <v>16</v>
      </c>
      <c r="B300" s="2">
        <v>299</v>
      </c>
      <c r="C300" s="2">
        <v>8</v>
      </c>
      <c r="D300" s="2">
        <v>1</v>
      </c>
      <c r="E300" s="2">
        <v>1.1539999999999999</v>
      </c>
    </row>
    <row r="301" spans="1:5" ht="14.25" customHeight="1">
      <c r="A301" s="2">
        <v>16</v>
      </c>
      <c r="B301" s="2">
        <v>300</v>
      </c>
      <c r="C301" s="2">
        <v>3</v>
      </c>
      <c r="D301" s="2">
        <v>1</v>
      </c>
      <c r="E301" s="2">
        <v>0.70499999999999996</v>
      </c>
    </row>
    <row r="302" spans="1:5" ht="14.25" customHeight="1"/>
    <row r="303" spans="1:5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5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17</v>
      </c>
      <c r="I1" s="2">
        <v>251</v>
      </c>
      <c r="J1" s="2">
        <v>4</v>
      </c>
      <c r="K1" s="2">
        <v>1</v>
      </c>
      <c r="L1" s="2">
        <v>1.0720000000000001</v>
      </c>
      <c r="M1" s="2">
        <v>1</v>
      </c>
    </row>
    <row r="2" spans="1:22" ht="14.25" customHeight="1">
      <c r="A2" s="2">
        <v>17</v>
      </c>
      <c r="B2" s="2">
        <v>1</v>
      </c>
      <c r="C2" s="2">
        <v>2</v>
      </c>
      <c r="D2" s="2">
        <v>0</v>
      </c>
      <c r="E2" s="2">
        <v>1.2270000000000001</v>
      </c>
      <c r="F2" s="2">
        <v>2</v>
      </c>
      <c r="H2" s="2">
        <v>17</v>
      </c>
      <c r="I2" s="2">
        <v>252</v>
      </c>
      <c r="J2" s="2">
        <v>2</v>
      </c>
      <c r="K2" s="2">
        <v>1</v>
      </c>
      <c r="L2" s="2">
        <v>1.121</v>
      </c>
      <c r="M2" s="2">
        <v>2</v>
      </c>
    </row>
    <row r="3" spans="1:22" ht="14.25" customHeight="1">
      <c r="A3" s="2">
        <v>17</v>
      </c>
      <c r="B3" s="2">
        <v>2</v>
      </c>
      <c r="C3" s="2">
        <v>3</v>
      </c>
      <c r="D3" s="2">
        <v>0</v>
      </c>
      <c r="E3" s="2">
        <v>1.8089999999999999</v>
      </c>
      <c r="F3" s="2">
        <v>1</v>
      </c>
      <c r="H3" s="2">
        <v>17</v>
      </c>
      <c r="I3" s="2">
        <v>253</v>
      </c>
      <c r="J3" s="2">
        <v>3</v>
      </c>
      <c r="K3" s="2">
        <v>1</v>
      </c>
      <c r="L3" s="2">
        <v>0.96899999999999997</v>
      </c>
      <c r="M3" s="2">
        <v>2</v>
      </c>
    </row>
    <row r="4" spans="1:22" ht="14.25" customHeight="1">
      <c r="A4" s="2">
        <v>17</v>
      </c>
      <c r="B4" s="2">
        <v>3</v>
      </c>
      <c r="C4" s="2">
        <v>1</v>
      </c>
      <c r="E4" s="2">
        <v>2.0009999999999999</v>
      </c>
      <c r="H4" s="2">
        <v>17</v>
      </c>
      <c r="I4" s="2">
        <v>254</v>
      </c>
      <c r="J4" s="2">
        <v>6</v>
      </c>
      <c r="K4" s="2">
        <v>1</v>
      </c>
      <c r="L4" s="2">
        <v>0.68700000000000006</v>
      </c>
      <c r="M4" s="2">
        <v>1</v>
      </c>
      <c r="O4" s="2" t="s">
        <v>6</v>
      </c>
    </row>
    <row r="5" spans="1:22" ht="14.25" customHeight="1">
      <c r="A5" s="2">
        <v>17</v>
      </c>
      <c r="B5" s="2">
        <v>4</v>
      </c>
      <c r="C5" s="2">
        <v>4</v>
      </c>
      <c r="D5" s="2">
        <v>0</v>
      </c>
      <c r="E5" s="2">
        <v>0.78600000000000003</v>
      </c>
      <c r="F5" s="2">
        <v>2</v>
      </c>
      <c r="H5" s="2">
        <v>17</v>
      </c>
      <c r="I5" s="2">
        <v>255</v>
      </c>
      <c r="J5" s="2">
        <v>5</v>
      </c>
      <c r="K5" s="2">
        <v>0</v>
      </c>
      <c r="L5" s="2">
        <v>0.64800000000000002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17</v>
      </c>
      <c r="B6" s="2">
        <v>5</v>
      </c>
      <c r="C6" s="2">
        <v>3</v>
      </c>
      <c r="D6" s="2">
        <v>0</v>
      </c>
      <c r="E6" s="2">
        <v>1.0940000000000001</v>
      </c>
      <c r="F6" s="2">
        <v>1</v>
      </c>
      <c r="H6" s="2">
        <v>17</v>
      </c>
      <c r="I6" s="2">
        <v>256</v>
      </c>
      <c r="J6" s="2">
        <v>1</v>
      </c>
      <c r="K6" s="2">
        <v>0</v>
      </c>
      <c r="L6" s="2">
        <v>1.163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17</v>
      </c>
      <c r="B7" s="2">
        <v>6</v>
      </c>
      <c r="C7" s="2">
        <v>5</v>
      </c>
      <c r="D7" s="2">
        <v>0</v>
      </c>
      <c r="E7" s="2">
        <v>1.4470000000000001</v>
      </c>
      <c r="F7" s="2">
        <v>1</v>
      </c>
      <c r="H7" s="2">
        <v>17</v>
      </c>
      <c r="I7" s="2">
        <v>257</v>
      </c>
      <c r="J7" s="2">
        <v>2</v>
      </c>
      <c r="K7" s="2">
        <v>1</v>
      </c>
      <c r="L7" s="2">
        <v>1.272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17</v>
      </c>
      <c r="B8" s="2">
        <v>7</v>
      </c>
      <c r="C8" s="2">
        <v>2</v>
      </c>
      <c r="E8" s="2">
        <v>2</v>
      </c>
      <c r="H8" s="2">
        <v>17</v>
      </c>
      <c r="I8" s="2">
        <v>258</v>
      </c>
      <c r="J8" s="2">
        <v>6</v>
      </c>
      <c r="L8" s="2">
        <v>2.0009999999999999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17</v>
      </c>
      <c r="B9" s="2">
        <v>8</v>
      </c>
      <c r="C9" s="2">
        <v>6</v>
      </c>
      <c r="D9" s="2">
        <v>1</v>
      </c>
      <c r="E9" s="2">
        <v>1.0069999999999999</v>
      </c>
      <c r="F9" s="2">
        <v>2</v>
      </c>
      <c r="H9" s="2">
        <v>17</v>
      </c>
      <c r="I9" s="2">
        <v>259</v>
      </c>
      <c r="J9" s="2">
        <v>7</v>
      </c>
      <c r="K9" s="2">
        <v>1</v>
      </c>
      <c r="L9" s="2">
        <v>0.69599999999999995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17</v>
      </c>
      <c r="B10" s="2">
        <v>9</v>
      </c>
      <c r="C10" s="2">
        <v>1</v>
      </c>
      <c r="D10" s="2">
        <v>0</v>
      </c>
      <c r="E10" s="2">
        <v>1.6990000000000001</v>
      </c>
      <c r="F10" s="2">
        <v>1</v>
      </c>
      <c r="H10" s="2">
        <v>17</v>
      </c>
      <c r="I10" s="2">
        <v>260</v>
      </c>
      <c r="J10" s="2">
        <v>4</v>
      </c>
      <c r="K10" s="2">
        <v>1</v>
      </c>
      <c r="L10" s="2">
        <v>0.86399999999999999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17</v>
      </c>
      <c r="B11" s="2">
        <v>10</v>
      </c>
      <c r="C11" s="2">
        <v>8</v>
      </c>
      <c r="D11" s="2">
        <v>1</v>
      </c>
      <c r="E11" s="2">
        <v>1.244</v>
      </c>
      <c r="F11" s="2">
        <v>1</v>
      </c>
      <c r="H11" s="2">
        <v>17</v>
      </c>
      <c r="I11" s="2">
        <v>261</v>
      </c>
      <c r="J11" s="2">
        <v>7</v>
      </c>
      <c r="K11" s="2">
        <v>1</v>
      </c>
      <c r="L11" s="2">
        <v>1.002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17</v>
      </c>
      <c r="B12" s="2">
        <v>11</v>
      </c>
      <c r="C12" s="2">
        <v>4</v>
      </c>
      <c r="E12" s="2">
        <v>2</v>
      </c>
      <c r="H12" s="2">
        <v>17</v>
      </c>
      <c r="I12" s="2">
        <v>262</v>
      </c>
      <c r="J12" s="2">
        <v>4</v>
      </c>
      <c r="K12" s="2">
        <v>1</v>
      </c>
      <c r="L12" s="2">
        <v>1.5980000000000001</v>
      </c>
      <c r="M12" s="2">
        <v>2</v>
      </c>
    </row>
    <row r="13" spans="1:22" ht="14.25" customHeight="1">
      <c r="A13" s="2">
        <v>17</v>
      </c>
      <c r="B13" s="2">
        <v>12</v>
      </c>
      <c r="C13" s="2">
        <v>5</v>
      </c>
      <c r="D13" s="2">
        <v>0</v>
      </c>
      <c r="E13" s="2">
        <v>0.63100000000000001</v>
      </c>
      <c r="F13" s="2">
        <v>1</v>
      </c>
      <c r="H13" s="2">
        <v>17</v>
      </c>
      <c r="I13" s="2">
        <v>263</v>
      </c>
      <c r="J13" s="2">
        <v>8</v>
      </c>
      <c r="K13" s="2">
        <v>1</v>
      </c>
      <c r="L13" s="2">
        <v>0.81799999999999995</v>
      </c>
      <c r="M13" s="2">
        <v>1</v>
      </c>
    </row>
    <row r="14" spans="1:22" ht="14.25" customHeight="1">
      <c r="A14" s="2">
        <v>17</v>
      </c>
      <c r="B14" s="2">
        <v>13</v>
      </c>
      <c r="C14" s="2">
        <v>4</v>
      </c>
      <c r="D14" s="2">
        <v>0</v>
      </c>
      <c r="E14" s="2">
        <v>1.0429999999999999</v>
      </c>
      <c r="F14" s="2">
        <v>2</v>
      </c>
      <c r="H14" s="2">
        <v>17</v>
      </c>
      <c r="I14" s="2">
        <v>264</v>
      </c>
      <c r="J14" s="2">
        <v>2</v>
      </c>
      <c r="K14" s="2">
        <v>1</v>
      </c>
      <c r="L14" s="2">
        <v>1.4550000000000001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17</v>
      </c>
      <c r="B15" s="2">
        <v>14</v>
      </c>
      <c r="C15" s="2">
        <v>1</v>
      </c>
      <c r="D15" s="2">
        <v>0</v>
      </c>
      <c r="E15" s="2">
        <v>1.5329999999999999</v>
      </c>
      <c r="F15" s="2">
        <v>1</v>
      </c>
      <c r="H15" s="2">
        <v>17</v>
      </c>
      <c r="I15" s="2">
        <v>265</v>
      </c>
      <c r="J15" s="2">
        <v>6</v>
      </c>
      <c r="K15" s="2">
        <v>1</v>
      </c>
      <c r="L15" s="2">
        <v>0.76100000000000001</v>
      </c>
      <c r="M15" s="2">
        <v>1</v>
      </c>
      <c r="O15" s="2" t="s">
        <v>9</v>
      </c>
    </row>
    <row r="16" spans="1:22" ht="14.25" customHeight="1">
      <c r="A16" s="2">
        <v>17</v>
      </c>
      <c r="B16" s="2">
        <v>15</v>
      </c>
      <c r="C16" s="2">
        <v>4</v>
      </c>
      <c r="D16" s="2">
        <v>0</v>
      </c>
      <c r="E16" s="2">
        <v>0.90800000000000003</v>
      </c>
      <c r="F16" s="2">
        <v>2</v>
      </c>
      <c r="H16" s="2">
        <v>17</v>
      </c>
      <c r="I16" s="2">
        <v>266</v>
      </c>
      <c r="J16" s="2">
        <v>8</v>
      </c>
      <c r="K16" s="2">
        <v>1</v>
      </c>
      <c r="L16" s="2">
        <v>1.663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17</v>
      </c>
      <c r="B17" s="2">
        <v>16</v>
      </c>
      <c r="C17" s="2">
        <v>6</v>
      </c>
      <c r="D17" s="2">
        <v>1</v>
      </c>
      <c r="E17" s="2">
        <v>0.82099999999999995</v>
      </c>
      <c r="F17" s="2">
        <v>2</v>
      </c>
      <c r="H17" s="2">
        <v>17</v>
      </c>
      <c r="I17" s="2">
        <v>267</v>
      </c>
      <c r="J17" s="2">
        <v>4</v>
      </c>
      <c r="K17" s="2">
        <v>1</v>
      </c>
      <c r="L17" s="2">
        <v>0.57699999999999996</v>
      </c>
      <c r="M17" s="2">
        <v>1</v>
      </c>
      <c r="N17" s="2">
        <v>1</v>
      </c>
      <c r="O17" s="2">
        <f t="shared" ref="O17:O22" si="0">(O6*COUNTIF($J$1:$J$100,O$16) - COUNTIFS($J$1:$J$100,O$16,$K$1:$K$100,"=1"))^2</f>
        <v>7.0224999999999973</v>
      </c>
      <c r="P17" s="2">
        <f t="shared" ref="P17:P22" si="1">(P6*COUNTIF($J$1:$J$100,P$16) - COUNTIFS($J$1:$J$100,P$16,$K$1:$K$100,"=0"))^2</f>
        <v>0.48999999999999994</v>
      </c>
      <c r="Q17" s="2">
        <f t="shared" ref="Q17:Q22" si="2">(Q6*COUNTIF($J$1:$J$100,Q$16) - COUNTIFS($J$1:$J$100,Q$16,$K$1:$K$100,"=1"))^2</f>
        <v>9.0000000000000427E-2</v>
      </c>
      <c r="R17" s="2">
        <f t="shared" ref="R17:R22" si="3">(R6*COUNTIF($J$1:$J$100,R$16) - COUNTIFS($J$1:$J$100,R$16,$K$1:$K$100,"=0"))^2</f>
        <v>0.42249999999999988</v>
      </c>
      <c r="S17" s="2">
        <f t="shared" ref="S17:T17" si="4">(S6*COUNTIF($J$1:$J$100,S$16) - COUNTIFS($J$1:$J$100,S$16,$K$1:$K$100,"=1"))^2</f>
        <v>7.2899999999999965</v>
      </c>
      <c r="T17" s="2">
        <f t="shared" si="4"/>
        <v>2.8899999999999975</v>
      </c>
      <c r="U17" s="2">
        <f t="shared" ref="U17:V17" si="5">(U6*COUNTIF($J$1:$J$100,U$16) - COUNTIFS($J$1:$J$100,U$16,$K$1:$K$100,"=0"))^2</f>
        <v>2.8899999999999997</v>
      </c>
      <c r="V17" s="2">
        <f t="shared" si="5"/>
        <v>9.0000000000000024E-2</v>
      </c>
    </row>
    <row r="18" spans="1:22" ht="14.25" customHeight="1">
      <c r="A18" s="2">
        <v>17</v>
      </c>
      <c r="B18" s="2">
        <v>17</v>
      </c>
      <c r="C18" s="2">
        <v>4</v>
      </c>
      <c r="D18" s="2">
        <v>1</v>
      </c>
      <c r="E18" s="2">
        <v>0.92800000000000005</v>
      </c>
      <c r="F18" s="2">
        <v>1</v>
      </c>
      <c r="H18" s="2">
        <v>17</v>
      </c>
      <c r="I18" s="2">
        <v>268</v>
      </c>
      <c r="J18" s="2">
        <v>7</v>
      </c>
      <c r="K18" s="2">
        <v>1</v>
      </c>
      <c r="L18" s="2">
        <v>0.72599999999999998</v>
      </c>
      <c r="M18" s="2">
        <v>2</v>
      </c>
      <c r="N18" s="2">
        <v>2</v>
      </c>
      <c r="O18" s="2">
        <f t="shared" si="0"/>
        <v>7.0224999999999973</v>
      </c>
      <c r="P18" s="2">
        <f t="shared" si="1"/>
        <v>22.089999999999993</v>
      </c>
      <c r="Q18" s="2">
        <f t="shared" si="2"/>
        <v>32.49</v>
      </c>
      <c r="R18" s="2">
        <f t="shared" si="3"/>
        <v>0.42249999999999988</v>
      </c>
      <c r="S18" s="2">
        <f t="shared" ref="S18:T18" si="6">(S7*COUNTIF($J$1:$J$100,S$16) - COUNTIFS($J$1:$J$100,S$16,$K$1:$K$100,"=1"))^2</f>
        <v>7.2899999999999965</v>
      </c>
      <c r="T18" s="2">
        <f t="shared" si="6"/>
        <v>2.8899999999999975</v>
      </c>
      <c r="U18" s="2">
        <f t="shared" ref="U18:V18" si="7">(U7*COUNTIF($J$1:$J$100,U$16) - COUNTIFS($J$1:$J$100,U$16,$K$1:$K$100,"=0"))^2</f>
        <v>2.8899999999999997</v>
      </c>
      <c r="V18" s="2">
        <f t="shared" si="7"/>
        <v>9.0000000000000024E-2</v>
      </c>
    </row>
    <row r="19" spans="1:22" ht="14.25" customHeight="1">
      <c r="A19" s="2">
        <v>17</v>
      </c>
      <c r="B19" s="2">
        <v>18</v>
      </c>
      <c r="C19" s="2">
        <v>5</v>
      </c>
      <c r="D19" s="2">
        <v>1</v>
      </c>
      <c r="E19" s="2">
        <v>0.76800000000000002</v>
      </c>
      <c r="F19" s="2">
        <v>2</v>
      </c>
      <c r="H19" s="2">
        <v>17</v>
      </c>
      <c r="I19" s="2">
        <v>269</v>
      </c>
      <c r="J19" s="2">
        <v>6</v>
      </c>
      <c r="K19" s="2">
        <v>1</v>
      </c>
      <c r="L19" s="2">
        <v>0.81299999999999994</v>
      </c>
      <c r="M19" s="2">
        <v>2</v>
      </c>
      <c r="N19" s="2">
        <v>3</v>
      </c>
      <c r="O19" s="2">
        <f t="shared" si="0"/>
        <v>7.0224999999999973</v>
      </c>
      <c r="P19" s="2">
        <f t="shared" si="1"/>
        <v>0.48999999999999994</v>
      </c>
      <c r="Q19" s="2">
        <f t="shared" si="2"/>
        <v>9.0000000000000427E-2</v>
      </c>
      <c r="R19" s="2">
        <f t="shared" si="3"/>
        <v>0.42249999999999988</v>
      </c>
      <c r="S19" s="2">
        <f t="shared" ref="S19:T19" si="8">(S8*COUNTIF($J$1:$J$100,S$16) - COUNTIFS($J$1:$J$100,S$16,$K$1:$K$100,"=1"))^2</f>
        <v>7.2899999999999965</v>
      </c>
      <c r="T19" s="2">
        <f t="shared" si="8"/>
        <v>13.690000000000001</v>
      </c>
      <c r="U19" s="2">
        <f t="shared" ref="U19:V19" si="9">(U8*COUNTIF($J$1:$J$100,U$16) - COUNTIFS($J$1:$J$100,U$16,$K$1:$K$100,"=0"))^2</f>
        <v>13.689999999999994</v>
      </c>
      <c r="V19" s="2">
        <f t="shared" si="9"/>
        <v>9.0000000000000024E-2</v>
      </c>
    </row>
    <row r="20" spans="1:22" ht="14.25" customHeight="1">
      <c r="A20" s="2">
        <v>17</v>
      </c>
      <c r="B20" s="2">
        <v>19</v>
      </c>
      <c r="C20" s="2">
        <v>1</v>
      </c>
      <c r="D20" s="2">
        <v>1</v>
      </c>
      <c r="E20" s="2">
        <v>1.1659999999999999</v>
      </c>
      <c r="F20" s="2">
        <v>2</v>
      </c>
      <c r="H20" s="2">
        <v>17</v>
      </c>
      <c r="I20" s="2">
        <v>270</v>
      </c>
      <c r="J20" s="2">
        <v>8</v>
      </c>
      <c r="K20" s="2">
        <v>1</v>
      </c>
      <c r="L20" s="2">
        <v>0.90500000000000003</v>
      </c>
      <c r="M20" s="2">
        <v>1</v>
      </c>
      <c r="N20" s="2">
        <v>4</v>
      </c>
      <c r="O20" s="2">
        <f t="shared" si="0"/>
        <v>0.25</v>
      </c>
      <c r="P20" s="2">
        <f t="shared" si="1"/>
        <v>4</v>
      </c>
      <c r="Q20" s="2">
        <f t="shared" si="2"/>
        <v>9</v>
      </c>
      <c r="R20" s="2">
        <f t="shared" si="3"/>
        <v>6.25</v>
      </c>
      <c r="S20" s="2">
        <f t="shared" ref="S20:T20" si="10">(S9*COUNTIF($J$1:$J$100,S$16) - COUNTIFS($J$1:$J$100,S$16,$K$1:$K$100,"=1"))^2</f>
        <v>7.2899999999999965</v>
      </c>
      <c r="T20" s="2">
        <f t="shared" si="10"/>
        <v>2.8899999999999975</v>
      </c>
      <c r="U20" s="2">
        <f t="shared" ref="U20:V20" si="11">(U9*COUNTIF($J$1:$J$100,U$16) - COUNTIFS($J$1:$J$100,U$16,$K$1:$K$100,"=0"))^2</f>
        <v>2.8899999999999997</v>
      </c>
      <c r="V20" s="2">
        <f t="shared" si="11"/>
        <v>9.0000000000000024E-2</v>
      </c>
    </row>
    <row r="21" spans="1:22" ht="14.25" customHeight="1">
      <c r="A21" s="2">
        <v>17</v>
      </c>
      <c r="B21" s="2">
        <v>20</v>
      </c>
      <c r="C21" s="2">
        <v>8</v>
      </c>
      <c r="D21" s="2">
        <v>1</v>
      </c>
      <c r="E21" s="2">
        <v>0.54</v>
      </c>
      <c r="F21" s="2">
        <v>1</v>
      </c>
      <c r="H21" s="2">
        <v>17</v>
      </c>
      <c r="I21" s="2">
        <v>271</v>
      </c>
      <c r="J21" s="2">
        <v>7</v>
      </c>
      <c r="K21" s="2">
        <v>1</v>
      </c>
      <c r="L21" s="2">
        <v>1.0089999999999999</v>
      </c>
      <c r="M21" s="2">
        <v>2</v>
      </c>
      <c r="N21" s="2">
        <v>5</v>
      </c>
      <c r="O21" s="2">
        <f t="shared" si="0"/>
        <v>7.0224999999999973</v>
      </c>
      <c r="P21" s="2">
        <f t="shared" si="1"/>
        <v>0.48999999999999994</v>
      </c>
      <c r="Q21" s="2">
        <f t="shared" si="2"/>
        <v>9.0000000000000427E-2</v>
      </c>
      <c r="R21" s="2">
        <f t="shared" si="3"/>
        <v>0.42249999999999988</v>
      </c>
      <c r="S21" s="2">
        <f t="shared" ref="S21:T21" si="12">(S10*COUNTIF($J$1:$J$100,S$16) - COUNTIFS($J$1:$J$100,S$16,$K$1:$K$100,"=1"))^2</f>
        <v>0</v>
      </c>
      <c r="T21" s="2">
        <f t="shared" si="12"/>
        <v>1</v>
      </c>
      <c r="U21" s="2">
        <f t="shared" ref="U21:V21" si="13">(U10*COUNTIF($J$1:$J$100,U$16) - COUNTIFS($J$1:$J$100,U$16,$K$1:$K$100,"=0"))^2</f>
        <v>1</v>
      </c>
      <c r="V21" s="2">
        <f t="shared" si="13"/>
        <v>9</v>
      </c>
    </row>
    <row r="22" spans="1:22" ht="14.25" customHeight="1">
      <c r="A22" s="2">
        <v>17</v>
      </c>
      <c r="B22" s="2">
        <v>21</v>
      </c>
      <c r="C22" s="2">
        <v>1</v>
      </c>
      <c r="D22" s="2">
        <v>1</v>
      </c>
      <c r="E22" s="2">
        <v>0.54700000000000004</v>
      </c>
      <c r="F22" s="2">
        <v>2</v>
      </c>
      <c r="H22" s="2">
        <v>17</v>
      </c>
      <c r="I22" s="2">
        <v>272</v>
      </c>
      <c r="J22" s="2">
        <v>1</v>
      </c>
      <c r="K22" s="2">
        <v>1</v>
      </c>
      <c r="L22" s="2">
        <v>1.2689999999999999</v>
      </c>
      <c r="M22" s="2">
        <v>2</v>
      </c>
      <c r="N22" s="2">
        <v>6</v>
      </c>
      <c r="O22" s="2">
        <f t="shared" si="0"/>
        <v>0.25</v>
      </c>
      <c r="P22" s="2">
        <f t="shared" si="1"/>
        <v>4</v>
      </c>
      <c r="Q22" s="2">
        <f t="shared" si="2"/>
        <v>9</v>
      </c>
      <c r="R22" s="2">
        <f t="shared" si="3"/>
        <v>6.25</v>
      </c>
      <c r="S22" s="2">
        <f t="shared" ref="S22:T22" si="14">(S11*COUNTIF($J$1:$J$100,S$16) - COUNTIFS($J$1:$J$100,S$16,$K$1:$K$100,"=1"))^2</f>
        <v>0</v>
      </c>
      <c r="T22" s="2">
        <f t="shared" si="14"/>
        <v>1</v>
      </c>
      <c r="U22" s="2">
        <f t="shared" ref="U22:V22" si="15">(U11*COUNTIF($J$1:$J$100,U$16) - COUNTIFS($J$1:$J$100,U$16,$K$1:$K$100,"=0"))^2</f>
        <v>1</v>
      </c>
      <c r="V22" s="2">
        <f t="shared" si="15"/>
        <v>9</v>
      </c>
    </row>
    <row r="23" spans="1:22" ht="14.25" customHeight="1">
      <c r="A23" s="2">
        <v>17</v>
      </c>
      <c r="B23" s="2">
        <v>22</v>
      </c>
      <c r="C23" s="2">
        <v>3</v>
      </c>
      <c r="D23" s="2">
        <v>1</v>
      </c>
      <c r="E23" s="2">
        <v>1.073</v>
      </c>
      <c r="F23" s="2">
        <v>2</v>
      </c>
      <c r="H23" s="2">
        <v>17</v>
      </c>
      <c r="I23" s="2">
        <v>273</v>
      </c>
      <c r="J23" s="2">
        <v>3</v>
      </c>
      <c r="K23" s="2">
        <v>1</v>
      </c>
      <c r="L23" s="2">
        <v>1.0469999999999999</v>
      </c>
      <c r="M23" s="2">
        <v>1</v>
      </c>
    </row>
    <row r="24" spans="1:22" ht="14.25" customHeight="1">
      <c r="A24" s="2">
        <v>17</v>
      </c>
      <c r="B24" s="2">
        <v>23</v>
      </c>
      <c r="C24" s="2">
        <v>7</v>
      </c>
      <c r="D24" s="2">
        <v>1</v>
      </c>
      <c r="E24" s="2">
        <v>0.73799999999999999</v>
      </c>
      <c r="F24" s="2">
        <v>1</v>
      </c>
      <c r="H24" s="2">
        <v>17</v>
      </c>
      <c r="I24" s="2">
        <v>274</v>
      </c>
      <c r="J24" s="2">
        <v>5</v>
      </c>
      <c r="K24" s="2">
        <v>1</v>
      </c>
      <c r="L24" s="2">
        <v>0.82599999999999996</v>
      </c>
      <c r="M24" s="2">
        <v>1</v>
      </c>
    </row>
    <row r="25" spans="1:22" ht="14.25" customHeight="1">
      <c r="A25" s="2">
        <v>17</v>
      </c>
      <c r="B25" s="2">
        <v>24</v>
      </c>
      <c r="C25" s="2">
        <v>8</v>
      </c>
      <c r="D25" s="2">
        <v>1</v>
      </c>
      <c r="E25" s="2">
        <v>1.097</v>
      </c>
      <c r="F25" s="2">
        <v>1</v>
      </c>
      <c r="H25" s="2">
        <v>17</v>
      </c>
      <c r="I25" s="2">
        <v>275</v>
      </c>
      <c r="J25" s="2">
        <v>2</v>
      </c>
      <c r="K25" s="2">
        <v>1</v>
      </c>
      <c r="L25" s="2">
        <v>0.59799999999999998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17</v>
      </c>
      <c r="B26" s="2">
        <v>25</v>
      </c>
      <c r="C26" s="2">
        <v>4</v>
      </c>
      <c r="D26" s="2">
        <v>0</v>
      </c>
      <c r="E26" s="2">
        <v>1.41</v>
      </c>
      <c r="F26" s="2">
        <v>2</v>
      </c>
      <c r="H26" s="2">
        <v>17</v>
      </c>
      <c r="I26" s="2">
        <v>276</v>
      </c>
      <c r="J26" s="2">
        <v>3</v>
      </c>
      <c r="K26" s="2">
        <v>1</v>
      </c>
      <c r="L26" s="2">
        <v>1.226</v>
      </c>
      <c r="M26" s="2">
        <v>2</v>
      </c>
      <c r="O26" s="2">
        <f t="shared" ref="O26:V26" si="16">COUNTIF($J$1:$J$100,O$16)^2</f>
        <v>49</v>
      </c>
      <c r="P26" s="2">
        <f t="shared" si="16"/>
        <v>36</v>
      </c>
      <c r="Q26" s="2">
        <f t="shared" si="16"/>
        <v>36</v>
      </c>
      <c r="R26" s="2">
        <f t="shared" si="16"/>
        <v>49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17</v>
      </c>
      <c r="B27" s="2">
        <v>26</v>
      </c>
      <c r="C27" s="2">
        <v>3</v>
      </c>
      <c r="D27" s="2">
        <v>1</v>
      </c>
      <c r="E27" s="2">
        <v>0.94199999999999995</v>
      </c>
      <c r="F27" s="2">
        <v>2</v>
      </c>
      <c r="H27" s="2">
        <v>17</v>
      </c>
      <c r="I27" s="2">
        <v>277</v>
      </c>
      <c r="J27" s="2">
        <v>2</v>
      </c>
      <c r="K27" s="2">
        <v>1</v>
      </c>
      <c r="L27" s="2">
        <v>0.79700000000000004</v>
      </c>
      <c r="M27" s="2">
        <v>1</v>
      </c>
    </row>
    <row r="28" spans="1:22" ht="14.25" customHeight="1">
      <c r="A28" s="2">
        <v>17</v>
      </c>
      <c r="B28" s="2">
        <v>27</v>
      </c>
      <c r="C28" s="2">
        <v>2</v>
      </c>
      <c r="D28" s="2">
        <v>0</v>
      </c>
      <c r="E28" s="2">
        <v>0.71699999999999997</v>
      </c>
      <c r="F28" s="2">
        <v>2</v>
      </c>
      <c r="H28" s="2">
        <v>17</v>
      </c>
      <c r="I28" s="2">
        <v>278</v>
      </c>
      <c r="J28" s="2">
        <v>8</v>
      </c>
      <c r="K28" s="2">
        <v>1</v>
      </c>
      <c r="L28" s="2">
        <v>1.1539999999999999</v>
      </c>
      <c r="M28" s="2">
        <v>1</v>
      </c>
    </row>
    <row r="29" spans="1:22" ht="14.25" customHeight="1">
      <c r="A29" s="2">
        <v>17</v>
      </c>
      <c r="B29" s="2">
        <v>28</v>
      </c>
      <c r="C29" s="2">
        <v>8</v>
      </c>
      <c r="D29" s="2">
        <v>0</v>
      </c>
      <c r="E29" s="2">
        <v>0.82099999999999995</v>
      </c>
      <c r="F29" s="2">
        <v>2</v>
      </c>
      <c r="H29" s="2">
        <v>17</v>
      </c>
      <c r="I29" s="2">
        <v>279</v>
      </c>
      <c r="J29" s="2">
        <v>4</v>
      </c>
      <c r="K29" s="2">
        <v>0</v>
      </c>
      <c r="L29" s="2">
        <v>1.472</v>
      </c>
      <c r="M29" s="2">
        <v>1</v>
      </c>
    </row>
    <row r="30" spans="1:22" ht="14.25" customHeight="1">
      <c r="A30" s="2">
        <v>17</v>
      </c>
      <c r="B30" s="2">
        <v>29</v>
      </c>
      <c r="C30" s="2">
        <v>6</v>
      </c>
      <c r="D30" s="2">
        <v>1</v>
      </c>
      <c r="E30" s="2">
        <v>0.76900000000000002</v>
      </c>
      <c r="F30" s="2">
        <v>2</v>
      </c>
      <c r="H30" s="2">
        <v>17</v>
      </c>
      <c r="I30" s="2">
        <v>280</v>
      </c>
      <c r="J30" s="2">
        <v>8</v>
      </c>
      <c r="K30" s="2">
        <v>1</v>
      </c>
      <c r="L30" s="2">
        <v>1.202</v>
      </c>
      <c r="M30" s="2">
        <v>2</v>
      </c>
    </row>
    <row r="31" spans="1:22" ht="14.25" customHeight="1">
      <c r="A31" s="2">
        <v>17</v>
      </c>
      <c r="B31" s="2">
        <v>30</v>
      </c>
      <c r="C31" s="2">
        <v>1</v>
      </c>
      <c r="D31" s="2">
        <v>1</v>
      </c>
      <c r="E31" s="2">
        <v>0.89400000000000002</v>
      </c>
      <c r="F31" s="2">
        <v>2</v>
      </c>
      <c r="H31" s="2">
        <v>17</v>
      </c>
      <c r="I31" s="2">
        <v>281</v>
      </c>
      <c r="J31" s="2">
        <v>6</v>
      </c>
      <c r="K31" s="2">
        <v>1</v>
      </c>
      <c r="L31" s="2">
        <v>0.71899999999999997</v>
      </c>
      <c r="M31" s="2">
        <v>1</v>
      </c>
      <c r="N31" s="2">
        <v>1</v>
      </c>
      <c r="O31" s="2">
        <f t="shared" ref="O31:O36" si="17">SUM(O17:V17)/(SUM($O$26:$V$26))</f>
        <v>6.7468152866242012E-2</v>
      </c>
    </row>
    <row r="32" spans="1:22" ht="14.25" customHeight="1">
      <c r="A32" s="2">
        <v>17</v>
      </c>
      <c r="B32" s="2">
        <v>31</v>
      </c>
      <c r="C32" s="2">
        <v>7</v>
      </c>
      <c r="D32" s="2">
        <v>1</v>
      </c>
      <c r="E32" s="2">
        <v>0.80800000000000005</v>
      </c>
      <c r="F32" s="2">
        <v>1</v>
      </c>
      <c r="H32" s="2">
        <v>17</v>
      </c>
      <c r="I32" s="2">
        <v>282</v>
      </c>
      <c r="J32" s="2">
        <v>7</v>
      </c>
      <c r="K32" s="2">
        <v>0</v>
      </c>
      <c r="L32" s="2">
        <v>1.054</v>
      </c>
      <c r="M32" s="2">
        <v>1</v>
      </c>
      <c r="N32" s="2">
        <v>2</v>
      </c>
      <c r="O32" s="2">
        <f t="shared" si="17"/>
        <v>0.23944267515923562</v>
      </c>
    </row>
    <row r="33" spans="1:15" ht="14.25" customHeight="1">
      <c r="A33" s="2">
        <v>17</v>
      </c>
      <c r="B33" s="2">
        <v>32</v>
      </c>
      <c r="C33" s="2">
        <v>6</v>
      </c>
      <c r="D33" s="2">
        <v>1</v>
      </c>
      <c r="E33" s="2">
        <v>0.86699999999999999</v>
      </c>
      <c r="F33" s="2">
        <v>2</v>
      </c>
      <c r="H33" s="2">
        <v>17</v>
      </c>
      <c r="I33" s="2">
        <v>283</v>
      </c>
      <c r="J33" s="2">
        <v>1</v>
      </c>
      <c r="K33" s="2">
        <v>1</v>
      </c>
      <c r="L33" s="2">
        <v>0.89700000000000002</v>
      </c>
      <c r="M33" s="2">
        <v>1</v>
      </c>
      <c r="N33" s="2">
        <v>3</v>
      </c>
      <c r="O33" s="2">
        <f t="shared" si="17"/>
        <v>0.13625796178343949</v>
      </c>
    </row>
    <row r="34" spans="1:15" ht="14.25" customHeight="1">
      <c r="A34" s="2">
        <v>17</v>
      </c>
      <c r="B34" s="2">
        <v>33</v>
      </c>
      <c r="C34" s="2">
        <v>7</v>
      </c>
      <c r="D34" s="2">
        <v>1</v>
      </c>
      <c r="E34" s="2">
        <v>1.0529999999999999</v>
      </c>
      <c r="F34" s="2">
        <v>1</v>
      </c>
      <c r="H34" s="2">
        <v>17</v>
      </c>
      <c r="I34" s="2">
        <v>284</v>
      </c>
      <c r="J34" s="2">
        <v>6</v>
      </c>
      <c r="K34" s="2">
        <v>0</v>
      </c>
      <c r="L34" s="2">
        <v>1.081</v>
      </c>
      <c r="M34" s="2">
        <v>1</v>
      </c>
      <c r="N34" s="2">
        <v>4</v>
      </c>
      <c r="O34" s="2">
        <f t="shared" si="17"/>
        <v>0.10401273885350318</v>
      </c>
    </row>
    <row r="35" spans="1:15" ht="14.25" customHeight="1">
      <c r="A35" s="2">
        <v>17</v>
      </c>
      <c r="B35" s="2">
        <v>34</v>
      </c>
      <c r="C35" s="2">
        <v>6</v>
      </c>
      <c r="D35" s="2">
        <v>1</v>
      </c>
      <c r="E35" s="2">
        <v>0.57599999999999996</v>
      </c>
      <c r="F35" s="2">
        <v>2</v>
      </c>
      <c r="H35" s="2">
        <v>17</v>
      </c>
      <c r="I35" s="2">
        <v>285</v>
      </c>
      <c r="J35" s="2">
        <v>8</v>
      </c>
      <c r="K35" s="2">
        <v>1</v>
      </c>
      <c r="L35" s="2">
        <v>0.78700000000000003</v>
      </c>
      <c r="M35" s="2">
        <v>1</v>
      </c>
      <c r="N35" s="2">
        <v>5</v>
      </c>
      <c r="O35" s="2">
        <f t="shared" si="17"/>
        <v>6.0589171974522286E-2</v>
      </c>
    </row>
    <row r="36" spans="1:15" ht="14.25" customHeight="1">
      <c r="A36" s="2">
        <v>17</v>
      </c>
      <c r="B36" s="2">
        <v>35</v>
      </c>
      <c r="C36" s="2">
        <v>7</v>
      </c>
      <c r="D36" s="2">
        <v>1</v>
      </c>
      <c r="E36" s="2">
        <v>1.3979999999999999</v>
      </c>
      <c r="F36" s="2">
        <v>1</v>
      </c>
      <c r="H36" s="2">
        <v>17</v>
      </c>
      <c r="I36" s="2">
        <v>286</v>
      </c>
      <c r="J36" s="2">
        <v>4</v>
      </c>
      <c r="K36" s="2">
        <v>1</v>
      </c>
      <c r="L36" s="2">
        <v>1.528</v>
      </c>
      <c r="M36" s="2">
        <v>1</v>
      </c>
      <c r="N36" s="2">
        <v>6</v>
      </c>
      <c r="O36" s="2">
        <f t="shared" si="17"/>
        <v>9.7133757961783446E-2</v>
      </c>
    </row>
    <row r="37" spans="1:15" ht="14.25" customHeight="1">
      <c r="A37" s="2">
        <v>17</v>
      </c>
      <c r="B37" s="2">
        <v>36</v>
      </c>
      <c r="C37" s="2">
        <v>2</v>
      </c>
      <c r="D37" s="2">
        <v>0</v>
      </c>
      <c r="E37" s="2">
        <v>0.69</v>
      </c>
      <c r="F37" s="2">
        <v>2</v>
      </c>
      <c r="H37" s="2">
        <v>17</v>
      </c>
      <c r="I37" s="2">
        <v>287</v>
      </c>
      <c r="J37" s="2">
        <v>5</v>
      </c>
      <c r="K37" s="2">
        <v>1</v>
      </c>
      <c r="L37" s="2">
        <v>0.76800000000000002</v>
      </c>
      <c r="M37" s="2">
        <v>1</v>
      </c>
    </row>
    <row r="38" spans="1:15" ht="14.25" customHeight="1">
      <c r="A38" s="2">
        <v>17</v>
      </c>
      <c r="B38" s="2">
        <v>37</v>
      </c>
      <c r="C38" s="2">
        <v>8</v>
      </c>
      <c r="D38" s="2">
        <v>1</v>
      </c>
      <c r="E38" s="2">
        <v>1.5780000000000001</v>
      </c>
      <c r="F38" s="2">
        <v>1</v>
      </c>
      <c r="H38" s="2">
        <v>17</v>
      </c>
      <c r="I38" s="2">
        <v>288</v>
      </c>
      <c r="J38" s="2">
        <v>1</v>
      </c>
      <c r="K38" s="2">
        <v>1</v>
      </c>
      <c r="L38" s="2">
        <v>0.71699999999999997</v>
      </c>
      <c r="M38" s="2">
        <v>1</v>
      </c>
    </row>
    <row r="39" spans="1:15" ht="14.25" customHeight="1">
      <c r="A39" s="2">
        <v>17</v>
      </c>
      <c r="B39" s="2">
        <v>38</v>
      </c>
      <c r="C39" s="2">
        <v>2</v>
      </c>
      <c r="D39" s="2">
        <v>0</v>
      </c>
      <c r="E39" s="2">
        <v>0.74399999999999999</v>
      </c>
      <c r="F39" s="2">
        <v>2</v>
      </c>
      <c r="H39" s="2">
        <v>17</v>
      </c>
      <c r="I39" s="2">
        <v>289</v>
      </c>
      <c r="J39" s="2">
        <v>3</v>
      </c>
      <c r="K39" s="2">
        <v>1</v>
      </c>
      <c r="L39" s="2">
        <v>1.1339999999999999</v>
      </c>
      <c r="M39" s="2">
        <v>2</v>
      </c>
    </row>
    <row r="40" spans="1:15" ht="14.25" customHeight="1">
      <c r="A40" s="2">
        <v>17</v>
      </c>
      <c r="B40" s="2">
        <v>39</v>
      </c>
      <c r="C40" s="2">
        <v>5</v>
      </c>
      <c r="D40" s="2">
        <v>1</v>
      </c>
      <c r="E40" s="2">
        <v>0.68700000000000006</v>
      </c>
      <c r="F40" s="2">
        <v>2</v>
      </c>
      <c r="H40" s="2">
        <v>17</v>
      </c>
      <c r="I40" s="2">
        <v>290</v>
      </c>
      <c r="J40" s="2">
        <v>5</v>
      </c>
      <c r="K40" s="2">
        <v>0</v>
      </c>
      <c r="L40" s="2">
        <v>1.3169999999999999</v>
      </c>
      <c r="M40" s="2">
        <v>2</v>
      </c>
    </row>
    <row r="41" spans="1:15" ht="14.25" customHeight="1">
      <c r="A41" s="2">
        <v>17</v>
      </c>
      <c r="B41" s="2">
        <v>40</v>
      </c>
      <c r="C41" s="2">
        <v>4</v>
      </c>
      <c r="D41" s="2">
        <v>1</v>
      </c>
      <c r="E41" s="2">
        <v>1.5609999999999999</v>
      </c>
      <c r="F41" s="2">
        <v>1</v>
      </c>
      <c r="H41" s="2">
        <v>17</v>
      </c>
      <c r="I41" s="2">
        <v>291</v>
      </c>
      <c r="J41" s="2">
        <v>2</v>
      </c>
      <c r="K41" s="2">
        <v>0</v>
      </c>
      <c r="L41" s="2">
        <v>1.117</v>
      </c>
      <c r="M41" s="2">
        <v>1</v>
      </c>
    </row>
    <row r="42" spans="1:15" ht="14.25" customHeight="1">
      <c r="A42" s="2">
        <v>17</v>
      </c>
      <c r="B42" s="2">
        <v>41</v>
      </c>
      <c r="C42" s="2">
        <v>3</v>
      </c>
      <c r="E42" s="2">
        <v>2.0009999999999999</v>
      </c>
      <c r="H42" s="2">
        <v>17</v>
      </c>
      <c r="I42" s="2">
        <v>292</v>
      </c>
      <c r="J42" s="2">
        <v>1</v>
      </c>
      <c r="K42" s="2">
        <v>0</v>
      </c>
      <c r="L42" s="2">
        <v>1.173</v>
      </c>
      <c r="M42" s="2">
        <v>1</v>
      </c>
    </row>
    <row r="43" spans="1:15" ht="14.25" customHeight="1">
      <c r="A43" s="2">
        <v>17</v>
      </c>
      <c r="B43" s="2">
        <v>42</v>
      </c>
      <c r="C43" s="2">
        <v>6</v>
      </c>
      <c r="D43" s="2">
        <v>1</v>
      </c>
      <c r="E43" s="2">
        <v>0.755</v>
      </c>
      <c r="F43" s="2">
        <v>2</v>
      </c>
      <c r="H43" s="2">
        <v>17</v>
      </c>
      <c r="I43" s="2">
        <v>293</v>
      </c>
      <c r="J43" s="2">
        <v>5</v>
      </c>
      <c r="K43" s="2">
        <v>0</v>
      </c>
      <c r="L43" s="2">
        <v>0.93</v>
      </c>
      <c r="M43" s="2">
        <v>2</v>
      </c>
    </row>
    <row r="44" spans="1:15" ht="14.25" customHeight="1">
      <c r="A44" s="2">
        <v>17</v>
      </c>
      <c r="B44" s="2">
        <v>43</v>
      </c>
      <c r="C44" s="2">
        <v>7</v>
      </c>
      <c r="D44" s="2">
        <v>1</v>
      </c>
      <c r="E44" s="2">
        <v>1.905</v>
      </c>
      <c r="F44" s="2">
        <v>1</v>
      </c>
      <c r="H44" s="2">
        <v>17</v>
      </c>
      <c r="I44" s="2">
        <v>294</v>
      </c>
      <c r="J44" s="2">
        <v>3</v>
      </c>
      <c r="K44" s="2">
        <v>1</v>
      </c>
      <c r="L44" s="2">
        <v>0.84099999999999997</v>
      </c>
      <c r="M44" s="2">
        <v>1</v>
      </c>
    </row>
    <row r="45" spans="1:15" ht="14.25" customHeight="1">
      <c r="A45" s="2">
        <v>17</v>
      </c>
      <c r="B45" s="2">
        <v>44</v>
      </c>
      <c r="C45" s="2">
        <v>8</v>
      </c>
      <c r="D45" s="2">
        <v>0</v>
      </c>
      <c r="E45" s="2">
        <v>0.97799999999999998</v>
      </c>
      <c r="F45" s="2">
        <v>2</v>
      </c>
      <c r="H45" s="2">
        <v>17</v>
      </c>
      <c r="I45" s="2">
        <v>295</v>
      </c>
      <c r="J45" s="2">
        <v>5</v>
      </c>
      <c r="K45" s="2">
        <v>1</v>
      </c>
      <c r="L45" s="2">
        <v>1.028</v>
      </c>
      <c r="M45" s="2">
        <v>1</v>
      </c>
    </row>
    <row r="46" spans="1:15" ht="14.25" customHeight="1">
      <c r="A46" s="2">
        <v>17</v>
      </c>
      <c r="B46" s="2">
        <v>45</v>
      </c>
      <c r="C46" s="2">
        <v>7</v>
      </c>
      <c r="D46" s="2">
        <v>1</v>
      </c>
      <c r="E46" s="2">
        <v>1.1180000000000001</v>
      </c>
      <c r="F46" s="2">
        <v>1</v>
      </c>
      <c r="H46" s="2">
        <v>17</v>
      </c>
      <c r="I46" s="2">
        <v>296</v>
      </c>
      <c r="J46" s="2">
        <v>1</v>
      </c>
      <c r="K46" s="2">
        <v>0</v>
      </c>
      <c r="L46" s="2">
        <v>0.67100000000000004</v>
      </c>
      <c r="M46" s="2">
        <v>2</v>
      </c>
    </row>
    <row r="47" spans="1:15" ht="14.25" customHeight="1">
      <c r="A47" s="2">
        <v>17</v>
      </c>
      <c r="B47" s="2">
        <v>46</v>
      </c>
      <c r="C47" s="2">
        <v>2</v>
      </c>
      <c r="D47" s="2">
        <v>1</v>
      </c>
      <c r="E47" s="2">
        <v>1.4390000000000001</v>
      </c>
      <c r="F47" s="2">
        <v>1</v>
      </c>
      <c r="H47" s="2">
        <v>17</v>
      </c>
      <c r="I47" s="2">
        <v>297</v>
      </c>
      <c r="J47" s="2">
        <v>7</v>
      </c>
      <c r="K47" s="2">
        <v>0</v>
      </c>
      <c r="L47" s="2">
        <v>1.4490000000000001</v>
      </c>
      <c r="M47" s="2">
        <v>1</v>
      </c>
    </row>
    <row r="48" spans="1:15" ht="14.25" customHeight="1">
      <c r="A48" s="2">
        <v>17</v>
      </c>
      <c r="B48" s="2">
        <v>47</v>
      </c>
      <c r="C48" s="2">
        <v>1</v>
      </c>
      <c r="D48" s="2">
        <v>1</v>
      </c>
      <c r="E48" s="2">
        <v>1.401</v>
      </c>
      <c r="F48" s="2">
        <v>2</v>
      </c>
      <c r="H48" s="2">
        <v>17</v>
      </c>
      <c r="I48" s="2">
        <v>298</v>
      </c>
      <c r="J48" s="2">
        <v>1</v>
      </c>
      <c r="K48" s="2">
        <v>1</v>
      </c>
      <c r="L48" s="2">
        <v>1.907</v>
      </c>
      <c r="M48" s="2">
        <v>2</v>
      </c>
    </row>
    <row r="49" spans="1:13" ht="14.25" customHeight="1">
      <c r="A49" s="2">
        <v>17</v>
      </c>
      <c r="B49" s="2">
        <v>48</v>
      </c>
      <c r="C49" s="2">
        <v>5</v>
      </c>
      <c r="D49" s="2">
        <v>1</v>
      </c>
      <c r="E49" s="2">
        <v>1.8779999999999999</v>
      </c>
      <c r="F49" s="2">
        <v>2</v>
      </c>
      <c r="H49" s="2">
        <v>17</v>
      </c>
      <c r="I49" s="2">
        <v>299</v>
      </c>
      <c r="J49" s="2">
        <v>3</v>
      </c>
      <c r="K49" s="2">
        <v>1</v>
      </c>
      <c r="L49" s="2">
        <v>1.571</v>
      </c>
      <c r="M49" s="2">
        <v>2</v>
      </c>
    </row>
    <row r="50" spans="1:13" ht="14.25" customHeight="1">
      <c r="A50" s="2">
        <v>17</v>
      </c>
      <c r="B50" s="2">
        <v>49</v>
      </c>
      <c r="C50" s="2">
        <v>3</v>
      </c>
      <c r="D50" s="2">
        <v>0</v>
      </c>
      <c r="E50" s="2">
        <v>1.9430000000000001</v>
      </c>
      <c r="F50" s="2">
        <v>1</v>
      </c>
      <c r="H50" s="2">
        <v>17</v>
      </c>
      <c r="I50" s="2">
        <v>300</v>
      </c>
      <c r="J50" s="2">
        <v>4</v>
      </c>
      <c r="K50" s="2">
        <v>1</v>
      </c>
      <c r="L50" s="2">
        <v>0.77700000000000002</v>
      </c>
      <c r="M50" s="2">
        <v>2</v>
      </c>
    </row>
    <row r="51" spans="1:13" ht="14.25" customHeight="1">
      <c r="A51" s="2">
        <v>17</v>
      </c>
      <c r="B51" s="2">
        <v>50</v>
      </c>
      <c r="C51" s="2">
        <v>5</v>
      </c>
      <c r="D51" s="2">
        <v>1</v>
      </c>
      <c r="E51" s="2">
        <v>1.19</v>
      </c>
      <c r="F51" s="2">
        <v>2</v>
      </c>
    </row>
    <row r="52" spans="1:13" ht="14.25" customHeight="1">
      <c r="A52" s="2">
        <v>17</v>
      </c>
      <c r="B52" s="2">
        <v>51</v>
      </c>
      <c r="C52" s="2">
        <v>1</v>
      </c>
      <c r="E52" s="2">
        <v>2.0009999999999999</v>
      </c>
    </row>
    <row r="53" spans="1:13" ht="14.25" customHeight="1">
      <c r="A53" s="2">
        <v>17</v>
      </c>
      <c r="B53" s="2">
        <v>52</v>
      </c>
      <c r="C53" s="2">
        <v>4</v>
      </c>
      <c r="D53" s="2">
        <v>1</v>
      </c>
      <c r="E53" s="2">
        <v>0.76500000000000001</v>
      </c>
      <c r="F53" s="2">
        <v>2</v>
      </c>
    </row>
    <row r="54" spans="1:13" ht="14.25" customHeight="1">
      <c r="A54" s="2">
        <v>17</v>
      </c>
      <c r="B54" s="2">
        <v>53</v>
      </c>
      <c r="C54" s="2">
        <v>1</v>
      </c>
      <c r="D54" s="2">
        <v>1</v>
      </c>
      <c r="E54" s="2">
        <v>0.93899999999999995</v>
      </c>
      <c r="F54" s="2">
        <v>2</v>
      </c>
    </row>
    <row r="55" spans="1:13" ht="14.25" customHeight="1">
      <c r="A55" s="2">
        <v>17</v>
      </c>
      <c r="B55" s="2">
        <v>54</v>
      </c>
      <c r="C55" s="2">
        <v>2</v>
      </c>
      <c r="D55" s="2">
        <v>1</v>
      </c>
      <c r="E55" s="2">
        <v>0.60099999999999998</v>
      </c>
      <c r="F55" s="2">
        <v>1</v>
      </c>
    </row>
    <row r="56" spans="1:13" ht="14.25" customHeight="1">
      <c r="A56" s="2">
        <v>17</v>
      </c>
      <c r="B56" s="2">
        <v>55</v>
      </c>
      <c r="C56" s="2">
        <v>1</v>
      </c>
      <c r="D56" s="2">
        <v>1</v>
      </c>
      <c r="E56" s="2">
        <v>0.51800000000000002</v>
      </c>
      <c r="F56" s="2">
        <v>2</v>
      </c>
    </row>
    <row r="57" spans="1:13" ht="14.25" customHeight="1">
      <c r="A57" s="2">
        <v>17</v>
      </c>
      <c r="B57" s="2">
        <v>56</v>
      </c>
      <c r="C57" s="2">
        <v>2</v>
      </c>
      <c r="D57" s="2">
        <v>1</v>
      </c>
      <c r="E57" s="2">
        <v>0.60599999999999998</v>
      </c>
      <c r="F57" s="2">
        <v>2</v>
      </c>
    </row>
    <row r="58" spans="1:13" ht="14.25" customHeight="1">
      <c r="A58" s="2">
        <v>17</v>
      </c>
      <c r="B58" s="2">
        <v>57</v>
      </c>
      <c r="C58" s="2">
        <v>7</v>
      </c>
      <c r="D58" s="2">
        <v>1</v>
      </c>
      <c r="E58" s="2">
        <v>0.65800000000000003</v>
      </c>
      <c r="F58" s="2">
        <v>1</v>
      </c>
    </row>
    <row r="59" spans="1:13" ht="14.25" customHeight="1">
      <c r="A59" s="2">
        <v>17</v>
      </c>
      <c r="B59" s="2">
        <v>58</v>
      </c>
      <c r="C59" s="2">
        <v>8</v>
      </c>
      <c r="D59" s="2">
        <v>0</v>
      </c>
      <c r="E59" s="2">
        <v>0.88400000000000001</v>
      </c>
      <c r="F59" s="2">
        <v>1</v>
      </c>
    </row>
    <row r="60" spans="1:13" ht="14.25" customHeight="1">
      <c r="A60" s="2">
        <v>17</v>
      </c>
      <c r="B60" s="2">
        <v>59</v>
      </c>
      <c r="C60" s="2">
        <v>7</v>
      </c>
      <c r="D60" s="2">
        <v>1</v>
      </c>
      <c r="E60" s="2">
        <v>0.877</v>
      </c>
      <c r="F60" s="2">
        <v>2</v>
      </c>
    </row>
    <row r="61" spans="1:13" ht="14.25" customHeight="1">
      <c r="A61" s="2">
        <v>17</v>
      </c>
      <c r="B61" s="2">
        <v>60</v>
      </c>
      <c r="C61" s="2">
        <v>8</v>
      </c>
      <c r="D61" s="2">
        <v>1</v>
      </c>
      <c r="E61" s="2">
        <v>1.095</v>
      </c>
      <c r="F61" s="2">
        <v>1</v>
      </c>
    </row>
    <row r="62" spans="1:13" ht="14.25" customHeight="1">
      <c r="A62" s="2">
        <v>17</v>
      </c>
      <c r="B62" s="2">
        <v>61</v>
      </c>
      <c r="C62" s="2">
        <v>4</v>
      </c>
      <c r="D62" s="2">
        <v>1</v>
      </c>
      <c r="E62" s="2">
        <v>1.0229999999999999</v>
      </c>
      <c r="F62" s="2">
        <v>1</v>
      </c>
    </row>
    <row r="63" spans="1:13" ht="14.25" customHeight="1">
      <c r="A63" s="2">
        <v>17</v>
      </c>
      <c r="B63" s="2">
        <v>62</v>
      </c>
      <c r="C63" s="2">
        <v>5</v>
      </c>
      <c r="D63" s="2">
        <v>1</v>
      </c>
      <c r="E63" s="2">
        <v>0.59399999999999997</v>
      </c>
      <c r="F63" s="2">
        <v>2</v>
      </c>
    </row>
    <row r="64" spans="1:13" ht="14.25" customHeight="1">
      <c r="A64" s="2">
        <v>17</v>
      </c>
      <c r="B64" s="2">
        <v>63</v>
      </c>
      <c r="C64" s="2">
        <v>1</v>
      </c>
      <c r="D64" s="2">
        <v>1</v>
      </c>
      <c r="E64" s="2">
        <v>0.80700000000000005</v>
      </c>
      <c r="F64" s="2">
        <v>1</v>
      </c>
    </row>
    <row r="65" spans="1:6" ht="14.25" customHeight="1">
      <c r="A65" s="2">
        <v>17</v>
      </c>
      <c r="B65" s="2">
        <v>64</v>
      </c>
      <c r="C65" s="2">
        <v>4</v>
      </c>
      <c r="D65" s="2">
        <v>1</v>
      </c>
      <c r="E65" s="2">
        <v>0.61099999999999999</v>
      </c>
      <c r="F65" s="2">
        <v>2</v>
      </c>
    </row>
    <row r="66" spans="1:6" ht="14.25" customHeight="1">
      <c r="A66" s="2">
        <v>17</v>
      </c>
      <c r="B66" s="2">
        <v>65</v>
      </c>
      <c r="C66" s="2">
        <v>1</v>
      </c>
      <c r="D66" s="2">
        <v>1</v>
      </c>
      <c r="E66" s="2">
        <v>0.66200000000000003</v>
      </c>
      <c r="F66" s="2">
        <v>1</v>
      </c>
    </row>
    <row r="67" spans="1:6" ht="14.25" customHeight="1">
      <c r="A67" s="2">
        <v>17</v>
      </c>
      <c r="B67" s="2">
        <v>66</v>
      </c>
      <c r="C67" s="2">
        <v>6</v>
      </c>
      <c r="D67" s="2">
        <v>0</v>
      </c>
      <c r="E67" s="2">
        <v>1.032</v>
      </c>
      <c r="F67" s="2">
        <v>1</v>
      </c>
    </row>
    <row r="68" spans="1:6" ht="14.25" customHeight="1">
      <c r="A68" s="2">
        <v>17</v>
      </c>
      <c r="B68" s="2">
        <v>67</v>
      </c>
      <c r="C68" s="2">
        <v>3</v>
      </c>
      <c r="D68" s="2">
        <v>1</v>
      </c>
      <c r="E68" s="2">
        <v>1.22</v>
      </c>
      <c r="F68" s="2">
        <v>1</v>
      </c>
    </row>
    <row r="69" spans="1:6" ht="14.25" customHeight="1">
      <c r="A69" s="2">
        <v>17</v>
      </c>
      <c r="B69" s="2">
        <v>68</v>
      </c>
      <c r="C69" s="2">
        <v>1</v>
      </c>
      <c r="D69" s="2">
        <v>1</v>
      </c>
      <c r="E69" s="2">
        <v>0.64800000000000002</v>
      </c>
      <c r="F69" s="2">
        <v>2</v>
      </c>
    </row>
    <row r="70" spans="1:6" ht="14.25" customHeight="1">
      <c r="A70" s="2">
        <v>17</v>
      </c>
      <c r="B70" s="2">
        <v>69</v>
      </c>
      <c r="C70" s="2">
        <v>7</v>
      </c>
      <c r="D70" s="2">
        <v>1</v>
      </c>
      <c r="E70" s="2">
        <v>0.63500000000000001</v>
      </c>
      <c r="F70" s="2">
        <v>2</v>
      </c>
    </row>
    <row r="71" spans="1:6" ht="14.25" customHeight="1">
      <c r="A71" s="2">
        <v>17</v>
      </c>
      <c r="B71" s="2">
        <v>70</v>
      </c>
      <c r="C71" s="2">
        <v>3</v>
      </c>
      <c r="D71" s="2">
        <v>1</v>
      </c>
      <c r="E71" s="2">
        <v>0.61399999999999999</v>
      </c>
      <c r="F71" s="2">
        <v>1</v>
      </c>
    </row>
    <row r="72" spans="1:6" ht="14.25" customHeight="1">
      <c r="A72" s="2">
        <v>17</v>
      </c>
      <c r="B72" s="2">
        <v>71</v>
      </c>
      <c r="C72" s="2">
        <v>6</v>
      </c>
      <c r="D72" s="2">
        <v>1</v>
      </c>
      <c r="E72" s="2">
        <v>0.68200000000000005</v>
      </c>
      <c r="F72" s="2">
        <v>2</v>
      </c>
    </row>
    <row r="73" spans="1:6" ht="14.25" customHeight="1">
      <c r="A73" s="2">
        <v>17</v>
      </c>
      <c r="B73" s="2">
        <v>72</v>
      </c>
      <c r="C73" s="2">
        <v>2</v>
      </c>
      <c r="D73" s="2">
        <v>1</v>
      </c>
      <c r="E73" s="2">
        <v>1.2430000000000001</v>
      </c>
      <c r="F73" s="2">
        <v>2</v>
      </c>
    </row>
    <row r="74" spans="1:6" ht="14.25" customHeight="1">
      <c r="A74" s="2">
        <v>17</v>
      </c>
      <c r="B74" s="2">
        <v>73</v>
      </c>
      <c r="C74" s="2">
        <v>3</v>
      </c>
      <c r="D74" s="2">
        <v>0</v>
      </c>
      <c r="E74" s="2">
        <v>0.77400000000000002</v>
      </c>
      <c r="F74" s="2">
        <v>2</v>
      </c>
    </row>
    <row r="75" spans="1:6" ht="14.25" customHeight="1">
      <c r="A75" s="2">
        <v>17</v>
      </c>
      <c r="B75" s="2">
        <v>74</v>
      </c>
      <c r="C75" s="2">
        <v>7</v>
      </c>
      <c r="D75" s="2">
        <v>1</v>
      </c>
      <c r="E75" s="2">
        <v>1.044</v>
      </c>
      <c r="F75" s="2">
        <v>1</v>
      </c>
    </row>
    <row r="76" spans="1:6" ht="14.25" customHeight="1">
      <c r="A76" s="2">
        <v>17</v>
      </c>
      <c r="B76" s="2">
        <v>75</v>
      </c>
      <c r="C76" s="2">
        <v>3</v>
      </c>
      <c r="D76" s="2">
        <v>1</v>
      </c>
      <c r="E76" s="2">
        <v>1.0860000000000001</v>
      </c>
      <c r="F76" s="2">
        <v>1</v>
      </c>
    </row>
    <row r="77" spans="1:6" ht="14.25" customHeight="1">
      <c r="A77" s="2">
        <v>17</v>
      </c>
      <c r="B77" s="2">
        <v>76</v>
      </c>
      <c r="C77" s="2">
        <v>5</v>
      </c>
      <c r="D77" s="2">
        <v>1</v>
      </c>
      <c r="E77" s="2">
        <v>1.2390000000000001</v>
      </c>
      <c r="F77" s="2">
        <v>2</v>
      </c>
    </row>
    <row r="78" spans="1:6" ht="14.25" customHeight="1">
      <c r="A78" s="2">
        <v>17</v>
      </c>
      <c r="B78" s="2">
        <v>77</v>
      </c>
      <c r="C78" s="2">
        <v>7</v>
      </c>
      <c r="D78" s="2">
        <v>1</v>
      </c>
      <c r="E78" s="2">
        <v>1.49</v>
      </c>
      <c r="F78" s="2">
        <v>1</v>
      </c>
    </row>
    <row r="79" spans="1:6" ht="14.25" customHeight="1">
      <c r="A79" s="2">
        <v>17</v>
      </c>
      <c r="B79" s="2">
        <v>78</v>
      </c>
      <c r="C79" s="2">
        <v>8</v>
      </c>
      <c r="D79" s="2">
        <v>1</v>
      </c>
      <c r="E79" s="2">
        <v>1.355</v>
      </c>
      <c r="F79" s="2">
        <v>1</v>
      </c>
    </row>
    <row r="80" spans="1:6" ht="14.25" customHeight="1">
      <c r="A80" s="2">
        <v>17</v>
      </c>
      <c r="B80" s="2">
        <v>79</v>
      </c>
      <c r="C80" s="2">
        <v>3</v>
      </c>
      <c r="D80" s="2">
        <v>0</v>
      </c>
      <c r="E80" s="2">
        <v>1.073</v>
      </c>
      <c r="F80" s="2">
        <v>1</v>
      </c>
    </row>
    <row r="81" spans="1:6" ht="14.25" customHeight="1">
      <c r="A81" s="2">
        <v>17</v>
      </c>
      <c r="B81" s="2">
        <v>80</v>
      </c>
      <c r="C81" s="2">
        <v>2</v>
      </c>
      <c r="D81" s="2">
        <v>1</v>
      </c>
      <c r="E81" s="2">
        <v>0.91500000000000004</v>
      </c>
      <c r="F81" s="2">
        <v>2</v>
      </c>
    </row>
    <row r="82" spans="1:6" ht="14.25" customHeight="1">
      <c r="A82" s="2">
        <v>17</v>
      </c>
      <c r="B82" s="2">
        <v>81</v>
      </c>
      <c r="C82" s="2">
        <v>1</v>
      </c>
      <c r="D82" s="2">
        <v>1</v>
      </c>
      <c r="E82" s="2">
        <v>1.4350000000000001</v>
      </c>
      <c r="F82" s="2">
        <v>1</v>
      </c>
    </row>
    <row r="83" spans="1:6" ht="14.25" customHeight="1">
      <c r="A83" s="2">
        <v>17</v>
      </c>
      <c r="B83" s="2">
        <v>82</v>
      </c>
      <c r="C83" s="2">
        <v>5</v>
      </c>
      <c r="D83" s="2">
        <v>0</v>
      </c>
      <c r="E83" s="2">
        <v>1.278</v>
      </c>
      <c r="F83" s="2">
        <v>1</v>
      </c>
    </row>
    <row r="84" spans="1:6" ht="14.25" customHeight="1">
      <c r="A84" s="2">
        <v>17</v>
      </c>
      <c r="B84" s="2">
        <v>83</v>
      </c>
      <c r="C84" s="2">
        <v>2</v>
      </c>
      <c r="D84" s="2">
        <v>0</v>
      </c>
      <c r="E84" s="2">
        <v>1.167</v>
      </c>
      <c r="F84" s="2">
        <v>2</v>
      </c>
    </row>
    <row r="85" spans="1:6" ht="14.25" customHeight="1">
      <c r="A85" s="2">
        <v>17</v>
      </c>
      <c r="B85" s="2">
        <v>84</v>
      </c>
      <c r="C85" s="2">
        <v>4</v>
      </c>
      <c r="D85" s="2">
        <v>0</v>
      </c>
      <c r="E85" s="2">
        <v>1.0129999999999999</v>
      </c>
      <c r="F85" s="2">
        <v>1</v>
      </c>
    </row>
    <row r="86" spans="1:6" ht="14.25" customHeight="1">
      <c r="A86" s="2">
        <v>17</v>
      </c>
      <c r="B86" s="2">
        <v>85</v>
      </c>
      <c r="C86" s="2">
        <v>6</v>
      </c>
      <c r="E86" s="2">
        <v>2</v>
      </c>
    </row>
    <row r="87" spans="1:6" ht="14.25" customHeight="1">
      <c r="A87" s="2">
        <v>17</v>
      </c>
      <c r="B87" s="2">
        <v>86</v>
      </c>
      <c r="C87" s="2">
        <v>8</v>
      </c>
      <c r="D87" s="2">
        <v>1</v>
      </c>
      <c r="E87" s="2">
        <v>0.86199999999999999</v>
      </c>
      <c r="F87" s="2">
        <v>1</v>
      </c>
    </row>
    <row r="88" spans="1:6" ht="14.25" customHeight="1">
      <c r="A88" s="2">
        <v>17</v>
      </c>
      <c r="B88" s="2">
        <v>87</v>
      </c>
      <c r="C88" s="2">
        <v>6</v>
      </c>
      <c r="D88" s="2">
        <v>1</v>
      </c>
      <c r="E88" s="2">
        <v>1.32</v>
      </c>
      <c r="F88" s="2">
        <v>1</v>
      </c>
    </row>
    <row r="89" spans="1:6" ht="14.25" customHeight="1">
      <c r="A89" s="2">
        <v>17</v>
      </c>
      <c r="B89" s="2">
        <v>88</v>
      </c>
      <c r="C89" s="2">
        <v>4</v>
      </c>
      <c r="D89" s="2">
        <v>1</v>
      </c>
      <c r="E89" s="2">
        <v>0.92100000000000004</v>
      </c>
      <c r="F89" s="2">
        <v>1</v>
      </c>
    </row>
    <row r="90" spans="1:6" ht="14.25" customHeight="1">
      <c r="A90" s="2">
        <v>17</v>
      </c>
      <c r="B90" s="2">
        <v>89</v>
      </c>
      <c r="C90" s="2">
        <v>8</v>
      </c>
      <c r="D90" s="2">
        <v>1</v>
      </c>
      <c r="E90" s="2">
        <v>0.89700000000000002</v>
      </c>
      <c r="F90" s="2">
        <v>2</v>
      </c>
    </row>
    <row r="91" spans="1:6" ht="14.25" customHeight="1">
      <c r="A91" s="2">
        <v>17</v>
      </c>
      <c r="B91" s="2">
        <v>90</v>
      </c>
      <c r="C91" s="2">
        <v>5</v>
      </c>
      <c r="D91" s="2">
        <v>1</v>
      </c>
      <c r="E91" s="2">
        <v>0.93799999999999994</v>
      </c>
      <c r="F91" s="2">
        <v>1</v>
      </c>
    </row>
    <row r="92" spans="1:6" ht="14.25" customHeight="1">
      <c r="A92" s="2">
        <v>17</v>
      </c>
      <c r="B92" s="2">
        <v>91</v>
      </c>
      <c r="C92" s="2">
        <v>4</v>
      </c>
      <c r="D92" s="2">
        <v>1</v>
      </c>
      <c r="E92" s="2">
        <v>0.78500000000000003</v>
      </c>
      <c r="F92" s="2">
        <v>2</v>
      </c>
    </row>
    <row r="93" spans="1:6" ht="14.25" customHeight="1">
      <c r="A93" s="2">
        <v>17</v>
      </c>
      <c r="B93" s="2">
        <v>92</v>
      </c>
      <c r="C93" s="2">
        <v>5</v>
      </c>
      <c r="D93" s="2">
        <v>0</v>
      </c>
      <c r="E93" s="2">
        <v>0.85399999999999998</v>
      </c>
      <c r="F93" s="2">
        <v>1</v>
      </c>
    </row>
    <row r="94" spans="1:6" ht="14.25" customHeight="1">
      <c r="A94" s="2">
        <v>17</v>
      </c>
      <c r="B94" s="2">
        <v>93</v>
      </c>
      <c r="C94" s="2">
        <v>6</v>
      </c>
      <c r="D94" s="2">
        <v>0</v>
      </c>
      <c r="E94" s="2">
        <v>1.232</v>
      </c>
      <c r="F94" s="2">
        <v>2</v>
      </c>
    </row>
    <row r="95" spans="1:6" ht="14.25" customHeight="1">
      <c r="A95" s="2">
        <v>17</v>
      </c>
      <c r="B95" s="2">
        <v>94</v>
      </c>
      <c r="C95" s="2">
        <v>5</v>
      </c>
      <c r="D95" s="2">
        <v>1</v>
      </c>
      <c r="E95" s="2">
        <v>0.73299999999999998</v>
      </c>
      <c r="F95" s="2">
        <v>1</v>
      </c>
    </row>
    <row r="96" spans="1:6" ht="14.25" customHeight="1">
      <c r="A96" s="2">
        <v>17</v>
      </c>
      <c r="B96" s="2">
        <v>95</v>
      </c>
      <c r="C96" s="2">
        <v>7</v>
      </c>
      <c r="D96" s="2">
        <v>0</v>
      </c>
      <c r="E96" s="2">
        <v>1.3320000000000001</v>
      </c>
      <c r="F96" s="2">
        <v>2</v>
      </c>
    </row>
    <row r="97" spans="1:6" ht="14.25" customHeight="1">
      <c r="A97" s="2">
        <v>17</v>
      </c>
      <c r="B97" s="2">
        <v>96</v>
      </c>
      <c r="C97" s="2">
        <v>8</v>
      </c>
      <c r="D97" s="2">
        <v>1</v>
      </c>
      <c r="E97" s="2">
        <v>1.026</v>
      </c>
      <c r="F97" s="2">
        <v>1</v>
      </c>
    </row>
    <row r="98" spans="1:6" ht="14.25" customHeight="1">
      <c r="A98" s="2">
        <v>17</v>
      </c>
      <c r="B98" s="2">
        <v>97</v>
      </c>
      <c r="C98" s="2">
        <v>3</v>
      </c>
      <c r="D98" s="2">
        <v>1</v>
      </c>
      <c r="E98" s="2">
        <v>0.94199999999999995</v>
      </c>
      <c r="F98" s="2">
        <v>2</v>
      </c>
    </row>
    <row r="99" spans="1:6" ht="14.25" customHeight="1">
      <c r="A99" s="2">
        <v>17</v>
      </c>
      <c r="B99" s="2">
        <v>98</v>
      </c>
      <c r="C99" s="2">
        <v>2</v>
      </c>
      <c r="D99" s="2">
        <v>0</v>
      </c>
      <c r="E99" s="2">
        <v>1.4359999999999999</v>
      </c>
      <c r="F99" s="2">
        <v>1</v>
      </c>
    </row>
    <row r="100" spans="1:6" ht="14.25" customHeight="1">
      <c r="A100" s="2">
        <v>17</v>
      </c>
      <c r="B100" s="2">
        <v>99</v>
      </c>
      <c r="C100" s="2">
        <v>4</v>
      </c>
      <c r="D100" s="2">
        <v>1</v>
      </c>
      <c r="E100" s="2">
        <v>1.464</v>
      </c>
      <c r="F100" s="2">
        <v>2</v>
      </c>
    </row>
    <row r="101" spans="1:6" ht="14.25" customHeight="1">
      <c r="A101" s="2">
        <v>17</v>
      </c>
      <c r="B101" s="2">
        <v>100</v>
      </c>
      <c r="C101" s="2">
        <v>6</v>
      </c>
      <c r="D101" s="2">
        <v>1</v>
      </c>
      <c r="E101" s="2">
        <v>1.3859999999999999</v>
      </c>
      <c r="F101" s="2">
        <v>2</v>
      </c>
    </row>
    <row r="102" spans="1:6" ht="14.25" customHeight="1">
      <c r="A102" s="2">
        <v>17</v>
      </c>
      <c r="B102" s="2">
        <v>101</v>
      </c>
      <c r="C102" s="2">
        <v>7</v>
      </c>
      <c r="D102" s="2">
        <v>1</v>
      </c>
      <c r="E102" s="2">
        <v>0.74199999999999999</v>
      </c>
      <c r="F102" s="2">
        <v>1</v>
      </c>
    </row>
    <row r="103" spans="1:6" ht="14.25" customHeight="1">
      <c r="A103" s="2">
        <v>17</v>
      </c>
      <c r="B103" s="2">
        <v>102</v>
      </c>
      <c r="C103" s="2">
        <v>8</v>
      </c>
      <c r="D103" s="2">
        <v>1</v>
      </c>
      <c r="E103" s="2">
        <v>0.90800000000000003</v>
      </c>
      <c r="F103" s="2">
        <v>2</v>
      </c>
    </row>
    <row r="104" spans="1:6" ht="14.25" customHeight="1">
      <c r="A104" s="2">
        <v>17</v>
      </c>
      <c r="B104" s="2">
        <v>103</v>
      </c>
      <c r="C104" s="2">
        <v>3</v>
      </c>
      <c r="D104" s="2">
        <v>1</v>
      </c>
      <c r="E104" s="2">
        <v>1.2929999999999999</v>
      </c>
      <c r="F104" s="2">
        <v>2</v>
      </c>
    </row>
    <row r="105" spans="1:6" ht="14.25" customHeight="1">
      <c r="A105" s="2">
        <v>17</v>
      </c>
      <c r="B105" s="2">
        <v>104</v>
      </c>
      <c r="C105" s="2">
        <v>2</v>
      </c>
      <c r="D105" s="2">
        <v>1</v>
      </c>
      <c r="E105" s="2">
        <v>1.046</v>
      </c>
      <c r="F105" s="2">
        <v>1</v>
      </c>
    </row>
    <row r="106" spans="1:6" ht="14.25" customHeight="1">
      <c r="A106" s="2">
        <v>17</v>
      </c>
      <c r="B106" s="2">
        <v>105</v>
      </c>
      <c r="C106" s="2">
        <v>1</v>
      </c>
      <c r="D106" s="2">
        <v>1</v>
      </c>
      <c r="E106" s="2">
        <v>0.83199999999999996</v>
      </c>
      <c r="F106" s="2">
        <v>2</v>
      </c>
    </row>
    <row r="107" spans="1:6" ht="14.25" customHeight="1">
      <c r="A107" s="2">
        <v>17</v>
      </c>
      <c r="B107" s="2">
        <v>106</v>
      </c>
      <c r="C107" s="2">
        <v>7</v>
      </c>
      <c r="D107" s="2">
        <v>1</v>
      </c>
      <c r="E107" s="2">
        <v>1.2430000000000001</v>
      </c>
      <c r="F107" s="2">
        <v>2</v>
      </c>
    </row>
    <row r="108" spans="1:6" ht="14.25" customHeight="1">
      <c r="A108" s="2">
        <v>17</v>
      </c>
      <c r="B108" s="2">
        <v>107</v>
      </c>
      <c r="C108" s="2">
        <v>3</v>
      </c>
      <c r="D108" s="2">
        <v>1</v>
      </c>
      <c r="E108" s="2">
        <v>1.1339999999999999</v>
      </c>
      <c r="F108" s="2">
        <v>1</v>
      </c>
    </row>
    <row r="109" spans="1:6" ht="14.25" customHeight="1">
      <c r="A109" s="2">
        <v>17</v>
      </c>
      <c r="B109" s="2">
        <v>108</v>
      </c>
      <c r="C109" s="2">
        <v>1</v>
      </c>
      <c r="D109" s="2">
        <v>0</v>
      </c>
      <c r="E109" s="2">
        <v>1.446</v>
      </c>
      <c r="F109" s="2">
        <v>1</v>
      </c>
    </row>
    <row r="110" spans="1:6" ht="14.25" customHeight="1">
      <c r="A110" s="2">
        <v>17</v>
      </c>
      <c r="B110" s="2">
        <v>109</v>
      </c>
      <c r="C110" s="2">
        <v>7</v>
      </c>
      <c r="D110" s="2">
        <v>1</v>
      </c>
      <c r="E110" s="2">
        <v>1.5920000000000001</v>
      </c>
      <c r="F110" s="2">
        <v>2</v>
      </c>
    </row>
    <row r="111" spans="1:6" ht="14.25" customHeight="1">
      <c r="A111" s="2">
        <v>17</v>
      </c>
      <c r="B111" s="2">
        <v>110</v>
      </c>
      <c r="C111" s="2">
        <v>4</v>
      </c>
      <c r="D111" s="2">
        <v>1</v>
      </c>
      <c r="E111" s="2">
        <v>1.004</v>
      </c>
      <c r="F111" s="2">
        <v>1</v>
      </c>
    </row>
    <row r="112" spans="1:6" ht="14.25" customHeight="1">
      <c r="A112" s="2">
        <v>17</v>
      </c>
      <c r="B112" s="2">
        <v>111</v>
      </c>
      <c r="C112" s="2">
        <v>6</v>
      </c>
      <c r="D112" s="2">
        <v>1</v>
      </c>
      <c r="E112" s="2">
        <v>1.833</v>
      </c>
      <c r="F112" s="2">
        <v>1</v>
      </c>
    </row>
    <row r="113" spans="1:6" ht="14.25" customHeight="1">
      <c r="A113" s="2">
        <v>17</v>
      </c>
      <c r="B113" s="2">
        <v>112</v>
      </c>
      <c r="C113" s="2">
        <v>4</v>
      </c>
      <c r="D113" s="2">
        <v>1</v>
      </c>
      <c r="E113" s="2">
        <v>1.54</v>
      </c>
      <c r="F113" s="2">
        <v>2</v>
      </c>
    </row>
    <row r="114" spans="1:6" ht="14.25" customHeight="1">
      <c r="A114" s="2">
        <v>17</v>
      </c>
      <c r="B114" s="2">
        <v>113</v>
      </c>
      <c r="C114" s="2">
        <v>7</v>
      </c>
      <c r="D114" s="2">
        <v>0</v>
      </c>
      <c r="E114" s="2">
        <v>1.2110000000000001</v>
      </c>
      <c r="F114" s="2">
        <v>2</v>
      </c>
    </row>
    <row r="115" spans="1:6" ht="14.25" customHeight="1">
      <c r="A115" s="2">
        <v>17</v>
      </c>
      <c r="B115" s="2">
        <v>114</v>
      </c>
      <c r="C115" s="2">
        <v>6</v>
      </c>
      <c r="D115" s="2">
        <v>1</v>
      </c>
      <c r="E115" s="2">
        <v>1.254</v>
      </c>
      <c r="F115" s="2">
        <v>2</v>
      </c>
    </row>
    <row r="116" spans="1:6" ht="14.25" customHeight="1">
      <c r="A116" s="2">
        <v>17</v>
      </c>
      <c r="B116" s="2">
        <v>115</v>
      </c>
      <c r="C116" s="2">
        <v>5</v>
      </c>
      <c r="D116" s="2">
        <v>1</v>
      </c>
      <c r="E116" s="2">
        <v>1.0329999999999999</v>
      </c>
      <c r="F116" s="2">
        <v>1</v>
      </c>
    </row>
    <row r="117" spans="1:6" ht="14.25" customHeight="1">
      <c r="A117" s="2">
        <v>17</v>
      </c>
      <c r="B117" s="2">
        <v>116</v>
      </c>
      <c r="C117" s="2">
        <v>8</v>
      </c>
      <c r="D117" s="2">
        <v>0</v>
      </c>
      <c r="E117" s="2">
        <v>1.349</v>
      </c>
      <c r="F117" s="2">
        <v>1</v>
      </c>
    </row>
    <row r="118" spans="1:6" ht="14.25" customHeight="1">
      <c r="A118" s="2">
        <v>17</v>
      </c>
      <c r="B118" s="2">
        <v>117</v>
      </c>
      <c r="C118" s="2">
        <v>5</v>
      </c>
      <c r="D118" s="2">
        <v>1</v>
      </c>
      <c r="E118" s="2">
        <v>1.548</v>
      </c>
      <c r="F118" s="2">
        <v>1</v>
      </c>
    </row>
    <row r="119" spans="1:6" ht="14.25" customHeight="1">
      <c r="A119" s="2">
        <v>17</v>
      </c>
      <c r="B119" s="2">
        <v>118</v>
      </c>
      <c r="C119" s="2">
        <v>8</v>
      </c>
      <c r="D119" s="2">
        <v>1</v>
      </c>
      <c r="E119" s="2">
        <v>1.794</v>
      </c>
      <c r="F119" s="2">
        <v>2</v>
      </c>
    </row>
    <row r="120" spans="1:6" ht="14.25" customHeight="1">
      <c r="A120" s="2">
        <v>17</v>
      </c>
      <c r="B120" s="2">
        <v>119</v>
      </c>
      <c r="C120" s="2">
        <v>3</v>
      </c>
      <c r="D120" s="2">
        <v>1</v>
      </c>
      <c r="E120" s="2">
        <v>1.518</v>
      </c>
      <c r="F120" s="2">
        <v>2</v>
      </c>
    </row>
    <row r="121" spans="1:6" ht="14.25" customHeight="1">
      <c r="A121" s="2">
        <v>17</v>
      </c>
      <c r="B121" s="2">
        <v>120</v>
      </c>
      <c r="C121" s="2">
        <v>5</v>
      </c>
      <c r="D121" s="2">
        <v>0</v>
      </c>
      <c r="E121" s="2">
        <v>1.391</v>
      </c>
      <c r="F121" s="2">
        <v>2</v>
      </c>
    </row>
    <row r="122" spans="1:6" ht="14.25" customHeight="1">
      <c r="A122" s="2">
        <v>17</v>
      </c>
      <c r="B122" s="2">
        <v>121</v>
      </c>
      <c r="C122" s="2">
        <v>1</v>
      </c>
      <c r="D122" s="2">
        <v>1</v>
      </c>
      <c r="E122" s="2">
        <v>0.78700000000000003</v>
      </c>
      <c r="F122" s="2">
        <v>2</v>
      </c>
    </row>
    <row r="123" spans="1:6" ht="14.25" customHeight="1">
      <c r="A123" s="2">
        <v>17</v>
      </c>
      <c r="B123" s="2">
        <v>122</v>
      </c>
      <c r="C123" s="2">
        <v>4</v>
      </c>
      <c r="D123" s="2">
        <v>1</v>
      </c>
      <c r="E123" s="2">
        <v>1.8089999999999999</v>
      </c>
      <c r="F123" s="2">
        <v>2</v>
      </c>
    </row>
    <row r="124" spans="1:6" ht="14.25" customHeight="1">
      <c r="A124" s="2">
        <v>17</v>
      </c>
      <c r="B124" s="2">
        <v>123</v>
      </c>
      <c r="C124" s="2">
        <v>5</v>
      </c>
      <c r="D124" s="2">
        <v>1</v>
      </c>
      <c r="E124" s="2">
        <v>0.95599999999999996</v>
      </c>
      <c r="F124" s="2">
        <v>1</v>
      </c>
    </row>
    <row r="125" spans="1:6" ht="14.25" customHeight="1">
      <c r="A125" s="2">
        <v>17</v>
      </c>
      <c r="B125" s="2">
        <v>124</v>
      </c>
      <c r="C125" s="2">
        <v>2</v>
      </c>
      <c r="D125" s="2">
        <v>0</v>
      </c>
      <c r="E125" s="2">
        <v>1.77</v>
      </c>
      <c r="F125" s="2">
        <v>2</v>
      </c>
    </row>
    <row r="126" spans="1:6" ht="14.25" customHeight="1">
      <c r="A126" s="2">
        <v>17</v>
      </c>
      <c r="B126" s="2">
        <v>125</v>
      </c>
      <c r="C126" s="2">
        <v>7</v>
      </c>
      <c r="D126" s="2">
        <v>1</v>
      </c>
      <c r="E126" s="2">
        <v>1.7769999999999999</v>
      </c>
      <c r="F126" s="2">
        <v>1</v>
      </c>
    </row>
    <row r="127" spans="1:6" ht="14.25" customHeight="1">
      <c r="A127" s="2">
        <v>17</v>
      </c>
      <c r="B127" s="2">
        <v>126</v>
      </c>
      <c r="C127" s="2">
        <v>3</v>
      </c>
      <c r="D127" s="2">
        <v>1</v>
      </c>
      <c r="E127" s="2">
        <v>1.4139999999999999</v>
      </c>
      <c r="F127" s="2">
        <v>2</v>
      </c>
    </row>
    <row r="128" spans="1:6" ht="14.25" customHeight="1">
      <c r="A128" s="2">
        <v>17</v>
      </c>
      <c r="B128" s="2">
        <v>127</v>
      </c>
      <c r="C128" s="2">
        <v>4</v>
      </c>
      <c r="E128" s="2">
        <v>2</v>
      </c>
    </row>
    <row r="129" spans="1:6" ht="14.25" customHeight="1">
      <c r="A129" s="2">
        <v>17</v>
      </c>
      <c r="B129" s="2">
        <v>128</v>
      </c>
      <c r="C129" s="2">
        <v>5</v>
      </c>
      <c r="D129" s="2">
        <v>1</v>
      </c>
      <c r="E129" s="2">
        <v>1.079</v>
      </c>
      <c r="F129" s="2">
        <v>1</v>
      </c>
    </row>
    <row r="130" spans="1:6" ht="14.25" customHeight="1">
      <c r="A130" s="2">
        <v>17</v>
      </c>
      <c r="B130" s="2">
        <v>129</v>
      </c>
      <c r="C130" s="2">
        <v>6</v>
      </c>
      <c r="D130" s="2">
        <v>0</v>
      </c>
      <c r="E130" s="2">
        <v>1.0169999999999999</v>
      </c>
      <c r="F130" s="2">
        <v>1</v>
      </c>
    </row>
    <row r="131" spans="1:6" ht="14.25" customHeight="1">
      <c r="A131" s="2">
        <v>17</v>
      </c>
      <c r="B131" s="2">
        <v>130</v>
      </c>
      <c r="C131" s="2">
        <v>3</v>
      </c>
      <c r="D131" s="2">
        <v>1</v>
      </c>
      <c r="E131" s="2">
        <v>0.81299999999999994</v>
      </c>
      <c r="F131" s="2">
        <v>2</v>
      </c>
    </row>
    <row r="132" spans="1:6" ht="14.25" customHeight="1">
      <c r="A132" s="2">
        <v>17</v>
      </c>
      <c r="B132" s="2">
        <v>131</v>
      </c>
      <c r="C132" s="2">
        <v>2</v>
      </c>
      <c r="D132" s="2">
        <v>0</v>
      </c>
      <c r="E132" s="2">
        <v>1.5920000000000001</v>
      </c>
      <c r="F132" s="2">
        <v>2</v>
      </c>
    </row>
    <row r="133" spans="1:6" ht="14.25" customHeight="1">
      <c r="A133" s="2">
        <v>17</v>
      </c>
      <c r="B133" s="2">
        <v>132</v>
      </c>
      <c r="C133" s="2">
        <v>5</v>
      </c>
      <c r="D133" s="2">
        <v>0</v>
      </c>
      <c r="E133" s="2">
        <v>1.0609999999999999</v>
      </c>
      <c r="F133" s="2">
        <v>1</v>
      </c>
    </row>
    <row r="134" spans="1:6" ht="14.25" customHeight="1">
      <c r="A134" s="2">
        <v>17</v>
      </c>
      <c r="B134" s="2">
        <v>133</v>
      </c>
      <c r="C134" s="2">
        <v>6</v>
      </c>
      <c r="D134" s="2">
        <v>0</v>
      </c>
      <c r="E134" s="2">
        <v>1.407</v>
      </c>
      <c r="F134" s="2">
        <v>2</v>
      </c>
    </row>
    <row r="135" spans="1:6" ht="14.25" customHeight="1">
      <c r="A135" s="2">
        <v>17</v>
      </c>
      <c r="B135" s="2">
        <v>134</v>
      </c>
      <c r="C135" s="2">
        <v>1</v>
      </c>
      <c r="D135" s="2">
        <v>0</v>
      </c>
      <c r="E135" s="2">
        <v>1.115</v>
      </c>
      <c r="F135" s="2">
        <v>1</v>
      </c>
    </row>
    <row r="136" spans="1:6" ht="14.25" customHeight="1">
      <c r="A136" s="2">
        <v>17</v>
      </c>
      <c r="B136" s="2">
        <v>135</v>
      </c>
      <c r="C136" s="2">
        <v>4</v>
      </c>
      <c r="D136" s="2">
        <v>0</v>
      </c>
      <c r="E136" s="2">
        <v>1.5469999999999999</v>
      </c>
      <c r="F136" s="2">
        <v>2</v>
      </c>
    </row>
    <row r="137" spans="1:6" ht="14.25" customHeight="1">
      <c r="A137" s="2">
        <v>17</v>
      </c>
      <c r="B137" s="2">
        <v>136</v>
      </c>
      <c r="C137" s="2">
        <v>8</v>
      </c>
      <c r="D137" s="2">
        <v>1</v>
      </c>
      <c r="E137" s="2">
        <v>1.3859999999999999</v>
      </c>
      <c r="F137" s="2">
        <v>1</v>
      </c>
    </row>
    <row r="138" spans="1:6" ht="14.25" customHeight="1">
      <c r="A138" s="2">
        <v>17</v>
      </c>
      <c r="B138" s="2">
        <v>137</v>
      </c>
      <c r="C138" s="2">
        <v>3</v>
      </c>
      <c r="D138" s="2">
        <v>1</v>
      </c>
      <c r="E138" s="2">
        <v>1.24</v>
      </c>
      <c r="F138" s="2">
        <v>1</v>
      </c>
    </row>
    <row r="139" spans="1:6" ht="14.25" customHeight="1">
      <c r="A139" s="2">
        <v>17</v>
      </c>
      <c r="B139" s="2">
        <v>138</v>
      </c>
      <c r="C139" s="2">
        <v>4</v>
      </c>
      <c r="D139" s="2">
        <v>1</v>
      </c>
      <c r="E139" s="2">
        <v>0.83399999999999996</v>
      </c>
      <c r="F139" s="2">
        <v>1</v>
      </c>
    </row>
    <row r="140" spans="1:6" ht="14.25" customHeight="1">
      <c r="A140" s="2">
        <v>17</v>
      </c>
      <c r="B140" s="2">
        <v>139</v>
      </c>
      <c r="C140" s="2">
        <v>8</v>
      </c>
      <c r="D140" s="2">
        <v>1</v>
      </c>
      <c r="E140" s="2">
        <v>0.878</v>
      </c>
      <c r="F140" s="2">
        <v>2</v>
      </c>
    </row>
    <row r="141" spans="1:6" ht="14.25" customHeight="1">
      <c r="A141" s="2">
        <v>17</v>
      </c>
      <c r="B141" s="2">
        <v>140</v>
      </c>
      <c r="C141" s="2">
        <v>2</v>
      </c>
      <c r="D141" s="2">
        <v>1</v>
      </c>
      <c r="E141" s="2">
        <v>1.079</v>
      </c>
      <c r="F141" s="2">
        <v>1</v>
      </c>
    </row>
    <row r="142" spans="1:6" ht="14.25" customHeight="1">
      <c r="A142" s="2">
        <v>17</v>
      </c>
      <c r="B142" s="2">
        <v>141</v>
      </c>
      <c r="C142" s="2">
        <v>4</v>
      </c>
      <c r="D142" s="2">
        <v>1</v>
      </c>
      <c r="E142" s="2">
        <v>1.4239999999999999</v>
      </c>
      <c r="F142" s="2">
        <v>2</v>
      </c>
    </row>
    <row r="143" spans="1:6" ht="14.25" customHeight="1">
      <c r="A143" s="2">
        <v>17</v>
      </c>
      <c r="B143" s="2">
        <v>142</v>
      </c>
      <c r="C143" s="2">
        <v>6</v>
      </c>
      <c r="D143" s="2">
        <v>0</v>
      </c>
      <c r="E143" s="2">
        <v>1.1479999999999999</v>
      </c>
      <c r="F143" s="2">
        <v>1</v>
      </c>
    </row>
    <row r="144" spans="1:6" ht="14.25" customHeight="1">
      <c r="A144" s="2">
        <v>17</v>
      </c>
      <c r="B144" s="2">
        <v>143</v>
      </c>
      <c r="C144" s="2">
        <v>7</v>
      </c>
      <c r="D144" s="2">
        <v>0</v>
      </c>
      <c r="E144" s="2">
        <v>0.93899999999999995</v>
      </c>
      <c r="F144" s="2">
        <v>2</v>
      </c>
    </row>
    <row r="145" spans="1:6" ht="14.25" customHeight="1">
      <c r="A145" s="2">
        <v>17</v>
      </c>
      <c r="B145" s="2">
        <v>144</v>
      </c>
      <c r="C145" s="2">
        <v>1</v>
      </c>
      <c r="D145" s="2">
        <v>1</v>
      </c>
      <c r="E145" s="2">
        <v>0.76800000000000002</v>
      </c>
      <c r="F145" s="2">
        <v>1</v>
      </c>
    </row>
    <row r="146" spans="1:6" ht="14.25" customHeight="1">
      <c r="A146" s="2">
        <v>17</v>
      </c>
      <c r="B146" s="2">
        <v>145</v>
      </c>
      <c r="C146" s="2">
        <v>2</v>
      </c>
      <c r="D146" s="2">
        <v>1</v>
      </c>
      <c r="E146" s="2">
        <v>0.69499999999999995</v>
      </c>
      <c r="F146" s="2">
        <v>1</v>
      </c>
    </row>
    <row r="147" spans="1:6" ht="14.25" customHeight="1">
      <c r="A147" s="2">
        <v>17</v>
      </c>
      <c r="B147" s="2">
        <v>146</v>
      </c>
      <c r="C147" s="2">
        <v>1</v>
      </c>
      <c r="D147" s="2">
        <v>1</v>
      </c>
      <c r="E147" s="2">
        <v>1.399</v>
      </c>
      <c r="F147" s="2">
        <v>1</v>
      </c>
    </row>
    <row r="148" spans="1:6" ht="14.25" customHeight="1">
      <c r="A148" s="2">
        <v>17</v>
      </c>
      <c r="B148" s="2">
        <v>147</v>
      </c>
      <c r="C148" s="2">
        <v>8</v>
      </c>
      <c r="D148" s="2">
        <v>0</v>
      </c>
      <c r="E148" s="2">
        <v>1.3320000000000001</v>
      </c>
      <c r="F148" s="2">
        <v>1</v>
      </c>
    </row>
    <row r="149" spans="1:6" ht="14.25" customHeight="1">
      <c r="A149" s="2">
        <v>17</v>
      </c>
      <c r="B149" s="2">
        <v>148</v>
      </c>
      <c r="C149" s="2">
        <v>2</v>
      </c>
      <c r="D149" s="2">
        <v>1</v>
      </c>
      <c r="E149" s="2">
        <v>1E-3</v>
      </c>
      <c r="F149" s="2">
        <v>2</v>
      </c>
    </row>
    <row r="150" spans="1:6" ht="14.25" customHeight="1">
      <c r="A150" s="2">
        <v>17</v>
      </c>
      <c r="B150" s="2">
        <v>149</v>
      </c>
      <c r="C150" s="2">
        <v>1</v>
      </c>
      <c r="D150" s="2">
        <v>1</v>
      </c>
      <c r="E150" s="2">
        <v>1.1839999999999999</v>
      </c>
      <c r="F150" s="2">
        <v>2</v>
      </c>
    </row>
    <row r="151" spans="1:6" ht="14.25" customHeight="1">
      <c r="A151" s="2">
        <v>17</v>
      </c>
      <c r="B151" s="2">
        <v>150</v>
      </c>
      <c r="C151" s="2">
        <v>6</v>
      </c>
      <c r="D151" s="2">
        <v>0</v>
      </c>
      <c r="E151" s="2">
        <v>1.341</v>
      </c>
      <c r="F151" s="2">
        <v>1</v>
      </c>
    </row>
    <row r="152" spans="1:6" ht="14.25" customHeight="1">
      <c r="A152" s="2">
        <v>17</v>
      </c>
      <c r="B152" s="2">
        <v>151</v>
      </c>
      <c r="C152" s="2">
        <v>8</v>
      </c>
      <c r="D152" s="2">
        <v>1</v>
      </c>
      <c r="E152" s="2">
        <v>0.96299999999999997</v>
      </c>
      <c r="F152" s="2">
        <v>1</v>
      </c>
    </row>
    <row r="153" spans="1:6" ht="14.25" customHeight="1">
      <c r="A153" s="2">
        <v>17</v>
      </c>
      <c r="B153" s="2">
        <v>152</v>
      </c>
      <c r="C153" s="2">
        <v>5</v>
      </c>
      <c r="D153" s="2">
        <v>1</v>
      </c>
      <c r="E153" s="2">
        <v>1.24</v>
      </c>
      <c r="F153" s="2">
        <v>2</v>
      </c>
    </row>
    <row r="154" spans="1:6" ht="14.25" customHeight="1">
      <c r="A154" s="2">
        <v>17</v>
      </c>
      <c r="B154" s="2">
        <v>153</v>
      </c>
      <c r="C154" s="2">
        <v>1</v>
      </c>
      <c r="D154" s="2">
        <v>1</v>
      </c>
      <c r="E154" s="2">
        <v>1.0669999999999999</v>
      </c>
      <c r="F154" s="2">
        <v>2</v>
      </c>
    </row>
    <row r="155" spans="1:6" ht="14.25" customHeight="1">
      <c r="A155" s="2">
        <v>17</v>
      </c>
      <c r="B155" s="2">
        <v>154</v>
      </c>
      <c r="C155" s="2">
        <v>2</v>
      </c>
      <c r="D155" s="2">
        <v>1</v>
      </c>
      <c r="E155" s="2">
        <v>0.88500000000000001</v>
      </c>
      <c r="F155" s="2">
        <v>1</v>
      </c>
    </row>
    <row r="156" spans="1:6" ht="14.25" customHeight="1">
      <c r="A156" s="2">
        <v>17</v>
      </c>
      <c r="B156" s="2">
        <v>155</v>
      </c>
      <c r="C156" s="2">
        <v>6</v>
      </c>
      <c r="D156" s="2">
        <v>1</v>
      </c>
      <c r="E156" s="2">
        <v>0.79900000000000004</v>
      </c>
      <c r="F156" s="2">
        <v>2</v>
      </c>
    </row>
    <row r="157" spans="1:6" ht="14.25" customHeight="1">
      <c r="A157" s="2">
        <v>17</v>
      </c>
      <c r="B157" s="2">
        <v>156</v>
      </c>
      <c r="C157" s="2">
        <v>1</v>
      </c>
      <c r="D157" s="2">
        <v>1</v>
      </c>
      <c r="E157" s="2">
        <v>1.732</v>
      </c>
      <c r="F157" s="2">
        <v>2</v>
      </c>
    </row>
    <row r="158" spans="1:6" ht="14.25" customHeight="1">
      <c r="A158" s="2">
        <v>17</v>
      </c>
      <c r="B158" s="2">
        <v>157</v>
      </c>
      <c r="C158" s="2">
        <v>4</v>
      </c>
      <c r="D158" s="2">
        <v>1</v>
      </c>
      <c r="E158" s="2">
        <v>0.95399999999999996</v>
      </c>
      <c r="F158" s="2">
        <v>1</v>
      </c>
    </row>
    <row r="159" spans="1:6" ht="14.25" customHeight="1">
      <c r="A159" s="2">
        <v>17</v>
      </c>
      <c r="B159" s="2">
        <v>158</v>
      </c>
      <c r="C159" s="2">
        <v>6</v>
      </c>
      <c r="D159" s="2">
        <v>0</v>
      </c>
      <c r="E159" s="2">
        <v>1.1779999999999999</v>
      </c>
      <c r="F159" s="2">
        <v>1</v>
      </c>
    </row>
    <row r="160" spans="1:6" ht="14.25" customHeight="1">
      <c r="A160" s="2">
        <v>17</v>
      </c>
      <c r="B160" s="2">
        <v>159</v>
      </c>
      <c r="C160" s="2">
        <v>5</v>
      </c>
      <c r="D160" s="2">
        <v>0</v>
      </c>
      <c r="E160" s="2">
        <v>0.81499999999999995</v>
      </c>
      <c r="F160" s="2">
        <v>1</v>
      </c>
    </row>
    <row r="161" spans="1:6" ht="14.25" customHeight="1">
      <c r="A161" s="2">
        <v>17</v>
      </c>
      <c r="B161" s="2">
        <v>160</v>
      </c>
      <c r="C161" s="2">
        <v>3</v>
      </c>
      <c r="D161" s="2">
        <v>1</v>
      </c>
      <c r="E161" s="2">
        <v>1.5149999999999999</v>
      </c>
      <c r="F161" s="2">
        <v>1</v>
      </c>
    </row>
    <row r="162" spans="1:6" ht="14.25" customHeight="1">
      <c r="A162" s="2">
        <v>17</v>
      </c>
      <c r="B162" s="2">
        <v>161</v>
      </c>
      <c r="C162" s="2">
        <v>6</v>
      </c>
      <c r="D162" s="2">
        <v>0</v>
      </c>
      <c r="E162" s="2">
        <v>0.81799999999999995</v>
      </c>
      <c r="F162" s="2">
        <v>2</v>
      </c>
    </row>
    <row r="163" spans="1:6" ht="14.25" customHeight="1">
      <c r="A163" s="2">
        <v>17</v>
      </c>
      <c r="B163" s="2">
        <v>162</v>
      </c>
      <c r="C163" s="2">
        <v>2</v>
      </c>
      <c r="D163" s="2">
        <v>1</v>
      </c>
      <c r="E163" s="2">
        <v>1.262</v>
      </c>
      <c r="F163" s="2">
        <v>2</v>
      </c>
    </row>
    <row r="164" spans="1:6" ht="14.25" customHeight="1">
      <c r="A164" s="2">
        <v>17</v>
      </c>
      <c r="B164" s="2">
        <v>163</v>
      </c>
      <c r="C164" s="2">
        <v>7</v>
      </c>
      <c r="D164" s="2">
        <v>1</v>
      </c>
      <c r="E164" s="2">
        <v>1.8320000000000001</v>
      </c>
      <c r="F164" s="2">
        <v>1</v>
      </c>
    </row>
    <row r="165" spans="1:6" ht="14.25" customHeight="1">
      <c r="A165" s="2">
        <v>17</v>
      </c>
      <c r="B165" s="2">
        <v>164</v>
      </c>
      <c r="C165" s="2">
        <v>3</v>
      </c>
      <c r="D165" s="2">
        <v>1</v>
      </c>
      <c r="E165" s="2">
        <v>0.73899999999999999</v>
      </c>
      <c r="F165" s="2">
        <v>2</v>
      </c>
    </row>
    <row r="166" spans="1:6" ht="14.25" customHeight="1">
      <c r="A166" s="2">
        <v>17</v>
      </c>
      <c r="B166" s="2">
        <v>165</v>
      </c>
      <c r="C166" s="2">
        <v>4</v>
      </c>
      <c r="D166" s="2">
        <v>1</v>
      </c>
      <c r="E166" s="2">
        <v>0.90600000000000003</v>
      </c>
      <c r="F166" s="2">
        <v>1</v>
      </c>
    </row>
    <row r="167" spans="1:6" ht="14.25" customHeight="1">
      <c r="A167" s="2">
        <v>17</v>
      </c>
      <c r="B167" s="2">
        <v>166</v>
      </c>
      <c r="C167" s="2">
        <v>7</v>
      </c>
      <c r="D167" s="2">
        <v>0</v>
      </c>
      <c r="E167" s="2">
        <v>1.042</v>
      </c>
      <c r="F167" s="2">
        <v>1</v>
      </c>
    </row>
    <row r="168" spans="1:6" ht="14.25" customHeight="1">
      <c r="A168" s="2">
        <v>17</v>
      </c>
      <c r="B168" s="2">
        <v>167</v>
      </c>
      <c r="C168" s="2">
        <v>8</v>
      </c>
      <c r="D168" s="2">
        <v>1</v>
      </c>
      <c r="E168" s="2">
        <v>1.605</v>
      </c>
      <c r="F168" s="2">
        <v>1</v>
      </c>
    </row>
    <row r="169" spans="1:6" ht="14.25" customHeight="1">
      <c r="A169" s="2">
        <v>17</v>
      </c>
      <c r="B169" s="2">
        <v>168</v>
      </c>
      <c r="C169" s="2">
        <v>3</v>
      </c>
      <c r="D169" s="2">
        <v>1</v>
      </c>
      <c r="E169" s="2">
        <v>0.80900000000000005</v>
      </c>
      <c r="F169" s="2">
        <v>2</v>
      </c>
    </row>
    <row r="170" spans="1:6" ht="14.25" customHeight="1">
      <c r="A170" s="2">
        <v>17</v>
      </c>
      <c r="B170" s="2">
        <v>169</v>
      </c>
      <c r="C170" s="2">
        <v>4</v>
      </c>
      <c r="D170" s="2">
        <v>1</v>
      </c>
      <c r="E170" s="2">
        <v>0.98899999999999999</v>
      </c>
      <c r="F170" s="2">
        <v>2</v>
      </c>
    </row>
    <row r="171" spans="1:6" ht="14.25" customHeight="1">
      <c r="A171" s="2">
        <v>17</v>
      </c>
      <c r="B171" s="2">
        <v>170</v>
      </c>
      <c r="C171" s="2">
        <v>1</v>
      </c>
      <c r="D171" s="2">
        <v>1</v>
      </c>
      <c r="E171" s="2">
        <v>1.2090000000000001</v>
      </c>
      <c r="F171" s="2">
        <v>1</v>
      </c>
    </row>
    <row r="172" spans="1:6" ht="14.25" customHeight="1">
      <c r="A172" s="2">
        <v>17</v>
      </c>
      <c r="B172" s="2">
        <v>171</v>
      </c>
      <c r="C172" s="2">
        <v>5</v>
      </c>
      <c r="D172" s="2">
        <v>1</v>
      </c>
      <c r="E172" s="2">
        <v>1.0209999999999999</v>
      </c>
      <c r="F172" s="2">
        <v>2</v>
      </c>
    </row>
    <row r="173" spans="1:6" ht="14.25" customHeight="1">
      <c r="A173" s="2">
        <v>17</v>
      </c>
      <c r="B173" s="2">
        <v>172</v>
      </c>
      <c r="C173" s="2">
        <v>6</v>
      </c>
      <c r="D173" s="2">
        <v>1</v>
      </c>
      <c r="E173" s="2">
        <v>1.8169999999999999</v>
      </c>
      <c r="F173" s="2">
        <v>2</v>
      </c>
    </row>
    <row r="174" spans="1:6" ht="14.25" customHeight="1">
      <c r="A174" s="2">
        <v>17</v>
      </c>
      <c r="B174" s="2">
        <v>173</v>
      </c>
      <c r="C174" s="2">
        <v>8</v>
      </c>
      <c r="D174" s="2">
        <v>1</v>
      </c>
      <c r="E174" s="2">
        <v>1.5</v>
      </c>
      <c r="F174" s="2">
        <v>1</v>
      </c>
    </row>
    <row r="175" spans="1:6" ht="14.25" customHeight="1">
      <c r="A175" s="2">
        <v>17</v>
      </c>
      <c r="B175" s="2">
        <v>174</v>
      </c>
      <c r="C175" s="2">
        <v>2</v>
      </c>
      <c r="D175" s="2">
        <v>1</v>
      </c>
      <c r="E175" s="2">
        <v>1.07</v>
      </c>
      <c r="F175" s="2">
        <v>1</v>
      </c>
    </row>
    <row r="176" spans="1:6" ht="14.25" customHeight="1">
      <c r="A176" s="2">
        <v>17</v>
      </c>
      <c r="B176" s="2">
        <v>175</v>
      </c>
      <c r="C176" s="2">
        <v>4</v>
      </c>
      <c r="D176" s="2">
        <v>1</v>
      </c>
      <c r="E176" s="2">
        <v>1.119</v>
      </c>
      <c r="F176" s="2">
        <v>1</v>
      </c>
    </row>
    <row r="177" spans="1:6" ht="14.25" customHeight="1">
      <c r="A177" s="2">
        <v>17</v>
      </c>
      <c r="B177" s="2">
        <v>176</v>
      </c>
      <c r="C177" s="2">
        <v>5</v>
      </c>
      <c r="D177" s="2">
        <v>1</v>
      </c>
      <c r="E177" s="2">
        <v>1.1679999999999999</v>
      </c>
      <c r="F177" s="2">
        <v>2</v>
      </c>
    </row>
    <row r="178" spans="1:6" ht="14.25" customHeight="1">
      <c r="A178" s="2">
        <v>17</v>
      </c>
      <c r="B178" s="2">
        <v>177</v>
      </c>
      <c r="C178" s="2">
        <v>6</v>
      </c>
      <c r="D178" s="2">
        <v>1</v>
      </c>
      <c r="E178" s="2">
        <v>0.47699999999999998</v>
      </c>
      <c r="F178" s="2">
        <v>1</v>
      </c>
    </row>
    <row r="179" spans="1:6" ht="14.25" customHeight="1">
      <c r="A179" s="2">
        <v>17</v>
      </c>
      <c r="B179" s="2">
        <v>178</v>
      </c>
      <c r="C179" s="2">
        <v>4</v>
      </c>
      <c r="D179" s="2">
        <v>1</v>
      </c>
      <c r="E179" s="2">
        <v>1.3580000000000001</v>
      </c>
      <c r="F179" s="2">
        <v>1</v>
      </c>
    </row>
    <row r="180" spans="1:6" ht="14.25" customHeight="1">
      <c r="A180" s="2">
        <v>17</v>
      </c>
      <c r="B180" s="2">
        <v>179</v>
      </c>
      <c r="C180" s="2">
        <v>7</v>
      </c>
      <c r="D180" s="2">
        <v>0</v>
      </c>
      <c r="E180" s="2">
        <v>1.268</v>
      </c>
      <c r="F180" s="2">
        <v>1</v>
      </c>
    </row>
    <row r="181" spans="1:6" ht="14.25" customHeight="1">
      <c r="A181" s="2">
        <v>17</v>
      </c>
      <c r="B181" s="2">
        <v>180</v>
      </c>
      <c r="C181" s="2">
        <v>1</v>
      </c>
      <c r="D181" s="2">
        <v>1</v>
      </c>
      <c r="E181" s="2">
        <v>1.19</v>
      </c>
      <c r="F181" s="2">
        <v>2</v>
      </c>
    </row>
    <row r="182" spans="1:6" ht="14.25" customHeight="1">
      <c r="A182" s="2">
        <v>17</v>
      </c>
      <c r="B182" s="2">
        <v>181</v>
      </c>
      <c r="C182" s="2">
        <v>8</v>
      </c>
      <c r="D182" s="2">
        <v>0</v>
      </c>
      <c r="E182" s="2">
        <v>1.163</v>
      </c>
      <c r="F182" s="2">
        <v>2</v>
      </c>
    </row>
    <row r="183" spans="1:6" ht="14.25" customHeight="1">
      <c r="A183" s="2">
        <v>17</v>
      </c>
      <c r="B183" s="2">
        <v>182</v>
      </c>
      <c r="C183" s="2">
        <v>2</v>
      </c>
      <c r="D183" s="2">
        <v>0</v>
      </c>
      <c r="E183" s="2">
        <v>1.121</v>
      </c>
      <c r="F183" s="2">
        <v>1</v>
      </c>
    </row>
    <row r="184" spans="1:6" ht="14.25" customHeight="1">
      <c r="A184" s="2">
        <v>17</v>
      </c>
      <c r="B184" s="2">
        <v>183</v>
      </c>
      <c r="C184" s="2">
        <v>1</v>
      </c>
      <c r="D184" s="2">
        <v>0</v>
      </c>
      <c r="E184" s="2">
        <v>1.417</v>
      </c>
      <c r="F184" s="2">
        <v>2</v>
      </c>
    </row>
    <row r="185" spans="1:6" ht="14.25" customHeight="1">
      <c r="A185" s="2">
        <v>17</v>
      </c>
      <c r="B185" s="2">
        <v>184</v>
      </c>
      <c r="C185" s="2">
        <v>7</v>
      </c>
      <c r="D185" s="2">
        <v>0</v>
      </c>
      <c r="E185" s="2">
        <v>1.661</v>
      </c>
      <c r="F185" s="2">
        <v>1</v>
      </c>
    </row>
    <row r="186" spans="1:6" ht="14.25" customHeight="1">
      <c r="A186" s="2">
        <v>17</v>
      </c>
      <c r="B186" s="2">
        <v>185</v>
      </c>
      <c r="C186" s="2">
        <v>4</v>
      </c>
      <c r="D186" s="2">
        <v>0</v>
      </c>
      <c r="E186" s="2">
        <v>0.871</v>
      </c>
      <c r="F186" s="2">
        <v>2</v>
      </c>
    </row>
    <row r="187" spans="1:6" ht="14.25" customHeight="1">
      <c r="A187" s="2">
        <v>17</v>
      </c>
      <c r="B187" s="2">
        <v>186</v>
      </c>
      <c r="C187" s="2">
        <v>3</v>
      </c>
      <c r="D187" s="2">
        <v>1</v>
      </c>
      <c r="E187" s="2">
        <v>0.92900000000000005</v>
      </c>
      <c r="F187" s="2">
        <v>1</v>
      </c>
    </row>
    <row r="188" spans="1:6" ht="14.25" customHeight="1">
      <c r="A188" s="2">
        <v>17</v>
      </c>
      <c r="B188" s="2">
        <v>187</v>
      </c>
      <c r="C188" s="2">
        <v>6</v>
      </c>
      <c r="D188" s="2">
        <v>1</v>
      </c>
      <c r="E188" s="2">
        <v>0.90400000000000003</v>
      </c>
      <c r="F188" s="2">
        <v>1</v>
      </c>
    </row>
    <row r="189" spans="1:6" ht="14.25" customHeight="1">
      <c r="A189" s="2">
        <v>17</v>
      </c>
      <c r="B189" s="2">
        <v>188</v>
      </c>
      <c r="C189" s="2">
        <v>5</v>
      </c>
      <c r="D189" s="2">
        <v>1</v>
      </c>
      <c r="E189" s="2">
        <v>1.073</v>
      </c>
      <c r="F189" s="2">
        <v>1</v>
      </c>
    </row>
    <row r="190" spans="1:6" ht="14.25" customHeight="1">
      <c r="A190" s="2">
        <v>17</v>
      </c>
      <c r="B190" s="2">
        <v>189</v>
      </c>
      <c r="C190" s="2">
        <v>7</v>
      </c>
      <c r="D190" s="2">
        <v>1</v>
      </c>
      <c r="E190" s="2">
        <v>0.86599999999999999</v>
      </c>
      <c r="F190" s="2">
        <v>2</v>
      </c>
    </row>
    <row r="191" spans="1:6" ht="14.25" customHeight="1">
      <c r="A191" s="2">
        <v>17</v>
      </c>
      <c r="B191" s="2">
        <v>190</v>
      </c>
      <c r="C191" s="2">
        <v>3</v>
      </c>
      <c r="D191" s="2">
        <v>1</v>
      </c>
      <c r="E191" s="2">
        <v>0.68400000000000005</v>
      </c>
      <c r="F191" s="2">
        <v>1</v>
      </c>
    </row>
    <row r="192" spans="1:6" ht="14.25" customHeight="1">
      <c r="A192" s="2">
        <v>17</v>
      </c>
      <c r="B192" s="2">
        <v>191</v>
      </c>
      <c r="C192" s="2">
        <v>2</v>
      </c>
      <c r="D192" s="2">
        <v>1</v>
      </c>
      <c r="E192" s="2">
        <v>0.60599999999999998</v>
      </c>
      <c r="F192" s="2">
        <v>2</v>
      </c>
    </row>
    <row r="193" spans="1:6" ht="14.25" customHeight="1">
      <c r="A193" s="2">
        <v>17</v>
      </c>
      <c r="B193" s="2">
        <v>192</v>
      </c>
      <c r="C193" s="2">
        <v>1</v>
      </c>
      <c r="D193" s="2">
        <v>0</v>
      </c>
      <c r="E193" s="2">
        <v>0.93</v>
      </c>
      <c r="F193" s="2">
        <v>1</v>
      </c>
    </row>
    <row r="194" spans="1:6" ht="14.25" customHeight="1">
      <c r="A194" s="2">
        <v>17</v>
      </c>
      <c r="B194" s="2">
        <v>193</v>
      </c>
      <c r="C194" s="2">
        <v>5</v>
      </c>
      <c r="D194" s="2">
        <v>0</v>
      </c>
      <c r="E194" s="2">
        <v>0.72099999999999997</v>
      </c>
      <c r="F194" s="2">
        <v>2</v>
      </c>
    </row>
    <row r="195" spans="1:6" ht="14.25" customHeight="1">
      <c r="A195" s="2">
        <v>17</v>
      </c>
      <c r="B195" s="2">
        <v>194</v>
      </c>
      <c r="C195" s="2">
        <v>8</v>
      </c>
      <c r="D195" s="2">
        <v>1</v>
      </c>
      <c r="E195" s="2">
        <v>0.82399999999999995</v>
      </c>
      <c r="F195" s="2">
        <v>1</v>
      </c>
    </row>
    <row r="196" spans="1:6" ht="14.25" customHeight="1">
      <c r="A196" s="2">
        <v>17</v>
      </c>
      <c r="B196" s="2">
        <v>195</v>
      </c>
      <c r="C196" s="2">
        <v>7</v>
      </c>
      <c r="D196" s="2">
        <v>0</v>
      </c>
      <c r="E196" s="2">
        <v>0.89900000000000002</v>
      </c>
      <c r="F196" s="2">
        <v>2</v>
      </c>
    </row>
    <row r="197" spans="1:6" ht="14.25" customHeight="1">
      <c r="A197" s="2">
        <v>17</v>
      </c>
      <c r="B197" s="2">
        <v>196</v>
      </c>
      <c r="C197" s="2">
        <v>1</v>
      </c>
      <c r="D197" s="2">
        <v>1</v>
      </c>
      <c r="E197" s="2">
        <v>0.91600000000000004</v>
      </c>
      <c r="F197" s="2">
        <v>1</v>
      </c>
    </row>
    <row r="198" spans="1:6" ht="14.25" customHeight="1">
      <c r="A198" s="2">
        <v>17</v>
      </c>
      <c r="B198" s="2">
        <v>197</v>
      </c>
      <c r="C198" s="2">
        <v>2</v>
      </c>
      <c r="D198" s="2">
        <v>1</v>
      </c>
      <c r="E198" s="2">
        <v>0.86</v>
      </c>
      <c r="F198" s="2">
        <v>2</v>
      </c>
    </row>
    <row r="199" spans="1:6" ht="14.25" customHeight="1">
      <c r="A199" s="2">
        <v>17</v>
      </c>
      <c r="B199" s="2">
        <v>198</v>
      </c>
      <c r="C199" s="2">
        <v>3</v>
      </c>
      <c r="D199" s="2">
        <v>1</v>
      </c>
      <c r="E199" s="2">
        <v>0.82199999999999995</v>
      </c>
      <c r="F199" s="2">
        <v>2</v>
      </c>
    </row>
    <row r="200" spans="1:6" ht="14.25" customHeight="1">
      <c r="A200" s="2">
        <v>17</v>
      </c>
      <c r="B200" s="2">
        <v>199</v>
      </c>
      <c r="C200" s="2">
        <v>8</v>
      </c>
      <c r="D200" s="2">
        <v>0</v>
      </c>
      <c r="E200" s="2">
        <v>1.3129999999999999</v>
      </c>
      <c r="F200" s="2">
        <v>1</v>
      </c>
    </row>
    <row r="201" spans="1:6" ht="14.25" customHeight="1">
      <c r="A201" s="2">
        <v>17</v>
      </c>
      <c r="B201" s="2">
        <v>200</v>
      </c>
      <c r="C201" s="2">
        <v>4</v>
      </c>
      <c r="D201" s="2">
        <v>0</v>
      </c>
      <c r="E201" s="2">
        <v>0.71299999999999997</v>
      </c>
      <c r="F201" s="2">
        <v>1</v>
      </c>
    </row>
    <row r="202" spans="1:6" ht="14.25" customHeight="1">
      <c r="A202" s="2">
        <v>17</v>
      </c>
      <c r="B202" s="2">
        <v>201</v>
      </c>
      <c r="C202" s="2">
        <v>1</v>
      </c>
      <c r="D202" s="2">
        <v>1</v>
      </c>
      <c r="E202" s="2">
        <v>0.99199999999999999</v>
      </c>
      <c r="F202" s="2">
        <v>1</v>
      </c>
    </row>
    <row r="203" spans="1:6" ht="14.25" customHeight="1">
      <c r="A203" s="2">
        <v>17</v>
      </c>
      <c r="B203" s="2">
        <v>202</v>
      </c>
      <c r="C203" s="2">
        <v>6</v>
      </c>
      <c r="D203" s="2">
        <v>1</v>
      </c>
      <c r="E203" s="2">
        <v>1.244</v>
      </c>
      <c r="F203" s="2">
        <v>2</v>
      </c>
    </row>
    <row r="204" spans="1:6" ht="14.25" customHeight="1">
      <c r="A204" s="2">
        <v>17</v>
      </c>
      <c r="B204" s="2">
        <v>203</v>
      </c>
      <c r="C204" s="2">
        <v>7</v>
      </c>
      <c r="E204" s="2">
        <v>2.0009999999999999</v>
      </c>
    </row>
    <row r="205" spans="1:6" ht="14.25" customHeight="1">
      <c r="A205" s="2">
        <v>17</v>
      </c>
      <c r="B205" s="2">
        <v>204</v>
      </c>
      <c r="C205" s="2">
        <v>4</v>
      </c>
      <c r="D205" s="2">
        <v>1</v>
      </c>
      <c r="E205" s="2">
        <v>0.54</v>
      </c>
      <c r="F205" s="2">
        <v>1</v>
      </c>
    </row>
    <row r="206" spans="1:6" ht="14.25" customHeight="1">
      <c r="A206" s="2">
        <v>17</v>
      </c>
      <c r="B206" s="2">
        <v>205</v>
      </c>
      <c r="C206" s="2">
        <v>3</v>
      </c>
      <c r="D206" s="2">
        <v>1</v>
      </c>
      <c r="E206" s="2">
        <v>0.54700000000000004</v>
      </c>
      <c r="F206" s="2">
        <v>2</v>
      </c>
    </row>
    <row r="207" spans="1:6" ht="14.25" customHeight="1">
      <c r="A207" s="2">
        <v>17</v>
      </c>
      <c r="B207" s="2">
        <v>206</v>
      </c>
      <c r="C207" s="2">
        <v>8</v>
      </c>
      <c r="D207" s="2">
        <v>0</v>
      </c>
      <c r="E207" s="2">
        <v>0.99399999999999999</v>
      </c>
      <c r="F207" s="2">
        <v>1</v>
      </c>
    </row>
    <row r="208" spans="1:6" ht="14.25" customHeight="1">
      <c r="A208" s="2">
        <v>17</v>
      </c>
      <c r="B208" s="2">
        <v>207</v>
      </c>
      <c r="C208" s="2">
        <v>1</v>
      </c>
      <c r="D208" s="2">
        <v>1</v>
      </c>
      <c r="E208" s="2">
        <v>1.302</v>
      </c>
      <c r="F208" s="2">
        <v>1</v>
      </c>
    </row>
    <row r="209" spans="1:6" ht="14.25" customHeight="1">
      <c r="A209" s="2">
        <v>17</v>
      </c>
      <c r="B209" s="2">
        <v>208</v>
      </c>
      <c r="C209" s="2">
        <v>6</v>
      </c>
      <c r="D209" s="2">
        <v>0</v>
      </c>
      <c r="E209" s="2">
        <v>0.57599999999999996</v>
      </c>
      <c r="F209" s="2">
        <v>1</v>
      </c>
    </row>
    <row r="210" spans="1:6" ht="14.25" customHeight="1">
      <c r="A210" s="2">
        <v>17</v>
      </c>
      <c r="B210" s="2">
        <v>209</v>
      </c>
      <c r="C210" s="2">
        <v>8</v>
      </c>
      <c r="D210" s="2">
        <v>1</v>
      </c>
      <c r="E210" s="2">
        <v>1.1879999999999999</v>
      </c>
      <c r="F210" s="2">
        <v>2</v>
      </c>
    </row>
    <row r="211" spans="1:6" ht="14.25" customHeight="1">
      <c r="A211" s="2">
        <v>17</v>
      </c>
      <c r="B211" s="2">
        <v>210</v>
      </c>
      <c r="C211" s="2">
        <v>2</v>
      </c>
      <c r="D211" s="2">
        <v>1</v>
      </c>
      <c r="E211" s="2">
        <v>0.48099999999999998</v>
      </c>
      <c r="F211" s="2">
        <v>1</v>
      </c>
    </row>
    <row r="212" spans="1:6" ht="14.25" customHeight="1">
      <c r="A212" s="2">
        <v>17</v>
      </c>
      <c r="B212" s="2">
        <v>211</v>
      </c>
      <c r="C212" s="2">
        <v>5</v>
      </c>
      <c r="D212" s="2">
        <v>0</v>
      </c>
      <c r="E212" s="2">
        <v>0.89</v>
      </c>
      <c r="F212" s="2">
        <v>2</v>
      </c>
    </row>
    <row r="213" spans="1:6" ht="14.25" customHeight="1">
      <c r="A213" s="2">
        <v>17</v>
      </c>
      <c r="B213" s="2">
        <v>212</v>
      </c>
      <c r="C213" s="2">
        <v>3</v>
      </c>
      <c r="D213" s="2">
        <v>1</v>
      </c>
      <c r="E213" s="2">
        <v>1.419</v>
      </c>
      <c r="F213" s="2">
        <v>2</v>
      </c>
    </row>
    <row r="214" spans="1:6" ht="14.25" customHeight="1">
      <c r="A214" s="2">
        <v>17</v>
      </c>
      <c r="B214" s="2">
        <v>213</v>
      </c>
      <c r="C214" s="2">
        <v>1</v>
      </c>
      <c r="D214" s="2">
        <v>1</v>
      </c>
      <c r="E214" s="2">
        <v>0.54300000000000004</v>
      </c>
      <c r="F214" s="2">
        <v>1</v>
      </c>
    </row>
    <row r="215" spans="1:6" ht="14.25" customHeight="1">
      <c r="A215" s="2">
        <v>17</v>
      </c>
      <c r="B215" s="2">
        <v>214</v>
      </c>
      <c r="C215" s="2">
        <v>5</v>
      </c>
      <c r="D215" s="2">
        <v>1</v>
      </c>
      <c r="E215" s="2">
        <v>0.97399999999999998</v>
      </c>
      <c r="F215" s="2">
        <v>2</v>
      </c>
    </row>
    <row r="216" spans="1:6" ht="14.25" customHeight="1">
      <c r="A216" s="2">
        <v>17</v>
      </c>
      <c r="B216" s="2">
        <v>215</v>
      </c>
      <c r="C216" s="2">
        <v>4</v>
      </c>
      <c r="D216" s="2">
        <v>1</v>
      </c>
      <c r="E216" s="2">
        <v>0.58699999999999997</v>
      </c>
      <c r="F216" s="2">
        <v>1</v>
      </c>
    </row>
    <row r="217" spans="1:6" ht="14.25" customHeight="1">
      <c r="A217" s="2">
        <v>17</v>
      </c>
      <c r="B217" s="2">
        <v>216</v>
      </c>
      <c r="C217" s="2">
        <v>1</v>
      </c>
      <c r="D217" s="2">
        <v>0</v>
      </c>
      <c r="E217" s="2">
        <v>0.80800000000000005</v>
      </c>
      <c r="F217" s="2">
        <v>1</v>
      </c>
    </row>
    <row r="218" spans="1:6" ht="14.25" customHeight="1">
      <c r="A218" s="2">
        <v>17</v>
      </c>
      <c r="B218" s="2">
        <v>217</v>
      </c>
      <c r="C218" s="2">
        <v>7</v>
      </c>
      <c r="D218" s="2">
        <v>1</v>
      </c>
      <c r="E218" s="2">
        <v>0.7</v>
      </c>
      <c r="F218" s="2">
        <v>1</v>
      </c>
    </row>
    <row r="219" spans="1:6" ht="14.25" customHeight="1">
      <c r="A219" s="2">
        <v>17</v>
      </c>
      <c r="B219" s="2">
        <v>218</v>
      </c>
      <c r="C219" s="2">
        <v>5</v>
      </c>
      <c r="D219" s="2">
        <v>1</v>
      </c>
      <c r="E219" s="2">
        <v>0.81299999999999994</v>
      </c>
      <c r="F219" s="2">
        <v>2</v>
      </c>
    </row>
    <row r="220" spans="1:6" ht="14.25" customHeight="1">
      <c r="A220" s="2">
        <v>17</v>
      </c>
      <c r="B220" s="2">
        <v>219</v>
      </c>
      <c r="C220" s="2">
        <v>3</v>
      </c>
      <c r="D220" s="2">
        <v>0</v>
      </c>
      <c r="E220" s="2">
        <v>0.88</v>
      </c>
      <c r="F220" s="2">
        <v>1</v>
      </c>
    </row>
    <row r="221" spans="1:6" ht="14.25" customHeight="1">
      <c r="A221" s="2">
        <v>17</v>
      </c>
      <c r="B221" s="2">
        <v>220</v>
      </c>
      <c r="C221" s="2">
        <v>7</v>
      </c>
      <c r="D221" s="2">
        <v>1</v>
      </c>
      <c r="E221" s="2">
        <v>0.77</v>
      </c>
      <c r="F221" s="2">
        <v>1</v>
      </c>
    </row>
    <row r="222" spans="1:6" ht="14.25" customHeight="1">
      <c r="A222" s="2">
        <v>17</v>
      </c>
      <c r="B222" s="2">
        <v>221</v>
      </c>
      <c r="C222" s="2">
        <v>2</v>
      </c>
      <c r="D222" s="2">
        <v>1</v>
      </c>
      <c r="E222" s="2">
        <v>1.6319999999999999</v>
      </c>
      <c r="F222" s="2">
        <v>2</v>
      </c>
    </row>
    <row r="223" spans="1:6" ht="14.25" customHeight="1">
      <c r="A223" s="2">
        <v>17</v>
      </c>
      <c r="B223" s="2">
        <v>222</v>
      </c>
      <c r="C223" s="2">
        <v>1</v>
      </c>
      <c r="D223" s="2">
        <v>0</v>
      </c>
      <c r="E223" s="2">
        <v>0.65200000000000002</v>
      </c>
      <c r="F223" s="2">
        <v>1</v>
      </c>
    </row>
    <row r="224" spans="1:6" ht="14.25" customHeight="1">
      <c r="A224" s="2">
        <v>17</v>
      </c>
      <c r="B224" s="2">
        <v>223</v>
      </c>
      <c r="C224" s="2">
        <v>6</v>
      </c>
      <c r="D224" s="2">
        <v>1</v>
      </c>
      <c r="E224" s="2">
        <v>0.79800000000000004</v>
      </c>
      <c r="F224" s="2">
        <v>1</v>
      </c>
    </row>
    <row r="225" spans="1:6" ht="14.25" customHeight="1">
      <c r="A225" s="2">
        <v>17</v>
      </c>
      <c r="B225" s="2">
        <v>224</v>
      </c>
      <c r="C225" s="2">
        <v>8</v>
      </c>
      <c r="D225" s="2">
        <v>1</v>
      </c>
      <c r="E225" s="2">
        <v>0.89900000000000002</v>
      </c>
      <c r="F225" s="2">
        <v>1</v>
      </c>
    </row>
    <row r="226" spans="1:6" ht="14.25" customHeight="1">
      <c r="A226" s="2">
        <v>17</v>
      </c>
      <c r="B226" s="2">
        <v>225</v>
      </c>
      <c r="C226" s="2">
        <v>1</v>
      </c>
      <c r="D226" s="2">
        <v>1</v>
      </c>
      <c r="E226" s="2">
        <v>1.452</v>
      </c>
      <c r="F226" s="2">
        <v>1</v>
      </c>
    </row>
    <row r="227" spans="1:6" ht="14.25" customHeight="1">
      <c r="A227" s="2">
        <v>17</v>
      </c>
      <c r="B227" s="2">
        <v>226</v>
      </c>
      <c r="C227" s="2">
        <v>3</v>
      </c>
      <c r="D227" s="2">
        <v>1</v>
      </c>
      <c r="E227" s="2">
        <v>0.53400000000000003</v>
      </c>
      <c r="F227" s="2">
        <v>2</v>
      </c>
    </row>
    <row r="228" spans="1:6" ht="14.25" customHeight="1">
      <c r="A228" s="2">
        <v>17</v>
      </c>
      <c r="B228" s="2">
        <v>227</v>
      </c>
      <c r="C228" s="2">
        <v>8</v>
      </c>
      <c r="D228" s="2">
        <v>1</v>
      </c>
      <c r="E228" s="2">
        <v>0.621</v>
      </c>
      <c r="F228" s="2">
        <v>1</v>
      </c>
    </row>
    <row r="229" spans="1:6" ht="14.25" customHeight="1">
      <c r="A229" s="2">
        <v>17</v>
      </c>
      <c r="B229" s="2">
        <v>228</v>
      </c>
      <c r="C229" s="2">
        <v>4</v>
      </c>
      <c r="D229" s="2">
        <v>0</v>
      </c>
      <c r="E229" s="2">
        <v>1.321</v>
      </c>
      <c r="F229" s="2">
        <v>2</v>
      </c>
    </row>
    <row r="230" spans="1:6" ht="14.25" customHeight="1">
      <c r="A230" s="2">
        <v>17</v>
      </c>
      <c r="B230" s="2">
        <v>229</v>
      </c>
      <c r="C230" s="2">
        <v>2</v>
      </c>
      <c r="D230" s="2">
        <v>0</v>
      </c>
      <c r="E230" s="2">
        <v>1.1759999999999999</v>
      </c>
      <c r="F230" s="2">
        <v>1</v>
      </c>
    </row>
    <row r="231" spans="1:6" ht="14.25" customHeight="1">
      <c r="A231" s="2">
        <v>17</v>
      </c>
      <c r="B231" s="2">
        <v>230</v>
      </c>
      <c r="C231" s="2">
        <v>8</v>
      </c>
      <c r="D231" s="2">
        <v>0</v>
      </c>
      <c r="E231" s="2">
        <v>1.726</v>
      </c>
      <c r="F231" s="2">
        <v>1</v>
      </c>
    </row>
    <row r="232" spans="1:6" ht="14.25" customHeight="1">
      <c r="A232" s="2">
        <v>17</v>
      </c>
      <c r="B232" s="2">
        <v>231</v>
      </c>
      <c r="C232" s="2">
        <v>5</v>
      </c>
      <c r="D232" s="2">
        <v>1</v>
      </c>
      <c r="E232" s="2">
        <v>0.93300000000000005</v>
      </c>
      <c r="F232" s="2">
        <v>1</v>
      </c>
    </row>
    <row r="233" spans="1:6" ht="14.25" customHeight="1">
      <c r="A233" s="2">
        <v>17</v>
      </c>
      <c r="B233" s="2">
        <v>232</v>
      </c>
      <c r="C233" s="2">
        <v>6</v>
      </c>
      <c r="D233" s="2">
        <v>0</v>
      </c>
      <c r="E233" s="2">
        <v>1.0609999999999999</v>
      </c>
      <c r="F233" s="2">
        <v>1</v>
      </c>
    </row>
    <row r="234" spans="1:6" ht="14.25" customHeight="1">
      <c r="A234" s="2">
        <v>17</v>
      </c>
      <c r="B234" s="2">
        <v>233</v>
      </c>
      <c r="C234" s="2">
        <v>5</v>
      </c>
      <c r="D234" s="2">
        <v>1</v>
      </c>
      <c r="E234" s="2">
        <v>0.89500000000000002</v>
      </c>
      <c r="F234" s="2">
        <v>1</v>
      </c>
    </row>
    <row r="235" spans="1:6" ht="14.25" customHeight="1">
      <c r="A235" s="2">
        <v>17</v>
      </c>
      <c r="B235" s="2">
        <v>234</v>
      </c>
      <c r="C235" s="2">
        <v>2</v>
      </c>
      <c r="D235" s="2">
        <v>0</v>
      </c>
      <c r="E235" s="2">
        <v>0.64700000000000002</v>
      </c>
      <c r="F235" s="2">
        <v>1</v>
      </c>
    </row>
    <row r="236" spans="1:6" ht="14.25" customHeight="1">
      <c r="A236" s="2">
        <v>17</v>
      </c>
      <c r="B236" s="2">
        <v>235</v>
      </c>
      <c r="C236" s="2">
        <v>7</v>
      </c>
      <c r="E236" s="2">
        <v>2</v>
      </c>
    </row>
    <row r="237" spans="1:6" ht="14.25" customHeight="1">
      <c r="A237" s="2">
        <v>17</v>
      </c>
      <c r="B237" s="2">
        <v>236</v>
      </c>
      <c r="C237" s="2">
        <v>4</v>
      </c>
      <c r="D237" s="2">
        <v>1</v>
      </c>
      <c r="E237" s="2">
        <v>1.0149999999999999</v>
      </c>
      <c r="F237" s="2">
        <v>1</v>
      </c>
    </row>
    <row r="238" spans="1:6" ht="14.25" customHeight="1">
      <c r="A238" s="2">
        <v>17</v>
      </c>
      <c r="B238" s="2">
        <v>237</v>
      </c>
      <c r="C238" s="2">
        <v>7</v>
      </c>
      <c r="D238" s="2">
        <v>1</v>
      </c>
      <c r="E238" s="2">
        <v>1.2749999999999999</v>
      </c>
      <c r="F238" s="2">
        <v>1</v>
      </c>
    </row>
    <row r="239" spans="1:6" ht="14.25" customHeight="1">
      <c r="A239" s="2">
        <v>17</v>
      </c>
      <c r="B239" s="2">
        <v>238</v>
      </c>
      <c r="C239" s="2">
        <v>4</v>
      </c>
      <c r="D239" s="2">
        <v>1</v>
      </c>
      <c r="E239" s="2">
        <v>1.077</v>
      </c>
      <c r="F239" s="2">
        <v>1</v>
      </c>
    </row>
    <row r="240" spans="1:6" ht="14.25" customHeight="1">
      <c r="A240" s="2">
        <v>17</v>
      </c>
      <c r="B240" s="2">
        <v>239</v>
      </c>
      <c r="C240" s="2">
        <v>7</v>
      </c>
      <c r="D240" s="2">
        <v>1</v>
      </c>
      <c r="E240" s="2">
        <v>1.1819999999999999</v>
      </c>
      <c r="F240" s="2">
        <v>2</v>
      </c>
    </row>
    <row r="241" spans="1:6" ht="14.25" customHeight="1">
      <c r="A241" s="2">
        <v>17</v>
      </c>
      <c r="B241" s="2">
        <v>240</v>
      </c>
      <c r="C241" s="2">
        <v>2</v>
      </c>
      <c r="D241" s="2">
        <v>1</v>
      </c>
      <c r="E241" s="2">
        <v>1.5149999999999999</v>
      </c>
      <c r="F241" s="2">
        <v>1</v>
      </c>
    </row>
    <row r="242" spans="1:6" ht="14.25" customHeight="1">
      <c r="A242" s="2">
        <v>17</v>
      </c>
      <c r="B242" s="2">
        <v>241</v>
      </c>
      <c r="C242" s="2">
        <v>1</v>
      </c>
      <c r="D242" s="2">
        <v>1</v>
      </c>
      <c r="E242" s="2">
        <v>0.70699999999999996</v>
      </c>
      <c r="F242" s="2">
        <v>2</v>
      </c>
    </row>
    <row r="243" spans="1:6" ht="14.25" customHeight="1">
      <c r="A243" s="2">
        <v>17</v>
      </c>
      <c r="B243" s="2">
        <v>242</v>
      </c>
      <c r="C243" s="2">
        <v>3</v>
      </c>
      <c r="D243" s="2">
        <v>0</v>
      </c>
      <c r="E243" s="2">
        <v>0.96399999999999997</v>
      </c>
      <c r="F243" s="2">
        <v>1</v>
      </c>
    </row>
    <row r="244" spans="1:6" ht="14.25" customHeight="1">
      <c r="A244" s="2">
        <v>17</v>
      </c>
      <c r="B244" s="2">
        <v>243</v>
      </c>
      <c r="C244" s="2">
        <v>5</v>
      </c>
      <c r="D244" s="2">
        <v>0</v>
      </c>
      <c r="E244" s="2">
        <v>1.234</v>
      </c>
      <c r="F244" s="2">
        <v>2</v>
      </c>
    </row>
    <row r="245" spans="1:6" ht="14.25" customHeight="1">
      <c r="A245" s="2">
        <v>17</v>
      </c>
      <c r="B245" s="2">
        <v>244</v>
      </c>
      <c r="C245" s="2">
        <v>8</v>
      </c>
      <c r="D245" s="2">
        <v>1</v>
      </c>
      <c r="E245" s="2">
        <v>0.91700000000000004</v>
      </c>
      <c r="F245" s="2">
        <v>1</v>
      </c>
    </row>
    <row r="246" spans="1:6" ht="14.25" customHeight="1">
      <c r="A246" s="2">
        <v>17</v>
      </c>
      <c r="B246" s="2">
        <v>245</v>
      </c>
      <c r="C246" s="2">
        <v>6</v>
      </c>
      <c r="D246" s="2">
        <v>1</v>
      </c>
      <c r="E246" s="2">
        <v>1.228</v>
      </c>
      <c r="F246" s="2">
        <v>1</v>
      </c>
    </row>
    <row r="247" spans="1:6" ht="14.25" customHeight="1">
      <c r="A247" s="2">
        <v>17</v>
      </c>
      <c r="B247" s="2">
        <v>246</v>
      </c>
      <c r="C247" s="2">
        <v>4</v>
      </c>
      <c r="D247" s="2">
        <v>1</v>
      </c>
      <c r="E247" s="2">
        <v>1.288</v>
      </c>
      <c r="F247" s="2">
        <v>1</v>
      </c>
    </row>
    <row r="248" spans="1:6" ht="14.25" customHeight="1">
      <c r="A248" s="2">
        <v>17</v>
      </c>
      <c r="B248" s="2">
        <v>247</v>
      </c>
      <c r="C248" s="2">
        <v>2</v>
      </c>
      <c r="D248" s="2">
        <v>1</v>
      </c>
      <c r="E248" s="2">
        <v>1.0489999999999999</v>
      </c>
      <c r="F248" s="2">
        <v>2</v>
      </c>
    </row>
    <row r="249" spans="1:6" ht="14.25" customHeight="1">
      <c r="A249" s="2">
        <v>17</v>
      </c>
      <c r="B249" s="2">
        <v>248</v>
      </c>
      <c r="C249" s="2">
        <v>6</v>
      </c>
      <c r="D249" s="2">
        <v>1</v>
      </c>
      <c r="E249" s="2">
        <v>1.516</v>
      </c>
      <c r="F249" s="2">
        <v>2</v>
      </c>
    </row>
    <row r="250" spans="1:6" ht="14.25" customHeight="1">
      <c r="A250" s="2">
        <v>17</v>
      </c>
      <c r="B250" s="2">
        <v>249</v>
      </c>
      <c r="C250" s="2">
        <v>3</v>
      </c>
      <c r="E250" s="2">
        <v>2</v>
      </c>
    </row>
    <row r="251" spans="1:6" ht="14.25" customHeight="1">
      <c r="A251" s="2">
        <v>17</v>
      </c>
      <c r="B251" s="2">
        <v>250</v>
      </c>
      <c r="C251" s="2">
        <v>4</v>
      </c>
      <c r="D251" s="2">
        <v>1</v>
      </c>
      <c r="E251" s="2">
        <v>1.105</v>
      </c>
      <c r="F251" s="2">
        <v>2</v>
      </c>
    </row>
    <row r="252" spans="1:6" ht="14.25" customHeight="1">
      <c r="A252" s="2">
        <v>17</v>
      </c>
      <c r="B252" s="2">
        <v>251</v>
      </c>
      <c r="C252" s="2">
        <v>4</v>
      </c>
      <c r="D252" s="2">
        <v>1</v>
      </c>
      <c r="E252" s="2">
        <v>1.0720000000000001</v>
      </c>
      <c r="F252" s="2">
        <v>1</v>
      </c>
    </row>
    <row r="253" spans="1:6" ht="14.25" customHeight="1">
      <c r="A253" s="2">
        <v>17</v>
      </c>
      <c r="B253" s="2">
        <v>252</v>
      </c>
      <c r="C253" s="2">
        <v>2</v>
      </c>
      <c r="D253" s="2">
        <v>1</v>
      </c>
      <c r="E253" s="2">
        <v>1.121</v>
      </c>
      <c r="F253" s="2">
        <v>2</v>
      </c>
    </row>
    <row r="254" spans="1:6" ht="14.25" customHeight="1">
      <c r="A254" s="2">
        <v>17</v>
      </c>
      <c r="B254" s="2">
        <v>253</v>
      </c>
      <c r="C254" s="2">
        <v>3</v>
      </c>
      <c r="D254" s="2">
        <v>1</v>
      </c>
      <c r="E254" s="2">
        <v>0.96899999999999997</v>
      </c>
      <c r="F254" s="2">
        <v>2</v>
      </c>
    </row>
    <row r="255" spans="1:6" ht="14.25" customHeight="1">
      <c r="A255" s="2">
        <v>17</v>
      </c>
      <c r="B255" s="2">
        <v>254</v>
      </c>
      <c r="C255" s="2">
        <v>6</v>
      </c>
      <c r="D255" s="2">
        <v>1</v>
      </c>
      <c r="E255" s="2">
        <v>0.68700000000000006</v>
      </c>
      <c r="F255" s="2">
        <v>1</v>
      </c>
    </row>
    <row r="256" spans="1:6" ht="14.25" customHeight="1">
      <c r="A256" s="2">
        <v>17</v>
      </c>
      <c r="B256" s="2">
        <v>255</v>
      </c>
      <c r="C256" s="2">
        <v>5</v>
      </c>
      <c r="D256" s="2">
        <v>0</v>
      </c>
      <c r="E256" s="2">
        <v>0.64800000000000002</v>
      </c>
      <c r="F256" s="2">
        <v>1</v>
      </c>
    </row>
    <row r="257" spans="1:6" ht="14.25" customHeight="1">
      <c r="A257" s="2">
        <v>17</v>
      </c>
      <c r="B257" s="2">
        <v>256</v>
      </c>
      <c r="C257" s="2">
        <v>1</v>
      </c>
      <c r="D257" s="2">
        <v>0</v>
      </c>
      <c r="E257" s="2">
        <v>1.163</v>
      </c>
      <c r="F257" s="2">
        <v>1</v>
      </c>
    </row>
    <row r="258" spans="1:6" ht="14.25" customHeight="1">
      <c r="A258" s="2">
        <v>17</v>
      </c>
      <c r="B258" s="2">
        <v>257</v>
      </c>
      <c r="C258" s="2">
        <v>2</v>
      </c>
      <c r="D258" s="2">
        <v>1</v>
      </c>
      <c r="E258" s="2">
        <v>1.272</v>
      </c>
      <c r="F258" s="2">
        <v>1</v>
      </c>
    </row>
    <row r="259" spans="1:6" ht="14.25" customHeight="1">
      <c r="A259" s="2">
        <v>17</v>
      </c>
      <c r="B259" s="2">
        <v>258</v>
      </c>
      <c r="C259" s="2">
        <v>6</v>
      </c>
      <c r="E259" s="2">
        <v>2.0009999999999999</v>
      </c>
    </row>
    <row r="260" spans="1:6" ht="14.25" customHeight="1">
      <c r="A260" s="2">
        <v>17</v>
      </c>
      <c r="B260" s="2">
        <v>259</v>
      </c>
      <c r="C260" s="2">
        <v>7</v>
      </c>
      <c r="D260" s="2">
        <v>1</v>
      </c>
      <c r="E260" s="2">
        <v>0.69599999999999995</v>
      </c>
      <c r="F260" s="2">
        <v>2</v>
      </c>
    </row>
    <row r="261" spans="1:6" ht="14.25" customHeight="1">
      <c r="A261" s="2">
        <v>17</v>
      </c>
      <c r="B261" s="2">
        <v>260</v>
      </c>
      <c r="C261" s="2">
        <v>4</v>
      </c>
      <c r="D261" s="2">
        <v>1</v>
      </c>
      <c r="E261" s="2">
        <v>0.86399999999999999</v>
      </c>
      <c r="F261" s="2">
        <v>1</v>
      </c>
    </row>
    <row r="262" spans="1:6" ht="14.25" customHeight="1">
      <c r="A262" s="2">
        <v>17</v>
      </c>
      <c r="B262" s="2">
        <v>261</v>
      </c>
      <c r="C262" s="2">
        <v>7</v>
      </c>
      <c r="D262" s="2">
        <v>1</v>
      </c>
      <c r="E262" s="2">
        <v>1.002</v>
      </c>
      <c r="F262" s="2">
        <v>1</v>
      </c>
    </row>
    <row r="263" spans="1:6" ht="14.25" customHeight="1">
      <c r="A263" s="2">
        <v>17</v>
      </c>
      <c r="B263" s="2">
        <v>262</v>
      </c>
      <c r="C263" s="2">
        <v>4</v>
      </c>
      <c r="D263" s="2">
        <v>1</v>
      </c>
      <c r="E263" s="2">
        <v>1.5980000000000001</v>
      </c>
      <c r="F263" s="2">
        <v>2</v>
      </c>
    </row>
    <row r="264" spans="1:6" ht="14.25" customHeight="1">
      <c r="A264" s="2">
        <v>17</v>
      </c>
      <c r="B264" s="2">
        <v>263</v>
      </c>
      <c r="C264" s="2">
        <v>8</v>
      </c>
      <c r="D264" s="2">
        <v>1</v>
      </c>
      <c r="E264" s="2">
        <v>0.81799999999999995</v>
      </c>
      <c r="F264" s="2">
        <v>1</v>
      </c>
    </row>
    <row r="265" spans="1:6" ht="14.25" customHeight="1">
      <c r="A265" s="2">
        <v>17</v>
      </c>
      <c r="B265" s="2">
        <v>264</v>
      </c>
      <c r="C265" s="2">
        <v>2</v>
      </c>
      <c r="D265" s="2">
        <v>1</v>
      </c>
      <c r="E265" s="2">
        <v>1.4550000000000001</v>
      </c>
      <c r="F265" s="2">
        <v>2</v>
      </c>
    </row>
    <row r="266" spans="1:6" ht="14.25" customHeight="1">
      <c r="A266" s="2">
        <v>17</v>
      </c>
      <c r="B266" s="2">
        <v>265</v>
      </c>
      <c r="C266" s="2">
        <v>6</v>
      </c>
      <c r="D266" s="2">
        <v>1</v>
      </c>
      <c r="E266" s="2">
        <v>0.76100000000000001</v>
      </c>
      <c r="F266" s="2">
        <v>1</v>
      </c>
    </row>
    <row r="267" spans="1:6" ht="14.25" customHeight="1">
      <c r="A267" s="2">
        <v>17</v>
      </c>
      <c r="B267" s="2">
        <v>266</v>
      </c>
      <c r="C267" s="2">
        <v>8</v>
      </c>
      <c r="D267" s="2">
        <v>1</v>
      </c>
      <c r="E267" s="2">
        <v>1.663</v>
      </c>
      <c r="F267" s="2">
        <v>2</v>
      </c>
    </row>
    <row r="268" spans="1:6" ht="14.25" customHeight="1">
      <c r="A268" s="2">
        <v>17</v>
      </c>
      <c r="B268" s="2">
        <v>267</v>
      </c>
      <c r="C268" s="2">
        <v>4</v>
      </c>
      <c r="D268" s="2">
        <v>1</v>
      </c>
      <c r="E268" s="2">
        <v>0.57699999999999996</v>
      </c>
      <c r="F268" s="2">
        <v>1</v>
      </c>
    </row>
    <row r="269" spans="1:6" ht="14.25" customHeight="1">
      <c r="A269" s="2">
        <v>17</v>
      </c>
      <c r="B269" s="2">
        <v>268</v>
      </c>
      <c r="C269" s="2">
        <v>7</v>
      </c>
      <c r="D269" s="2">
        <v>1</v>
      </c>
      <c r="E269" s="2">
        <v>0.72599999999999998</v>
      </c>
      <c r="F269" s="2">
        <v>2</v>
      </c>
    </row>
    <row r="270" spans="1:6" ht="14.25" customHeight="1">
      <c r="A270" s="2">
        <v>17</v>
      </c>
      <c r="B270" s="2">
        <v>269</v>
      </c>
      <c r="C270" s="2">
        <v>6</v>
      </c>
      <c r="D270" s="2">
        <v>1</v>
      </c>
      <c r="E270" s="2">
        <v>0.81299999999999994</v>
      </c>
      <c r="F270" s="2">
        <v>2</v>
      </c>
    </row>
    <row r="271" spans="1:6" ht="14.25" customHeight="1">
      <c r="A271" s="2">
        <v>17</v>
      </c>
      <c r="B271" s="2">
        <v>270</v>
      </c>
      <c r="C271" s="2">
        <v>8</v>
      </c>
      <c r="D271" s="2">
        <v>1</v>
      </c>
      <c r="E271" s="2">
        <v>0.90500000000000003</v>
      </c>
      <c r="F271" s="2">
        <v>1</v>
      </c>
    </row>
    <row r="272" spans="1:6" ht="14.25" customHeight="1">
      <c r="A272" s="2">
        <v>17</v>
      </c>
      <c r="B272" s="2">
        <v>271</v>
      </c>
      <c r="C272" s="2">
        <v>7</v>
      </c>
      <c r="D272" s="2">
        <v>1</v>
      </c>
      <c r="E272" s="2">
        <v>1.0089999999999999</v>
      </c>
      <c r="F272" s="2">
        <v>2</v>
      </c>
    </row>
    <row r="273" spans="1:6" ht="14.25" customHeight="1">
      <c r="A273" s="2">
        <v>17</v>
      </c>
      <c r="B273" s="2">
        <v>272</v>
      </c>
      <c r="C273" s="2">
        <v>1</v>
      </c>
      <c r="D273" s="2">
        <v>1</v>
      </c>
      <c r="E273" s="2">
        <v>1.2689999999999999</v>
      </c>
      <c r="F273" s="2">
        <v>2</v>
      </c>
    </row>
    <row r="274" spans="1:6" ht="14.25" customHeight="1">
      <c r="A274" s="2">
        <v>17</v>
      </c>
      <c r="B274" s="2">
        <v>273</v>
      </c>
      <c r="C274" s="2">
        <v>3</v>
      </c>
      <c r="D274" s="2">
        <v>1</v>
      </c>
      <c r="E274" s="2">
        <v>1.0469999999999999</v>
      </c>
      <c r="F274" s="2">
        <v>1</v>
      </c>
    </row>
    <row r="275" spans="1:6" ht="14.25" customHeight="1">
      <c r="A275" s="2">
        <v>17</v>
      </c>
      <c r="B275" s="2">
        <v>274</v>
      </c>
      <c r="C275" s="2">
        <v>5</v>
      </c>
      <c r="D275" s="2">
        <v>1</v>
      </c>
      <c r="E275" s="2">
        <v>0.82599999999999996</v>
      </c>
      <c r="F275" s="2">
        <v>1</v>
      </c>
    </row>
    <row r="276" spans="1:6" ht="14.25" customHeight="1">
      <c r="A276" s="2">
        <v>17</v>
      </c>
      <c r="B276" s="2">
        <v>275</v>
      </c>
      <c r="C276" s="2">
        <v>2</v>
      </c>
      <c r="D276" s="2">
        <v>1</v>
      </c>
      <c r="E276" s="2">
        <v>0.59799999999999998</v>
      </c>
      <c r="F276" s="2">
        <v>1</v>
      </c>
    </row>
    <row r="277" spans="1:6" ht="14.25" customHeight="1">
      <c r="A277" s="2">
        <v>17</v>
      </c>
      <c r="B277" s="2">
        <v>276</v>
      </c>
      <c r="C277" s="2">
        <v>3</v>
      </c>
      <c r="D277" s="2">
        <v>1</v>
      </c>
      <c r="E277" s="2">
        <v>1.226</v>
      </c>
      <c r="F277" s="2">
        <v>2</v>
      </c>
    </row>
    <row r="278" spans="1:6" ht="14.25" customHeight="1">
      <c r="A278" s="2">
        <v>17</v>
      </c>
      <c r="B278" s="2">
        <v>277</v>
      </c>
      <c r="C278" s="2">
        <v>2</v>
      </c>
      <c r="D278" s="2">
        <v>1</v>
      </c>
      <c r="E278" s="2">
        <v>0.79700000000000004</v>
      </c>
      <c r="F278" s="2">
        <v>1</v>
      </c>
    </row>
    <row r="279" spans="1:6" ht="14.25" customHeight="1">
      <c r="A279" s="2">
        <v>17</v>
      </c>
      <c r="B279" s="2">
        <v>278</v>
      </c>
      <c r="C279" s="2">
        <v>8</v>
      </c>
      <c r="D279" s="2">
        <v>1</v>
      </c>
      <c r="E279" s="2">
        <v>1.1539999999999999</v>
      </c>
      <c r="F279" s="2">
        <v>1</v>
      </c>
    </row>
    <row r="280" spans="1:6" ht="14.25" customHeight="1">
      <c r="A280" s="2">
        <v>17</v>
      </c>
      <c r="B280" s="2">
        <v>279</v>
      </c>
      <c r="C280" s="2">
        <v>4</v>
      </c>
      <c r="D280" s="2">
        <v>0</v>
      </c>
      <c r="E280" s="2">
        <v>1.472</v>
      </c>
      <c r="F280" s="2">
        <v>1</v>
      </c>
    </row>
    <row r="281" spans="1:6" ht="14.25" customHeight="1">
      <c r="A281" s="2">
        <v>17</v>
      </c>
      <c r="B281" s="2">
        <v>280</v>
      </c>
      <c r="C281" s="2">
        <v>8</v>
      </c>
      <c r="D281" s="2">
        <v>1</v>
      </c>
      <c r="E281" s="2">
        <v>1.202</v>
      </c>
      <c r="F281" s="2">
        <v>2</v>
      </c>
    </row>
    <row r="282" spans="1:6" ht="14.25" customHeight="1">
      <c r="A282" s="2">
        <v>17</v>
      </c>
      <c r="B282" s="2">
        <v>281</v>
      </c>
      <c r="C282" s="2">
        <v>6</v>
      </c>
      <c r="D282" s="2">
        <v>1</v>
      </c>
      <c r="E282" s="2">
        <v>0.71899999999999997</v>
      </c>
      <c r="F282" s="2">
        <v>1</v>
      </c>
    </row>
    <row r="283" spans="1:6" ht="14.25" customHeight="1">
      <c r="A283" s="2">
        <v>17</v>
      </c>
      <c r="B283" s="2">
        <v>282</v>
      </c>
      <c r="C283" s="2">
        <v>7</v>
      </c>
      <c r="D283" s="2">
        <v>0</v>
      </c>
      <c r="E283" s="2">
        <v>1.054</v>
      </c>
      <c r="F283" s="2">
        <v>1</v>
      </c>
    </row>
    <row r="284" spans="1:6" ht="14.25" customHeight="1">
      <c r="A284" s="2">
        <v>17</v>
      </c>
      <c r="B284" s="2">
        <v>283</v>
      </c>
      <c r="C284" s="2">
        <v>1</v>
      </c>
      <c r="D284" s="2">
        <v>1</v>
      </c>
      <c r="E284" s="2">
        <v>0.89700000000000002</v>
      </c>
      <c r="F284" s="2">
        <v>1</v>
      </c>
    </row>
    <row r="285" spans="1:6" ht="14.25" customHeight="1">
      <c r="A285" s="2">
        <v>17</v>
      </c>
      <c r="B285" s="2">
        <v>284</v>
      </c>
      <c r="C285" s="2">
        <v>6</v>
      </c>
      <c r="D285" s="2">
        <v>0</v>
      </c>
      <c r="E285" s="2">
        <v>1.081</v>
      </c>
      <c r="F285" s="2">
        <v>1</v>
      </c>
    </row>
    <row r="286" spans="1:6" ht="14.25" customHeight="1">
      <c r="A286" s="2">
        <v>17</v>
      </c>
      <c r="B286" s="2">
        <v>285</v>
      </c>
      <c r="C286" s="2">
        <v>8</v>
      </c>
      <c r="D286" s="2">
        <v>1</v>
      </c>
      <c r="E286" s="2">
        <v>0.78700000000000003</v>
      </c>
      <c r="F286" s="2">
        <v>1</v>
      </c>
    </row>
    <row r="287" spans="1:6" ht="14.25" customHeight="1">
      <c r="A287" s="2">
        <v>17</v>
      </c>
      <c r="B287" s="2">
        <v>286</v>
      </c>
      <c r="C287" s="2">
        <v>4</v>
      </c>
      <c r="D287" s="2">
        <v>1</v>
      </c>
      <c r="E287" s="2">
        <v>1.528</v>
      </c>
      <c r="F287" s="2">
        <v>1</v>
      </c>
    </row>
    <row r="288" spans="1:6" ht="14.25" customHeight="1">
      <c r="A288" s="2">
        <v>17</v>
      </c>
      <c r="B288" s="2">
        <v>287</v>
      </c>
      <c r="C288" s="2">
        <v>5</v>
      </c>
      <c r="D288" s="2">
        <v>1</v>
      </c>
      <c r="E288" s="2">
        <v>0.76800000000000002</v>
      </c>
      <c r="F288" s="2">
        <v>1</v>
      </c>
    </row>
    <row r="289" spans="1:6" ht="14.25" customHeight="1">
      <c r="A289" s="2">
        <v>17</v>
      </c>
      <c r="B289" s="2">
        <v>288</v>
      </c>
      <c r="C289" s="2">
        <v>1</v>
      </c>
      <c r="D289" s="2">
        <v>1</v>
      </c>
      <c r="E289" s="2">
        <v>0.71699999999999997</v>
      </c>
      <c r="F289" s="2">
        <v>1</v>
      </c>
    </row>
    <row r="290" spans="1:6" ht="14.25" customHeight="1">
      <c r="A290" s="2">
        <v>17</v>
      </c>
      <c r="B290" s="2">
        <v>289</v>
      </c>
      <c r="C290" s="2">
        <v>3</v>
      </c>
      <c r="D290" s="2">
        <v>1</v>
      </c>
      <c r="E290" s="2">
        <v>1.1339999999999999</v>
      </c>
      <c r="F290" s="2">
        <v>2</v>
      </c>
    </row>
    <row r="291" spans="1:6" ht="14.25" customHeight="1">
      <c r="A291" s="2">
        <v>17</v>
      </c>
      <c r="B291" s="2">
        <v>290</v>
      </c>
      <c r="C291" s="2">
        <v>5</v>
      </c>
      <c r="D291" s="2">
        <v>0</v>
      </c>
      <c r="E291" s="2">
        <v>1.3169999999999999</v>
      </c>
      <c r="F291" s="2">
        <v>2</v>
      </c>
    </row>
    <row r="292" spans="1:6" ht="14.25" customHeight="1">
      <c r="A292" s="2">
        <v>17</v>
      </c>
      <c r="B292" s="2">
        <v>291</v>
      </c>
      <c r="C292" s="2">
        <v>2</v>
      </c>
      <c r="D292" s="2">
        <v>0</v>
      </c>
      <c r="E292" s="2">
        <v>1.117</v>
      </c>
      <c r="F292" s="2">
        <v>1</v>
      </c>
    </row>
    <row r="293" spans="1:6" ht="14.25" customHeight="1">
      <c r="A293" s="2">
        <v>17</v>
      </c>
      <c r="B293" s="2">
        <v>292</v>
      </c>
      <c r="C293" s="2">
        <v>1</v>
      </c>
      <c r="D293" s="2">
        <v>0</v>
      </c>
      <c r="E293" s="2">
        <v>1.173</v>
      </c>
      <c r="F293" s="2">
        <v>1</v>
      </c>
    </row>
    <row r="294" spans="1:6" ht="14.25" customHeight="1">
      <c r="A294" s="2">
        <v>17</v>
      </c>
      <c r="B294" s="2">
        <v>293</v>
      </c>
      <c r="C294" s="2">
        <v>5</v>
      </c>
      <c r="D294" s="2">
        <v>0</v>
      </c>
      <c r="E294" s="2">
        <v>0.93</v>
      </c>
      <c r="F294" s="2">
        <v>2</v>
      </c>
    </row>
    <row r="295" spans="1:6" ht="14.25" customHeight="1">
      <c r="A295" s="2">
        <v>17</v>
      </c>
      <c r="B295" s="2">
        <v>294</v>
      </c>
      <c r="C295" s="2">
        <v>3</v>
      </c>
      <c r="D295" s="2">
        <v>1</v>
      </c>
      <c r="E295" s="2">
        <v>0.84099999999999997</v>
      </c>
      <c r="F295" s="2">
        <v>1</v>
      </c>
    </row>
    <row r="296" spans="1:6" ht="14.25" customHeight="1">
      <c r="A296" s="2">
        <v>17</v>
      </c>
      <c r="B296" s="2">
        <v>295</v>
      </c>
      <c r="C296" s="2">
        <v>5</v>
      </c>
      <c r="D296" s="2">
        <v>1</v>
      </c>
      <c r="E296" s="2">
        <v>1.028</v>
      </c>
      <c r="F296" s="2">
        <v>1</v>
      </c>
    </row>
    <row r="297" spans="1:6" ht="14.25" customHeight="1">
      <c r="A297" s="2">
        <v>17</v>
      </c>
      <c r="B297" s="2">
        <v>296</v>
      </c>
      <c r="C297" s="2">
        <v>1</v>
      </c>
      <c r="D297" s="2">
        <v>0</v>
      </c>
      <c r="E297" s="2">
        <v>0.67100000000000004</v>
      </c>
      <c r="F297" s="2">
        <v>2</v>
      </c>
    </row>
    <row r="298" spans="1:6" ht="14.25" customHeight="1">
      <c r="A298" s="2">
        <v>17</v>
      </c>
      <c r="B298" s="2">
        <v>297</v>
      </c>
      <c r="C298" s="2">
        <v>7</v>
      </c>
      <c r="D298" s="2">
        <v>0</v>
      </c>
      <c r="E298" s="2">
        <v>1.4490000000000001</v>
      </c>
      <c r="F298" s="2">
        <v>1</v>
      </c>
    </row>
    <row r="299" spans="1:6" ht="14.25" customHeight="1">
      <c r="A299" s="2">
        <v>17</v>
      </c>
      <c r="B299" s="2">
        <v>298</v>
      </c>
      <c r="C299" s="2">
        <v>1</v>
      </c>
      <c r="D299" s="2">
        <v>1</v>
      </c>
      <c r="E299" s="2">
        <v>1.907</v>
      </c>
      <c r="F299" s="2">
        <v>2</v>
      </c>
    </row>
    <row r="300" spans="1:6" ht="14.25" customHeight="1">
      <c r="A300" s="2">
        <v>17</v>
      </c>
      <c r="B300" s="2">
        <v>299</v>
      </c>
      <c r="C300" s="2">
        <v>3</v>
      </c>
      <c r="D300" s="2">
        <v>1</v>
      </c>
      <c r="E300" s="2">
        <v>1.571</v>
      </c>
      <c r="F300" s="2">
        <v>2</v>
      </c>
    </row>
    <row r="301" spans="1:6" ht="14.25" customHeight="1">
      <c r="A301" s="2">
        <v>17</v>
      </c>
      <c r="B301" s="2">
        <v>300</v>
      </c>
      <c r="C301" s="2">
        <v>4</v>
      </c>
      <c r="D301" s="2">
        <v>1</v>
      </c>
      <c r="E301" s="2">
        <v>0.77700000000000002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18</v>
      </c>
      <c r="I1" s="2">
        <v>100</v>
      </c>
      <c r="J1" s="2">
        <v>5</v>
      </c>
      <c r="K1" s="2">
        <v>1</v>
      </c>
      <c r="L1" s="2">
        <v>0.95599999999999996</v>
      </c>
      <c r="M1" s="2">
        <v>1</v>
      </c>
    </row>
    <row r="2" spans="1:25" ht="14.25" customHeight="1">
      <c r="A2" s="2">
        <v>18</v>
      </c>
      <c r="B2" s="2">
        <v>1</v>
      </c>
      <c r="C2" s="2">
        <v>6</v>
      </c>
      <c r="D2" s="2">
        <v>0</v>
      </c>
      <c r="E2" s="2">
        <v>1.3879999999999999</v>
      </c>
      <c r="F2" s="2">
        <v>2</v>
      </c>
      <c r="H2" s="2">
        <v>18</v>
      </c>
      <c r="I2" s="2">
        <v>101</v>
      </c>
      <c r="J2" s="2">
        <v>8</v>
      </c>
      <c r="K2" s="2">
        <v>1</v>
      </c>
      <c r="L2" s="2">
        <v>0.99299999999999999</v>
      </c>
      <c r="M2" s="2">
        <v>1</v>
      </c>
    </row>
    <row r="3" spans="1:25" ht="14.25" customHeight="1">
      <c r="A3" s="2">
        <v>18</v>
      </c>
      <c r="B3" s="2">
        <v>2</v>
      </c>
      <c r="C3" s="2">
        <v>7</v>
      </c>
      <c r="D3" s="2">
        <v>0</v>
      </c>
      <c r="E3" s="2">
        <v>0.98299999999999998</v>
      </c>
      <c r="F3" s="2">
        <v>1</v>
      </c>
      <c r="H3" s="2">
        <v>18</v>
      </c>
      <c r="I3" s="2">
        <v>102</v>
      </c>
      <c r="J3" s="2">
        <v>4</v>
      </c>
      <c r="K3" s="2">
        <v>1</v>
      </c>
      <c r="L3" s="2">
        <v>0.75700000000000001</v>
      </c>
      <c r="M3" s="2">
        <v>2</v>
      </c>
    </row>
    <row r="4" spans="1:25" ht="14.25" customHeight="1">
      <c r="A4" s="2">
        <v>18</v>
      </c>
      <c r="B4" s="2">
        <v>3</v>
      </c>
      <c r="C4" s="2">
        <v>3</v>
      </c>
      <c r="D4" s="2">
        <v>1</v>
      </c>
      <c r="E4" s="2">
        <v>0.78100000000000003</v>
      </c>
      <c r="F4" s="2">
        <v>1</v>
      </c>
      <c r="H4" s="2">
        <v>18</v>
      </c>
      <c r="I4" s="2">
        <v>103</v>
      </c>
      <c r="J4" s="2">
        <v>3</v>
      </c>
      <c r="K4" s="2">
        <v>1</v>
      </c>
      <c r="L4" s="2">
        <v>1.452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18</v>
      </c>
      <c r="B5" s="2">
        <v>4</v>
      </c>
      <c r="C5" s="2">
        <v>2</v>
      </c>
      <c r="D5" s="2">
        <v>0</v>
      </c>
      <c r="E5" s="2">
        <v>0.99399999999999999</v>
      </c>
      <c r="F5" s="2">
        <v>1</v>
      </c>
      <c r="H5" s="2">
        <v>18</v>
      </c>
      <c r="I5" s="2">
        <v>104</v>
      </c>
      <c r="J5" s="2">
        <v>2</v>
      </c>
      <c r="K5" s="2">
        <v>1</v>
      </c>
      <c r="L5" s="2">
        <v>0.63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18</v>
      </c>
      <c r="B6" s="2">
        <v>5</v>
      </c>
      <c r="C6" s="2">
        <v>8</v>
      </c>
      <c r="D6" s="2">
        <v>1</v>
      </c>
      <c r="E6" s="2">
        <v>0.91100000000000003</v>
      </c>
      <c r="F6" s="2">
        <v>2</v>
      </c>
      <c r="H6" s="2">
        <v>18</v>
      </c>
      <c r="I6" s="2">
        <v>105</v>
      </c>
      <c r="J6" s="2">
        <v>8</v>
      </c>
      <c r="K6" s="2">
        <v>1</v>
      </c>
      <c r="L6" s="2">
        <v>1.6339999999999999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18</v>
      </c>
      <c r="B7" s="2">
        <v>6</v>
      </c>
      <c r="C7" s="2">
        <v>6</v>
      </c>
      <c r="D7" s="2">
        <v>1</v>
      </c>
      <c r="E7" s="2">
        <v>1.006</v>
      </c>
      <c r="F7" s="2">
        <v>1</v>
      </c>
      <c r="H7" s="2">
        <v>18</v>
      </c>
      <c r="I7" s="2">
        <v>106</v>
      </c>
      <c r="J7" s="2">
        <v>6</v>
      </c>
      <c r="L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18</v>
      </c>
      <c r="B8" s="2">
        <v>7</v>
      </c>
      <c r="C8" s="2">
        <v>7</v>
      </c>
      <c r="D8" s="2">
        <v>1</v>
      </c>
      <c r="E8" s="2">
        <v>0.94699999999999995</v>
      </c>
      <c r="F8" s="2">
        <v>2</v>
      </c>
      <c r="H8" s="2">
        <v>18</v>
      </c>
      <c r="I8" s="2">
        <v>107</v>
      </c>
      <c r="J8" s="2">
        <v>8</v>
      </c>
      <c r="K8" s="2">
        <v>1</v>
      </c>
      <c r="L8" s="2">
        <v>0.61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18</v>
      </c>
      <c r="B9" s="2">
        <v>8</v>
      </c>
      <c r="C9" s="2">
        <v>1</v>
      </c>
      <c r="D9" s="2">
        <v>1</v>
      </c>
      <c r="E9" s="2">
        <v>0.626</v>
      </c>
      <c r="F9" s="2">
        <v>1</v>
      </c>
      <c r="H9" s="2">
        <v>18</v>
      </c>
      <c r="I9" s="2">
        <v>108</v>
      </c>
      <c r="J9" s="2">
        <v>4</v>
      </c>
      <c r="K9" s="2">
        <v>0</v>
      </c>
      <c r="L9" s="2">
        <v>1.206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18</v>
      </c>
      <c r="B10" s="2">
        <v>9</v>
      </c>
      <c r="C10" s="2">
        <v>4</v>
      </c>
      <c r="D10" s="2">
        <v>0</v>
      </c>
      <c r="E10" s="2">
        <v>1.0760000000000001</v>
      </c>
      <c r="F10" s="2">
        <v>1</v>
      </c>
      <c r="H10" s="2">
        <v>18</v>
      </c>
      <c r="I10" s="2">
        <v>109</v>
      </c>
      <c r="J10" s="2">
        <v>6</v>
      </c>
      <c r="K10" s="2">
        <v>1</v>
      </c>
      <c r="L10" s="2">
        <v>1.3140000000000001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18</v>
      </c>
      <c r="B11" s="2">
        <v>10</v>
      </c>
      <c r="C11" s="2">
        <v>1</v>
      </c>
      <c r="D11" s="2">
        <v>1</v>
      </c>
      <c r="E11" s="2">
        <v>0.65400000000000003</v>
      </c>
      <c r="F11" s="2">
        <v>1</v>
      </c>
      <c r="H11" s="2">
        <v>18</v>
      </c>
      <c r="I11" s="2">
        <v>110</v>
      </c>
      <c r="J11" s="2">
        <v>7</v>
      </c>
      <c r="K11" s="2">
        <v>1</v>
      </c>
      <c r="L11" s="2">
        <v>1.4179999999999999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18</v>
      </c>
      <c r="B12" s="2">
        <v>11</v>
      </c>
      <c r="C12" s="2">
        <v>3</v>
      </c>
      <c r="D12" s="2">
        <v>0</v>
      </c>
      <c r="E12" s="2">
        <v>1.008</v>
      </c>
      <c r="F12" s="2">
        <v>2</v>
      </c>
      <c r="H12" s="2">
        <v>18</v>
      </c>
      <c r="I12" s="2">
        <v>111</v>
      </c>
      <c r="J12" s="2">
        <v>1</v>
      </c>
      <c r="K12" s="2">
        <v>0</v>
      </c>
      <c r="L12" s="2">
        <v>1.661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18</v>
      </c>
      <c r="B13" s="2">
        <v>12</v>
      </c>
      <c r="C13" s="2">
        <v>5</v>
      </c>
      <c r="D13" s="2">
        <v>1</v>
      </c>
      <c r="E13" s="2">
        <v>0.95499999999999996</v>
      </c>
      <c r="F13" s="2">
        <v>1</v>
      </c>
      <c r="H13" s="2">
        <v>18</v>
      </c>
      <c r="I13" s="2">
        <v>112</v>
      </c>
      <c r="J13" s="2">
        <v>3</v>
      </c>
      <c r="K13" s="2">
        <v>1</v>
      </c>
      <c r="L13" s="2">
        <v>1.903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18</v>
      </c>
      <c r="B14" s="2">
        <v>13</v>
      </c>
      <c r="C14" s="2">
        <v>7</v>
      </c>
      <c r="D14" s="2">
        <v>1</v>
      </c>
      <c r="E14" s="2">
        <v>1.0089999999999999</v>
      </c>
      <c r="F14" s="2">
        <v>2</v>
      </c>
      <c r="H14" s="2">
        <v>18</v>
      </c>
      <c r="I14" s="2">
        <v>113</v>
      </c>
      <c r="J14" s="2">
        <v>1</v>
      </c>
      <c r="K14" s="2">
        <v>1</v>
      </c>
      <c r="L14" s="2">
        <v>1.0469999999999999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18</v>
      </c>
      <c r="B15" s="2">
        <v>14</v>
      </c>
      <c r="C15" s="2">
        <v>8</v>
      </c>
      <c r="D15" s="2">
        <v>0</v>
      </c>
      <c r="E15" s="2">
        <v>1.5089999999999999</v>
      </c>
      <c r="F15" s="2">
        <v>1</v>
      </c>
      <c r="H15" s="2">
        <v>18</v>
      </c>
      <c r="I15" s="2">
        <v>114</v>
      </c>
      <c r="J15" s="2">
        <v>2</v>
      </c>
      <c r="K15" s="2">
        <v>1</v>
      </c>
      <c r="L15" s="2">
        <v>0.80200000000000005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18</v>
      </c>
      <c r="B16" s="2">
        <v>15</v>
      </c>
      <c r="C16" s="2">
        <v>3</v>
      </c>
      <c r="D16" s="2">
        <v>1</v>
      </c>
      <c r="E16" s="2">
        <v>1.8140000000000001</v>
      </c>
      <c r="F16" s="2">
        <v>1</v>
      </c>
      <c r="H16" s="2">
        <v>18</v>
      </c>
      <c r="I16" s="2">
        <v>115</v>
      </c>
      <c r="J16" s="2">
        <v>8</v>
      </c>
      <c r="K16" s="2">
        <v>0</v>
      </c>
      <c r="L16" s="2">
        <v>1.095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18</v>
      </c>
      <c r="B17" s="2">
        <v>16</v>
      </c>
      <c r="C17" s="2">
        <v>8</v>
      </c>
      <c r="D17" s="2">
        <v>0</v>
      </c>
      <c r="E17" s="2">
        <v>1.585</v>
      </c>
      <c r="F17" s="2">
        <v>1</v>
      </c>
      <c r="H17" s="2">
        <v>18</v>
      </c>
      <c r="I17" s="2">
        <v>116</v>
      </c>
      <c r="J17" s="2">
        <v>5</v>
      </c>
      <c r="K17" s="2">
        <v>1</v>
      </c>
      <c r="L17" s="2">
        <v>0.53500000000000003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13.3225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0.3600000000000001</v>
      </c>
      <c r="R17" s="3">
        <f t="shared" ref="R17:R22" si="3">(R6*COUNTIF($J$1:$J$101,R$16) - COUNTIFS($J$1:$J$101,R$16,$K$1:$K$101,"=1"))^2</f>
        <v>13.689999999999994</v>
      </c>
      <c r="S17" s="3">
        <f t="shared" ref="S17:T17" si="4">(S6*COUNTIF($J$1:$J$101,S$16) - COUNTIFS($J$1:$J$101,S$16,$K$1:$K$101,"=0"))^2</f>
        <v>0.12250000000000003</v>
      </c>
      <c r="T17" s="3">
        <f t="shared" si="4"/>
        <v>7.2900000000000009</v>
      </c>
      <c r="U17" s="3">
        <f t="shared" ref="U17:V17" si="5">(U6*COUNTIF($J$1:$J$101,U$16) - COUNTIFS($J$1:$J$101,U$16,$K$1:$K$101,"=1"))^2</f>
        <v>7.0224999999999973</v>
      </c>
      <c r="V17" s="3">
        <f t="shared" si="5"/>
        <v>2.8899999999999975</v>
      </c>
      <c r="W17" s="4"/>
      <c r="X17" s="4"/>
      <c r="Y17" s="4"/>
    </row>
    <row r="18" spans="1:25" ht="14.25" customHeight="1">
      <c r="A18" s="2">
        <v>18</v>
      </c>
      <c r="B18" s="2">
        <v>17</v>
      </c>
      <c r="C18" s="2">
        <v>4</v>
      </c>
      <c r="D18" s="2">
        <v>1</v>
      </c>
      <c r="E18" s="2">
        <v>1.7430000000000001</v>
      </c>
      <c r="F18" s="2">
        <v>2</v>
      </c>
      <c r="H18" s="2">
        <v>18</v>
      </c>
      <c r="I18" s="2">
        <v>117</v>
      </c>
      <c r="J18" s="2">
        <v>6</v>
      </c>
      <c r="K18" s="2">
        <v>0</v>
      </c>
      <c r="L18" s="2">
        <v>1.111</v>
      </c>
      <c r="M18" s="2">
        <v>1</v>
      </c>
      <c r="N18" s="3">
        <v>2</v>
      </c>
      <c r="O18" s="3">
        <f t="shared" si="0"/>
        <v>13.3225</v>
      </c>
      <c r="P18" s="3">
        <f t="shared" si="1"/>
        <v>7.2900000000000009</v>
      </c>
      <c r="Q18" s="6">
        <f t="shared" si="2"/>
        <v>36</v>
      </c>
      <c r="R18" s="3">
        <f t="shared" si="3"/>
        <v>13.689999999999994</v>
      </c>
      <c r="S18" s="6">
        <f t="shared" ref="S18:T18" si="6">(S7*COUNTIF($J$1:$J$101,S$16) - COUNTIFS($J$1:$J$101,S$16,$K$1:$K$101,"=0"))^2</f>
        <v>0.12250000000000003</v>
      </c>
      <c r="T18" s="6">
        <f t="shared" si="6"/>
        <v>7.2900000000000009</v>
      </c>
      <c r="U18" s="6">
        <f t="shared" ref="U18:V18" si="7">(U7*COUNTIF($J$1:$J$101,U$16) - COUNTIFS($J$1:$J$101,U$16,$K$1:$K$101,"=1"))^2</f>
        <v>7.0224999999999973</v>
      </c>
      <c r="V18" s="6">
        <f t="shared" si="7"/>
        <v>2.8899999999999975</v>
      </c>
      <c r="W18" s="4"/>
      <c r="X18" s="4"/>
      <c r="Y18" s="4"/>
    </row>
    <row r="19" spans="1:25" ht="14.25" customHeight="1">
      <c r="A19" s="2">
        <v>18</v>
      </c>
      <c r="B19" s="2">
        <v>18</v>
      </c>
      <c r="C19" s="2">
        <v>5</v>
      </c>
      <c r="D19" s="2">
        <v>1</v>
      </c>
      <c r="E19" s="2">
        <v>0.91800000000000004</v>
      </c>
      <c r="F19" s="2">
        <v>1</v>
      </c>
      <c r="H19" s="2">
        <v>18</v>
      </c>
      <c r="I19" s="2">
        <v>118</v>
      </c>
      <c r="J19" s="2">
        <v>2</v>
      </c>
      <c r="K19" s="2">
        <v>0</v>
      </c>
      <c r="L19" s="2">
        <v>1.5429999999999999</v>
      </c>
      <c r="M19" s="2">
        <v>2</v>
      </c>
      <c r="N19" s="3">
        <v>3</v>
      </c>
      <c r="O19" s="3">
        <f t="shared" si="0"/>
        <v>13.3225</v>
      </c>
      <c r="P19" s="3">
        <f t="shared" si="1"/>
        <v>7.2899999999999965</v>
      </c>
      <c r="Q19" s="3">
        <f t="shared" si="2"/>
        <v>0.3600000000000001</v>
      </c>
      <c r="R19" s="3">
        <f t="shared" si="3"/>
        <v>13.689999999999994</v>
      </c>
      <c r="S19" s="6">
        <f t="shared" ref="S19:T19" si="8">(S8*COUNTIF($J$1:$J$101,S$16) - COUNTIFS($J$1:$J$101,S$16,$K$1:$K$101,"=0"))^2</f>
        <v>0.12250000000000003</v>
      </c>
      <c r="T19" s="6">
        <f t="shared" si="8"/>
        <v>7.2899999999999965</v>
      </c>
      <c r="U19" s="3">
        <f t="shared" ref="U19:V19" si="9">(U8*COUNTIF($J$1:$J$101,U$16) - COUNTIFS($J$1:$J$101,U$16,$K$1:$K$101,"=1"))^2</f>
        <v>13.3225</v>
      </c>
      <c r="V19" s="6">
        <f t="shared" si="9"/>
        <v>2.8899999999999975</v>
      </c>
      <c r="W19" s="4"/>
      <c r="X19" s="4"/>
      <c r="Y19" s="4"/>
    </row>
    <row r="20" spans="1:25" ht="14.25" customHeight="1">
      <c r="A20" s="2">
        <v>18</v>
      </c>
      <c r="B20" s="2">
        <v>19</v>
      </c>
      <c r="C20" s="2">
        <v>1</v>
      </c>
      <c r="D20" s="2">
        <v>1</v>
      </c>
      <c r="E20" s="2">
        <v>0.68500000000000005</v>
      </c>
      <c r="F20" s="2">
        <v>1</v>
      </c>
      <c r="H20" s="2">
        <v>18</v>
      </c>
      <c r="I20" s="2">
        <v>119</v>
      </c>
      <c r="J20" s="2">
        <v>4</v>
      </c>
      <c r="K20" s="2">
        <v>0</v>
      </c>
      <c r="L20" s="2">
        <v>1.4770000000000001</v>
      </c>
      <c r="M20" s="2">
        <v>2</v>
      </c>
      <c r="N20" s="3">
        <v>4</v>
      </c>
      <c r="O20" s="3">
        <f t="shared" si="0"/>
        <v>0.25</v>
      </c>
      <c r="P20" s="3">
        <f t="shared" si="1"/>
        <v>0</v>
      </c>
      <c r="Q20" s="3">
        <f t="shared" si="2"/>
        <v>9</v>
      </c>
      <c r="R20" s="3">
        <f t="shared" si="3"/>
        <v>1</v>
      </c>
      <c r="S20" s="6">
        <f t="shared" ref="S20:T20" si="10">(S9*COUNTIF($J$1:$J$101,S$16) - COUNTIFS($J$1:$J$101,S$16,$K$1:$K$101,"=0"))^2</f>
        <v>0.12250000000000003</v>
      </c>
      <c r="T20" s="6">
        <f t="shared" si="10"/>
        <v>7.2900000000000009</v>
      </c>
      <c r="U20" s="6">
        <f t="shared" ref="U20:V20" si="11">(U9*COUNTIF($J$1:$J$101,U$16) - COUNTIFS($J$1:$J$101,U$16,$K$1:$K$101,"=1"))^2</f>
        <v>7.0224999999999973</v>
      </c>
      <c r="V20" s="6">
        <f t="shared" si="11"/>
        <v>2.8899999999999975</v>
      </c>
      <c r="W20" s="4"/>
      <c r="X20" s="4"/>
      <c r="Y20" s="4"/>
    </row>
    <row r="21" spans="1:25" ht="14.25" customHeight="1">
      <c r="A21" s="2">
        <v>18</v>
      </c>
      <c r="B21" s="2">
        <v>20</v>
      </c>
      <c r="C21" s="2">
        <v>6</v>
      </c>
      <c r="D21" s="2">
        <v>1</v>
      </c>
      <c r="E21" s="2">
        <v>0.64700000000000002</v>
      </c>
      <c r="F21" s="2">
        <v>1</v>
      </c>
      <c r="H21" s="2">
        <v>18</v>
      </c>
      <c r="I21" s="2">
        <v>120</v>
      </c>
      <c r="J21" s="2">
        <v>3</v>
      </c>
      <c r="K21" s="2">
        <v>1</v>
      </c>
      <c r="L21" s="2">
        <v>1.4379999999999999</v>
      </c>
      <c r="M21" s="2">
        <v>1</v>
      </c>
      <c r="N21" s="3">
        <v>5</v>
      </c>
      <c r="O21" s="3">
        <f t="shared" si="0"/>
        <v>13.3225</v>
      </c>
      <c r="P21" s="3">
        <f t="shared" si="1"/>
        <v>7.2899999999999965</v>
      </c>
      <c r="Q21" s="3">
        <f t="shared" si="2"/>
        <v>0.3600000000000001</v>
      </c>
      <c r="R21" s="3">
        <f t="shared" si="3"/>
        <v>13.689999999999994</v>
      </c>
      <c r="S21" s="6">
        <f t="shared" ref="S21:T21" si="12">(S10*COUNTIF($J$1:$J$101,S$16) - COUNTIFS($J$1:$J$101,S$16,$K$1:$K$101,"=0"))^2</f>
        <v>12.25</v>
      </c>
      <c r="T21" s="6">
        <f t="shared" si="12"/>
        <v>0</v>
      </c>
      <c r="U21" s="6">
        <f t="shared" ref="U21:V21" si="13">(U10*COUNTIF($J$1:$J$101,U$16) - COUNTIFS($J$1:$J$101,U$16,$K$1:$K$101,"=1"))^2</f>
        <v>0.25</v>
      </c>
      <c r="V21" s="6">
        <f t="shared" si="13"/>
        <v>1</v>
      </c>
      <c r="W21" s="4"/>
      <c r="X21" s="4"/>
      <c r="Y21" s="4"/>
    </row>
    <row r="22" spans="1:25" ht="14.25" customHeight="1">
      <c r="A22" s="2">
        <v>18</v>
      </c>
      <c r="B22" s="2">
        <v>21</v>
      </c>
      <c r="C22" s="2">
        <v>2</v>
      </c>
      <c r="D22" s="2">
        <v>0</v>
      </c>
      <c r="E22" s="2">
        <v>0.65800000000000003</v>
      </c>
      <c r="F22" s="2">
        <v>1</v>
      </c>
      <c r="H22" s="2">
        <v>18</v>
      </c>
      <c r="I22" s="2">
        <v>121</v>
      </c>
      <c r="J22" s="2">
        <v>7</v>
      </c>
      <c r="K22" s="2">
        <v>0</v>
      </c>
      <c r="L22" s="2">
        <v>1.2649999999999999</v>
      </c>
      <c r="M22" s="2">
        <v>1</v>
      </c>
      <c r="N22" s="3">
        <v>6</v>
      </c>
      <c r="O22" s="3">
        <f t="shared" si="0"/>
        <v>0.25</v>
      </c>
      <c r="P22" s="3">
        <f t="shared" si="1"/>
        <v>0</v>
      </c>
      <c r="Q22" s="3">
        <f t="shared" si="2"/>
        <v>9</v>
      </c>
      <c r="R22" s="3">
        <f t="shared" si="3"/>
        <v>1</v>
      </c>
      <c r="S22" s="6">
        <f t="shared" ref="S22:T22" si="14">(S11*COUNTIF($J$1:$J$101,S$16) - COUNTIFS($J$1:$J$101,S$16,$K$1:$K$101,"=0"))^2</f>
        <v>12.25</v>
      </c>
      <c r="T22" s="6">
        <f t="shared" si="14"/>
        <v>0</v>
      </c>
      <c r="U22" s="6">
        <f t="shared" ref="U22:V22" si="15">(U11*COUNTIF($J$1:$J$101,U$16) - COUNTIFS($J$1:$J$101,U$16,$K$1:$K$101,"=1"))^2</f>
        <v>0.25</v>
      </c>
      <c r="V22" s="6">
        <f t="shared" si="15"/>
        <v>1</v>
      </c>
      <c r="W22" s="4"/>
      <c r="X22" s="4"/>
      <c r="Y22" s="4"/>
    </row>
    <row r="23" spans="1:25" ht="14.25" customHeight="1">
      <c r="A23" s="2">
        <v>18</v>
      </c>
      <c r="B23" s="2">
        <v>22</v>
      </c>
      <c r="C23" s="2">
        <v>4</v>
      </c>
      <c r="D23" s="2">
        <v>1</v>
      </c>
      <c r="E23" s="2">
        <v>1.532</v>
      </c>
      <c r="F23" s="2">
        <v>2</v>
      </c>
      <c r="H23" s="2">
        <v>18</v>
      </c>
      <c r="I23" s="2">
        <v>122</v>
      </c>
      <c r="J23" s="2">
        <v>1</v>
      </c>
      <c r="K23" s="2">
        <v>1</v>
      </c>
      <c r="L23" s="2">
        <v>0.93200000000000005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18</v>
      </c>
      <c r="B24" s="2">
        <v>23</v>
      </c>
      <c r="C24" s="2">
        <v>2</v>
      </c>
      <c r="D24" s="2">
        <v>0</v>
      </c>
      <c r="E24" s="2">
        <v>1.7070000000000001</v>
      </c>
      <c r="F24" s="2">
        <v>1</v>
      </c>
      <c r="H24" s="2">
        <v>18</v>
      </c>
      <c r="I24" s="2">
        <v>123</v>
      </c>
      <c r="J24" s="2">
        <v>6</v>
      </c>
      <c r="K24" s="2">
        <v>0</v>
      </c>
      <c r="L24" s="2">
        <v>1.218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18</v>
      </c>
      <c r="B25" s="2">
        <v>24</v>
      </c>
      <c r="C25" s="2">
        <v>1</v>
      </c>
      <c r="E25" s="2">
        <v>2</v>
      </c>
      <c r="H25" s="2">
        <v>18</v>
      </c>
      <c r="I25" s="2">
        <v>124</v>
      </c>
      <c r="J25" s="2">
        <v>1</v>
      </c>
      <c r="K25" s="2">
        <v>0</v>
      </c>
      <c r="L25" s="2">
        <v>1.383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18</v>
      </c>
      <c r="B26" s="2">
        <v>25</v>
      </c>
      <c r="C26" s="2">
        <v>4</v>
      </c>
      <c r="D26" s="2">
        <v>0</v>
      </c>
      <c r="E26" s="2">
        <v>1.359</v>
      </c>
      <c r="F26" s="2">
        <v>1</v>
      </c>
      <c r="H26" s="2">
        <v>18</v>
      </c>
      <c r="I26" s="2">
        <v>125</v>
      </c>
      <c r="J26" s="2">
        <v>5</v>
      </c>
      <c r="K26" s="2">
        <v>1</v>
      </c>
      <c r="L26" s="2">
        <v>1.5</v>
      </c>
      <c r="M26" s="2">
        <v>2</v>
      </c>
      <c r="N26" s="4"/>
      <c r="O26" s="3">
        <f t="shared" ref="O26:V26" si="16">COUNTIF($J$1:$J$102,O16)*COUNTIF($J$1:$J$102,O16)</f>
        <v>49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49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18</v>
      </c>
      <c r="B27" s="2">
        <v>26</v>
      </c>
      <c r="C27" s="2">
        <v>3</v>
      </c>
      <c r="D27" s="2">
        <v>0</v>
      </c>
      <c r="E27" s="2">
        <v>0.91</v>
      </c>
      <c r="F27" s="2">
        <v>2</v>
      </c>
      <c r="H27" s="2">
        <v>18</v>
      </c>
      <c r="I27" s="2">
        <v>126</v>
      </c>
      <c r="J27" s="2">
        <v>6</v>
      </c>
      <c r="K27" s="2">
        <v>1</v>
      </c>
      <c r="L27" s="2">
        <v>1.405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18</v>
      </c>
      <c r="B28" s="2">
        <v>27</v>
      </c>
      <c r="C28" s="2">
        <v>8</v>
      </c>
      <c r="D28" s="2">
        <v>1</v>
      </c>
      <c r="E28" s="2">
        <v>1.3180000000000001</v>
      </c>
      <c r="F28" s="2">
        <v>2</v>
      </c>
      <c r="H28" s="2">
        <v>18</v>
      </c>
      <c r="I28" s="2">
        <v>127</v>
      </c>
      <c r="J28" s="2">
        <v>5</v>
      </c>
      <c r="K28" s="2">
        <v>1</v>
      </c>
      <c r="L28" s="2">
        <v>1.177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18</v>
      </c>
      <c r="B29" s="2">
        <v>28</v>
      </c>
      <c r="C29" s="2">
        <v>5</v>
      </c>
      <c r="D29" s="2">
        <v>0</v>
      </c>
      <c r="E29" s="2">
        <v>1.333</v>
      </c>
      <c r="F29" s="2">
        <v>2</v>
      </c>
      <c r="H29" s="2">
        <v>18</v>
      </c>
      <c r="I29" s="2">
        <v>128</v>
      </c>
      <c r="J29" s="2">
        <v>7</v>
      </c>
      <c r="K29" s="2">
        <v>1</v>
      </c>
      <c r="L29" s="2">
        <v>1.254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18</v>
      </c>
      <c r="B30" s="2">
        <v>29</v>
      </c>
      <c r="C30" s="2">
        <v>1</v>
      </c>
      <c r="D30" s="2">
        <v>1</v>
      </c>
      <c r="E30" s="2">
        <v>1.4850000000000001</v>
      </c>
      <c r="F30" s="2">
        <v>1</v>
      </c>
      <c r="H30" s="2">
        <v>18</v>
      </c>
      <c r="I30" s="2">
        <v>129</v>
      </c>
      <c r="J30" s="2">
        <v>4</v>
      </c>
      <c r="K30" s="2">
        <v>0</v>
      </c>
      <c r="L30" s="2">
        <v>1.88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18</v>
      </c>
      <c r="B31" s="2">
        <v>30</v>
      </c>
      <c r="C31" s="2">
        <v>4</v>
      </c>
      <c r="D31" s="2">
        <v>0</v>
      </c>
      <c r="E31" s="2">
        <v>1.0860000000000001</v>
      </c>
      <c r="F31" s="2">
        <v>1</v>
      </c>
      <c r="H31" s="2">
        <v>18</v>
      </c>
      <c r="I31" s="2">
        <v>130</v>
      </c>
      <c r="J31" s="2">
        <v>1</v>
      </c>
      <c r="K31" s="2">
        <v>1</v>
      </c>
      <c r="L31" s="2">
        <v>1.0649999999999999</v>
      </c>
      <c r="M31" s="2">
        <v>2</v>
      </c>
      <c r="N31" s="3">
        <v>1</v>
      </c>
      <c r="O31" s="3">
        <f t="shared" ref="O31:O36" si="17">SUM(O17:V17)/SUM(O$26:V$26)</f>
        <v>0.15898318042813456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18</v>
      </c>
      <c r="B32" s="2">
        <v>31</v>
      </c>
      <c r="C32" s="2">
        <v>1</v>
      </c>
      <c r="D32" s="2">
        <v>0</v>
      </c>
      <c r="E32" s="2">
        <v>1.4239999999999999</v>
      </c>
      <c r="F32" s="2">
        <v>2</v>
      </c>
      <c r="H32" s="2">
        <v>18</v>
      </c>
      <c r="I32" s="2">
        <v>131</v>
      </c>
      <c r="J32" s="2">
        <v>7</v>
      </c>
      <c r="K32" s="2">
        <v>1</v>
      </c>
      <c r="L32" s="2">
        <v>1.2829999999999999</v>
      </c>
      <c r="M32" s="2">
        <v>1</v>
      </c>
      <c r="N32" s="3">
        <v>2</v>
      </c>
      <c r="O32" s="3">
        <f t="shared" si="17"/>
        <v>0.26797400611620792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18</v>
      </c>
      <c r="B33" s="2">
        <v>32</v>
      </c>
      <c r="C33" s="2">
        <v>6</v>
      </c>
      <c r="D33" s="2">
        <v>1</v>
      </c>
      <c r="E33" s="2">
        <v>1.482</v>
      </c>
      <c r="F33" s="2">
        <v>1</v>
      </c>
      <c r="H33" s="2">
        <v>18</v>
      </c>
      <c r="I33" s="2">
        <v>132</v>
      </c>
      <c r="J33" s="2">
        <v>6</v>
      </c>
      <c r="K33" s="2">
        <v>0</v>
      </c>
      <c r="L33" s="2">
        <v>1.5640000000000001</v>
      </c>
      <c r="M33" s="2">
        <v>2</v>
      </c>
      <c r="N33" s="3">
        <v>3</v>
      </c>
      <c r="O33" s="3">
        <f t="shared" si="17"/>
        <v>0.17824923547400609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18</v>
      </c>
      <c r="B34" s="2">
        <v>33</v>
      </c>
      <c r="C34" s="2">
        <v>2</v>
      </c>
      <c r="D34" s="2">
        <v>0</v>
      </c>
      <c r="E34" s="2">
        <v>1.1639999999999999</v>
      </c>
      <c r="F34" s="2">
        <v>1</v>
      </c>
      <c r="H34" s="2">
        <v>18</v>
      </c>
      <c r="I34" s="2">
        <v>133</v>
      </c>
      <c r="J34" s="2">
        <v>1</v>
      </c>
      <c r="K34" s="2">
        <v>0</v>
      </c>
      <c r="L34" s="2">
        <v>1.835</v>
      </c>
      <c r="M34" s="2">
        <v>1</v>
      </c>
      <c r="N34" s="3">
        <v>4</v>
      </c>
      <c r="O34" s="3">
        <f t="shared" si="17"/>
        <v>8.4327217125382256E-2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18</v>
      </c>
      <c r="B35" s="2">
        <v>34</v>
      </c>
      <c r="C35" s="2">
        <v>7</v>
      </c>
      <c r="D35" s="2">
        <v>1</v>
      </c>
      <c r="E35" s="2">
        <v>0.99399999999999999</v>
      </c>
      <c r="F35" s="2">
        <v>2</v>
      </c>
      <c r="H35" s="2">
        <v>18</v>
      </c>
      <c r="I35" s="2">
        <v>134</v>
      </c>
      <c r="J35" s="2">
        <v>5</v>
      </c>
      <c r="K35" s="2">
        <v>1</v>
      </c>
      <c r="L35" s="2">
        <v>0.96599999999999997</v>
      </c>
      <c r="M35" s="2">
        <v>2</v>
      </c>
      <c r="N35" s="3">
        <v>5</v>
      </c>
      <c r="O35" s="3">
        <f t="shared" si="17"/>
        <v>0.14728593272171253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18</v>
      </c>
      <c r="B36" s="2">
        <v>35</v>
      </c>
      <c r="C36" s="2">
        <v>5</v>
      </c>
      <c r="E36" s="2">
        <v>2.0009999999999999</v>
      </c>
      <c r="H36" s="2">
        <v>18</v>
      </c>
      <c r="I36" s="2">
        <v>135</v>
      </c>
      <c r="J36" s="2">
        <v>7</v>
      </c>
      <c r="K36" s="2">
        <v>0</v>
      </c>
      <c r="L36" s="2">
        <v>1.62</v>
      </c>
      <c r="M36" s="2">
        <v>2</v>
      </c>
      <c r="N36" s="3">
        <v>6</v>
      </c>
      <c r="O36" s="3">
        <f t="shared" si="17"/>
        <v>7.2629969418960244E-2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18</v>
      </c>
      <c r="B37" s="2">
        <v>36</v>
      </c>
      <c r="C37" s="2">
        <v>3</v>
      </c>
      <c r="D37" s="2">
        <v>0</v>
      </c>
      <c r="E37" s="2">
        <v>0.876</v>
      </c>
      <c r="F37" s="2">
        <v>2</v>
      </c>
      <c r="H37" s="2">
        <v>18</v>
      </c>
      <c r="I37" s="2">
        <v>136</v>
      </c>
      <c r="J37" s="2">
        <v>2</v>
      </c>
      <c r="K37" s="2">
        <v>0</v>
      </c>
      <c r="L37" s="2">
        <v>1.1990000000000001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18</v>
      </c>
      <c r="B38" s="2">
        <v>37</v>
      </c>
      <c r="C38" s="2">
        <v>2</v>
      </c>
      <c r="D38" s="2">
        <v>0</v>
      </c>
      <c r="E38" s="2">
        <v>1.405</v>
      </c>
      <c r="F38" s="2">
        <v>1</v>
      </c>
      <c r="H38" s="2">
        <v>18</v>
      </c>
      <c r="I38" s="2">
        <v>137</v>
      </c>
      <c r="J38" s="2">
        <v>7</v>
      </c>
      <c r="K38" s="2">
        <v>0</v>
      </c>
      <c r="L38" s="2">
        <v>1.66</v>
      </c>
      <c r="M38" s="2">
        <v>1</v>
      </c>
    </row>
    <row r="39" spans="1:25" ht="14.25" customHeight="1">
      <c r="A39" s="2">
        <v>18</v>
      </c>
      <c r="B39" s="2">
        <v>38</v>
      </c>
      <c r="C39" s="2">
        <v>4</v>
      </c>
      <c r="D39" s="2">
        <v>1</v>
      </c>
      <c r="E39" s="2">
        <v>0.874</v>
      </c>
      <c r="F39" s="2">
        <v>2</v>
      </c>
      <c r="H39" s="2">
        <v>18</v>
      </c>
      <c r="I39" s="2">
        <v>138</v>
      </c>
      <c r="J39" s="2">
        <v>3</v>
      </c>
      <c r="K39" s="2">
        <v>1</v>
      </c>
      <c r="L39" s="2">
        <v>1.3260000000000001</v>
      </c>
      <c r="M39" s="2">
        <v>2</v>
      </c>
    </row>
    <row r="40" spans="1:25" ht="14.25" customHeight="1">
      <c r="A40" s="2">
        <v>18</v>
      </c>
      <c r="B40" s="2">
        <v>39</v>
      </c>
      <c r="C40" s="2">
        <v>8</v>
      </c>
      <c r="D40" s="2">
        <v>0</v>
      </c>
      <c r="E40" s="2">
        <v>1.194</v>
      </c>
      <c r="F40" s="2">
        <v>1</v>
      </c>
      <c r="H40" s="2">
        <v>18</v>
      </c>
      <c r="I40" s="2">
        <v>139</v>
      </c>
      <c r="J40" s="2">
        <v>4</v>
      </c>
      <c r="K40" s="2">
        <v>1</v>
      </c>
      <c r="L40" s="2">
        <v>0.77300000000000002</v>
      </c>
      <c r="M40" s="2">
        <v>2</v>
      </c>
    </row>
    <row r="41" spans="1:25" ht="14.25" customHeight="1">
      <c r="A41" s="2">
        <v>18</v>
      </c>
      <c r="B41" s="2">
        <v>40</v>
      </c>
      <c r="C41" s="2">
        <v>2</v>
      </c>
      <c r="D41" s="2">
        <v>0</v>
      </c>
      <c r="E41" s="2">
        <v>0.95199999999999996</v>
      </c>
      <c r="F41" s="2">
        <v>1</v>
      </c>
      <c r="H41" s="2">
        <v>18</v>
      </c>
      <c r="I41" s="2">
        <v>140</v>
      </c>
      <c r="J41" s="2">
        <v>2</v>
      </c>
      <c r="K41" s="2">
        <v>0</v>
      </c>
      <c r="L41" s="2">
        <v>1.8109999999999999</v>
      </c>
      <c r="M41" s="2">
        <v>1</v>
      </c>
    </row>
    <row r="42" spans="1:25" ht="14.25" customHeight="1">
      <c r="A42" s="2">
        <v>18</v>
      </c>
      <c r="B42" s="2">
        <v>41</v>
      </c>
      <c r="C42" s="2">
        <v>5</v>
      </c>
      <c r="D42" s="2">
        <v>1</v>
      </c>
      <c r="E42" s="2">
        <v>1.222</v>
      </c>
      <c r="F42" s="2">
        <v>1</v>
      </c>
      <c r="H42" s="2">
        <v>18</v>
      </c>
      <c r="I42" s="2">
        <v>141</v>
      </c>
      <c r="J42" s="2">
        <v>4</v>
      </c>
      <c r="K42" s="2">
        <v>0</v>
      </c>
      <c r="L42" s="2">
        <v>0.96699999999999997</v>
      </c>
      <c r="M42" s="2">
        <v>2</v>
      </c>
    </row>
    <row r="43" spans="1:25" ht="14.25" customHeight="1">
      <c r="A43" s="2">
        <v>18</v>
      </c>
      <c r="B43" s="2">
        <v>42</v>
      </c>
      <c r="C43" s="2">
        <v>6</v>
      </c>
      <c r="D43" s="2">
        <v>1</v>
      </c>
      <c r="E43" s="2">
        <v>1.329</v>
      </c>
      <c r="F43" s="2">
        <v>1</v>
      </c>
      <c r="H43" s="2">
        <v>18</v>
      </c>
      <c r="I43" s="2">
        <v>142</v>
      </c>
      <c r="J43" s="2">
        <v>7</v>
      </c>
      <c r="K43" s="2">
        <v>1</v>
      </c>
      <c r="L43" s="2">
        <v>1.2290000000000001</v>
      </c>
      <c r="M43" s="2">
        <v>1</v>
      </c>
    </row>
    <row r="44" spans="1:25" ht="14.25" customHeight="1">
      <c r="A44" s="2">
        <v>18</v>
      </c>
      <c r="B44" s="2">
        <v>43</v>
      </c>
      <c r="C44" s="2">
        <v>7</v>
      </c>
      <c r="D44" s="2">
        <v>1</v>
      </c>
      <c r="E44" s="2">
        <v>0.80900000000000005</v>
      </c>
      <c r="F44" s="2">
        <v>2</v>
      </c>
      <c r="H44" s="2">
        <v>18</v>
      </c>
      <c r="I44" s="2">
        <v>143</v>
      </c>
      <c r="J44" s="2">
        <v>5</v>
      </c>
      <c r="K44" s="2">
        <v>1</v>
      </c>
      <c r="L44" s="2">
        <v>0.96</v>
      </c>
      <c r="M44" s="2">
        <v>2</v>
      </c>
    </row>
    <row r="45" spans="1:25" ht="14.25" customHeight="1">
      <c r="A45" s="2">
        <v>18</v>
      </c>
      <c r="B45" s="2">
        <v>44</v>
      </c>
      <c r="C45" s="2">
        <v>8</v>
      </c>
      <c r="D45" s="2">
        <v>1</v>
      </c>
      <c r="E45" s="2">
        <v>1.173</v>
      </c>
      <c r="F45" s="2">
        <v>2</v>
      </c>
      <c r="H45" s="2">
        <v>18</v>
      </c>
      <c r="I45" s="2">
        <v>144</v>
      </c>
      <c r="J45" s="2">
        <v>3</v>
      </c>
      <c r="K45" s="2">
        <v>1</v>
      </c>
      <c r="L45" s="2">
        <v>1.3180000000000001</v>
      </c>
      <c r="M45" s="2">
        <v>2</v>
      </c>
    </row>
    <row r="46" spans="1:25" ht="14.25" customHeight="1">
      <c r="A46" s="2">
        <v>18</v>
      </c>
      <c r="B46" s="2">
        <v>45</v>
      </c>
      <c r="C46" s="2">
        <v>7</v>
      </c>
      <c r="D46" s="2">
        <v>1</v>
      </c>
      <c r="E46" s="2">
        <v>0.81</v>
      </c>
      <c r="F46" s="2">
        <v>2</v>
      </c>
      <c r="H46" s="2">
        <v>18</v>
      </c>
      <c r="I46" s="2">
        <v>145</v>
      </c>
      <c r="J46" s="2">
        <v>8</v>
      </c>
      <c r="K46" s="2">
        <v>0</v>
      </c>
      <c r="L46" s="2">
        <v>1.278</v>
      </c>
      <c r="M46" s="2">
        <v>1</v>
      </c>
    </row>
    <row r="47" spans="1:25" ht="14.25" customHeight="1">
      <c r="A47" s="2">
        <v>18</v>
      </c>
      <c r="B47" s="2">
        <v>46</v>
      </c>
      <c r="C47" s="2">
        <v>5</v>
      </c>
      <c r="D47" s="2">
        <v>1</v>
      </c>
      <c r="E47" s="2">
        <v>1.014</v>
      </c>
      <c r="F47" s="2">
        <v>1</v>
      </c>
      <c r="H47" s="2">
        <v>18</v>
      </c>
      <c r="I47" s="2">
        <v>146</v>
      </c>
      <c r="J47" s="2">
        <v>2</v>
      </c>
      <c r="K47" s="2">
        <v>1</v>
      </c>
      <c r="L47" s="2">
        <v>1.272</v>
      </c>
      <c r="M47" s="2">
        <v>1</v>
      </c>
    </row>
    <row r="48" spans="1:25" ht="14.25" customHeight="1">
      <c r="A48" s="2">
        <v>18</v>
      </c>
      <c r="B48" s="2">
        <v>47</v>
      </c>
      <c r="C48" s="2">
        <v>3</v>
      </c>
      <c r="D48" s="2">
        <v>0</v>
      </c>
      <c r="E48" s="2">
        <v>1.4179999999999999</v>
      </c>
      <c r="F48" s="2">
        <v>2</v>
      </c>
      <c r="H48" s="2">
        <v>18</v>
      </c>
      <c r="I48" s="2">
        <v>147</v>
      </c>
      <c r="J48" s="2">
        <v>1</v>
      </c>
      <c r="K48" s="2">
        <v>0</v>
      </c>
      <c r="L48" s="2">
        <v>1.7050000000000001</v>
      </c>
      <c r="M48" s="2">
        <v>2</v>
      </c>
    </row>
    <row r="49" spans="1:13" ht="14.25" customHeight="1">
      <c r="A49" s="2">
        <v>18</v>
      </c>
      <c r="B49" s="2">
        <v>48</v>
      </c>
      <c r="C49" s="2">
        <v>1</v>
      </c>
      <c r="D49" s="2">
        <v>1</v>
      </c>
      <c r="E49" s="2">
        <v>1.07</v>
      </c>
      <c r="F49" s="2">
        <v>1</v>
      </c>
      <c r="H49" s="2">
        <v>18</v>
      </c>
      <c r="I49" s="2">
        <v>148</v>
      </c>
      <c r="J49" s="2">
        <v>8</v>
      </c>
      <c r="K49" s="2">
        <v>1</v>
      </c>
      <c r="L49" s="2">
        <v>1.9119999999999999</v>
      </c>
      <c r="M49" s="2">
        <v>1</v>
      </c>
    </row>
    <row r="50" spans="1:13" ht="14.25" customHeight="1">
      <c r="A50" s="2">
        <v>18</v>
      </c>
      <c r="B50" s="2">
        <v>49</v>
      </c>
      <c r="C50" s="2">
        <v>7</v>
      </c>
      <c r="D50" s="2">
        <v>1</v>
      </c>
      <c r="E50" s="2">
        <v>1.2549999999999999</v>
      </c>
      <c r="F50" s="2">
        <v>2</v>
      </c>
      <c r="H50" s="2">
        <v>18</v>
      </c>
      <c r="I50" s="2">
        <v>149</v>
      </c>
      <c r="J50" s="2">
        <v>3</v>
      </c>
      <c r="K50" s="2">
        <v>1</v>
      </c>
      <c r="L50" s="2">
        <v>1.552</v>
      </c>
      <c r="M50" s="2">
        <v>2</v>
      </c>
    </row>
    <row r="51" spans="1:13" ht="14.25" customHeight="1">
      <c r="A51" s="2">
        <v>18</v>
      </c>
      <c r="B51" s="2">
        <v>50</v>
      </c>
      <c r="C51" s="2">
        <v>6</v>
      </c>
      <c r="D51" s="2">
        <v>1</v>
      </c>
      <c r="E51" s="2">
        <v>1.177</v>
      </c>
      <c r="F51" s="2">
        <v>1</v>
      </c>
      <c r="H51" s="2">
        <v>18</v>
      </c>
      <c r="I51" s="2">
        <v>150</v>
      </c>
      <c r="J51" s="2">
        <v>5</v>
      </c>
      <c r="L51" s="2">
        <v>2</v>
      </c>
    </row>
    <row r="52" spans="1:13" ht="14.25" customHeight="1">
      <c r="A52" s="2">
        <v>18</v>
      </c>
      <c r="B52" s="2">
        <v>51</v>
      </c>
      <c r="C52" s="2">
        <v>6</v>
      </c>
      <c r="D52" s="2">
        <v>1</v>
      </c>
      <c r="E52" s="2">
        <v>0.78100000000000003</v>
      </c>
      <c r="F52" s="2">
        <v>1</v>
      </c>
    </row>
    <row r="53" spans="1:13" ht="14.25" customHeight="1">
      <c r="A53" s="2">
        <v>18</v>
      </c>
      <c r="B53" s="2">
        <v>52</v>
      </c>
      <c r="C53" s="2">
        <v>1</v>
      </c>
      <c r="D53" s="2">
        <v>1</v>
      </c>
      <c r="E53" s="2">
        <v>0.80200000000000005</v>
      </c>
      <c r="F53" s="2">
        <v>2</v>
      </c>
    </row>
    <row r="54" spans="1:13" ht="14.25" customHeight="1">
      <c r="A54" s="2">
        <v>18</v>
      </c>
      <c r="B54" s="2">
        <v>53</v>
      </c>
      <c r="C54" s="2">
        <v>8</v>
      </c>
      <c r="D54" s="2">
        <v>1</v>
      </c>
      <c r="E54" s="2">
        <v>1.407</v>
      </c>
      <c r="F54" s="2">
        <v>1</v>
      </c>
    </row>
    <row r="55" spans="1:13" ht="14.25" customHeight="1">
      <c r="A55" s="2">
        <v>18</v>
      </c>
      <c r="B55" s="2">
        <v>54</v>
      </c>
      <c r="C55" s="2">
        <v>6</v>
      </c>
      <c r="D55" s="2">
        <v>0</v>
      </c>
      <c r="E55" s="2">
        <v>0.81100000000000005</v>
      </c>
      <c r="F55" s="2">
        <v>1</v>
      </c>
    </row>
    <row r="56" spans="1:13" ht="14.25" customHeight="1">
      <c r="A56" s="2">
        <v>18</v>
      </c>
      <c r="B56" s="2">
        <v>55</v>
      </c>
      <c r="C56" s="2">
        <v>7</v>
      </c>
      <c r="D56" s="2">
        <v>1</v>
      </c>
      <c r="E56" s="2">
        <v>1.1990000000000001</v>
      </c>
      <c r="F56" s="2">
        <v>2</v>
      </c>
    </row>
    <row r="57" spans="1:13" ht="14.25" customHeight="1">
      <c r="A57" s="2">
        <v>18</v>
      </c>
      <c r="B57" s="2">
        <v>56</v>
      </c>
      <c r="C57" s="2">
        <v>8</v>
      </c>
      <c r="D57" s="2">
        <v>1</v>
      </c>
      <c r="E57" s="2">
        <v>1.3480000000000001</v>
      </c>
      <c r="F57" s="2">
        <v>1</v>
      </c>
    </row>
    <row r="58" spans="1:13" ht="14.25" customHeight="1">
      <c r="A58" s="2">
        <v>18</v>
      </c>
      <c r="B58" s="2">
        <v>57</v>
      </c>
      <c r="C58" s="2">
        <v>4</v>
      </c>
      <c r="D58" s="2">
        <v>1</v>
      </c>
      <c r="E58" s="2">
        <v>0.68200000000000005</v>
      </c>
      <c r="F58" s="2">
        <v>2</v>
      </c>
    </row>
    <row r="59" spans="1:13" ht="14.25" customHeight="1">
      <c r="A59" s="2">
        <v>18</v>
      </c>
      <c r="B59" s="2">
        <v>58</v>
      </c>
      <c r="C59" s="2">
        <v>1</v>
      </c>
      <c r="D59" s="2">
        <v>1</v>
      </c>
      <c r="E59" s="2">
        <v>0.85199999999999998</v>
      </c>
      <c r="F59" s="2">
        <v>1</v>
      </c>
    </row>
    <row r="60" spans="1:13" ht="14.25" customHeight="1">
      <c r="A60" s="2">
        <v>18</v>
      </c>
      <c r="B60" s="2">
        <v>59</v>
      </c>
      <c r="C60" s="2">
        <v>2</v>
      </c>
      <c r="D60" s="2">
        <v>0</v>
      </c>
      <c r="E60" s="2">
        <v>1.167</v>
      </c>
      <c r="F60" s="2">
        <v>1</v>
      </c>
    </row>
    <row r="61" spans="1:13" ht="14.25" customHeight="1">
      <c r="A61" s="2">
        <v>18</v>
      </c>
      <c r="B61" s="2">
        <v>60</v>
      </c>
      <c r="C61" s="2">
        <v>5</v>
      </c>
      <c r="D61" s="2">
        <v>1</v>
      </c>
      <c r="E61" s="2">
        <v>1.0369999999999999</v>
      </c>
      <c r="F61" s="2">
        <v>1</v>
      </c>
    </row>
    <row r="62" spans="1:13" ht="14.25" customHeight="1">
      <c r="A62" s="2">
        <v>18</v>
      </c>
      <c r="B62" s="2">
        <v>61</v>
      </c>
      <c r="C62" s="2">
        <v>7</v>
      </c>
      <c r="D62" s="2">
        <v>0</v>
      </c>
      <c r="E62" s="2">
        <v>1.216</v>
      </c>
      <c r="F62" s="2">
        <v>2</v>
      </c>
    </row>
    <row r="63" spans="1:13" ht="14.25" customHeight="1">
      <c r="A63" s="2">
        <v>18</v>
      </c>
      <c r="B63" s="2">
        <v>62</v>
      </c>
      <c r="C63" s="2">
        <v>5</v>
      </c>
      <c r="D63" s="2">
        <v>1</v>
      </c>
      <c r="E63" s="2">
        <v>1.6839999999999999</v>
      </c>
      <c r="F63" s="2">
        <v>1</v>
      </c>
    </row>
    <row r="64" spans="1:13" ht="14.25" customHeight="1">
      <c r="A64" s="2">
        <v>18</v>
      </c>
      <c r="B64" s="2">
        <v>63</v>
      </c>
      <c r="C64" s="2">
        <v>7</v>
      </c>
      <c r="D64" s="2">
        <v>1</v>
      </c>
      <c r="E64" s="2">
        <v>0.86099999999999999</v>
      </c>
      <c r="F64" s="2">
        <v>2</v>
      </c>
    </row>
    <row r="65" spans="1:6" ht="14.25" customHeight="1">
      <c r="A65" s="2">
        <v>18</v>
      </c>
      <c r="B65" s="2">
        <v>64</v>
      </c>
      <c r="C65" s="2">
        <v>5</v>
      </c>
      <c r="D65" s="2">
        <v>1</v>
      </c>
      <c r="E65" s="2">
        <v>1.855</v>
      </c>
      <c r="F65" s="2">
        <v>2</v>
      </c>
    </row>
    <row r="66" spans="1:6" ht="14.25" customHeight="1">
      <c r="A66" s="2">
        <v>18</v>
      </c>
      <c r="B66" s="2">
        <v>65</v>
      </c>
      <c r="C66" s="2">
        <v>4</v>
      </c>
      <c r="D66" s="2">
        <v>0</v>
      </c>
      <c r="E66" s="2">
        <v>1.585</v>
      </c>
      <c r="F66" s="2">
        <v>2</v>
      </c>
    </row>
    <row r="67" spans="1:6" ht="14.25" customHeight="1">
      <c r="A67" s="2">
        <v>18</v>
      </c>
      <c r="B67" s="2">
        <v>66</v>
      </c>
      <c r="C67" s="2">
        <v>7</v>
      </c>
      <c r="D67" s="2">
        <v>1</v>
      </c>
      <c r="E67" s="2">
        <v>1.5249999999999999</v>
      </c>
      <c r="F67" s="2">
        <v>2</v>
      </c>
    </row>
    <row r="68" spans="1:6" ht="14.25" customHeight="1">
      <c r="A68" s="2">
        <v>18</v>
      </c>
      <c r="B68" s="2">
        <v>67</v>
      </c>
      <c r="C68" s="2">
        <v>5</v>
      </c>
      <c r="D68" s="2">
        <v>0</v>
      </c>
      <c r="E68" s="2">
        <v>1.7889999999999999</v>
      </c>
      <c r="F68" s="2">
        <v>1</v>
      </c>
    </row>
    <row r="69" spans="1:6" ht="14.25" customHeight="1">
      <c r="A69" s="2">
        <v>18</v>
      </c>
      <c r="B69" s="2">
        <v>68</v>
      </c>
      <c r="C69" s="2">
        <v>8</v>
      </c>
      <c r="D69" s="2">
        <v>1</v>
      </c>
      <c r="E69" s="2">
        <v>1.026</v>
      </c>
      <c r="F69" s="2">
        <v>1</v>
      </c>
    </row>
    <row r="70" spans="1:6" ht="14.25" customHeight="1">
      <c r="A70" s="2">
        <v>18</v>
      </c>
      <c r="B70" s="2">
        <v>69</v>
      </c>
      <c r="C70" s="2">
        <v>3</v>
      </c>
      <c r="D70" s="2">
        <v>1</v>
      </c>
      <c r="E70" s="2">
        <v>1.38</v>
      </c>
      <c r="F70" s="2">
        <v>1</v>
      </c>
    </row>
    <row r="71" spans="1:6" ht="14.25" customHeight="1">
      <c r="A71" s="2">
        <v>18</v>
      </c>
      <c r="B71" s="2">
        <v>70</v>
      </c>
      <c r="C71" s="2">
        <v>8</v>
      </c>
      <c r="D71" s="2">
        <v>1</v>
      </c>
      <c r="E71" s="2">
        <v>1.8420000000000001</v>
      </c>
      <c r="F71" s="2">
        <v>1</v>
      </c>
    </row>
    <row r="72" spans="1:6" ht="14.25" customHeight="1">
      <c r="A72" s="2">
        <v>18</v>
      </c>
      <c r="B72" s="2">
        <v>71</v>
      </c>
      <c r="C72" s="2">
        <v>2</v>
      </c>
      <c r="D72" s="2">
        <v>1</v>
      </c>
      <c r="E72" s="2">
        <v>1.468</v>
      </c>
      <c r="F72" s="2">
        <v>2</v>
      </c>
    </row>
    <row r="73" spans="1:6" ht="14.25" customHeight="1">
      <c r="A73" s="2">
        <v>18</v>
      </c>
      <c r="B73" s="2">
        <v>72</v>
      </c>
      <c r="C73" s="2">
        <v>3</v>
      </c>
      <c r="D73" s="2">
        <v>0</v>
      </c>
      <c r="E73" s="2">
        <v>1.446</v>
      </c>
      <c r="F73" s="2">
        <v>1</v>
      </c>
    </row>
    <row r="74" spans="1:6" ht="14.25" customHeight="1">
      <c r="A74" s="2">
        <v>18</v>
      </c>
      <c r="B74" s="2">
        <v>73</v>
      </c>
      <c r="C74" s="2">
        <v>7</v>
      </c>
      <c r="D74" s="2">
        <v>1</v>
      </c>
      <c r="E74" s="2">
        <v>1.28</v>
      </c>
      <c r="F74" s="2">
        <v>2</v>
      </c>
    </row>
    <row r="75" spans="1:6" ht="14.25" customHeight="1">
      <c r="A75" s="2">
        <v>18</v>
      </c>
      <c r="B75" s="2">
        <v>74</v>
      </c>
      <c r="C75" s="2">
        <v>8</v>
      </c>
      <c r="E75" s="2">
        <v>2</v>
      </c>
    </row>
    <row r="76" spans="1:6" ht="14.25" customHeight="1">
      <c r="A76" s="2">
        <v>18</v>
      </c>
      <c r="B76" s="2">
        <v>75</v>
      </c>
      <c r="C76" s="2">
        <v>4</v>
      </c>
      <c r="D76" s="2">
        <v>0</v>
      </c>
      <c r="E76" s="2">
        <v>1.8149999999999999</v>
      </c>
      <c r="F76" s="2">
        <v>1</v>
      </c>
    </row>
    <row r="77" spans="1:6" ht="14.25" customHeight="1">
      <c r="A77" s="2">
        <v>18</v>
      </c>
      <c r="B77" s="2">
        <v>76</v>
      </c>
      <c r="C77" s="2">
        <v>3</v>
      </c>
      <c r="D77" s="2">
        <v>0</v>
      </c>
      <c r="E77" s="2">
        <v>1.091</v>
      </c>
      <c r="F77" s="2">
        <v>2</v>
      </c>
    </row>
    <row r="78" spans="1:6" ht="14.25" customHeight="1">
      <c r="A78" s="2">
        <v>18</v>
      </c>
      <c r="B78" s="2">
        <v>77</v>
      </c>
      <c r="C78" s="2">
        <v>2</v>
      </c>
      <c r="D78" s="2">
        <v>1</v>
      </c>
      <c r="E78" s="2">
        <v>1.083</v>
      </c>
      <c r="F78" s="2">
        <v>2</v>
      </c>
    </row>
    <row r="79" spans="1:6" ht="14.25" customHeight="1">
      <c r="A79" s="2">
        <v>18</v>
      </c>
      <c r="B79" s="2">
        <v>78</v>
      </c>
      <c r="C79" s="2">
        <v>1</v>
      </c>
      <c r="D79" s="2">
        <v>1</v>
      </c>
      <c r="E79" s="2">
        <v>1.6919999999999999</v>
      </c>
      <c r="F79" s="2">
        <v>1</v>
      </c>
    </row>
    <row r="80" spans="1:6" ht="14.25" customHeight="1">
      <c r="A80" s="2">
        <v>18</v>
      </c>
      <c r="B80" s="2">
        <v>79</v>
      </c>
      <c r="C80" s="2">
        <v>4</v>
      </c>
      <c r="D80" s="2">
        <v>0</v>
      </c>
      <c r="E80" s="2">
        <v>1.845</v>
      </c>
      <c r="F80" s="2">
        <v>2</v>
      </c>
    </row>
    <row r="81" spans="1:6" ht="14.25" customHeight="1">
      <c r="A81" s="2">
        <v>18</v>
      </c>
      <c r="B81" s="2">
        <v>80</v>
      </c>
      <c r="C81" s="2">
        <v>1</v>
      </c>
      <c r="D81" s="2">
        <v>0</v>
      </c>
      <c r="E81" s="2">
        <v>1.8480000000000001</v>
      </c>
      <c r="F81" s="2">
        <v>1</v>
      </c>
    </row>
    <row r="82" spans="1:6" ht="14.25" customHeight="1">
      <c r="A82" s="2">
        <v>18</v>
      </c>
      <c r="B82" s="2">
        <v>81</v>
      </c>
      <c r="C82" s="2">
        <v>4</v>
      </c>
      <c r="D82" s="2">
        <v>0</v>
      </c>
      <c r="E82" s="2">
        <v>1.587</v>
      </c>
      <c r="F82" s="2">
        <v>2</v>
      </c>
    </row>
    <row r="83" spans="1:6" ht="14.25" customHeight="1">
      <c r="A83" s="2">
        <v>18</v>
      </c>
      <c r="B83" s="2">
        <v>82</v>
      </c>
      <c r="C83" s="2">
        <v>1</v>
      </c>
      <c r="D83" s="2">
        <v>1</v>
      </c>
      <c r="E83" s="2">
        <v>1.7989999999999999</v>
      </c>
      <c r="F83" s="2">
        <v>1</v>
      </c>
    </row>
    <row r="84" spans="1:6" ht="14.25" customHeight="1">
      <c r="A84" s="2">
        <v>18</v>
      </c>
      <c r="B84" s="2">
        <v>83</v>
      </c>
      <c r="C84" s="2">
        <v>7</v>
      </c>
      <c r="D84" s="2">
        <v>0</v>
      </c>
      <c r="E84" s="2">
        <v>1.1719999999999999</v>
      </c>
      <c r="F84" s="2">
        <v>1</v>
      </c>
    </row>
    <row r="85" spans="1:6" ht="14.25" customHeight="1">
      <c r="A85" s="2">
        <v>18</v>
      </c>
      <c r="B85" s="2">
        <v>84</v>
      </c>
      <c r="C85" s="2">
        <v>3</v>
      </c>
      <c r="E85" s="2">
        <v>2.0009999999999999</v>
      </c>
    </row>
    <row r="86" spans="1:6" ht="14.25" customHeight="1">
      <c r="A86" s="2">
        <v>18</v>
      </c>
      <c r="B86" s="2">
        <v>85</v>
      </c>
      <c r="C86" s="2">
        <v>2</v>
      </c>
      <c r="D86" s="2">
        <v>0</v>
      </c>
      <c r="E86" s="2">
        <v>1.167</v>
      </c>
      <c r="F86" s="2">
        <v>2</v>
      </c>
    </row>
    <row r="87" spans="1:6" ht="14.25" customHeight="1">
      <c r="A87" s="2">
        <v>18</v>
      </c>
      <c r="B87" s="2">
        <v>86</v>
      </c>
      <c r="C87" s="2">
        <v>6</v>
      </c>
      <c r="D87" s="2">
        <v>0</v>
      </c>
      <c r="E87" s="2">
        <v>1.157</v>
      </c>
      <c r="F87" s="2">
        <v>2</v>
      </c>
    </row>
    <row r="88" spans="1:6" ht="14.25" customHeight="1">
      <c r="A88" s="2">
        <v>18</v>
      </c>
      <c r="B88" s="2">
        <v>87</v>
      </c>
      <c r="C88" s="2">
        <v>3</v>
      </c>
      <c r="D88" s="2">
        <v>0</v>
      </c>
      <c r="E88" s="2">
        <v>1.2669999999999999</v>
      </c>
      <c r="F88" s="2">
        <v>1</v>
      </c>
    </row>
    <row r="89" spans="1:6" ht="14.25" customHeight="1">
      <c r="A89" s="2">
        <v>18</v>
      </c>
      <c r="B89" s="2">
        <v>88</v>
      </c>
      <c r="C89" s="2">
        <v>7</v>
      </c>
      <c r="D89" s="2">
        <v>0</v>
      </c>
      <c r="E89" s="2">
        <v>1.6839999999999999</v>
      </c>
      <c r="F89" s="2">
        <v>1</v>
      </c>
    </row>
    <row r="90" spans="1:6" ht="14.25" customHeight="1">
      <c r="A90" s="2">
        <v>18</v>
      </c>
      <c r="B90" s="2">
        <v>89</v>
      </c>
      <c r="C90" s="2">
        <v>6</v>
      </c>
      <c r="D90" s="2">
        <v>1</v>
      </c>
      <c r="E90" s="2">
        <v>0.97399999999999998</v>
      </c>
      <c r="F90" s="2">
        <v>2</v>
      </c>
    </row>
    <row r="91" spans="1:6" ht="14.25" customHeight="1">
      <c r="A91" s="2">
        <v>18</v>
      </c>
      <c r="B91" s="2">
        <v>90</v>
      </c>
      <c r="C91" s="2">
        <v>2</v>
      </c>
      <c r="E91" s="2">
        <v>2</v>
      </c>
    </row>
    <row r="92" spans="1:6" ht="14.25" customHeight="1">
      <c r="A92" s="2">
        <v>18</v>
      </c>
      <c r="B92" s="2">
        <v>91</v>
      </c>
      <c r="C92" s="2">
        <v>1</v>
      </c>
      <c r="D92" s="2">
        <v>0</v>
      </c>
      <c r="E92" s="2">
        <v>1.1519999999999999</v>
      </c>
      <c r="F92" s="2">
        <v>2</v>
      </c>
    </row>
    <row r="93" spans="1:6" ht="14.25" customHeight="1">
      <c r="A93" s="2">
        <v>18</v>
      </c>
      <c r="B93" s="2">
        <v>92</v>
      </c>
      <c r="C93" s="2">
        <v>6</v>
      </c>
      <c r="D93" s="2">
        <v>1</v>
      </c>
      <c r="E93" s="2">
        <v>1.095</v>
      </c>
      <c r="F93" s="2">
        <v>1</v>
      </c>
    </row>
    <row r="94" spans="1:6" ht="14.25" customHeight="1">
      <c r="A94" s="2">
        <v>18</v>
      </c>
      <c r="B94" s="2">
        <v>93</v>
      </c>
      <c r="C94" s="2">
        <v>2</v>
      </c>
      <c r="D94" s="2">
        <v>1</v>
      </c>
      <c r="E94" s="2">
        <v>1.4</v>
      </c>
      <c r="F94" s="2">
        <v>2</v>
      </c>
    </row>
    <row r="95" spans="1:6" ht="14.25" customHeight="1">
      <c r="A95" s="2">
        <v>18</v>
      </c>
      <c r="B95" s="2">
        <v>94</v>
      </c>
      <c r="C95" s="2">
        <v>1</v>
      </c>
      <c r="D95" s="2">
        <v>1</v>
      </c>
      <c r="E95" s="2">
        <v>0.82899999999999996</v>
      </c>
      <c r="F95" s="2">
        <v>2</v>
      </c>
    </row>
    <row r="96" spans="1:6" ht="14.25" customHeight="1">
      <c r="A96" s="2">
        <v>18</v>
      </c>
      <c r="B96" s="2">
        <v>95</v>
      </c>
      <c r="C96" s="2">
        <v>6</v>
      </c>
      <c r="D96" s="2">
        <v>1</v>
      </c>
      <c r="E96" s="2">
        <v>0.61499999999999999</v>
      </c>
      <c r="F96" s="2">
        <v>2</v>
      </c>
    </row>
    <row r="97" spans="1:6" ht="14.25" customHeight="1">
      <c r="A97" s="2">
        <v>18</v>
      </c>
      <c r="B97" s="2">
        <v>96</v>
      </c>
      <c r="C97" s="2">
        <v>5</v>
      </c>
      <c r="D97" s="2">
        <v>1</v>
      </c>
      <c r="E97" s="2">
        <v>0.77200000000000002</v>
      </c>
      <c r="F97" s="2">
        <v>1</v>
      </c>
    </row>
    <row r="98" spans="1:6" ht="14.25" customHeight="1">
      <c r="A98" s="2">
        <v>18</v>
      </c>
      <c r="B98" s="2">
        <v>97</v>
      </c>
      <c r="C98" s="2">
        <v>4</v>
      </c>
      <c r="D98" s="2">
        <v>1</v>
      </c>
      <c r="E98" s="2">
        <v>1.865</v>
      </c>
      <c r="F98" s="2">
        <v>1</v>
      </c>
    </row>
    <row r="99" spans="1:6" ht="14.25" customHeight="1">
      <c r="A99" s="2">
        <v>18</v>
      </c>
      <c r="B99" s="2">
        <v>98</v>
      </c>
      <c r="C99" s="2">
        <v>8</v>
      </c>
      <c r="D99" s="2">
        <v>0</v>
      </c>
      <c r="E99" s="2">
        <v>1.49</v>
      </c>
      <c r="F99" s="2">
        <v>2</v>
      </c>
    </row>
    <row r="100" spans="1:6" ht="14.25" customHeight="1">
      <c r="A100" s="2">
        <v>18</v>
      </c>
      <c r="B100" s="2">
        <v>99</v>
      </c>
      <c r="C100" s="2">
        <v>3</v>
      </c>
      <c r="D100" s="2">
        <v>1</v>
      </c>
      <c r="E100" s="2">
        <v>0.9</v>
      </c>
      <c r="F100" s="2">
        <v>2</v>
      </c>
    </row>
    <row r="101" spans="1:6" ht="14.25" customHeight="1">
      <c r="A101" s="2">
        <v>18</v>
      </c>
      <c r="B101" s="2">
        <v>100</v>
      </c>
      <c r="C101" s="2">
        <v>5</v>
      </c>
      <c r="D101" s="2">
        <v>1</v>
      </c>
      <c r="E101" s="2">
        <v>0.95599999999999996</v>
      </c>
      <c r="F101" s="2">
        <v>1</v>
      </c>
    </row>
    <row r="102" spans="1:6" ht="14.25" customHeight="1">
      <c r="A102" s="2">
        <v>18</v>
      </c>
      <c r="B102" s="2">
        <v>101</v>
      </c>
      <c r="C102" s="2">
        <v>8</v>
      </c>
      <c r="D102" s="2">
        <v>1</v>
      </c>
      <c r="E102" s="2">
        <v>0.99299999999999999</v>
      </c>
      <c r="F102" s="2">
        <v>1</v>
      </c>
    </row>
    <row r="103" spans="1:6" ht="14.25" customHeight="1">
      <c r="A103" s="2">
        <v>18</v>
      </c>
      <c r="B103" s="2">
        <v>102</v>
      </c>
      <c r="C103" s="2">
        <v>4</v>
      </c>
      <c r="D103" s="2">
        <v>1</v>
      </c>
      <c r="E103" s="2">
        <v>0.75700000000000001</v>
      </c>
      <c r="F103" s="2">
        <v>2</v>
      </c>
    </row>
    <row r="104" spans="1:6" ht="14.25" customHeight="1">
      <c r="A104" s="2">
        <v>18</v>
      </c>
      <c r="B104" s="2">
        <v>103</v>
      </c>
      <c r="C104" s="2">
        <v>3</v>
      </c>
      <c r="D104" s="2">
        <v>1</v>
      </c>
      <c r="E104" s="2">
        <v>1.452</v>
      </c>
      <c r="F104" s="2">
        <v>1</v>
      </c>
    </row>
    <row r="105" spans="1:6" ht="14.25" customHeight="1">
      <c r="A105" s="2">
        <v>18</v>
      </c>
      <c r="B105" s="2">
        <v>104</v>
      </c>
      <c r="C105" s="2">
        <v>2</v>
      </c>
      <c r="D105" s="2">
        <v>1</v>
      </c>
      <c r="E105" s="2">
        <v>0.63</v>
      </c>
      <c r="F105" s="2">
        <v>2</v>
      </c>
    </row>
    <row r="106" spans="1:6" ht="14.25" customHeight="1">
      <c r="A106" s="2">
        <v>18</v>
      </c>
      <c r="B106" s="2">
        <v>105</v>
      </c>
      <c r="C106" s="2">
        <v>8</v>
      </c>
      <c r="D106" s="2">
        <v>1</v>
      </c>
      <c r="E106" s="2">
        <v>1.6339999999999999</v>
      </c>
      <c r="F106" s="2">
        <v>2</v>
      </c>
    </row>
    <row r="107" spans="1:6" ht="14.25" customHeight="1">
      <c r="A107" s="2">
        <v>18</v>
      </c>
      <c r="B107" s="2">
        <v>106</v>
      </c>
      <c r="C107" s="2">
        <v>6</v>
      </c>
      <c r="E107" s="2">
        <v>2</v>
      </c>
    </row>
    <row r="108" spans="1:6" ht="14.25" customHeight="1">
      <c r="A108" s="2">
        <v>18</v>
      </c>
      <c r="B108" s="2">
        <v>107</v>
      </c>
      <c r="C108" s="2">
        <v>8</v>
      </c>
      <c r="D108" s="2">
        <v>1</v>
      </c>
      <c r="E108" s="2">
        <v>0.61</v>
      </c>
      <c r="F108" s="2">
        <v>2</v>
      </c>
    </row>
    <row r="109" spans="1:6" ht="14.25" customHeight="1">
      <c r="A109" s="2">
        <v>18</v>
      </c>
      <c r="B109" s="2">
        <v>108</v>
      </c>
      <c r="C109" s="2">
        <v>4</v>
      </c>
      <c r="D109" s="2">
        <v>0</v>
      </c>
      <c r="E109" s="2">
        <v>1.206</v>
      </c>
      <c r="F109" s="2">
        <v>2</v>
      </c>
    </row>
    <row r="110" spans="1:6" ht="14.25" customHeight="1">
      <c r="A110" s="2">
        <v>18</v>
      </c>
      <c r="B110" s="2">
        <v>109</v>
      </c>
      <c r="C110" s="2">
        <v>6</v>
      </c>
      <c r="D110" s="2">
        <v>1</v>
      </c>
      <c r="E110" s="2">
        <v>1.3140000000000001</v>
      </c>
      <c r="F110" s="2">
        <v>2</v>
      </c>
    </row>
    <row r="111" spans="1:6" ht="14.25" customHeight="1">
      <c r="A111" s="2">
        <v>18</v>
      </c>
      <c r="B111" s="2">
        <v>110</v>
      </c>
      <c r="C111" s="2">
        <v>7</v>
      </c>
      <c r="D111" s="2">
        <v>1</v>
      </c>
      <c r="E111" s="2">
        <v>1.4179999999999999</v>
      </c>
      <c r="F111" s="2">
        <v>1</v>
      </c>
    </row>
    <row r="112" spans="1:6" ht="14.25" customHeight="1">
      <c r="A112" s="2">
        <v>18</v>
      </c>
      <c r="B112" s="2">
        <v>111</v>
      </c>
      <c r="C112" s="2">
        <v>1</v>
      </c>
      <c r="D112" s="2">
        <v>0</v>
      </c>
      <c r="E112" s="2">
        <v>1.661</v>
      </c>
      <c r="F112" s="2">
        <v>2</v>
      </c>
    </row>
    <row r="113" spans="1:6" ht="14.25" customHeight="1">
      <c r="A113" s="2">
        <v>18</v>
      </c>
      <c r="B113" s="2">
        <v>112</v>
      </c>
      <c r="C113" s="2">
        <v>3</v>
      </c>
      <c r="D113" s="2">
        <v>1</v>
      </c>
      <c r="E113" s="2">
        <v>1.903</v>
      </c>
      <c r="F113" s="2">
        <v>1</v>
      </c>
    </row>
    <row r="114" spans="1:6" ht="14.25" customHeight="1">
      <c r="A114" s="2">
        <v>18</v>
      </c>
      <c r="B114" s="2">
        <v>113</v>
      </c>
      <c r="C114" s="2">
        <v>1</v>
      </c>
      <c r="D114" s="2">
        <v>1</v>
      </c>
      <c r="E114" s="2">
        <v>1.0469999999999999</v>
      </c>
      <c r="F114" s="2">
        <v>2</v>
      </c>
    </row>
    <row r="115" spans="1:6" ht="14.25" customHeight="1">
      <c r="A115" s="2">
        <v>18</v>
      </c>
      <c r="B115" s="2">
        <v>114</v>
      </c>
      <c r="C115" s="2">
        <v>2</v>
      </c>
      <c r="D115" s="2">
        <v>1</v>
      </c>
      <c r="E115" s="2">
        <v>0.80200000000000005</v>
      </c>
      <c r="F115" s="2">
        <v>2</v>
      </c>
    </row>
    <row r="116" spans="1:6" ht="14.25" customHeight="1">
      <c r="A116" s="2">
        <v>18</v>
      </c>
      <c r="B116" s="2">
        <v>115</v>
      </c>
      <c r="C116" s="2">
        <v>8</v>
      </c>
      <c r="D116" s="2">
        <v>0</v>
      </c>
      <c r="E116" s="2">
        <v>1.095</v>
      </c>
      <c r="F116" s="2">
        <v>2</v>
      </c>
    </row>
    <row r="117" spans="1:6" ht="14.25" customHeight="1">
      <c r="A117" s="2">
        <v>18</v>
      </c>
      <c r="B117" s="2">
        <v>116</v>
      </c>
      <c r="C117" s="2">
        <v>5</v>
      </c>
      <c r="D117" s="2">
        <v>1</v>
      </c>
      <c r="E117" s="2">
        <v>0.53500000000000003</v>
      </c>
      <c r="F117" s="2">
        <v>2</v>
      </c>
    </row>
    <row r="118" spans="1:6" ht="14.25" customHeight="1">
      <c r="A118" s="2">
        <v>18</v>
      </c>
      <c r="B118" s="2">
        <v>117</v>
      </c>
      <c r="C118" s="2">
        <v>6</v>
      </c>
      <c r="D118" s="2">
        <v>0</v>
      </c>
      <c r="E118" s="2">
        <v>1.111</v>
      </c>
      <c r="F118" s="2">
        <v>1</v>
      </c>
    </row>
    <row r="119" spans="1:6" ht="14.25" customHeight="1">
      <c r="A119" s="2">
        <v>18</v>
      </c>
      <c r="B119" s="2">
        <v>118</v>
      </c>
      <c r="C119" s="2">
        <v>2</v>
      </c>
      <c r="D119" s="2">
        <v>0</v>
      </c>
      <c r="E119" s="2">
        <v>1.5429999999999999</v>
      </c>
      <c r="F119" s="2">
        <v>2</v>
      </c>
    </row>
    <row r="120" spans="1:6" ht="14.25" customHeight="1">
      <c r="A120" s="2">
        <v>18</v>
      </c>
      <c r="B120" s="2">
        <v>119</v>
      </c>
      <c r="C120" s="2">
        <v>4</v>
      </c>
      <c r="D120" s="2">
        <v>0</v>
      </c>
      <c r="E120" s="2">
        <v>1.4770000000000001</v>
      </c>
      <c r="F120" s="2">
        <v>2</v>
      </c>
    </row>
    <row r="121" spans="1:6" ht="14.25" customHeight="1">
      <c r="A121" s="2">
        <v>18</v>
      </c>
      <c r="B121" s="2">
        <v>120</v>
      </c>
      <c r="C121" s="2">
        <v>3</v>
      </c>
      <c r="D121" s="2">
        <v>1</v>
      </c>
      <c r="E121" s="2">
        <v>1.4379999999999999</v>
      </c>
      <c r="F121" s="2">
        <v>1</v>
      </c>
    </row>
    <row r="122" spans="1:6" ht="14.25" customHeight="1">
      <c r="A122" s="2">
        <v>18</v>
      </c>
      <c r="B122" s="2">
        <v>121</v>
      </c>
      <c r="C122" s="2">
        <v>7</v>
      </c>
      <c r="D122" s="2">
        <v>0</v>
      </c>
      <c r="E122" s="2">
        <v>1.2649999999999999</v>
      </c>
      <c r="F122" s="2">
        <v>1</v>
      </c>
    </row>
    <row r="123" spans="1:6" ht="14.25" customHeight="1">
      <c r="A123" s="2">
        <v>18</v>
      </c>
      <c r="B123" s="2">
        <v>122</v>
      </c>
      <c r="C123" s="2">
        <v>1</v>
      </c>
      <c r="D123" s="2">
        <v>1</v>
      </c>
      <c r="E123" s="2">
        <v>0.93200000000000005</v>
      </c>
      <c r="F123" s="2">
        <v>2</v>
      </c>
    </row>
    <row r="124" spans="1:6" ht="14.25" customHeight="1">
      <c r="A124" s="2">
        <v>18</v>
      </c>
      <c r="B124" s="2">
        <v>123</v>
      </c>
      <c r="C124" s="2">
        <v>6</v>
      </c>
      <c r="D124" s="2">
        <v>0</v>
      </c>
      <c r="E124" s="2">
        <v>1.218</v>
      </c>
      <c r="F124" s="2">
        <v>1</v>
      </c>
    </row>
    <row r="125" spans="1:6" ht="14.25" customHeight="1">
      <c r="A125" s="2">
        <v>18</v>
      </c>
      <c r="B125" s="2">
        <v>124</v>
      </c>
      <c r="C125" s="2">
        <v>1</v>
      </c>
      <c r="D125" s="2">
        <v>0</v>
      </c>
      <c r="E125" s="2">
        <v>1.383</v>
      </c>
      <c r="F125" s="2">
        <v>2</v>
      </c>
    </row>
    <row r="126" spans="1:6" ht="14.25" customHeight="1">
      <c r="A126" s="2">
        <v>18</v>
      </c>
      <c r="B126" s="2">
        <v>125</v>
      </c>
      <c r="C126" s="2">
        <v>5</v>
      </c>
      <c r="D126" s="2">
        <v>1</v>
      </c>
      <c r="E126" s="2">
        <v>1.5</v>
      </c>
      <c r="F126" s="2">
        <v>2</v>
      </c>
    </row>
    <row r="127" spans="1:6" ht="14.25" customHeight="1">
      <c r="A127" s="2">
        <v>18</v>
      </c>
      <c r="B127" s="2">
        <v>126</v>
      </c>
      <c r="C127" s="2">
        <v>6</v>
      </c>
      <c r="D127" s="2">
        <v>1</v>
      </c>
      <c r="E127" s="2">
        <v>1.405</v>
      </c>
      <c r="F127" s="2">
        <v>1</v>
      </c>
    </row>
    <row r="128" spans="1:6" ht="14.25" customHeight="1">
      <c r="A128" s="2">
        <v>18</v>
      </c>
      <c r="B128" s="2">
        <v>127</v>
      </c>
      <c r="C128" s="2">
        <v>5</v>
      </c>
      <c r="D128" s="2">
        <v>1</v>
      </c>
      <c r="E128" s="2">
        <v>1.177</v>
      </c>
      <c r="F128" s="2">
        <v>2</v>
      </c>
    </row>
    <row r="129" spans="1:6" ht="14.25" customHeight="1">
      <c r="A129" s="2">
        <v>18</v>
      </c>
      <c r="B129" s="2">
        <v>128</v>
      </c>
      <c r="C129" s="2">
        <v>7</v>
      </c>
      <c r="D129" s="2">
        <v>1</v>
      </c>
      <c r="E129" s="2">
        <v>1.254</v>
      </c>
      <c r="F129" s="2">
        <v>1</v>
      </c>
    </row>
    <row r="130" spans="1:6" ht="14.25" customHeight="1">
      <c r="A130" s="2">
        <v>18</v>
      </c>
      <c r="B130" s="2">
        <v>129</v>
      </c>
      <c r="C130" s="2">
        <v>4</v>
      </c>
      <c r="D130" s="2">
        <v>0</v>
      </c>
      <c r="E130" s="2">
        <v>1.88</v>
      </c>
      <c r="F130" s="2">
        <v>2</v>
      </c>
    </row>
    <row r="131" spans="1:6" ht="14.25" customHeight="1">
      <c r="A131" s="2">
        <v>18</v>
      </c>
      <c r="B131" s="2">
        <v>130</v>
      </c>
      <c r="C131" s="2">
        <v>1</v>
      </c>
      <c r="D131" s="2">
        <v>1</v>
      </c>
      <c r="E131" s="2">
        <v>1.0649999999999999</v>
      </c>
      <c r="F131" s="2">
        <v>2</v>
      </c>
    </row>
    <row r="132" spans="1:6" ht="14.25" customHeight="1">
      <c r="A132" s="2">
        <v>18</v>
      </c>
      <c r="B132" s="2">
        <v>131</v>
      </c>
      <c r="C132" s="2">
        <v>7</v>
      </c>
      <c r="D132" s="2">
        <v>1</v>
      </c>
      <c r="E132" s="2">
        <v>1.2829999999999999</v>
      </c>
      <c r="F132" s="2">
        <v>1</v>
      </c>
    </row>
    <row r="133" spans="1:6" ht="14.25" customHeight="1">
      <c r="A133" s="2">
        <v>18</v>
      </c>
      <c r="B133" s="2">
        <v>132</v>
      </c>
      <c r="C133" s="2">
        <v>6</v>
      </c>
      <c r="D133" s="2">
        <v>0</v>
      </c>
      <c r="E133" s="2">
        <v>1.5640000000000001</v>
      </c>
      <c r="F133" s="2">
        <v>2</v>
      </c>
    </row>
    <row r="134" spans="1:6" ht="14.25" customHeight="1">
      <c r="A134" s="2">
        <v>18</v>
      </c>
      <c r="B134" s="2">
        <v>133</v>
      </c>
      <c r="C134" s="2">
        <v>1</v>
      </c>
      <c r="D134" s="2">
        <v>0</v>
      </c>
      <c r="E134" s="2">
        <v>1.835</v>
      </c>
      <c r="F134" s="2">
        <v>1</v>
      </c>
    </row>
    <row r="135" spans="1:6" ht="14.25" customHeight="1">
      <c r="A135" s="2">
        <v>18</v>
      </c>
      <c r="B135" s="2">
        <v>134</v>
      </c>
      <c r="C135" s="2">
        <v>5</v>
      </c>
      <c r="D135" s="2">
        <v>1</v>
      </c>
      <c r="E135" s="2">
        <v>0.96599999999999997</v>
      </c>
      <c r="F135" s="2">
        <v>2</v>
      </c>
    </row>
    <row r="136" spans="1:6" ht="14.25" customHeight="1">
      <c r="A136" s="2">
        <v>18</v>
      </c>
      <c r="B136" s="2">
        <v>135</v>
      </c>
      <c r="C136" s="2">
        <v>7</v>
      </c>
      <c r="D136" s="2">
        <v>0</v>
      </c>
      <c r="E136" s="2">
        <v>1.62</v>
      </c>
      <c r="F136" s="2">
        <v>2</v>
      </c>
    </row>
    <row r="137" spans="1:6" ht="14.25" customHeight="1">
      <c r="A137" s="2">
        <v>18</v>
      </c>
      <c r="B137" s="2">
        <v>136</v>
      </c>
      <c r="C137" s="2">
        <v>2</v>
      </c>
      <c r="D137" s="2">
        <v>0</v>
      </c>
      <c r="E137" s="2">
        <v>1.1990000000000001</v>
      </c>
      <c r="F137" s="2">
        <v>2</v>
      </c>
    </row>
    <row r="138" spans="1:6" ht="14.25" customHeight="1">
      <c r="A138" s="2">
        <v>18</v>
      </c>
      <c r="B138" s="2">
        <v>137</v>
      </c>
      <c r="C138" s="2">
        <v>7</v>
      </c>
      <c r="D138" s="2">
        <v>0</v>
      </c>
      <c r="E138" s="2">
        <v>1.66</v>
      </c>
      <c r="F138" s="2">
        <v>1</v>
      </c>
    </row>
    <row r="139" spans="1:6" ht="14.25" customHeight="1">
      <c r="A139" s="2">
        <v>18</v>
      </c>
      <c r="B139" s="2">
        <v>138</v>
      </c>
      <c r="C139" s="2">
        <v>3</v>
      </c>
      <c r="D139" s="2">
        <v>1</v>
      </c>
      <c r="E139" s="2">
        <v>1.3260000000000001</v>
      </c>
      <c r="F139" s="2">
        <v>2</v>
      </c>
    </row>
    <row r="140" spans="1:6" ht="14.25" customHeight="1">
      <c r="A140" s="2">
        <v>18</v>
      </c>
      <c r="B140" s="2">
        <v>139</v>
      </c>
      <c r="C140" s="2">
        <v>4</v>
      </c>
      <c r="D140" s="2">
        <v>1</v>
      </c>
      <c r="E140" s="2">
        <v>0.77300000000000002</v>
      </c>
      <c r="F140" s="2">
        <v>2</v>
      </c>
    </row>
    <row r="141" spans="1:6" ht="14.25" customHeight="1">
      <c r="A141" s="2">
        <v>18</v>
      </c>
      <c r="B141" s="2">
        <v>140</v>
      </c>
      <c r="C141" s="2">
        <v>2</v>
      </c>
      <c r="D141" s="2">
        <v>0</v>
      </c>
      <c r="E141" s="2">
        <v>1.8109999999999999</v>
      </c>
      <c r="F141" s="2">
        <v>1</v>
      </c>
    </row>
    <row r="142" spans="1:6" ht="14.25" customHeight="1">
      <c r="A142" s="2">
        <v>18</v>
      </c>
      <c r="B142" s="2">
        <v>141</v>
      </c>
      <c r="C142" s="2">
        <v>4</v>
      </c>
      <c r="D142" s="2">
        <v>0</v>
      </c>
      <c r="E142" s="2">
        <v>0.96699999999999997</v>
      </c>
      <c r="F142" s="2">
        <v>2</v>
      </c>
    </row>
    <row r="143" spans="1:6" ht="14.25" customHeight="1">
      <c r="A143" s="2">
        <v>18</v>
      </c>
      <c r="B143" s="2">
        <v>142</v>
      </c>
      <c r="C143" s="2">
        <v>7</v>
      </c>
      <c r="D143" s="2">
        <v>1</v>
      </c>
      <c r="E143" s="2">
        <v>1.2290000000000001</v>
      </c>
      <c r="F143" s="2">
        <v>1</v>
      </c>
    </row>
    <row r="144" spans="1:6" ht="14.25" customHeight="1">
      <c r="A144" s="2">
        <v>18</v>
      </c>
      <c r="B144" s="2">
        <v>143</v>
      </c>
      <c r="C144" s="2">
        <v>5</v>
      </c>
      <c r="D144" s="2">
        <v>1</v>
      </c>
      <c r="E144" s="2">
        <v>0.96</v>
      </c>
      <c r="F144" s="2">
        <v>2</v>
      </c>
    </row>
    <row r="145" spans="1:6" ht="14.25" customHeight="1">
      <c r="A145" s="2">
        <v>18</v>
      </c>
      <c r="B145" s="2">
        <v>144</v>
      </c>
      <c r="C145" s="2">
        <v>3</v>
      </c>
      <c r="D145" s="2">
        <v>1</v>
      </c>
      <c r="E145" s="2">
        <v>1.3180000000000001</v>
      </c>
      <c r="F145" s="2">
        <v>2</v>
      </c>
    </row>
    <row r="146" spans="1:6" ht="14.25" customHeight="1">
      <c r="A146" s="2">
        <v>18</v>
      </c>
      <c r="B146" s="2">
        <v>145</v>
      </c>
      <c r="C146" s="2">
        <v>8</v>
      </c>
      <c r="D146" s="2">
        <v>0</v>
      </c>
      <c r="E146" s="2">
        <v>1.278</v>
      </c>
      <c r="F146" s="2">
        <v>1</v>
      </c>
    </row>
    <row r="147" spans="1:6" ht="14.25" customHeight="1">
      <c r="A147" s="2">
        <v>18</v>
      </c>
      <c r="B147" s="2">
        <v>146</v>
      </c>
      <c r="C147" s="2">
        <v>2</v>
      </c>
      <c r="D147" s="2">
        <v>1</v>
      </c>
      <c r="E147" s="2">
        <v>1.272</v>
      </c>
      <c r="F147" s="2">
        <v>1</v>
      </c>
    </row>
    <row r="148" spans="1:6" ht="14.25" customHeight="1">
      <c r="A148" s="2">
        <v>18</v>
      </c>
      <c r="B148" s="2">
        <v>147</v>
      </c>
      <c r="C148" s="2">
        <v>1</v>
      </c>
      <c r="D148" s="2">
        <v>0</v>
      </c>
      <c r="E148" s="2">
        <v>1.7050000000000001</v>
      </c>
      <c r="F148" s="2">
        <v>2</v>
      </c>
    </row>
    <row r="149" spans="1:6" ht="14.25" customHeight="1">
      <c r="A149" s="2">
        <v>18</v>
      </c>
      <c r="B149" s="2">
        <v>148</v>
      </c>
      <c r="C149" s="2">
        <v>8</v>
      </c>
      <c r="D149" s="2">
        <v>1</v>
      </c>
      <c r="E149" s="2">
        <v>1.9119999999999999</v>
      </c>
      <c r="F149" s="2">
        <v>1</v>
      </c>
    </row>
    <row r="150" spans="1:6" ht="14.25" customHeight="1">
      <c r="A150" s="2">
        <v>18</v>
      </c>
      <c r="B150" s="2">
        <v>149</v>
      </c>
      <c r="C150" s="2">
        <v>3</v>
      </c>
      <c r="D150" s="2">
        <v>1</v>
      </c>
      <c r="E150" s="2">
        <v>1.552</v>
      </c>
      <c r="F150" s="2">
        <v>2</v>
      </c>
    </row>
    <row r="151" spans="1:6" ht="14.25" customHeight="1">
      <c r="A151" s="2">
        <v>18</v>
      </c>
      <c r="B151" s="2">
        <v>150</v>
      </c>
      <c r="C151" s="2">
        <v>5</v>
      </c>
      <c r="E151" s="2">
        <v>2</v>
      </c>
    </row>
    <row r="152" spans="1:6" ht="14.25" customHeight="1">
      <c r="A152" s="2">
        <v>18</v>
      </c>
      <c r="B152" s="2">
        <v>151</v>
      </c>
      <c r="C152" s="2">
        <v>7</v>
      </c>
      <c r="D152" s="2">
        <v>0</v>
      </c>
      <c r="E152" s="2">
        <v>1.2829999999999999</v>
      </c>
      <c r="F152" s="2">
        <v>2</v>
      </c>
    </row>
    <row r="153" spans="1:6" ht="14.25" customHeight="1">
      <c r="A153" s="2">
        <v>18</v>
      </c>
      <c r="B153" s="2">
        <v>152</v>
      </c>
      <c r="C153" s="2">
        <v>1</v>
      </c>
      <c r="D153" s="2">
        <v>1</v>
      </c>
      <c r="E153" s="2">
        <v>1.1399999999999999</v>
      </c>
      <c r="F153" s="2">
        <v>2</v>
      </c>
    </row>
    <row r="154" spans="1:6" ht="14.25" customHeight="1">
      <c r="A154" s="2">
        <v>18</v>
      </c>
      <c r="B154" s="2">
        <v>153</v>
      </c>
      <c r="C154" s="2">
        <v>4</v>
      </c>
      <c r="D154" s="2">
        <v>0</v>
      </c>
      <c r="E154" s="2">
        <v>0.92200000000000004</v>
      </c>
      <c r="F154" s="2">
        <v>2</v>
      </c>
    </row>
    <row r="155" spans="1:6" ht="14.25" customHeight="1">
      <c r="A155" s="2">
        <v>18</v>
      </c>
      <c r="B155" s="2">
        <v>154</v>
      </c>
      <c r="C155" s="2">
        <v>2</v>
      </c>
      <c r="D155" s="2">
        <v>1</v>
      </c>
      <c r="E155" s="2">
        <v>1.65</v>
      </c>
      <c r="F155" s="2">
        <v>2</v>
      </c>
    </row>
    <row r="156" spans="1:6" ht="14.25" customHeight="1">
      <c r="A156" s="2">
        <v>18</v>
      </c>
      <c r="B156" s="2">
        <v>155</v>
      </c>
      <c r="C156" s="2">
        <v>5</v>
      </c>
      <c r="D156" s="2">
        <v>1</v>
      </c>
      <c r="E156" s="2">
        <v>1.2450000000000001</v>
      </c>
      <c r="F156" s="2">
        <v>2</v>
      </c>
    </row>
    <row r="157" spans="1:6" ht="14.25" customHeight="1">
      <c r="A157" s="2">
        <v>18</v>
      </c>
      <c r="B157" s="2">
        <v>156</v>
      </c>
      <c r="C157" s="2">
        <v>2</v>
      </c>
      <c r="D157" s="2">
        <v>1</v>
      </c>
      <c r="E157" s="2">
        <v>1.7669999999999999</v>
      </c>
      <c r="F157" s="2">
        <v>1</v>
      </c>
    </row>
    <row r="158" spans="1:6" ht="14.25" customHeight="1">
      <c r="A158" s="2">
        <v>18</v>
      </c>
      <c r="B158" s="2">
        <v>157</v>
      </c>
      <c r="C158" s="2">
        <v>8</v>
      </c>
      <c r="D158" s="2">
        <v>1</v>
      </c>
      <c r="E158" s="2">
        <v>0.79700000000000004</v>
      </c>
      <c r="F158" s="2">
        <v>2</v>
      </c>
    </row>
    <row r="159" spans="1:6" ht="14.25" customHeight="1">
      <c r="A159" s="2">
        <v>18</v>
      </c>
      <c r="B159" s="2">
        <v>158</v>
      </c>
      <c r="C159" s="2">
        <v>4</v>
      </c>
      <c r="D159" s="2">
        <v>1</v>
      </c>
      <c r="E159" s="2">
        <v>1.986</v>
      </c>
      <c r="F159" s="2">
        <v>1</v>
      </c>
    </row>
    <row r="160" spans="1:6" ht="14.25" customHeight="1">
      <c r="A160" s="2">
        <v>18</v>
      </c>
      <c r="B160" s="2">
        <v>159</v>
      </c>
      <c r="C160" s="2">
        <v>7</v>
      </c>
      <c r="D160" s="2">
        <v>1</v>
      </c>
      <c r="E160" s="2">
        <v>1.5760000000000001</v>
      </c>
      <c r="F160" s="2">
        <v>2</v>
      </c>
    </row>
    <row r="161" spans="1:6" ht="14.25" customHeight="1">
      <c r="A161" s="2">
        <v>18</v>
      </c>
      <c r="B161" s="2">
        <v>160</v>
      </c>
      <c r="C161" s="2">
        <v>8</v>
      </c>
      <c r="D161" s="2">
        <v>1</v>
      </c>
      <c r="E161" s="2">
        <v>1.9159999999999999</v>
      </c>
      <c r="F161" s="2">
        <v>1</v>
      </c>
    </row>
    <row r="162" spans="1:6" ht="14.25" customHeight="1">
      <c r="A162" s="2">
        <v>18</v>
      </c>
      <c r="B162" s="2">
        <v>161</v>
      </c>
      <c r="C162" s="2">
        <v>4</v>
      </c>
      <c r="D162" s="2">
        <v>0</v>
      </c>
      <c r="E162" s="2">
        <v>1.6850000000000001</v>
      </c>
      <c r="F162" s="2">
        <v>2</v>
      </c>
    </row>
    <row r="163" spans="1:6" ht="14.25" customHeight="1">
      <c r="A163" s="2">
        <v>18</v>
      </c>
      <c r="B163" s="2">
        <v>162</v>
      </c>
      <c r="C163" s="2">
        <v>7</v>
      </c>
      <c r="D163" s="2">
        <v>1</v>
      </c>
      <c r="E163" s="2">
        <v>1.165</v>
      </c>
      <c r="F163" s="2">
        <v>1</v>
      </c>
    </row>
    <row r="164" spans="1:6" ht="14.25" customHeight="1">
      <c r="A164" s="2">
        <v>18</v>
      </c>
      <c r="B164" s="2">
        <v>163</v>
      </c>
      <c r="C164" s="2">
        <v>6</v>
      </c>
      <c r="D164" s="2">
        <v>1</v>
      </c>
      <c r="E164" s="2">
        <v>1.212</v>
      </c>
      <c r="F164" s="2">
        <v>2</v>
      </c>
    </row>
    <row r="165" spans="1:6" ht="14.25" customHeight="1">
      <c r="A165" s="2">
        <v>18</v>
      </c>
      <c r="B165" s="2">
        <v>164</v>
      </c>
      <c r="C165" s="2">
        <v>1</v>
      </c>
      <c r="D165" s="2">
        <v>1</v>
      </c>
      <c r="E165" s="2">
        <v>0.92700000000000005</v>
      </c>
      <c r="F165" s="2">
        <v>2</v>
      </c>
    </row>
    <row r="166" spans="1:6" ht="14.25" customHeight="1">
      <c r="A166" s="2">
        <v>18</v>
      </c>
      <c r="B166" s="2">
        <v>165</v>
      </c>
      <c r="C166" s="2">
        <v>5</v>
      </c>
      <c r="D166" s="2">
        <v>0</v>
      </c>
      <c r="E166" s="2">
        <v>1.4059999999999999</v>
      </c>
      <c r="F166" s="2">
        <v>2</v>
      </c>
    </row>
    <row r="167" spans="1:6" ht="14.25" customHeight="1">
      <c r="A167" s="2">
        <v>18</v>
      </c>
      <c r="B167" s="2">
        <v>166</v>
      </c>
      <c r="C167" s="2">
        <v>1</v>
      </c>
      <c r="D167" s="2">
        <v>1</v>
      </c>
      <c r="E167" s="2">
        <v>1.4670000000000001</v>
      </c>
      <c r="F167" s="2">
        <v>2</v>
      </c>
    </row>
    <row r="168" spans="1:6" ht="14.25" customHeight="1">
      <c r="A168" s="2">
        <v>18</v>
      </c>
      <c r="B168" s="2">
        <v>167</v>
      </c>
      <c r="C168" s="2">
        <v>3</v>
      </c>
      <c r="D168" s="2">
        <v>0</v>
      </c>
      <c r="E168" s="2">
        <v>1.9410000000000001</v>
      </c>
      <c r="F168" s="2">
        <v>1</v>
      </c>
    </row>
    <row r="169" spans="1:6" ht="14.25" customHeight="1">
      <c r="A169" s="2">
        <v>18</v>
      </c>
      <c r="B169" s="2">
        <v>168</v>
      </c>
      <c r="C169" s="2">
        <v>1</v>
      </c>
      <c r="E169" s="2">
        <v>2.0009999999999999</v>
      </c>
    </row>
    <row r="170" spans="1:6" ht="14.25" customHeight="1">
      <c r="A170" s="2">
        <v>18</v>
      </c>
      <c r="B170" s="2">
        <v>169</v>
      </c>
      <c r="C170" s="2">
        <v>6</v>
      </c>
      <c r="D170" s="2">
        <v>1</v>
      </c>
      <c r="E170" s="2">
        <v>1.488</v>
      </c>
      <c r="F170" s="2">
        <v>1</v>
      </c>
    </row>
    <row r="171" spans="1:6" ht="14.25" customHeight="1">
      <c r="A171" s="2">
        <v>18</v>
      </c>
      <c r="B171" s="2">
        <v>170</v>
      </c>
      <c r="C171" s="2">
        <v>2</v>
      </c>
      <c r="D171" s="2">
        <v>1</v>
      </c>
      <c r="E171" s="2">
        <v>1.4730000000000001</v>
      </c>
      <c r="F171" s="2">
        <v>1</v>
      </c>
    </row>
    <row r="172" spans="1:6" ht="14.25" customHeight="1">
      <c r="A172" s="2">
        <v>18</v>
      </c>
      <c r="B172" s="2">
        <v>171</v>
      </c>
      <c r="C172" s="2">
        <v>3</v>
      </c>
      <c r="D172" s="2">
        <v>1</v>
      </c>
      <c r="E172" s="2">
        <v>1.482</v>
      </c>
      <c r="F172" s="2">
        <v>2</v>
      </c>
    </row>
    <row r="173" spans="1:6" ht="14.25" customHeight="1">
      <c r="A173" s="2">
        <v>18</v>
      </c>
      <c r="B173" s="2">
        <v>172</v>
      </c>
      <c r="C173" s="2">
        <v>8</v>
      </c>
      <c r="D173" s="2">
        <v>1</v>
      </c>
      <c r="E173" s="2">
        <v>1.355</v>
      </c>
      <c r="F173" s="2">
        <v>2</v>
      </c>
    </row>
    <row r="174" spans="1:6" ht="14.25" customHeight="1">
      <c r="A174" s="2">
        <v>18</v>
      </c>
      <c r="B174" s="2">
        <v>173</v>
      </c>
      <c r="C174" s="2">
        <v>7</v>
      </c>
      <c r="E174" s="2">
        <v>2.0009999999999999</v>
      </c>
    </row>
    <row r="175" spans="1:6" ht="14.25" customHeight="1">
      <c r="A175" s="2">
        <v>18</v>
      </c>
      <c r="B175" s="2">
        <v>174</v>
      </c>
      <c r="C175" s="2">
        <v>8</v>
      </c>
      <c r="D175" s="2">
        <v>0</v>
      </c>
      <c r="E175" s="2">
        <v>1.206</v>
      </c>
      <c r="F175" s="2">
        <v>2</v>
      </c>
    </row>
    <row r="176" spans="1:6" ht="14.25" customHeight="1">
      <c r="A176" s="2">
        <v>18</v>
      </c>
      <c r="B176" s="2">
        <v>175</v>
      </c>
      <c r="C176" s="2">
        <v>1</v>
      </c>
      <c r="D176" s="2">
        <v>0</v>
      </c>
      <c r="E176" s="2">
        <v>1.5780000000000001</v>
      </c>
      <c r="F176" s="2">
        <v>1</v>
      </c>
    </row>
    <row r="177" spans="1:6" ht="14.25" customHeight="1">
      <c r="A177" s="2">
        <v>18</v>
      </c>
      <c r="B177" s="2">
        <v>176</v>
      </c>
      <c r="C177" s="2">
        <v>8</v>
      </c>
      <c r="D177" s="2">
        <v>0</v>
      </c>
      <c r="E177" s="2">
        <v>1.1439999999999999</v>
      </c>
      <c r="F177" s="2">
        <v>2</v>
      </c>
    </row>
    <row r="178" spans="1:6" ht="14.25" customHeight="1">
      <c r="A178" s="2">
        <v>18</v>
      </c>
      <c r="B178" s="2">
        <v>177</v>
      </c>
      <c r="C178" s="2">
        <v>6</v>
      </c>
      <c r="D178" s="2">
        <v>1</v>
      </c>
      <c r="E178" s="2">
        <v>0.81399999999999995</v>
      </c>
      <c r="F178" s="2">
        <v>2</v>
      </c>
    </row>
    <row r="179" spans="1:6" ht="14.25" customHeight="1">
      <c r="A179" s="2">
        <v>18</v>
      </c>
      <c r="B179" s="2">
        <v>178</v>
      </c>
      <c r="C179" s="2">
        <v>7</v>
      </c>
      <c r="D179" s="2">
        <v>1</v>
      </c>
      <c r="E179" s="2">
        <v>1.3939999999999999</v>
      </c>
      <c r="F179" s="2">
        <v>1</v>
      </c>
    </row>
    <row r="180" spans="1:6" ht="14.25" customHeight="1">
      <c r="A180" s="2">
        <v>18</v>
      </c>
      <c r="B180" s="2">
        <v>179</v>
      </c>
      <c r="C180" s="2">
        <v>8</v>
      </c>
      <c r="D180" s="2">
        <v>1</v>
      </c>
      <c r="E180" s="2">
        <v>1.3340000000000001</v>
      </c>
      <c r="F180" s="2">
        <v>1</v>
      </c>
    </row>
    <row r="181" spans="1:6" ht="14.25" customHeight="1">
      <c r="A181" s="2">
        <v>18</v>
      </c>
      <c r="B181" s="2">
        <v>180</v>
      </c>
      <c r="C181" s="2">
        <v>6</v>
      </c>
      <c r="D181" s="2">
        <v>0</v>
      </c>
      <c r="E181" s="2">
        <v>0.90200000000000002</v>
      </c>
      <c r="F181" s="2">
        <v>1</v>
      </c>
    </row>
    <row r="182" spans="1:6" ht="14.25" customHeight="1">
      <c r="A182" s="2">
        <v>18</v>
      </c>
      <c r="B182" s="2">
        <v>181</v>
      </c>
      <c r="C182" s="2">
        <v>2</v>
      </c>
      <c r="D182" s="2">
        <v>1</v>
      </c>
      <c r="E182" s="2">
        <v>1.2070000000000001</v>
      </c>
      <c r="F182" s="2">
        <v>1</v>
      </c>
    </row>
    <row r="183" spans="1:6" ht="14.25" customHeight="1">
      <c r="A183" s="2">
        <v>18</v>
      </c>
      <c r="B183" s="2">
        <v>182</v>
      </c>
      <c r="C183" s="2">
        <v>1</v>
      </c>
      <c r="D183" s="2">
        <v>1</v>
      </c>
      <c r="E183" s="2">
        <v>1.4019999999999999</v>
      </c>
      <c r="F183" s="2">
        <v>1</v>
      </c>
    </row>
    <row r="184" spans="1:6" ht="14.25" customHeight="1">
      <c r="A184" s="2">
        <v>18</v>
      </c>
      <c r="B184" s="2">
        <v>183</v>
      </c>
      <c r="C184" s="2">
        <v>3</v>
      </c>
      <c r="D184" s="2">
        <v>1</v>
      </c>
      <c r="E184" s="2">
        <v>1.175</v>
      </c>
      <c r="F184" s="2">
        <v>2</v>
      </c>
    </row>
    <row r="185" spans="1:6" ht="14.25" customHeight="1">
      <c r="A185" s="2">
        <v>18</v>
      </c>
      <c r="B185" s="2">
        <v>184</v>
      </c>
      <c r="C185" s="2">
        <v>5</v>
      </c>
      <c r="E185" s="2">
        <v>2.0009999999999999</v>
      </c>
    </row>
    <row r="186" spans="1:6" ht="14.25" customHeight="1">
      <c r="A186" s="2">
        <v>18</v>
      </c>
      <c r="B186" s="2">
        <v>185</v>
      </c>
      <c r="C186" s="2">
        <v>6</v>
      </c>
      <c r="D186" s="2">
        <v>1</v>
      </c>
      <c r="E186" s="2">
        <v>0.96099999999999997</v>
      </c>
      <c r="F186" s="2">
        <v>1</v>
      </c>
    </row>
    <row r="187" spans="1:6" ht="14.25" customHeight="1">
      <c r="A187" s="2">
        <v>18</v>
      </c>
      <c r="B187" s="2">
        <v>186</v>
      </c>
      <c r="C187" s="2">
        <v>5</v>
      </c>
      <c r="D187" s="2">
        <v>1</v>
      </c>
      <c r="E187" s="2">
        <v>1.1519999999999999</v>
      </c>
      <c r="F187" s="2">
        <v>1</v>
      </c>
    </row>
    <row r="188" spans="1:6" ht="14.25" customHeight="1">
      <c r="A188" s="2">
        <v>18</v>
      </c>
      <c r="B188" s="2">
        <v>187</v>
      </c>
      <c r="C188" s="2">
        <v>3</v>
      </c>
      <c r="D188" s="2">
        <v>1</v>
      </c>
      <c r="E188" s="2">
        <v>1.07</v>
      </c>
      <c r="F188" s="2">
        <v>2</v>
      </c>
    </row>
    <row r="189" spans="1:6" ht="14.25" customHeight="1">
      <c r="A189" s="2">
        <v>18</v>
      </c>
      <c r="B189" s="2">
        <v>188</v>
      </c>
      <c r="C189" s="2">
        <v>4</v>
      </c>
      <c r="D189" s="2">
        <v>1</v>
      </c>
      <c r="E189" s="2">
        <v>1.1439999999999999</v>
      </c>
      <c r="F189" s="2">
        <v>2</v>
      </c>
    </row>
    <row r="190" spans="1:6" ht="14.25" customHeight="1">
      <c r="A190" s="2">
        <v>18</v>
      </c>
      <c r="B190" s="2">
        <v>189</v>
      </c>
      <c r="C190" s="2">
        <v>6</v>
      </c>
      <c r="D190" s="2">
        <v>1</v>
      </c>
      <c r="E190" s="2">
        <v>0.95099999999999996</v>
      </c>
      <c r="F190" s="2">
        <v>2</v>
      </c>
    </row>
    <row r="191" spans="1:6" ht="14.25" customHeight="1">
      <c r="A191" s="2">
        <v>18</v>
      </c>
      <c r="B191" s="2">
        <v>190</v>
      </c>
      <c r="C191" s="2">
        <v>2</v>
      </c>
      <c r="D191" s="2">
        <v>1</v>
      </c>
      <c r="E191" s="2">
        <v>1.286</v>
      </c>
      <c r="F191" s="2">
        <v>2</v>
      </c>
    </row>
    <row r="192" spans="1:6" ht="14.25" customHeight="1">
      <c r="A192" s="2">
        <v>18</v>
      </c>
      <c r="B192" s="2">
        <v>191</v>
      </c>
      <c r="C192" s="2">
        <v>4</v>
      </c>
      <c r="D192" s="2">
        <v>1</v>
      </c>
      <c r="E192" s="2">
        <v>1.006</v>
      </c>
      <c r="F192" s="2">
        <v>1</v>
      </c>
    </row>
    <row r="193" spans="1:6" ht="14.25" customHeight="1">
      <c r="A193" s="2">
        <v>18</v>
      </c>
      <c r="B193" s="2">
        <v>192</v>
      </c>
      <c r="C193" s="2">
        <v>5</v>
      </c>
      <c r="D193" s="2">
        <v>0</v>
      </c>
      <c r="E193" s="2">
        <v>1.4510000000000001</v>
      </c>
      <c r="F193" s="2">
        <v>2</v>
      </c>
    </row>
    <row r="194" spans="1:6" ht="14.25" customHeight="1">
      <c r="A194" s="2">
        <v>18</v>
      </c>
      <c r="B194" s="2">
        <v>193</v>
      </c>
      <c r="C194" s="2">
        <v>2</v>
      </c>
      <c r="D194" s="2">
        <v>1</v>
      </c>
      <c r="E194" s="2">
        <v>0.71</v>
      </c>
      <c r="F194" s="2">
        <v>2</v>
      </c>
    </row>
    <row r="195" spans="1:6" ht="14.25" customHeight="1">
      <c r="A195" s="2">
        <v>18</v>
      </c>
      <c r="B195" s="2">
        <v>194</v>
      </c>
      <c r="C195" s="2">
        <v>5</v>
      </c>
      <c r="D195" s="2">
        <v>1</v>
      </c>
      <c r="E195" s="2">
        <v>0.73299999999999998</v>
      </c>
      <c r="F195" s="2">
        <v>2</v>
      </c>
    </row>
    <row r="196" spans="1:6" ht="14.25" customHeight="1">
      <c r="A196" s="2">
        <v>18</v>
      </c>
      <c r="B196" s="2">
        <v>195</v>
      </c>
      <c r="C196" s="2">
        <v>7</v>
      </c>
      <c r="D196" s="2">
        <v>1</v>
      </c>
      <c r="E196" s="2">
        <v>0.84499999999999997</v>
      </c>
      <c r="F196" s="2">
        <v>2</v>
      </c>
    </row>
    <row r="197" spans="1:6" ht="14.25" customHeight="1">
      <c r="A197" s="2">
        <v>18</v>
      </c>
      <c r="B197" s="2">
        <v>196</v>
      </c>
      <c r="C197" s="2">
        <v>4</v>
      </c>
      <c r="D197" s="2">
        <v>1</v>
      </c>
      <c r="E197" s="2">
        <v>0.81499999999999995</v>
      </c>
      <c r="F197" s="2">
        <v>1</v>
      </c>
    </row>
    <row r="198" spans="1:6" ht="14.25" customHeight="1">
      <c r="A198" s="2">
        <v>18</v>
      </c>
      <c r="B198" s="2">
        <v>197</v>
      </c>
      <c r="C198" s="2">
        <v>3</v>
      </c>
      <c r="D198" s="2">
        <v>1</v>
      </c>
      <c r="E198" s="2">
        <v>1.0349999999999999</v>
      </c>
      <c r="F198" s="2">
        <v>1</v>
      </c>
    </row>
    <row r="199" spans="1:6" ht="14.25" customHeight="1">
      <c r="A199" s="2">
        <v>18</v>
      </c>
      <c r="B199" s="2">
        <v>198</v>
      </c>
      <c r="C199" s="2">
        <v>7</v>
      </c>
      <c r="D199" s="2">
        <v>1</v>
      </c>
      <c r="E199" s="2">
        <v>1.391</v>
      </c>
      <c r="F199" s="2">
        <v>1</v>
      </c>
    </row>
    <row r="200" spans="1:6" ht="14.25" customHeight="1">
      <c r="A200" s="2">
        <v>18</v>
      </c>
      <c r="B200" s="2">
        <v>199</v>
      </c>
      <c r="C200" s="2">
        <v>1</v>
      </c>
      <c r="D200" s="2">
        <v>1</v>
      </c>
      <c r="E200" s="2">
        <v>0.73899999999999999</v>
      </c>
      <c r="F200" s="2">
        <v>2</v>
      </c>
    </row>
    <row r="201" spans="1:6" ht="14.25" customHeight="1">
      <c r="A201" s="2">
        <v>18</v>
      </c>
      <c r="B201" s="2">
        <v>200</v>
      </c>
      <c r="C201" s="2">
        <v>3</v>
      </c>
      <c r="D201" s="2">
        <v>0</v>
      </c>
      <c r="E201" s="2">
        <v>1.25</v>
      </c>
      <c r="F201" s="2">
        <v>2</v>
      </c>
    </row>
    <row r="202" spans="1:6" ht="14.25" customHeight="1">
      <c r="A202" s="2">
        <v>18</v>
      </c>
      <c r="B202" s="2">
        <v>201</v>
      </c>
      <c r="C202" s="2">
        <v>3</v>
      </c>
      <c r="D202" s="2">
        <v>0</v>
      </c>
      <c r="E202" s="2">
        <v>0.98799999999999999</v>
      </c>
      <c r="F202" s="2">
        <v>2</v>
      </c>
    </row>
    <row r="203" spans="1:6" ht="14.25" customHeight="1">
      <c r="A203" s="2">
        <v>18</v>
      </c>
      <c r="B203" s="2">
        <v>202</v>
      </c>
      <c r="C203" s="2">
        <v>7</v>
      </c>
      <c r="D203" s="2">
        <v>1</v>
      </c>
      <c r="E203" s="2">
        <v>0.74399999999999999</v>
      </c>
      <c r="F203" s="2">
        <v>2</v>
      </c>
    </row>
    <row r="204" spans="1:6" ht="14.25" customHeight="1">
      <c r="A204" s="2">
        <v>18</v>
      </c>
      <c r="B204" s="2">
        <v>203</v>
      </c>
      <c r="C204" s="2">
        <v>5</v>
      </c>
      <c r="D204" s="2">
        <v>1</v>
      </c>
      <c r="E204" s="2">
        <v>1.91</v>
      </c>
      <c r="F204" s="2">
        <v>1</v>
      </c>
    </row>
    <row r="205" spans="1:6" ht="14.25" customHeight="1">
      <c r="A205" s="2">
        <v>18</v>
      </c>
      <c r="B205" s="2">
        <v>204</v>
      </c>
      <c r="C205" s="2">
        <v>8</v>
      </c>
      <c r="D205" s="2">
        <v>1</v>
      </c>
      <c r="E205" s="2">
        <v>1.0149999999999999</v>
      </c>
      <c r="F205" s="2">
        <v>2</v>
      </c>
    </row>
    <row r="206" spans="1:6" ht="14.25" customHeight="1">
      <c r="A206" s="2">
        <v>18</v>
      </c>
      <c r="B206" s="2">
        <v>205</v>
      </c>
      <c r="C206" s="2">
        <v>7</v>
      </c>
      <c r="D206" s="2">
        <v>1</v>
      </c>
      <c r="E206" s="2">
        <v>0.93</v>
      </c>
      <c r="F206" s="2">
        <v>2</v>
      </c>
    </row>
    <row r="207" spans="1:6" ht="14.25" customHeight="1">
      <c r="A207" s="2">
        <v>18</v>
      </c>
      <c r="B207" s="2">
        <v>206</v>
      </c>
      <c r="C207" s="2">
        <v>4</v>
      </c>
      <c r="D207" s="2">
        <v>1</v>
      </c>
      <c r="E207" s="2">
        <v>1.962</v>
      </c>
      <c r="F207" s="2">
        <v>1</v>
      </c>
    </row>
    <row r="208" spans="1:6" ht="14.25" customHeight="1">
      <c r="A208" s="2">
        <v>18</v>
      </c>
      <c r="B208" s="2">
        <v>207</v>
      </c>
      <c r="C208" s="2">
        <v>8</v>
      </c>
      <c r="D208" s="2">
        <v>1</v>
      </c>
      <c r="E208" s="2">
        <v>0.83199999999999996</v>
      </c>
      <c r="F208" s="2">
        <v>2</v>
      </c>
    </row>
    <row r="209" spans="1:6" ht="14.25" customHeight="1">
      <c r="A209" s="2">
        <v>18</v>
      </c>
      <c r="B209" s="2">
        <v>208</v>
      </c>
      <c r="C209" s="2">
        <v>1</v>
      </c>
      <c r="D209" s="2">
        <v>1</v>
      </c>
      <c r="E209" s="2">
        <v>1.091</v>
      </c>
      <c r="F209" s="2">
        <v>1</v>
      </c>
    </row>
    <row r="210" spans="1:6" ht="14.25" customHeight="1">
      <c r="A210" s="2">
        <v>18</v>
      </c>
      <c r="B210" s="2">
        <v>209</v>
      </c>
      <c r="C210" s="2">
        <v>5</v>
      </c>
      <c r="D210" s="2">
        <v>0</v>
      </c>
      <c r="E210" s="2">
        <v>1.6759999999999999</v>
      </c>
      <c r="F210" s="2">
        <v>1</v>
      </c>
    </row>
    <row r="211" spans="1:6" ht="14.25" customHeight="1">
      <c r="A211" s="2">
        <v>18</v>
      </c>
      <c r="B211" s="2">
        <v>210</v>
      </c>
      <c r="C211" s="2">
        <v>1</v>
      </c>
      <c r="D211" s="2">
        <v>1</v>
      </c>
      <c r="E211" s="2">
        <v>1.23</v>
      </c>
      <c r="F211" s="2">
        <v>1</v>
      </c>
    </row>
    <row r="212" spans="1:6" ht="14.25" customHeight="1">
      <c r="A212" s="2">
        <v>18</v>
      </c>
      <c r="B212" s="2">
        <v>211</v>
      </c>
      <c r="C212" s="2">
        <v>5</v>
      </c>
      <c r="E212" s="2">
        <v>2.0009999999999999</v>
      </c>
    </row>
    <row r="213" spans="1:6" ht="14.25" customHeight="1">
      <c r="A213" s="2">
        <v>18</v>
      </c>
      <c r="B213" s="2">
        <v>212</v>
      </c>
      <c r="C213" s="2">
        <v>6</v>
      </c>
      <c r="D213" s="2">
        <v>1</v>
      </c>
      <c r="E213" s="2">
        <v>0.91</v>
      </c>
      <c r="F213" s="2">
        <v>1</v>
      </c>
    </row>
    <row r="214" spans="1:6" ht="14.25" customHeight="1">
      <c r="A214" s="2">
        <v>18</v>
      </c>
      <c r="B214" s="2">
        <v>213</v>
      </c>
      <c r="C214" s="2">
        <v>2</v>
      </c>
      <c r="D214" s="2">
        <v>1</v>
      </c>
      <c r="E214" s="2">
        <v>0.80500000000000005</v>
      </c>
      <c r="F214" s="2">
        <v>2</v>
      </c>
    </row>
    <row r="215" spans="1:6" ht="14.25" customHeight="1">
      <c r="A215" s="2">
        <v>18</v>
      </c>
      <c r="B215" s="2">
        <v>214</v>
      </c>
      <c r="C215" s="2">
        <v>4</v>
      </c>
      <c r="D215" s="2">
        <v>1</v>
      </c>
      <c r="E215" s="2">
        <v>0.84899999999999998</v>
      </c>
      <c r="F215" s="2">
        <v>2</v>
      </c>
    </row>
    <row r="216" spans="1:6" ht="14.25" customHeight="1">
      <c r="A216" s="2">
        <v>18</v>
      </c>
      <c r="B216" s="2">
        <v>215</v>
      </c>
      <c r="C216" s="2">
        <v>7</v>
      </c>
      <c r="D216" s="2">
        <v>1</v>
      </c>
      <c r="E216" s="2">
        <v>1.252</v>
      </c>
      <c r="F216" s="2">
        <v>1</v>
      </c>
    </row>
    <row r="217" spans="1:6" ht="14.25" customHeight="1">
      <c r="A217" s="2">
        <v>18</v>
      </c>
      <c r="B217" s="2">
        <v>216</v>
      </c>
      <c r="C217" s="2">
        <v>1</v>
      </c>
      <c r="D217" s="2">
        <v>0</v>
      </c>
      <c r="E217" s="2">
        <v>1.758</v>
      </c>
      <c r="F217" s="2">
        <v>1</v>
      </c>
    </row>
    <row r="218" spans="1:6" ht="14.25" customHeight="1">
      <c r="A218" s="2">
        <v>18</v>
      </c>
      <c r="B218" s="2">
        <v>217</v>
      </c>
      <c r="C218" s="2">
        <v>6</v>
      </c>
      <c r="D218" s="2">
        <v>0</v>
      </c>
      <c r="E218" s="2">
        <v>1.004</v>
      </c>
      <c r="F218" s="2">
        <v>1</v>
      </c>
    </row>
    <row r="219" spans="1:6" ht="14.25" customHeight="1">
      <c r="A219" s="2">
        <v>18</v>
      </c>
      <c r="B219" s="2">
        <v>218</v>
      </c>
      <c r="C219" s="2">
        <v>1</v>
      </c>
      <c r="D219" s="2">
        <v>1</v>
      </c>
      <c r="E219" s="2">
        <v>1.145</v>
      </c>
      <c r="F219" s="2">
        <v>1</v>
      </c>
    </row>
    <row r="220" spans="1:6" ht="14.25" customHeight="1">
      <c r="A220" s="2">
        <v>18</v>
      </c>
      <c r="B220" s="2">
        <v>219</v>
      </c>
      <c r="C220" s="2">
        <v>3</v>
      </c>
      <c r="D220" s="2">
        <v>1</v>
      </c>
      <c r="E220" s="2">
        <v>1.32</v>
      </c>
      <c r="F220" s="2">
        <v>1</v>
      </c>
    </row>
    <row r="221" spans="1:6" ht="14.25" customHeight="1">
      <c r="A221" s="2">
        <v>18</v>
      </c>
      <c r="B221" s="2">
        <v>220</v>
      </c>
      <c r="C221" s="2">
        <v>2</v>
      </c>
      <c r="D221" s="2">
        <v>1</v>
      </c>
      <c r="E221" s="2">
        <v>1.3029999999999999</v>
      </c>
      <c r="F221" s="2">
        <v>1</v>
      </c>
    </row>
    <row r="222" spans="1:6" ht="14.25" customHeight="1">
      <c r="A222" s="2">
        <v>18</v>
      </c>
      <c r="B222" s="2">
        <v>221</v>
      </c>
      <c r="C222" s="2">
        <v>1</v>
      </c>
      <c r="D222" s="2">
        <v>1</v>
      </c>
      <c r="E222" s="2">
        <v>1.3839999999999999</v>
      </c>
      <c r="F222" s="2">
        <v>2</v>
      </c>
    </row>
    <row r="223" spans="1:6" ht="14.25" customHeight="1">
      <c r="A223" s="2">
        <v>18</v>
      </c>
      <c r="B223" s="2">
        <v>222</v>
      </c>
      <c r="C223" s="2">
        <v>5</v>
      </c>
      <c r="D223" s="2">
        <v>1</v>
      </c>
      <c r="E223" s="2">
        <v>1.5409999999999999</v>
      </c>
      <c r="F223" s="2">
        <v>2</v>
      </c>
    </row>
    <row r="224" spans="1:6" ht="14.25" customHeight="1">
      <c r="A224" s="2">
        <v>18</v>
      </c>
      <c r="B224" s="2">
        <v>223</v>
      </c>
      <c r="C224" s="2">
        <v>4</v>
      </c>
      <c r="D224" s="2">
        <v>1</v>
      </c>
      <c r="E224" s="2">
        <v>1.1639999999999999</v>
      </c>
      <c r="F224" s="2">
        <v>2</v>
      </c>
    </row>
    <row r="225" spans="1:6" ht="14.25" customHeight="1">
      <c r="A225" s="2">
        <v>18</v>
      </c>
      <c r="B225" s="2">
        <v>224</v>
      </c>
      <c r="C225" s="2">
        <v>2</v>
      </c>
      <c r="D225" s="2">
        <v>1</v>
      </c>
      <c r="E225" s="2">
        <v>1.506</v>
      </c>
      <c r="F225" s="2">
        <v>1</v>
      </c>
    </row>
    <row r="226" spans="1:6" ht="14.25" customHeight="1">
      <c r="A226" s="2">
        <v>18</v>
      </c>
      <c r="B226" s="2">
        <v>225</v>
      </c>
      <c r="C226" s="2">
        <v>3</v>
      </c>
      <c r="D226" s="2">
        <v>1</v>
      </c>
      <c r="E226" s="2">
        <v>1.905</v>
      </c>
      <c r="F226" s="2">
        <v>2</v>
      </c>
    </row>
    <row r="227" spans="1:6" ht="14.25" customHeight="1">
      <c r="A227" s="2">
        <v>18</v>
      </c>
      <c r="B227" s="2">
        <v>226</v>
      </c>
      <c r="C227" s="2">
        <v>7</v>
      </c>
      <c r="D227" s="2">
        <v>1</v>
      </c>
      <c r="E227" s="2">
        <v>1.393</v>
      </c>
      <c r="F227" s="2">
        <v>1</v>
      </c>
    </row>
    <row r="228" spans="1:6" ht="14.25" customHeight="1">
      <c r="A228" s="2">
        <v>18</v>
      </c>
      <c r="B228" s="2">
        <v>227</v>
      </c>
      <c r="C228" s="2">
        <v>4</v>
      </c>
      <c r="D228" s="2">
        <v>1</v>
      </c>
      <c r="E228" s="2">
        <v>1.27</v>
      </c>
      <c r="F228" s="2">
        <v>2</v>
      </c>
    </row>
    <row r="229" spans="1:6" ht="14.25" customHeight="1">
      <c r="A229" s="2">
        <v>18</v>
      </c>
      <c r="B229" s="2">
        <v>228</v>
      </c>
      <c r="C229" s="2">
        <v>8</v>
      </c>
      <c r="E229" s="2">
        <v>2</v>
      </c>
    </row>
    <row r="230" spans="1:6" ht="14.25" customHeight="1">
      <c r="A230" s="2">
        <v>18</v>
      </c>
      <c r="B230" s="2">
        <v>229</v>
      </c>
      <c r="C230" s="2">
        <v>4</v>
      </c>
      <c r="D230" s="2">
        <v>1</v>
      </c>
      <c r="E230" s="2">
        <v>1.0529999999999999</v>
      </c>
      <c r="F230" s="2">
        <v>1</v>
      </c>
    </row>
    <row r="231" spans="1:6" ht="14.25" customHeight="1">
      <c r="A231" s="2">
        <v>18</v>
      </c>
      <c r="B231" s="2">
        <v>230</v>
      </c>
      <c r="C231" s="2">
        <v>2</v>
      </c>
      <c r="D231" s="2">
        <v>1</v>
      </c>
      <c r="E231" s="2">
        <v>1.1679999999999999</v>
      </c>
      <c r="F231" s="2">
        <v>2</v>
      </c>
    </row>
    <row r="232" spans="1:6" ht="14.25" customHeight="1">
      <c r="A232" s="2">
        <v>18</v>
      </c>
      <c r="B232" s="2">
        <v>231</v>
      </c>
      <c r="C232" s="2">
        <v>8</v>
      </c>
      <c r="D232" s="2">
        <v>1</v>
      </c>
      <c r="E232" s="2">
        <v>0.95</v>
      </c>
      <c r="F232" s="2">
        <v>1</v>
      </c>
    </row>
    <row r="233" spans="1:6" ht="14.25" customHeight="1">
      <c r="A233" s="2">
        <v>18</v>
      </c>
      <c r="B233" s="2">
        <v>232</v>
      </c>
      <c r="C233" s="2">
        <v>6</v>
      </c>
      <c r="D233" s="2">
        <v>0</v>
      </c>
      <c r="E233" s="2">
        <v>1.5409999999999999</v>
      </c>
      <c r="F233" s="2">
        <v>2</v>
      </c>
    </row>
    <row r="234" spans="1:6" ht="14.25" customHeight="1">
      <c r="A234" s="2">
        <v>18</v>
      </c>
      <c r="B234" s="2">
        <v>233</v>
      </c>
      <c r="C234" s="2">
        <v>1</v>
      </c>
      <c r="D234" s="2">
        <v>1</v>
      </c>
      <c r="E234" s="2">
        <v>0.95499999999999996</v>
      </c>
      <c r="F234" s="2">
        <v>2</v>
      </c>
    </row>
    <row r="235" spans="1:6" ht="14.25" customHeight="1">
      <c r="A235" s="2">
        <v>18</v>
      </c>
      <c r="B235" s="2">
        <v>234</v>
      </c>
      <c r="C235" s="2">
        <v>4</v>
      </c>
      <c r="D235" s="2">
        <v>1</v>
      </c>
      <c r="E235" s="2">
        <v>1.2010000000000001</v>
      </c>
      <c r="F235" s="2">
        <v>2</v>
      </c>
    </row>
    <row r="236" spans="1:6" ht="14.25" customHeight="1">
      <c r="A236" s="2">
        <v>18</v>
      </c>
      <c r="B236" s="2">
        <v>235</v>
      </c>
      <c r="C236" s="2">
        <v>8</v>
      </c>
      <c r="D236" s="2">
        <v>1</v>
      </c>
      <c r="E236" s="2">
        <v>1.494</v>
      </c>
      <c r="F236" s="2">
        <v>1</v>
      </c>
    </row>
    <row r="237" spans="1:6" ht="14.25" customHeight="1">
      <c r="A237" s="2">
        <v>18</v>
      </c>
      <c r="B237" s="2">
        <v>236</v>
      </c>
      <c r="C237" s="2">
        <v>7</v>
      </c>
      <c r="D237" s="2">
        <v>1</v>
      </c>
      <c r="E237" s="2">
        <v>1.575</v>
      </c>
      <c r="F237" s="2">
        <v>1</v>
      </c>
    </row>
    <row r="238" spans="1:6" ht="14.25" customHeight="1">
      <c r="A238" s="2">
        <v>18</v>
      </c>
      <c r="B238" s="2">
        <v>237</v>
      </c>
      <c r="C238" s="2">
        <v>3</v>
      </c>
      <c r="D238" s="2">
        <v>1</v>
      </c>
      <c r="E238" s="2">
        <v>1.1399999999999999</v>
      </c>
      <c r="F238" s="2">
        <v>2</v>
      </c>
    </row>
    <row r="239" spans="1:6" ht="14.25" customHeight="1">
      <c r="A239" s="2">
        <v>18</v>
      </c>
      <c r="B239" s="2">
        <v>238</v>
      </c>
      <c r="C239" s="2">
        <v>2</v>
      </c>
      <c r="D239" s="2">
        <v>0</v>
      </c>
      <c r="E239" s="2">
        <v>1.7070000000000001</v>
      </c>
      <c r="F239" s="2">
        <v>1</v>
      </c>
    </row>
    <row r="240" spans="1:6" ht="14.25" customHeight="1">
      <c r="A240" s="2">
        <v>18</v>
      </c>
      <c r="B240" s="2">
        <v>239</v>
      </c>
      <c r="C240" s="2">
        <v>8</v>
      </c>
      <c r="D240" s="2">
        <v>1</v>
      </c>
      <c r="E240" s="2">
        <v>1.403</v>
      </c>
      <c r="F240" s="2">
        <v>2</v>
      </c>
    </row>
    <row r="241" spans="1:6" ht="14.25" customHeight="1">
      <c r="A241" s="2">
        <v>18</v>
      </c>
      <c r="B241" s="2">
        <v>240</v>
      </c>
      <c r="C241" s="2">
        <v>6</v>
      </c>
      <c r="D241" s="2">
        <v>1</v>
      </c>
      <c r="E241" s="2">
        <v>1.0629999999999999</v>
      </c>
      <c r="F241" s="2">
        <v>2</v>
      </c>
    </row>
    <row r="242" spans="1:6" ht="14.25" customHeight="1">
      <c r="A242" s="2">
        <v>18</v>
      </c>
      <c r="B242" s="2">
        <v>241</v>
      </c>
      <c r="C242" s="2">
        <v>7</v>
      </c>
      <c r="D242" s="2">
        <v>1</v>
      </c>
      <c r="E242" s="2">
        <v>1.1930000000000001</v>
      </c>
      <c r="F242" s="2">
        <v>1</v>
      </c>
    </row>
    <row r="243" spans="1:6" ht="14.25" customHeight="1">
      <c r="A243" s="2">
        <v>18</v>
      </c>
      <c r="B243" s="2">
        <v>242</v>
      </c>
      <c r="C243" s="2">
        <v>6</v>
      </c>
      <c r="D243" s="2">
        <v>1</v>
      </c>
      <c r="E243" s="2">
        <v>1.542</v>
      </c>
      <c r="F243" s="2">
        <v>1</v>
      </c>
    </row>
    <row r="244" spans="1:6" ht="14.25" customHeight="1">
      <c r="A244" s="2">
        <v>18</v>
      </c>
      <c r="B244" s="2">
        <v>243</v>
      </c>
      <c r="C244" s="2">
        <v>3</v>
      </c>
      <c r="D244" s="2">
        <v>1</v>
      </c>
      <c r="E244" s="2">
        <v>1.4610000000000001</v>
      </c>
      <c r="F244" s="2">
        <v>2</v>
      </c>
    </row>
    <row r="245" spans="1:6" ht="14.25" customHeight="1">
      <c r="A245" s="2">
        <v>18</v>
      </c>
      <c r="B245" s="2">
        <v>244</v>
      </c>
      <c r="C245" s="2">
        <v>1</v>
      </c>
      <c r="D245" s="2">
        <v>1</v>
      </c>
      <c r="E245" s="2">
        <v>0.91800000000000004</v>
      </c>
      <c r="F245" s="2">
        <v>2</v>
      </c>
    </row>
    <row r="246" spans="1:6" ht="14.25" customHeight="1">
      <c r="A246" s="2">
        <v>18</v>
      </c>
      <c r="B246" s="2">
        <v>245</v>
      </c>
      <c r="C246" s="2">
        <v>3</v>
      </c>
      <c r="D246" s="2">
        <v>1</v>
      </c>
      <c r="E246" s="2">
        <v>1.0149999999999999</v>
      </c>
      <c r="F246" s="2">
        <v>2</v>
      </c>
    </row>
    <row r="247" spans="1:6" ht="14.25" customHeight="1">
      <c r="A247" s="2">
        <v>18</v>
      </c>
      <c r="B247" s="2">
        <v>246</v>
      </c>
      <c r="C247" s="2">
        <v>5</v>
      </c>
      <c r="D247" s="2">
        <v>1</v>
      </c>
      <c r="E247" s="2">
        <v>1.0189999999999999</v>
      </c>
      <c r="F247" s="2">
        <v>1</v>
      </c>
    </row>
    <row r="248" spans="1:6" ht="14.25" customHeight="1">
      <c r="A248" s="2">
        <v>18</v>
      </c>
      <c r="B248" s="2">
        <v>247</v>
      </c>
      <c r="C248" s="2">
        <v>6</v>
      </c>
      <c r="D248" s="2">
        <v>1</v>
      </c>
      <c r="E248" s="2">
        <v>1.407</v>
      </c>
      <c r="F248" s="2">
        <v>1</v>
      </c>
    </row>
    <row r="249" spans="1:6" ht="14.25" customHeight="1">
      <c r="A249" s="2">
        <v>18</v>
      </c>
      <c r="B249" s="2">
        <v>248</v>
      </c>
      <c r="C249" s="2">
        <v>5</v>
      </c>
      <c r="D249" s="2">
        <v>1</v>
      </c>
      <c r="E249" s="2">
        <v>1.3069999999999999</v>
      </c>
      <c r="F249" s="2">
        <v>1</v>
      </c>
    </row>
    <row r="250" spans="1:6" ht="14.25" customHeight="1">
      <c r="A250" s="2">
        <v>18</v>
      </c>
      <c r="B250" s="2">
        <v>249</v>
      </c>
      <c r="C250" s="2">
        <v>7</v>
      </c>
      <c r="D250" s="2">
        <v>1</v>
      </c>
      <c r="E250" s="2">
        <v>1.5069999999999999</v>
      </c>
      <c r="F250" s="2">
        <v>2</v>
      </c>
    </row>
    <row r="251" spans="1:6" ht="14.25" customHeight="1">
      <c r="A251" s="2">
        <v>18</v>
      </c>
      <c r="B251" s="2">
        <v>250</v>
      </c>
      <c r="C251" s="2">
        <v>2</v>
      </c>
      <c r="D251" s="2">
        <v>1</v>
      </c>
      <c r="E251" s="2">
        <v>1.619</v>
      </c>
      <c r="F251" s="2">
        <v>1</v>
      </c>
    </row>
    <row r="252" spans="1:6" ht="14.25" customHeight="1">
      <c r="A252" s="2">
        <v>18</v>
      </c>
      <c r="B252" s="2">
        <v>251</v>
      </c>
      <c r="C252" s="2">
        <v>2</v>
      </c>
      <c r="D252" s="2">
        <v>0</v>
      </c>
      <c r="E252" s="2">
        <v>1.798</v>
      </c>
      <c r="F252" s="2">
        <v>2</v>
      </c>
    </row>
    <row r="253" spans="1:6" ht="14.25" customHeight="1">
      <c r="A253" s="2">
        <v>18</v>
      </c>
      <c r="B253" s="2">
        <v>252</v>
      </c>
      <c r="C253" s="2">
        <v>5</v>
      </c>
      <c r="D253" s="2">
        <v>1</v>
      </c>
      <c r="E253" s="2">
        <v>1.3859999999999999</v>
      </c>
      <c r="F253" s="2">
        <v>2</v>
      </c>
    </row>
    <row r="254" spans="1:6" ht="14.25" customHeight="1">
      <c r="A254" s="2">
        <v>18</v>
      </c>
      <c r="B254" s="2">
        <v>253</v>
      </c>
      <c r="C254" s="2">
        <v>1</v>
      </c>
      <c r="D254" s="2">
        <v>1</v>
      </c>
      <c r="E254" s="2">
        <v>1.847</v>
      </c>
      <c r="F254" s="2">
        <v>1</v>
      </c>
    </row>
    <row r="255" spans="1:6" ht="14.25" customHeight="1">
      <c r="A255" s="2">
        <v>18</v>
      </c>
      <c r="B255" s="2">
        <v>254</v>
      </c>
      <c r="C255" s="2">
        <v>3</v>
      </c>
      <c r="D255" s="2">
        <v>1</v>
      </c>
      <c r="E255" s="2">
        <v>1.8340000000000001</v>
      </c>
      <c r="F255" s="2">
        <v>2</v>
      </c>
    </row>
    <row r="256" spans="1:6" ht="14.25" customHeight="1">
      <c r="A256" s="2">
        <v>18</v>
      </c>
      <c r="B256" s="2">
        <v>255</v>
      </c>
      <c r="C256" s="2">
        <v>7</v>
      </c>
      <c r="D256" s="2">
        <v>1</v>
      </c>
      <c r="E256" s="2">
        <v>1.637</v>
      </c>
      <c r="F256" s="2">
        <v>2</v>
      </c>
    </row>
    <row r="257" spans="1:6" ht="14.25" customHeight="1">
      <c r="A257" s="2">
        <v>18</v>
      </c>
      <c r="B257" s="2">
        <v>256</v>
      </c>
      <c r="C257" s="2">
        <v>6</v>
      </c>
      <c r="D257" s="2">
        <v>1</v>
      </c>
      <c r="E257" s="2">
        <v>1.536</v>
      </c>
      <c r="F257" s="2">
        <v>1</v>
      </c>
    </row>
    <row r="258" spans="1:6" ht="14.25" customHeight="1">
      <c r="A258" s="2">
        <v>18</v>
      </c>
      <c r="B258" s="2">
        <v>257</v>
      </c>
      <c r="C258" s="2">
        <v>7</v>
      </c>
      <c r="D258" s="2">
        <v>1</v>
      </c>
      <c r="E258" s="2">
        <v>0.98399999999999999</v>
      </c>
      <c r="F258" s="2">
        <v>2</v>
      </c>
    </row>
    <row r="259" spans="1:6" ht="14.25" customHeight="1">
      <c r="A259" s="2">
        <v>18</v>
      </c>
      <c r="B259" s="2">
        <v>258</v>
      </c>
      <c r="C259" s="2">
        <v>6</v>
      </c>
      <c r="D259" s="2">
        <v>1</v>
      </c>
      <c r="E259" s="2">
        <v>1.181</v>
      </c>
      <c r="F259" s="2">
        <v>1</v>
      </c>
    </row>
    <row r="260" spans="1:6" ht="14.25" customHeight="1">
      <c r="A260" s="2">
        <v>18</v>
      </c>
      <c r="B260" s="2">
        <v>259</v>
      </c>
      <c r="C260" s="2">
        <v>3</v>
      </c>
      <c r="D260" s="2">
        <v>0</v>
      </c>
      <c r="E260" s="2">
        <v>1.4750000000000001</v>
      </c>
      <c r="F260" s="2">
        <v>1</v>
      </c>
    </row>
    <row r="261" spans="1:6" ht="14.25" customHeight="1">
      <c r="A261" s="2">
        <v>18</v>
      </c>
      <c r="B261" s="2">
        <v>260</v>
      </c>
      <c r="C261" s="2">
        <v>1</v>
      </c>
      <c r="D261" s="2">
        <v>1</v>
      </c>
      <c r="E261" s="2">
        <v>1.0840000000000001</v>
      </c>
      <c r="F261" s="2">
        <v>1</v>
      </c>
    </row>
    <row r="262" spans="1:6" ht="14.25" customHeight="1">
      <c r="A262" s="2">
        <v>18</v>
      </c>
      <c r="B262" s="2">
        <v>261</v>
      </c>
      <c r="C262" s="2">
        <v>3</v>
      </c>
      <c r="D262" s="2">
        <v>1</v>
      </c>
      <c r="E262" s="2">
        <v>1.909</v>
      </c>
      <c r="F262" s="2">
        <v>1</v>
      </c>
    </row>
    <row r="263" spans="1:6" ht="14.25" customHeight="1">
      <c r="A263" s="2">
        <v>18</v>
      </c>
      <c r="B263" s="2">
        <v>262</v>
      </c>
      <c r="C263" s="2">
        <v>8</v>
      </c>
      <c r="D263" s="2">
        <v>1</v>
      </c>
      <c r="E263" s="2">
        <v>1.0449999999999999</v>
      </c>
      <c r="F263" s="2">
        <v>1</v>
      </c>
    </row>
    <row r="264" spans="1:6" ht="14.25" customHeight="1">
      <c r="A264" s="2">
        <v>18</v>
      </c>
      <c r="B264" s="2">
        <v>263</v>
      </c>
      <c r="C264" s="2">
        <v>4</v>
      </c>
      <c r="D264" s="2">
        <v>1</v>
      </c>
      <c r="E264" s="2">
        <v>1.3109999999999999</v>
      </c>
      <c r="F264" s="2">
        <v>2</v>
      </c>
    </row>
    <row r="265" spans="1:6" ht="14.25" customHeight="1">
      <c r="A265" s="2">
        <v>18</v>
      </c>
      <c r="B265" s="2">
        <v>264</v>
      </c>
      <c r="C265" s="2">
        <v>6</v>
      </c>
      <c r="D265" s="2">
        <v>1</v>
      </c>
      <c r="E265" s="2">
        <v>1.671</v>
      </c>
      <c r="F265" s="2">
        <v>2</v>
      </c>
    </row>
    <row r="266" spans="1:6" ht="14.25" customHeight="1">
      <c r="A266" s="2">
        <v>18</v>
      </c>
      <c r="B266" s="2">
        <v>265</v>
      </c>
      <c r="C266" s="2">
        <v>5</v>
      </c>
      <c r="D266" s="2">
        <v>1</v>
      </c>
      <c r="E266" s="2">
        <v>1.6719999999999999</v>
      </c>
      <c r="F266" s="2">
        <v>1</v>
      </c>
    </row>
    <row r="267" spans="1:6" ht="14.25" customHeight="1">
      <c r="A267" s="2">
        <v>18</v>
      </c>
      <c r="B267" s="2">
        <v>266</v>
      </c>
      <c r="C267" s="2">
        <v>6</v>
      </c>
      <c r="D267" s="2">
        <v>1</v>
      </c>
      <c r="E267" s="2">
        <v>1.49</v>
      </c>
      <c r="F267" s="2">
        <v>2</v>
      </c>
    </row>
    <row r="268" spans="1:6" ht="14.25" customHeight="1">
      <c r="A268" s="2">
        <v>18</v>
      </c>
      <c r="B268" s="2">
        <v>267</v>
      </c>
      <c r="C268" s="2">
        <v>2</v>
      </c>
      <c r="D268" s="2">
        <v>1</v>
      </c>
      <c r="E268" s="2">
        <v>1.6579999999999999</v>
      </c>
      <c r="F268" s="2">
        <v>2</v>
      </c>
    </row>
    <row r="269" spans="1:6" ht="14.25" customHeight="1">
      <c r="A269" s="2">
        <v>18</v>
      </c>
      <c r="B269" s="2">
        <v>268</v>
      </c>
      <c r="C269" s="2">
        <v>1</v>
      </c>
      <c r="D269" s="2">
        <v>1</v>
      </c>
      <c r="E269" s="2">
        <v>1.325</v>
      </c>
      <c r="F269" s="2">
        <v>1</v>
      </c>
    </row>
    <row r="270" spans="1:6" ht="14.25" customHeight="1">
      <c r="A270" s="2">
        <v>18</v>
      </c>
      <c r="B270" s="2">
        <v>269</v>
      </c>
      <c r="C270" s="2">
        <v>8</v>
      </c>
      <c r="D270" s="2">
        <v>1</v>
      </c>
      <c r="E270" s="2">
        <v>1.532</v>
      </c>
      <c r="F270" s="2">
        <v>1</v>
      </c>
    </row>
    <row r="271" spans="1:6" ht="14.25" customHeight="1">
      <c r="A271" s="2">
        <v>18</v>
      </c>
      <c r="B271" s="2">
        <v>270</v>
      </c>
      <c r="C271" s="2">
        <v>4</v>
      </c>
      <c r="E271" s="2">
        <v>2</v>
      </c>
    </row>
    <row r="272" spans="1:6" ht="14.25" customHeight="1">
      <c r="A272" s="2">
        <v>18</v>
      </c>
      <c r="B272" s="2">
        <v>271</v>
      </c>
      <c r="C272" s="2">
        <v>6</v>
      </c>
      <c r="D272" s="2">
        <v>1</v>
      </c>
      <c r="E272" s="2">
        <v>1.1519999999999999</v>
      </c>
      <c r="F272" s="2">
        <v>2</v>
      </c>
    </row>
    <row r="273" spans="1:6" ht="14.25" customHeight="1">
      <c r="A273" s="2">
        <v>18</v>
      </c>
      <c r="B273" s="2">
        <v>272</v>
      </c>
      <c r="C273" s="2">
        <v>3</v>
      </c>
      <c r="E273" s="2">
        <v>2</v>
      </c>
    </row>
    <row r="274" spans="1:6" ht="14.25" customHeight="1">
      <c r="A274" s="2">
        <v>18</v>
      </c>
      <c r="B274" s="2">
        <v>273</v>
      </c>
      <c r="C274" s="2">
        <v>2</v>
      </c>
      <c r="D274" s="2">
        <v>0</v>
      </c>
      <c r="E274" s="2">
        <v>1.109</v>
      </c>
      <c r="F274" s="2">
        <v>1</v>
      </c>
    </row>
    <row r="275" spans="1:6" ht="14.25" customHeight="1">
      <c r="A275" s="2">
        <v>18</v>
      </c>
      <c r="B275" s="2">
        <v>274</v>
      </c>
      <c r="C275" s="2">
        <v>5</v>
      </c>
      <c r="D275" s="2">
        <v>1</v>
      </c>
      <c r="E275" s="2">
        <v>0.66</v>
      </c>
      <c r="F275" s="2">
        <v>1</v>
      </c>
    </row>
    <row r="276" spans="1:6" ht="14.25" customHeight="1">
      <c r="A276" s="2">
        <v>18</v>
      </c>
      <c r="B276" s="2">
        <v>275</v>
      </c>
      <c r="C276" s="2">
        <v>1</v>
      </c>
      <c r="D276" s="2">
        <v>1</v>
      </c>
      <c r="E276" s="2">
        <v>1.1020000000000001</v>
      </c>
      <c r="F276" s="2">
        <v>2</v>
      </c>
    </row>
    <row r="277" spans="1:6" ht="14.25" customHeight="1">
      <c r="A277" s="2">
        <v>18</v>
      </c>
      <c r="B277" s="2">
        <v>276</v>
      </c>
      <c r="C277" s="2">
        <v>2</v>
      </c>
      <c r="D277" s="2">
        <v>1</v>
      </c>
      <c r="E277" s="2">
        <v>1.4390000000000001</v>
      </c>
      <c r="F277" s="2">
        <v>1</v>
      </c>
    </row>
    <row r="278" spans="1:6" ht="14.25" customHeight="1">
      <c r="A278" s="2">
        <v>18</v>
      </c>
      <c r="B278" s="2">
        <v>277</v>
      </c>
      <c r="C278" s="2">
        <v>8</v>
      </c>
      <c r="D278" s="2">
        <v>1</v>
      </c>
      <c r="E278" s="2">
        <v>1.21</v>
      </c>
      <c r="F278" s="2">
        <v>2</v>
      </c>
    </row>
    <row r="279" spans="1:6" ht="14.25" customHeight="1">
      <c r="A279" s="2">
        <v>18</v>
      </c>
      <c r="B279" s="2">
        <v>278</v>
      </c>
      <c r="C279" s="2">
        <v>7</v>
      </c>
      <c r="D279" s="2">
        <v>1</v>
      </c>
      <c r="E279" s="2">
        <v>1.038</v>
      </c>
      <c r="F279" s="2">
        <v>1</v>
      </c>
    </row>
    <row r="280" spans="1:6" ht="14.25" customHeight="1">
      <c r="A280" s="2">
        <v>18</v>
      </c>
      <c r="B280" s="2">
        <v>279</v>
      </c>
      <c r="C280" s="2">
        <v>1</v>
      </c>
      <c r="D280" s="2">
        <v>1</v>
      </c>
      <c r="E280" s="2">
        <v>1.7290000000000001</v>
      </c>
      <c r="F280" s="2">
        <v>1</v>
      </c>
    </row>
    <row r="281" spans="1:6" ht="14.25" customHeight="1">
      <c r="A281" s="2">
        <v>18</v>
      </c>
      <c r="B281" s="2">
        <v>280</v>
      </c>
      <c r="C281" s="2">
        <v>4</v>
      </c>
      <c r="D281" s="2">
        <v>1</v>
      </c>
      <c r="E281" s="2">
        <v>1.7370000000000001</v>
      </c>
      <c r="F281" s="2">
        <v>2</v>
      </c>
    </row>
    <row r="282" spans="1:6" ht="14.25" customHeight="1">
      <c r="A282" s="2">
        <v>18</v>
      </c>
      <c r="B282" s="2">
        <v>281</v>
      </c>
      <c r="C282" s="2">
        <v>5</v>
      </c>
      <c r="D282" s="2">
        <v>1</v>
      </c>
      <c r="E282" s="2">
        <v>1.6080000000000001</v>
      </c>
      <c r="F282" s="2">
        <v>1</v>
      </c>
    </row>
    <row r="283" spans="1:6" ht="14.25" customHeight="1">
      <c r="A283" s="2">
        <v>18</v>
      </c>
      <c r="B283" s="2">
        <v>282</v>
      </c>
      <c r="C283" s="2">
        <v>7</v>
      </c>
      <c r="D283" s="2">
        <v>1</v>
      </c>
      <c r="E283" s="2">
        <v>1.1559999999999999</v>
      </c>
      <c r="F283" s="2">
        <v>1</v>
      </c>
    </row>
    <row r="284" spans="1:6" ht="14.25" customHeight="1">
      <c r="A284" s="2">
        <v>18</v>
      </c>
      <c r="B284" s="2">
        <v>283</v>
      </c>
      <c r="C284" s="2">
        <v>5</v>
      </c>
      <c r="D284" s="2">
        <v>1</v>
      </c>
      <c r="E284" s="2">
        <v>1.33</v>
      </c>
      <c r="F284" s="2">
        <v>2</v>
      </c>
    </row>
    <row r="285" spans="1:6" ht="14.25" customHeight="1">
      <c r="A285" s="2">
        <v>18</v>
      </c>
      <c r="B285" s="2">
        <v>284</v>
      </c>
      <c r="C285" s="2">
        <v>2</v>
      </c>
      <c r="D285" s="2">
        <v>1</v>
      </c>
      <c r="E285" s="2">
        <v>1.218</v>
      </c>
      <c r="F285" s="2">
        <v>2</v>
      </c>
    </row>
    <row r="286" spans="1:6" ht="14.25" customHeight="1">
      <c r="A286" s="2">
        <v>18</v>
      </c>
      <c r="B286" s="2">
        <v>285</v>
      </c>
      <c r="C286" s="2">
        <v>8</v>
      </c>
      <c r="D286" s="2">
        <v>1</v>
      </c>
      <c r="E286" s="2">
        <v>1.9650000000000001</v>
      </c>
      <c r="F286" s="2">
        <v>1</v>
      </c>
    </row>
    <row r="287" spans="1:6" ht="14.25" customHeight="1">
      <c r="A287" s="2">
        <v>18</v>
      </c>
      <c r="B287" s="2">
        <v>286</v>
      </c>
      <c r="C287" s="2">
        <v>1</v>
      </c>
      <c r="D287" s="2">
        <v>1</v>
      </c>
      <c r="E287" s="2">
        <v>0.79500000000000004</v>
      </c>
      <c r="F287" s="2">
        <v>1</v>
      </c>
    </row>
    <row r="288" spans="1:6" ht="14.25" customHeight="1">
      <c r="A288" s="2">
        <v>18</v>
      </c>
      <c r="B288" s="2">
        <v>287</v>
      </c>
      <c r="C288" s="2">
        <v>4</v>
      </c>
      <c r="D288" s="2">
        <v>0</v>
      </c>
      <c r="E288" s="2">
        <v>0.752</v>
      </c>
      <c r="F288" s="2">
        <v>1</v>
      </c>
    </row>
    <row r="289" spans="1:6" ht="14.25" customHeight="1">
      <c r="A289" s="2">
        <v>18</v>
      </c>
      <c r="B289" s="2">
        <v>288</v>
      </c>
      <c r="C289" s="2">
        <v>2</v>
      </c>
      <c r="D289" s="2">
        <v>1</v>
      </c>
      <c r="E289" s="2">
        <v>1.1100000000000001</v>
      </c>
      <c r="F289" s="2">
        <v>2</v>
      </c>
    </row>
    <row r="290" spans="1:6" ht="14.25" customHeight="1">
      <c r="A290" s="2">
        <v>18</v>
      </c>
      <c r="B290" s="2">
        <v>289</v>
      </c>
      <c r="C290" s="2">
        <v>8</v>
      </c>
      <c r="D290" s="2">
        <v>1</v>
      </c>
      <c r="E290" s="2">
        <v>1.4870000000000001</v>
      </c>
      <c r="F290" s="2">
        <v>2</v>
      </c>
    </row>
    <row r="291" spans="1:6" ht="14.25" customHeight="1">
      <c r="A291" s="2">
        <v>18</v>
      </c>
      <c r="B291" s="2">
        <v>290</v>
      </c>
      <c r="C291" s="2">
        <v>5</v>
      </c>
      <c r="D291" s="2">
        <v>1</v>
      </c>
      <c r="E291" s="2">
        <v>1.36</v>
      </c>
      <c r="F291" s="2">
        <v>2</v>
      </c>
    </row>
    <row r="292" spans="1:6" ht="14.25" customHeight="1">
      <c r="A292" s="2">
        <v>18</v>
      </c>
      <c r="B292" s="2">
        <v>291</v>
      </c>
      <c r="C292" s="2">
        <v>7</v>
      </c>
      <c r="D292" s="2">
        <v>1</v>
      </c>
      <c r="E292" s="2">
        <v>1.022</v>
      </c>
      <c r="F292" s="2">
        <v>1</v>
      </c>
    </row>
    <row r="293" spans="1:6" ht="14.25" customHeight="1">
      <c r="A293" s="2">
        <v>18</v>
      </c>
      <c r="B293" s="2">
        <v>292</v>
      </c>
      <c r="C293" s="2">
        <v>3</v>
      </c>
      <c r="D293" s="2">
        <v>1</v>
      </c>
      <c r="E293" s="2">
        <v>1.266</v>
      </c>
      <c r="F293" s="2">
        <v>1</v>
      </c>
    </row>
    <row r="294" spans="1:6" ht="14.25" customHeight="1">
      <c r="A294" s="2">
        <v>18</v>
      </c>
      <c r="B294" s="2">
        <v>293</v>
      </c>
      <c r="C294" s="2">
        <v>7</v>
      </c>
      <c r="D294" s="2">
        <v>1</v>
      </c>
      <c r="E294" s="2">
        <v>1.331</v>
      </c>
      <c r="F294" s="2">
        <v>2</v>
      </c>
    </row>
    <row r="295" spans="1:6" ht="14.25" customHeight="1">
      <c r="A295" s="2">
        <v>18</v>
      </c>
      <c r="B295" s="2">
        <v>294</v>
      </c>
      <c r="C295" s="2">
        <v>4</v>
      </c>
      <c r="D295" s="2">
        <v>1</v>
      </c>
      <c r="E295" s="2">
        <v>0.90600000000000003</v>
      </c>
      <c r="F295" s="2">
        <v>2</v>
      </c>
    </row>
    <row r="296" spans="1:6" ht="14.25" customHeight="1">
      <c r="A296" s="2">
        <v>18</v>
      </c>
      <c r="B296" s="2">
        <v>295</v>
      </c>
      <c r="C296" s="2">
        <v>8</v>
      </c>
      <c r="D296" s="2">
        <v>1</v>
      </c>
      <c r="E296" s="2">
        <v>0.92200000000000004</v>
      </c>
      <c r="F296" s="2">
        <v>2</v>
      </c>
    </row>
    <row r="297" spans="1:6" ht="14.25" customHeight="1">
      <c r="A297" s="2">
        <v>18</v>
      </c>
      <c r="B297" s="2">
        <v>296</v>
      </c>
      <c r="C297" s="2">
        <v>6</v>
      </c>
      <c r="D297" s="2">
        <v>1</v>
      </c>
      <c r="E297" s="2">
        <v>1.202</v>
      </c>
      <c r="F297" s="2">
        <v>1</v>
      </c>
    </row>
    <row r="298" spans="1:6" ht="14.25" customHeight="1">
      <c r="A298" s="2">
        <v>18</v>
      </c>
      <c r="B298" s="2">
        <v>297</v>
      </c>
      <c r="C298" s="2">
        <v>1</v>
      </c>
      <c r="D298" s="2">
        <v>1</v>
      </c>
      <c r="E298" s="2">
        <v>1.07</v>
      </c>
      <c r="F298" s="2">
        <v>1</v>
      </c>
    </row>
    <row r="299" spans="1:6" ht="14.25" customHeight="1">
      <c r="A299" s="2">
        <v>18</v>
      </c>
      <c r="B299" s="2">
        <v>298</v>
      </c>
      <c r="C299" s="2">
        <v>7</v>
      </c>
      <c r="D299" s="2">
        <v>1</v>
      </c>
      <c r="E299" s="2">
        <v>1.609</v>
      </c>
      <c r="F299" s="2">
        <v>1</v>
      </c>
    </row>
    <row r="300" spans="1:6" ht="14.25" customHeight="1">
      <c r="A300" s="2">
        <v>18</v>
      </c>
      <c r="B300" s="2">
        <v>299</v>
      </c>
      <c r="C300" s="2">
        <v>3</v>
      </c>
      <c r="D300" s="2">
        <v>1</v>
      </c>
      <c r="E300" s="2">
        <v>0.88500000000000001</v>
      </c>
      <c r="F300" s="2">
        <v>2</v>
      </c>
    </row>
    <row r="301" spans="1:6" ht="14.25" customHeight="1">
      <c r="A301" s="2">
        <v>18</v>
      </c>
      <c r="B301" s="2">
        <v>300</v>
      </c>
      <c r="C301" s="2">
        <v>4</v>
      </c>
      <c r="D301" s="2">
        <v>1</v>
      </c>
      <c r="E301" s="2">
        <v>1.6779999999999999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19</v>
      </c>
      <c r="I1" s="2">
        <v>151</v>
      </c>
      <c r="J1" s="2">
        <v>4</v>
      </c>
      <c r="K1" s="2">
        <v>1</v>
      </c>
      <c r="L1" s="2">
        <v>1.5269999999999999</v>
      </c>
    </row>
    <row r="2" spans="1:22" ht="14.25" customHeight="1">
      <c r="A2" s="2">
        <v>19</v>
      </c>
      <c r="B2" s="2">
        <v>1</v>
      </c>
      <c r="C2" s="2">
        <v>1</v>
      </c>
      <c r="E2" s="2">
        <v>2.0019999999999998</v>
      </c>
      <c r="H2" s="2">
        <v>19</v>
      </c>
      <c r="I2" s="2">
        <v>152</v>
      </c>
      <c r="J2" s="2">
        <v>5</v>
      </c>
      <c r="K2" s="2">
        <v>1</v>
      </c>
      <c r="L2" s="2">
        <v>0.71</v>
      </c>
    </row>
    <row r="3" spans="1:22" ht="14.25" customHeight="1">
      <c r="A3" s="2">
        <v>19</v>
      </c>
      <c r="B3" s="2">
        <v>2</v>
      </c>
      <c r="C3" s="2">
        <v>8</v>
      </c>
      <c r="D3" s="2">
        <v>0</v>
      </c>
      <c r="E3" s="2">
        <v>0.91200000000000003</v>
      </c>
      <c r="F3" s="2">
        <v>2</v>
      </c>
      <c r="H3" s="2">
        <v>19</v>
      </c>
      <c r="I3" s="2">
        <v>153</v>
      </c>
      <c r="J3" s="2">
        <v>3</v>
      </c>
      <c r="K3" s="2">
        <v>1</v>
      </c>
      <c r="L3" s="2">
        <v>0.55000000000000004</v>
      </c>
    </row>
    <row r="4" spans="1:22" ht="14.25" customHeight="1">
      <c r="A4" s="2">
        <v>19</v>
      </c>
      <c r="B4" s="2">
        <v>3</v>
      </c>
      <c r="C4" s="2">
        <v>7</v>
      </c>
      <c r="D4" s="2">
        <v>1</v>
      </c>
      <c r="E4" s="2">
        <v>0.81299999999999994</v>
      </c>
      <c r="F4" s="2">
        <v>1</v>
      </c>
      <c r="H4" s="2">
        <v>19</v>
      </c>
      <c r="I4" s="2">
        <v>154</v>
      </c>
      <c r="J4" s="2">
        <v>6</v>
      </c>
      <c r="K4" s="2">
        <v>1</v>
      </c>
      <c r="L4" s="2">
        <v>0.98099999999999998</v>
      </c>
      <c r="O4" s="2" t="s">
        <v>6</v>
      </c>
    </row>
    <row r="5" spans="1:22" ht="14.25" customHeight="1">
      <c r="A5" s="2">
        <v>19</v>
      </c>
      <c r="B5" s="2">
        <v>4</v>
      </c>
      <c r="C5" s="2">
        <v>4</v>
      </c>
      <c r="D5" s="2">
        <v>0</v>
      </c>
      <c r="E5" s="2">
        <v>0.77600000000000002</v>
      </c>
      <c r="F5" s="2">
        <v>2</v>
      </c>
      <c r="H5" s="2">
        <v>19</v>
      </c>
      <c r="I5" s="2">
        <v>155</v>
      </c>
      <c r="J5" s="2">
        <v>8</v>
      </c>
      <c r="K5" s="2">
        <v>1</v>
      </c>
      <c r="L5" s="2">
        <v>1.3220000000000001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19</v>
      </c>
      <c r="B6" s="2">
        <v>5</v>
      </c>
      <c r="C6" s="2">
        <v>1</v>
      </c>
      <c r="D6" s="2">
        <v>1</v>
      </c>
      <c r="E6" s="2">
        <v>0.72499999999999998</v>
      </c>
      <c r="F6" s="2">
        <v>2</v>
      </c>
      <c r="H6" s="2">
        <v>19</v>
      </c>
      <c r="I6" s="2">
        <v>156</v>
      </c>
      <c r="J6" s="2">
        <v>7</v>
      </c>
      <c r="K6" s="2">
        <v>1</v>
      </c>
      <c r="L6" s="2">
        <v>0.63300000000000001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19</v>
      </c>
      <c r="B7" s="2">
        <v>6</v>
      </c>
      <c r="C7" s="2">
        <v>2</v>
      </c>
      <c r="D7" s="2">
        <v>0</v>
      </c>
      <c r="E7" s="2">
        <v>0.79700000000000004</v>
      </c>
      <c r="F7" s="2">
        <v>2</v>
      </c>
      <c r="H7" s="2">
        <v>19</v>
      </c>
      <c r="I7" s="2">
        <v>157</v>
      </c>
      <c r="J7" s="2">
        <v>1</v>
      </c>
      <c r="K7" s="2">
        <v>1</v>
      </c>
      <c r="L7" s="2">
        <v>0.94899999999999995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19</v>
      </c>
      <c r="B8" s="2">
        <v>7</v>
      </c>
      <c r="C8" s="2">
        <v>6</v>
      </c>
      <c r="D8" s="2">
        <v>1</v>
      </c>
      <c r="E8" s="2">
        <v>1.1539999999999999</v>
      </c>
      <c r="F8" s="2">
        <v>2</v>
      </c>
      <c r="H8" s="2">
        <v>19</v>
      </c>
      <c r="I8" s="2">
        <v>158</v>
      </c>
      <c r="J8" s="2">
        <v>7</v>
      </c>
      <c r="K8" s="2">
        <v>0</v>
      </c>
      <c r="L8" s="2">
        <v>1.075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19</v>
      </c>
      <c r="B9" s="2">
        <v>8</v>
      </c>
      <c r="C9" s="2">
        <v>1</v>
      </c>
      <c r="D9" s="2">
        <v>1</v>
      </c>
      <c r="E9" s="2">
        <v>1.0549999999999999</v>
      </c>
      <c r="F9" s="2">
        <v>2</v>
      </c>
      <c r="H9" s="2">
        <v>19</v>
      </c>
      <c r="I9" s="2">
        <v>159</v>
      </c>
      <c r="J9" s="2">
        <v>8</v>
      </c>
      <c r="K9" s="2">
        <v>1</v>
      </c>
      <c r="L9" s="2">
        <v>1.5009999999999999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19</v>
      </c>
      <c r="B10" s="2">
        <v>9</v>
      </c>
      <c r="C10" s="2">
        <v>3</v>
      </c>
      <c r="D10" s="2">
        <v>0</v>
      </c>
      <c r="E10" s="2">
        <v>0.45700000000000002</v>
      </c>
      <c r="F10" s="2">
        <v>1</v>
      </c>
      <c r="H10" s="2">
        <v>19</v>
      </c>
      <c r="I10" s="2">
        <v>160</v>
      </c>
      <c r="J10" s="2">
        <v>7</v>
      </c>
      <c r="K10" s="2">
        <v>1</v>
      </c>
      <c r="L10" s="2">
        <v>0.63700000000000001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19</v>
      </c>
      <c r="B11" s="2">
        <v>10</v>
      </c>
      <c r="C11" s="2">
        <v>4</v>
      </c>
      <c r="D11" s="2">
        <v>0</v>
      </c>
      <c r="E11" s="2">
        <v>0.90800000000000003</v>
      </c>
      <c r="F11" s="2">
        <v>2</v>
      </c>
      <c r="H11" s="2">
        <v>19</v>
      </c>
      <c r="I11" s="2">
        <v>161</v>
      </c>
      <c r="J11" s="2">
        <v>8</v>
      </c>
      <c r="K11" s="2">
        <v>0</v>
      </c>
      <c r="L11" s="2">
        <v>1.3680000000000001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19</v>
      </c>
      <c r="B12" s="2">
        <v>11</v>
      </c>
      <c r="C12" s="2">
        <v>2</v>
      </c>
      <c r="D12" s="2">
        <v>0</v>
      </c>
      <c r="E12" s="2">
        <v>0.78600000000000003</v>
      </c>
      <c r="F12" s="2">
        <v>2</v>
      </c>
      <c r="H12" s="2">
        <v>19</v>
      </c>
      <c r="I12" s="2">
        <v>162</v>
      </c>
      <c r="J12" s="2">
        <v>3</v>
      </c>
      <c r="K12" s="2">
        <v>1</v>
      </c>
      <c r="L12" s="2">
        <v>1.2450000000000001</v>
      </c>
    </row>
    <row r="13" spans="1:22" ht="14.25" customHeight="1">
      <c r="A13" s="2">
        <v>19</v>
      </c>
      <c r="B13" s="2">
        <v>12</v>
      </c>
      <c r="C13" s="2">
        <v>3</v>
      </c>
      <c r="D13" s="2">
        <v>0</v>
      </c>
      <c r="E13" s="2">
        <v>1.351</v>
      </c>
      <c r="F13" s="2">
        <v>1</v>
      </c>
      <c r="H13" s="2">
        <v>19</v>
      </c>
      <c r="I13" s="2">
        <v>163</v>
      </c>
      <c r="J13" s="2">
        <v>4</v>
      </c>
      <c r="K13" s="2">
        <v>1</v>
      </c>
      <c r="L13" s="2">
        <v>1.2470000000000001</v>
      </c>
    </row>
    <row r="14" spans="1:22" ht="14.25" customHeight="1">
      <c r="A14" s="2">
        <v>19</v>
      </c>
      <c r="B14" s="2">
        <v>13</v>
      </c>
      <c r="C14" s="2">
        <v>2</v>
      </c>
      <c r="D14" s="2">
        <v>1</v>
      </c>
      <c r="E14" s="2">
        <v>1.3740000000000001</v>
      </c>
      <c r="F14" s="2">
        <v>1</v>
      </c>
      <c r="H14" s="2">
        <v>19</v>
      </c>
      <c r="I14" s="2">
        <v>164</v>
      </c>
      <c r="J14" s="2">
        <v>5</v>
      </c>
      <c r="K14" s="2">
        <v>1</v>
      </c>
      <c r="L14" s="2">
        <v>1.0489999999999999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19</v>
      </c>
      <c r="B15" s="2">
        <v>14</v>
      </c>
      <c r="C15" s="2">
        <v>5</v>
      </c>
      <c r="D15" s="2">
        <v>0</v>
      </c>
      <c r="E15" s="2">
        <v>1.2190000000000001</v>
      </c>
      <c r="F15" s="2">
        <v>1</v>
      </c>
      <c r="H15" s="2">
        <v>19</v>
      </c>
      <c r="I15" s="2">
        <v>165</v>
      </c>
      <c r="J15" s="2">
        <v>2</v>
      </c>
      <c r="K15" s="2">
        <v>1</v>
      </c>
      <c r="L15" s="2">
        <v>1.0129999999999999</v>
      </c>
      <c r="O15" s="2" t="s">
        <v>9</v>
      </c>
    </row>
    <row r="16" spans="1:22" ht="14.25" customHeight="1">
      <c r="A16" s="2">
        <v>19</v>
      </c>
      <c r="B16" s="2">
        <v>15</v>
      </c>
      <c r="C16" s="2">
        <v>8</v>
      </c>
      <c r="D16" s="2">
        <v>1</v>
      </c>
      <c r="E16" s="2">
        <v>1.0389999999999999</v>
      </c>
      <c r="F16" s="2">
        <v>1</v>
      </c>
      <c r="H16" s="2">
        <v>19</v>
      </c>
      <c r="I16" s="2">
        <v>166</v>
      </c>
      <c r="J16" s="2">
        <v>8</v>
      </c>
      <c r="K16" s="2">
        <v>1</v>
      </c>
      <c r="L16" s="2">
        <v>1.5209999999999999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19</v>
      </c>
      <c r="B17" s="2">
        <v>16</v>
      </c>
      <c r="C17" s="2">
        <v>4</v>
      </c>
      <c r="D17" s="2">
        <v>0</v>
      </c>
      <c r="E17" s="2">
        <v>1.5940000000000001</v>
      </c>
      <c r="F17" s="2">
        <v>2</v>
      </c>
      <c r="H17" s="2">
        <v>19</v>
      </c>
      <c r="I17" s="2">
        <v>167</v>
      </c>
      <c r="J17" s="2">
        <v>6</v>
      </c>
      <c r="K17" s="2">
        <v>1</v>
      </c>
      <c r="L17" s="2">
        <v>0.98299999999999998</v>
      </c>
      <c r="N17" s="2">
        <v>1</v>
      </c>
      <c r="O17" s="2">
        <f t="shared" ref="O17:O22" si="0">(O6*COUNTIF($J$1:$J$50,O$16) - COUNTIFS($J$1:$J$50,O$16,$K$1:$K$50,"=1"))^2</f>
        <v>9.0000000000000427E-2</v>
      </c>
      <c r="P17" s="2">
        <f t="shared" ref="P17:P22" si="1">(P6*COUNTIF($J$1:$J$50,P$16) - COUNTIFS($J$1:$J$50,P$16,$K$1:$K$50,"=0"))^2</f>
        <v>9.0000000000000024E-2</v>
      </c>
      <c r="Q17" s="2">
        <f t="shared" ref="Q17:Q22" si="2">(Q6*COUNTIF($J$1:$J$50,Q$16) - COUNTIFS($J$1:$J$50,Q$16,$K$1:$K$50,"=1"))^2</f>
        <v>9.0000000000000427E-2</v>
      </c>
      <c r="R17" s="2">
        <f t="shared" ref="R17:R22" si="3">(R6*COUNTIF($J$1:$J$50,R$16) - COUNTIFS($J$1:$J$50,R$16,$K$1:$K$50,"=0"))^2</f>
        <v>0.12250000000000003</v>
      </c>
      <c r="S17" s="2">
        <f t="shared" ref="S17:T17" si="4">(S6*COUNTIF($J$1:$J$50,S$16) - COUNTIFS($J$1:$J$50,S$16,$K$1:$K$50,"=1"))^2</f>
        <v>9.0000000000000427E-2</v>
      </c>
      <c r="T17" s="2">
        <f t="shared" si="4"/>
        <v>9.0000000000000427E-2</v>
      </c>
      <c r="U17" s="2">
        <f t="shared" ref="U17:V17" si="5">(U6*COUNTIF($J$1:$J$50,U$16) - COUNTIFS($J$1:$J$50,U$16,$K$1:$K$50,"=0"))^2</f>
        <v>0.48999999999999994</v>
      </c>
      <c r="V17" s="2">
        <f t="shared" si="5"/>
        <v>0.42249999999999988</v>
      </c>
    </row>
    <row r="18" spans="1:22" ht="14.25" customHeight="1">
      <c r="A18" s="2">
        <v>19</v>
      </c>
      <c r="B18" s="2">
        <v>17</v>
      </c>
      <c r="C18" s="2">
        <v>5</v>
      </c>
      <c r="D18" s="2">
        <v>1</v>
      </c>
      <c r="E18" s="2">
        <v>1.758</v>
      </c>
      <c r="F18" s="2">
        <v>2</v>
      </c>
      <c r="H18" s="2">
        <v>19</v>
      </c>
      <c r="I18" s="2">
        <v>168</v>
      </c>
      <c r="J18" s="2">
        <v>4</v>
      </c>
      <c r="K18" s="2">
        <v>1</v>
      </c>
      <c r="L18" s="2">
        <v>1.581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32.49</v>
      </c>
      <c r="R18" s="2">
        <f t="shared" si="3"/>
        <v>0.12250000000000003</v>
      </c>
      <c r="S18" s="2">
        <f t="shared" ref="S18:T18" si="6">(S7*COUNTIF($J$1:$J$50,S$16) - COUNTIFS($J$1:$J$50,S$16,$K$1:$K$50,"=1"))^2</f>
        <v>9.0000000000000427E-2</v>
      </c>
      <c r="T18" s="2">
        <f t="shared" si="6"/>
        <v>9.0000000000000427E-2</v>
      </c>
      <c r="U18" s="2">
        <f t="shared" ref="U18:V18" si="7">(U7*COUNTIF($J$1:$J$50,U$16) - COUNTIFS($J$1:$J$50,U$16,$K$1:$K$50,"=0"))^2</f>
        <v>0.48999999999999994</v>
      </c>
      <c r="V18" s="2">
        <f t="shared" si="7"/>
        <v>0.42249999999999988</v>
      </c>
    </row>
    <row r="19" spans="1:22" ht="14.25" customHeight="1">
      <c r="A19" s="2">
        <v>19</v>
      </c>
      <c r="B19" s="2">
        <v>18</v>
      </c>
      <c r="C19" s="2">
        <v>1</v>
      </c>
      <c r="D19" s="2">
        <v>0</v>
      </c>
      <c r="E19" s="2">
        <v>1.86</v>
      </c>
      <c r="F19" s="2">
        <v>1</v>
      </c>
      <c r="H19" s="2">
        <v>19</v>
      </c>
      <c r="I19" s="2">
        <v>169</v>
      </c>
      <c r="J19" s="2">
        <v>5</v>
      </c>
      <c r="K19" s="2">
        <v>1</v>
      </c>
      <c r="L19" s="2">
        <v>1.091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9.0000000000000427E-2</v>
      </c>
      <c r="R19" s="2">
        <f t="shared" si="3"/>
        <v>0.12250000000000003</v>
      </c>
      <c r="S19" s="2">
        <f t="shared" ref="S19:T19" si="8">(S8*COUNTIF($J$1:$J$50,S$16) - COUNTIFS($J$1:$J$50,S$16,$K$1:$K$50,"=1"))^2</f>
        <v>9.0000000000000427E-2</v>
      </c>
      <c r="T19" s="2">
        <f t="shared" si="8"/>
        <v>32.49</v>
      </c>
      <c r="U19" s="2">
        <f t="shared" ref="U19:V19" si="9">(U8*COUNTIF($J$1:$J$50,U$16) - COUNTIFS($J$1:$J$50,U$16,$K$1:$K$50,"=0"))^2</f>
        <v>22.089999999999993</v>
      </c>
      <c r="V19" s="2">
        <f t="shared" si="9"/>
        <v>0.42249999999999988</v>
      </c>
    </row>
    <row r="20" spans="1:22" ht="14.25" customHeight="1">
      <c r="A20" s="2">
        <v>19</v>
      </c>
      <c r="B20" s="2">
        <v>19</v>
      </c>
      <c r="C20" s="2">
        <v>4</v>
      </c>
      <c r="D20" s="2">
        <v>1</v>
      </c>
      <c r="E20" s="2">
        <v>1.79</v>
      </c>
      <c r="F20" s="2">
        <v>1</v>
      </c>
      <c r="H20" s="2">
        <v>19</v>
      </c>
      <c r="I20" s="2">
        <v>170</v>
      </c>
      <c r="J20" s="2">
        <v>4</v>
      </c>
      <c r="K20" s="2">
        <v>1</v>
      </c>
      <c r="L20" s="2">
        <v>0.69899999999999995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9</v>
      </c>
      <c r="R20" s="2">
        <f t="shared" si="3"/>
        <v>12.25</v>
      </c>
      <c r="S20" s="2">
        <f t="shared" ref="S20:T20" si="10">(S9*COUNTIF($J$1:$J$50,S$16) - COUNTIFS($J$1:$J$50,S$16,$K$1:$K$50,"=1"))^2</f>
        <v>9.0000000000000427E-2</v>
      </c>
      <c r="T20" s="2">
        <f t="shared" si="10"/>
        <v>9.0000000000000427E-2</v>
      </c>
      <c r="U20" s="2">
        <f t="shared" ref="U20:V20" si="11">(U9*COUNTIF($J$1:$J$50,U$16) - COUNTIFS($J$1:$J$50,U$16,$K$1:$K$50,"=0"))^2</f>
        <v>0.48999999999999994</v>
      </c>
      <c r="V20" s="2">
        <f t="shared" si="11"/>
        <v>0.42249999999999988</v>
      </c>
    </row>
    <row r="21" spans="1:22" ht="14.25" customHeight="1">
      <c r="A21" s="2">
        <v>19</v>
      </c>
      <c r="B21" s="2">
        <v>20</v>
      </c>
      <c r="C21" s="2">
        <v>8</v>
      </c>
      <c r="E21" s="2">
        <v>2.0009999999999999</v>
      </c>
      <c r="H21" s="2">
        <v>19</v>
      </c>
      <c r="I21" s="2">
        <v>171</v>
      </c>
      <c r="J21" s="2">
        <v>5</v>
      </c>
      <c r="K21" s="2">
        <v>1</v>
      </c>
      <c r="L21" s="2">
        <v>0.63500000000000001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9.0000000000000427E-2</v>
      </c>
      <c r="R21" s="2">
        <f t="shared" si="3"/>
        <v>0.12250000000000003</v>
      </c>
      <c r="S21" s="2">
        <f t="shared" ref="S21:T21" si="12">(S10*COUNTIF($J$1:$J$50,S$16) - COUNTIFS($J$1:$J$50,S$16,$K$1:$K$50,"=1"))^2</f>
        <v>9</v>
      </c>
      <c r="T21" s="2">
        <f t="shared" si="12"/>
        <v>9</v>
      </c>
      <c r="U21" s="2">
        <f t="shared" ref="U21:V21" si="13">(U10*COUNTIF($J$1:$J$50,U$16) - COUNTIFS($J$1:$J$50,U$16,$K$1:$K$50,"=0"))^2</f>
        <v>4</v>
      </c>
      <c r="V21" s="2">
        <f t="shared" si="13"/>
        <v>6.25</v>
      </c>
    </row>
    <row r="22" spans="1:22" ht="14.25" customHeight="1">
      <c r="A22" s="2">
        <v>19</v>
      </c>
      <c r="B22" s="2">
        <v>21</v>
      </c>
      <c r="C22" s="2">
        <v>7</v>
      </c>
      <c r="D22" s="2">
        <v>0</v>
      </c>
      <c r="E22" s="2">
        <v>0.879</v>
      </c>
      <c r="F22" s="2">
        <v>2</v>
      </c>
      <c r="H22" s="2">
        <v>19</v>
      </c>
      <c r="I22" s="2">
        <v>172</v>
      </c>
      <c r="J22" s="2">
        <v>2</v>
      </c>
      <c r="K22" s="2">
        <v>1</v>
      </c>
      <c r="L22" s="2">
        <v>1.0629999999999999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9</v>
      </c>
      <c r="R22" s="2">
        <f t="shared" si="3"/>
        <v>12.25</v>
      </c>
      <c r="S22" s="2">
        <f t="shared" ref="S22:T22" si="14">(S11*COUNTIF($J$1:$J$50,S$16) - COUNTIFS($J$1:$J$50,S$16,$K$1:$K$50,"=1"))^2</f>
        <v>9</v>
      </c>
      <c r="T22" s="2">
        <f t="shared" si="14"/>
        <v>9</v>
      </c>
      <c r="U22" s="2">
        <f t="shared" ref="U22:V22" si="15">(U11*COUNTIF($J$1:$J$50,U$16) - COUNTIFS($J$1:$J$50,U$16,$K$1:$K$50,"=0"))^2</f>
        <v>4</v>
      </c>
      <c r="V22" s="2">
        <f t="shared" si="15"/>
        <v>6.25</v>
      </c>
    </row>
    <row r="23" spans="1:22" ht="14.25" customHeight="1">
      <c r="A23" s="2">
        <v>19</v>
      </c>
      <c r="B23" s="2">
        <v>22</v>
      </c>
      <c r="C23" s="2">
        <v>5</v>
      </c>
      <c r="D23" s="2">
        <v>0</v>
      </c>
      <c r="E23" s="2">
        <v>0.95299999999999996</v>
      </c>
      <c r="F23" s="2">
        <v>1</v>
      </c>
      <c r="H23" s="2">
        <v>19</v>
      </c>
      <c r="I23" s="2">
        <v>173</v>
      </c>
      <c r="J23" s="2">
        <v>6</v>
      </c>
      <c r="K23" s="2">
        <v>1</v>
      </c>
      <c r="L23" s="2">
        <v>1.4319999999999999</v>
      </c>
    </row>
    <row r="24" spans="1:22" ht="14.25" customHeight="1">
      <c r="A24" s="2">
        <v>19</v>
      </c>
      <c r="B24" s="2">
        <v>23</v>
      </c>
      <c r="C24" s="2">
        <v>3</v>
      </c>
      <c r="D24" s="2">
        <v>0</v>
      </c>
      <c r="E24" s="2">
        <v>0.66300000000000003</v>
      </c>
      <c r="F24" s="2">
        <v>1</v>
      </c>
      <c r="H24" s="2">
        <v>19</v>
      </c>
      <c r="I24" s="2">
        <v>174</v>
      </c>
      <c r="J24" s="2">
        <v>3</v>
      </c>
      <c r="K24" s="2">
        <v>1</v>
      </c>
      <c r="L24" s="2">
        <v>0.97199999999999998</v>
      </c>
    </row>
    <row r="25" spans="1:22" ht="14.25" customHeight="1">
      <c r="A25" s="2">
        <v>19</v>
      </c>
      <c r="B25" s="2">
        <v>24</v>
      </c>
      <c r="C25" s="2">
        <v>4</v>
      </c>
      <c r="D25" s="2">
        <v>1</v>
      </c>
      <c r="E25" s="2">
        <v>0.73699999999999999</v>
      </c>
      <c r="F25" s="2">
        <v>1</v>
      </c>
      <c r="H25" s="2">
        <v>19</v>
      </c>
      <c r="I25" s="2">
        <v>175</v>
      </c>
      <c r="J25" s="2">
        <v>6</v>
      </c>
      <c r="K25" s="2">
        <v>1</v>
      </c>
      <c r="L25" s="2">
        <v>0.68100000000000005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19</v>
      </c>
      <c r="B26" s="2">
        <v>25</v>
      </c>
      <c r="C26" s="2">
        <v>8</v>
      </c>
      <c r="D26" s="2">
        <v>1</v>
      </c>
      <c r="E26" s="2">
        <v>1.2310000000000001</v>
      </c>
      <c r="F26" s="2">
        <v>1</v>
      </c>
      <c r="H26" s="2">
        <v>19</v>
      </c>
      <c r="I26" s="2">
        <v>176</v>
      </c>
      <c r="J26" s="2">
        <v>1</v>
      </c>
      <c r="K26" s="2">
        <v>1</v>
      </c>
      <c r="L26" s="2">
        <v>1.163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36</v>
      </c>
      <c r="R26" s="2">
        <f t="shared" si="16"/>
        <v>49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49</v>
      </c>
    </row>
    <row r="27" spans="1:22" ht="14.25" customHeight="1">
      <c r="A27" s="2">
        <v>19</v>
      </c>
      <c r="B27" s="2">
        <v>26</v>
      </c>
      <c r="C27" s="2">
        <v>6</v>
      </c>
      <c r="D27" s="2">
        <v>1</v>
      </c>
      <c r="E27" s="2">
        <v>1.131</v>
      </c>
      <c r="F27" s="2">
        <v>2</v>
      </c>
      <c r="H27" s="2">
        <v>19</v>
      </c>
      <c r="I27" s="2">
        <v>177</v>
      </c>
      <c r="J27" s="2">
        <v>7</v>
      </c>
      <c r="K27" s="2">
        <v>1</v>
      </c>
      <c r="L27" s="2">
        <v>0.64</v>
      </c>
    </row>
    <row r="28" spans="1:22" ht="14.25" customHeight="1">
      <c r="A28" s="2">
        <v>19</v>
      </c>
      <c r="B28" s="2">
        <v>27</v>
      </c>
      <c r="C28" s="2">
        <v>7</v>
      </c>
      <c r="D28" s="2">
        <v>1</v>
      </c>
      <c r="E28" s="2">
        <v>1.3540000000000001</v>
      </c>
      <c r="F28" s="2">
        <v>1</v>
      </c>
      <c r="H28" s="2">
        <v>19</v>
      </c>
      <c r="I28" s="2">
        <v>178</v>
      </c>
      <c r="J28" s="2">
        <v>4</v>
      </c>
      <c r="K28" s="2">
        <v>1</v>
      </c>
      <c r="L28" s="2">
        <v>0.89900000000000002</v>
      </c>
    </row>
    <row r="29" spans="1:22" ht="14.25" customHeight="1">
      <c r="A29" s="2">
        <v>19</v>
      </c>
      <c r="B29" s="2">
        <v>28</v>
      </c>
      <c r="C29" s="2">
        <v>5</v>
      </c>
      <c r="D29" s="2">
        <v>1</v>
      </c>
      <c r="E29" s="2">
        <v>0.94399999999999995</v>
      </c>
      <c r="F29" s="2">
        <v>2</v>
      </c>
      <c r="H29" s="2">
        <v>19</v>
      </c>
      <c r="I29" s="2">
        <v>179</v>
      </c>
      <c r="J29" s="2">
        <v>3</v>
      </c>
      <c r="K29" s="2">
        <v>1</v>
      </c>
      <c r="L29" s="2">
        <v>0.58799999999999997</v>
      </c>
    </row>
    <row r="30" spans="1:22" ht="14.25" customHeight="1">
      <c r="A30" s="2">
        <v>19</v>
      </c>
      <c r="B30" s="2">
        <v>29</v>
      </c>
      <c r="C30" s="2">
        <v>8</v>
      </c>
      <c r="D30" s="2">
        <v>1</v>
      </c>
      <c r="E30" s="2">
        <v>1.175</v>
      </c>
      <c r="F30" s="2">
        <v>1</v>
      </c>
      <c r="H30" s="2">
        <v>19</v>
      </c>
      <c r="I30" s="2">
        <v>180</v>
      </c>
      <c r="J30" s="2">
        <v>6</v>
      </c>
      <c r="K30" s="2">
        <v>1</v>
      </c>
      <c r="L30" s="2">
        <v>0.752</v>
      </c>
    </row>
    <row r="31" spans="1:22" ht="14.25" customHeight="1">
      <c r="A31" s="2">
        <v>19</v>
      </c>
      <c r="B31" s="2">
        <v>30</v>
      </c>
      <c r="C31" s="2">
        <v>6</v>
      </c>
      <c r="D31" s="2">
        <v>1</v>
      </c>
      <c r="E31" s="2">
        <v>0.92400000000000004</v>
      </c>
      <c r="F31" s="2">
        <v>2</v>
      </c>
      <c r="H31" s="2">
        <v>19</v>
      </c>
      <c r="I31" s="2">
        <v>181</v>
      </c>
      <c r="J31" s="2">
        <v>7</v>
      </c>
      <c r="K31" s="2">
        <v>1</v>
      </c>
      <c r="L31" s="2">
        <v>1.4059999999999999</v>
      </c>
      <c r="N31" s="2">
        <v>1</v>
      </c>
      <c r="O31" s="2">
        <f t="shared" ref="O31:O36" si="17">SUM(O17:V17)/(SUM($O$26:$V$26))</f>
        <v>4.7292993630573292E-3</v>
      </c>
    </row>
    <row r="32" spans="1:22" ht="14.25" customHeight="1">
      <c r="A32" s="2">
        <v>19</v>
      </c>
      <c r="B32" s="2">
        <v>31</v>
      </c>
      <c r="C32" s="2">
        <v>3</v>
      </c>
      <c r="D32" s="2">
        <v>1</v>
      </c>
      <c r="E32" s="2">
        <v>1.732</v>
      </c>
      <c r="F32" s="2">
        <v>2</v>
      </c>
      <c r="H32" s="2">
        <v>19</v>
      </c>
      <c r="I32" s="2">
        <v>182</v>
      </c>
      <c r="J32" s="2">
        <v>2</v>
      </c>
      <c r="K32" s="2">
        <v>1</v>
      </c>
      <c r="L32" s="2">
        <v>0.81100000000000005</v>
      </c>
      <c r="N32" s="2">
        <v>2</v>
      </c>
      <c r="O32" s="2">
        <f t="shared" si="17"/>
        <v>0.21109872611464967</v>
      </c>
    </row>
    <row r="33" spans="1:15" ht="14.25" customHeight="1">
      <c r="A33" s="2">
        <v>19</v>
      </c>
      <c r="B33" s="2">
        <v>32</v>
      </c>
      <c r="C33" s="2">
        <v>5</v>
      </c>
      <c r="E33" s="2">
        <v>2.0009999999999999</v>
      </c>
      <c r="H33" s="2">
        <v>19</v>
      </c>
      <c r="I33" s="2">
        <v>183</v>
      </c>
      <c r="J33" s="2">
        <v>4</v>
      </c>
      <c r="K33" s="2">
        <v>1</v>
      </c>
      <c r="L33" s="2">
        <v>0.78200000000000003</v>
      </c>
      <c r="N33" s="2">
        <v>3</v>
      </c>
      <c r="O33" s="2">
        <f t="shared" si="17"/>
        <v>0.17670382165605095</v>
      </c>
    </row>
    <row r="34" spans="1:15" ht="14.25" customHeight="1">
      <c r="A34" s="2">
        <v>19</v>
      </c>
      <c r="B34" s="2">
        <v>33</v>
      </c>
      <c r="C34" s="2">
        <v>3</v>
      </c>
      <c r="D34" s="2">
        <v>0</v>
      </c>
      <c r="E34" s="2">
        <v>0.78300000000000003</v>
      </c>
      <c r="F34" s="2">
        <v>1</v>
      </c>
      <c r="H34" s="2">
        <v>19</v>
      </c>
      <c r="I34" s="2">
        <v>184</v>
      </c>
      <c r="J34" s="2">
        <v>2</v>
      </c>
      <c r="K34" s="2">
        <v>1</v>
      </c>
      <c r="L34" s="2">
        <v>0.86</v>
      </c>
      <c r="N34" s="2">
        <v>4</v>
      </c>
      <c r="O34" s="2">
        <f t="shared" si="17"/>
        <v>0.12847929936305735</v>
      </c>
    </row>
    <row r="35" spans="1:15" ht="14.25" customHeight="1">
      <c r="A35" s="2">
        <v>19</v>
      </c>
      <c r="B35" s="2">
        <v>34</v>
      </c>
      <c r="C35" s="2">
        <v>6</v>
      </c>
      <c r="D35" s="2">
        <v>1</v>
      </c>
      <c r="E35" s="2">
        <v>0.86</v>
      </c>
      <c r="F35" s="2">
        <v>2</v>
      </c>
      <c r="H35" s="2">
        <v>19</v>
      </c>
      <c r="I35" s="2">
        <v>185</v>
      </c>
      <c r="J35" s="2">
        <v>5</v>
      </c>
      <c r="K35" s="2">
        <v>1</v>
      </c>
      <c r="L35" s="2">
        <v>1.07</v>
      </c>
      <c r="N35" s="2">
        <v>5</v>
      </c>
      <c r="O35" s="2">
        <f t="shared" si="17"/>
        <v>9.1218152866242033E-2</v>
      </c>
    </row>
    <row r="36" spans="1:15" ht="14.25" customHeight="1">
      <c r="A36" s="2">
        <v>19</v>
      </c>
      <c r="B36" s="2">
        <v>35</v>
      </c>
      <c r="C36" s="2">
        <v>2</v>
      </c>
      <c r="D36" s="2">
        <v>0</v>
      </c>
      <c r="E36" s="2">
        <v>1.27</v>
      </c>
      <c r="F36" s="2">
        <v>2</v>
      </c>
      <c r="H36" s="2">
        <v>19</v>
      </c>
      <c r="I36" s="2">
        <v>186</v>
      </c>
      <c r="J36" s="2">
        <v>8</v>
      </c>
      <c r="K36" s="2">
        <v>1</v>
      </c>
      <c r="L36" s="2">
        <v>0.66400000000000003</v>
      </c>
      <c r="N36" s="2">
        <v>6</v>
      </c>
      <c r="O36" s="2">
        <f t="shared" si="17"/>
        <v>0.21496815286624205</v>
      </c>
    </row>
    <row r="37" spans="1:15" ht="14.25" customHeight="1">
      <c r="A37" s="2">
        <v>19</v>
      </c>
      <c r="B37" s="2">
        <v>36</v>
      </c>
      <c r="C37" s="2">
        <v>7</v>
      </c>
      <c r="D37" s="2">
        <v>1</v>
      </c>
      <c r="E37" s="2">
        <v>0.84</v>
      </c>
      <c r="F37" s="2">
        <v>1</v>
      </c>
      <c r="H37" s="2">
        <v>19</v>
      </c>
      <c r="I37" s="2">
        <v>187</v>
      </c>
      <c r="J37" s="2">
        <v>1</v>
      </c>
      <c r="K37" s="2">
        <v>1</v>
      </c>
      <c r="L37" s="2">
        <v>0.61799999999999999</v>
      </c>
    </row>
    <row r="38" spans="1:15" ht="14.25" customHeight="1">
      <c r="A38" s="2">
        <v>19</v>
      </c>
      <c r="B38" s="2">
        <v>37</v>
      </c>
      <c r="C38" s="2">
        <v>8</v>
      </c>
      <c r="D38" s="2">
        <v>0</v>
      </c>
      <c r="E38" s="2">
        <v>1.0509999999999999</v>
      </c>
      <c r="F38" s="2">
        <v>2</v>
      </c>
      <c r="H38" s="2">
        <v>19</v>
      </c>
      <c r="I38" s="2">
        <v>188</v>
      </c>
      <c r="J38" s="2">
        <v>5</v>
      </c>
      <c r="K38" s="2">
        <v>1</v>
      </c>
      <c r="L38" s="2">
        <v>1.508</v>
      </c>
    </row>
    <row r="39" spans="1:15" ht="14.25" customHeight="1">
      <c r="A39" s="2">
        <v>19</v>
      </c>
      <c r="B39" s="2">
        <v>38</v>
      </c>
      <c r="C39" s="2">
        <v>1</v>
      </c>
      <c r="D39" s="2">
        <v>1</v>
      </c>
      <c r="E39" s="2">
        <v>0.83799999999999997</v>
      </c>
      <c r="F39" s="2">
        <v>2</v>
      </c>
      <c r="H39" s="2">
        <v>19</v>
      </c>
      <c r="I39" s="2">
        <v>189</v>
      </c>
      <c r="J39" s="2">
        <v>3</v>
      </c>
      <c r="K39" s="2">
        <v>1</v>
      </c>
      <c r="L39" s="2">
        <v>1.0049999999999999</v>
      </c>
    </row>
    <row r="40" spans="1:15" ht="14.25" customHeight="1">
      <c r="A40" s="2">
        <v>19</v>
      </c>
      <c r="B40" s="2">
        <v>39</v>
      </c>
      <c r="C40" s="2">
        <v>4</v>
      </c>
      <c r="D40" s="2">
        <v>0</v>
      </c>
      <c r="E40" s="2">
        <v>0.80800000000000005</v>
      </c>
      <c r="F40" s="2">
        <v>2</v>
      </c>
      <c r="H40" s="2">
        <v>19</v>
      </c>
      <c r="I40" s="2">
        <v>190</v>
      </c>
      <c r="J40" s="2">
        <v>8</v>
      </c>
      <c r="K40" s="2">
        <v>1</v>
      </c>
      <c r="L40" s="2">
        <v>0.68</v>
      </c>
    </row>
    <row r="41" spans="1:15" ht="14.25" customHeight="1">
      <c r="A41" s="2">
        <v>19</v>
      </c>
      <c r="B41" s="2">
        <v>40</v>
      </c>
      <c r="C41" s="2">
        <v>7</v>
      </c>
      <c r="D41" s="2">
        <v>1</v>
      </c>
      <c r="E41" s="2">
        <v>0.52400000000000002</v>
      </c>
      <c r="F41" s="2">
        <v>1</v>
      </c>
      <c r="H41" s="2">
        <v>19</v>
      </c>
      <c r="I41" s="2">
        <v>191</v>
      </c>
      <c r="J41" s="2">
        <v>7</v>
      </c>
      <c r="K41" s="2">
        <v>1</v>
      </c>
      <c r="L41" s="2">
        <v>1.018</v>
      </c>
    </row>
    <row r="42" spans="1:15" ht="14.25" customHeight="1">
      <c r="A42" s="2">
        <v>19</v>
      </c>
      <c r="B42" s="2">
        <v>41</v>
      </c>
      <c r="C42" s="2">
        <v>6</v>
      </c>
      <c r="D42" s="2">
        <v>1</v>
      </c>
      <c r="E42" s="2">
        <v>0.95599999999999996</v>
      </c>
      <c r="F42" s="2">
        <v>2</v>
      </c>
      <c r="H42" s="2">
        <v>19</v>
      </c>
      <c r="I42" s="2">
        <v>192</v>
      </c>
      <c r="J42" s="2">
        <v>4</v>
      </c>
      <c r="K42" s="2">
        <v>1</v>
      </c>
      <c r="L42" s="2">
        <v>1.222</v>
      </c>
    </row>
    <row r="43" spans="1:15" ht="14.25" customHeight="1">
      <c r="A43" s="2">
        <v>19</v>
      </c>
      <c r="B43" s="2">
        <v>42</v>
      </c>
      <c r="C43" s="2">
        <v>3</v>
      </c>
      <c r="D43" s="2">
        <v>0</v>
      </c>
      <c r="E43" s="2">
        <v>0.91400000000000003</v>
      </c>
      <c r="F43" s="2">
        <v>1</v>
      </c>
      <c r="H43" s="2">
        <v>19</v>
      </c>
      <c r="I43" s="2">
        <v>193</v>
      </c>
      <c r="J43" s="2">
        <v>2</v>
      </c>
      <c r="K43" s="2">
        <v>1</v>
      </c>
      <c r="L43" s="2">
        <v>1.0169999999999999</v>
      </c>
    </row>
    <row r="44" spans="1:15" ht="14.25" customHeight="1">
      <c r="A44" s="2">
        <v>19</v>
      </c>
      <c r="B44" s="2">
        <v>43</v>
      </c>
      <c r="C44" s="2">
        <v>2</v>
      </c>
      <c r="D44" s="2">
        <v>0</v>
      </c>
      <c r="E44" s="2">
        <v>1.0409999999999999</v>
      </c>
      <c r="F44" s="2">
        <v>2</v>
      </c>
      <c r="H44" s="2">
        <v>19</v>
      </c>
      <c r="I44" s="2">
        <v>194</v>
      </c>
      <c r="J44" s="2">
        <v>1</v>
      </c>
      <c r="K44" s="2">
        <v>1</v>
      </c>
      <c r="L44" s="2">
        <v>1.117</v>
      </c>
    </row>
    <row r="45" spans="1:15" ht="14.25" customHeight="1">
      <c r="A45" s="2">
        <v>19</v>
      </c>
      <c r="B45" s="2">
        <v>44</v>
      </c>
      <c r="C45" s="2">
        <v>5</v>
      </c>
      <c r="D45" s="2">
        <v>1</v>
      </c>
      <c r="E45" s="2">
        <v>1.1559999999999999</v>
      </c>
      <c r="F45" s="2">
        <v>2</v>
      </c>
      <c r="H45" s="2">
        <v>19</v>
      </c>
      <c r="I45" s="2">
        <v>195</v>
      </c>
      <c r="J45" s="2">
        <v>2</v>
      </c>
      <c r="K45" s="2">
        <v>1</v>
      </c>
      <c r="L45" s="2">
        <v>0.67</v>
      </c>
    </row>
    <row r="46" spans="1:15" ht="14.25" customHeight="1">
      <c r="A46" s="2">
        <v>19</v>
      </c>
      <c r="B46" s="2">
        <v>45</v>
      </c>
      <c r="C46" s="2">
        <v>7</v>
      </c>
      <c r="D46" s="2">
        <v>1</v>
      </c>
      <c r="E46" s="2">
        <v>0.52900000000000003</v>
      </c>
      <c r="F46" s="2">
        <v>1</v>
      </c>
      <c r="H46" s="2">
        <v>19</v>
      </c>
      <c r="I46" s="2">
        <v>196</v>
      </c>
      <c r="J46" s="2">
        <v>1</v>
      </c>
      <c r="K46" s="2">
        <v>1</v>
      </c>
      <c r="L46" s="2">
        <v>1.3420000000000001</v>
      </c>
    </row>
    <row r="47" spans="1:15" ht="14.25" customHeight="1">
      <c r="A47" s="2">
        <v>19</v>
      </c>
      <c r="B47" s="2">
        <v>46</v>
      </c>
      <c r="C47" s="2">
        <v>2</v>
      </c>
      <c r="D47" s="2">
        <v>0</v>
      </c>
      <c r="E47" s="2">
        <v>0.90500000000000003</v>
      </c>
      <c r="F47" s="2">
        <v>2</v>
      </c>
      <c r="H47" s="2">
        <v>19</v>
      </c>
      <c r="I47" s="2">
        <v>197</v>
      </c>
      <c r="J47" s="2">
        <v>6</v>
      </c>
      <c r="K47" s="2">
        <v>1</v>
      </c>
      <c r="L47" s="2">
        <v>1.0129999999999999</v>
      </c>
    </row>
    <row r="48" spans="1:15" ht="14.25" customHeight="1">
      <c r="A48" s="2">
        <v>19</v>
      </c>
      <c r="B48" s="2">
        <v>47</v>
      </c>
      <c r="C48" s="2">
        <v>6</v>
      </c>
      <c r="D48" s="2">
        <v>1</v>
      </c>
      <c r="E48" s="2">
        <v>0.91300000000000003</v>
      </c>
      <c r="F48" s="2">
        <v>2</v>
      </c>
      <c r="H48" s="2">
        <v>19</v>
      </c>
      <c r="I48" s="2">
        <v>198</v>
      </c>
      <c r="J48" s="2">
        <v>1</v>
      </c>
      <c r="K48" s="2">
        <v>1</v>
      </c>
      <c r="L48" s="2">
        <v>1.73</v>
      </c>
    </row>
    <row r="49" spans="1:12" ht="14.25" customHeight="1">
      <c r="A49" s="2">
        <v>19</v>
      </c>
      <c r="B49" s="2">
        <v>48</v>
      </c>
      <c r="C49" s="2">
        <v>1</v>
      </c>
      <c r="D49" s="2">
        <v>0</v>
      </c>
      <c r="E49" s="2">
        <v>1.3939999999999999</v>
      </c>
      <c r="F49" s="2">
        <v>1</v>
      </c>
      <c r="H49" s="2">
        <v>19</v>
      </c>
      <c r="I49" s="2">
        <v>199</v>
      </c>
      <c r="J49" s="2">
        <v>3</v>
      </c>
      <c r="K49" s="2">
        <v>1</v>
      </c>
      <c r="L49" s="2">
        <v>0.64</v>
      </c>
    </row>
    <row r="50" spans="1:12" ht="14.25" customHeight="1">
      <c r="A50" s="2">
        <v>19</v>
      </c>
      <c r="B50" s="2">
        <v>49</v>
      </c>
      <c r="C50" s="2">
        <v>8</v>
      </c>
      <c r="D50" s="2">
        <v>1</v>
      </c>
      <c r="E50" s="2">
        <v>0.77400000000000002</v>
      </c>
      <c r="F50" s="2">
        <v>1</v>
      </c>
      <c r="H50" s="2">
        <v>19</v>
      </c>
      <c r="I50" s="2">
        <v>200</v>
      </c>
      <c r="J50" s="2">
        <v>8</v>
      </c>
      <c r="K50" s="2">
        <v>1</v>
      </c>
      <c r="L50" s="2">
        <v>1.3720000000000001</v>
      </c>
    </row>
    <row r="51" spans="1:12" ht="14.25" customHeight="1">
      <c r="A51" s="2">
        <v>19</v>
      </c>
      <c r="B51" s="2">
        <v>50</v>
      </c>
      <c r="C51" s="2">
        <v>4</v>
      </c>
      <c r="D51" s="2">
        <v>0</v>
      </c>
      <c r="E51" s="2">
        <v>0.68400000000000005</v>
      </c>
      <c r="F51" s="2">
        <v>2</v>
      </c>
    </row>
    <row r="52" spans="1:12" ht="14.25" customHeight="1">
      <c r="A52" s="2">
        <v>19</v>
      </c>
      <c r="B52" s="2">
        <v>51</v>
      </c>
      <c r="C52" s="2">
        <v>7</v>
      </c>
      <c r="D52" s="2">
        <v>1</v>
      </c>
      <c r="E52" s="2">
        <v>1.202</v>
      </c>
      <c r="F52" s="2">
        <v>2</v>
      </c>
    </row>
    <row r="53" spans="1:12" ht="14.25" customHeight="1">
      <c r="A53" s="2">
        <v>19</v>
      </c>
      <c r="B53" s="2">
        <v>52</v>
      </c>
      <c r="C53" s="2">
        <v>8</v>
      </c>
      <c r="D53" s="2">
        <v>1</v>
      </c>
      <c r="E53" s="2">
        <v>0.40600000000000003</v>
      </c>
      <c r="F53" s="2">
        <v>1</v>
      </c>
    </row>
    <row r="54" spans="1:12" ht="14.25" customHeight="1">
      <c r="A54" s="2">
        <v>19</v>
      </c>
      <c r="B54" s="2">
        <v>53</v>
      </c>
      <c r="C54" s="2">
        <v>4</v>
      </c>
      <c r="D54" s="2">
        <v>1</v>
      </c>
      <c r="E54" s="2">
        <v>0.71399999999999997</v>
      </c>
      <c r="F54" s="2">
        <v>1</v>
      </c>
    </row>
    <row r="55" spans="1:12" ht="14.25" customHeight="1">
      <c r="A55" s="2">
        <v>19</v>
      </c>
      <c r="B55" s="2">
        <v>54</v>
      </c>
      <c r="C55" s="2">
        <v>3</v>
      </c>
      <c r="D55" s="2">
        <v>0</v>
      </c>
      <c r="E55" s="2">
        <v>0.98599999999999999</v>
      </c>
      <c r="F55" s="2">
        <v>2</v>
      </c>
    </row>
    <row r="56" spans="1:12" ht="14.25" customHeight="1">
      <c r="A56" s="2">
        <v>19</v>
      </c>
      <c r="B56" s="2">
        <v>55</v>
      </c>
      <c r="C56" s="2">
        <v>4</v>
      </c>
      <c r="D56" s="2">
        <v>1</v>
      </c>
      <c r="E56" s="2">
        <v>0.78300000000000003</v>
      </c>
      <c r="F56" s="2">
        <v>2</v>
      </c>
    </row>
    <row r="57" spans="1:12" ht="14.25" customHeight="1">
      <c r="A57" s="2">
        <v>19</v>
      </c>
      <c r="B57" s="2">
        <v>56</v>
      </c>
      <c r="C57" s="2">
        <v>2</v>
      </c>
      <c r="D57" s="2">
        <v>0</v>
      </c>
      <c r="E57" s="2">
        <v>1.173</v>
      </c>
      <c r="F57" s="2">
        <v>2</v>
      </c>
    </row>
    <row r="58" spans="1:12" ht="14.25" customHeight="1">
      <c r="A58" s="2">
        <v>19</v>
      </c>
      <c r="B58" s="2">
        <v>57</v>
      </c>
      <c r="C58" s="2">
        <v>8</v>
      </c>
      <c r="D58" s="2">
        <v>1</v>
      </c>
      <c r="E58" s="2">
        <v>1.3540000000000001</v>
      </c>
      <c r="F58" s="2">
        <v>2</v>
      </c>
    </row>
    <row r="59" spans="1:12" ht="14.25" customHeight="1">
      <c r="A59" s="2">
        <v>19</v>
      </c>
      <c r="B59" s="2">
        <v>58</v>
      </c>
      <c r="C59" s="2">
        <v>4</v>
      </c>
      <c r="D59" s="2">
        <v>1</v>
      </c>
      <c r="E59" s="2">
        <v>1.1839999999999999</v>
      </c>
      <c r="F59" s="2">
        <v>2</v>
      </c>
    </row>
    <row r="60" spans="1:12" ht="14.25" customHeight="1">
      <c r="A60" s="2">
        <v>19</v>
      </c>
      <c r="B60" s="2">
        <v>59</v>
      </c>
      <c r="C60" s="2">
        <v>1</v>
      </c>
      <c r="D60" s="2">
        <v>0</v>
      </c>
      <c r="E60" s="2">
        <v>0.998</v>
      </c>
      <c r="F60" s="2">
        <v>1</v>
      </c>
    </row>
    <row r="61" spans="1:12" ht="14.25" customHeight="1">
      <c r="A61" s="2">
        <v>19</v>
      </c>
      <c r="B61" s="2">
        <v>60</v>
      </c>
      <c r="C61" s="2">
        <v>4</v>
      </c>
      <c r="E61" s="2">
        <v>2</v>
      </c>
    </row>
    <row r="62" spans="1:12" ht="14.25" customHeight="1">
      <c r="A62" s="2">
        <v>19</v>
      </c>
      <c r="B62" s="2">
        <v>61</v>
      </c>
      <c r="C62" s="2">
        <v>2</v>
      </c>
      <c r="D62" s="2">
        <v>0</v>
      </c>
      <c r="E62" s="2">
        <v>0.83</v>
      </c>
      <c r="F62" s="2">
        <v>2</v>
      </c>
    </row>
    <row r="63" spans="1:12" ht="14.25" customHeight="1">
      <c r="A63" s="2">
        <v>19</v>
      </c>
      <c r="B63" s="2">
        <v>62</v>
      </c>
      <c r="C63" s="2">
        <v>5</v>
      </c>
      <c r="E63" s="2">
        <v>2</v>
      </c>
    </row>
    <row r="64" spans="1:12" ht="14.25" customHeight="1">
      <c r="A64" s="2">
        <v>19</v>
      </c>
      <c r="B64" s="2">
        <v>63</v>
      </c>
      <c r="C64" s="2">
        <v>1</v>
      </c>
      <c r="D64" s="2">
        <v>1</v>
      </c>
      <c r="E64" s="2">
        <v>0.55000000000000004</v>
      </c>
      <c r="F64" s="2">
        <v>1</v>
      </c>
    </row>
    <row r="65" spans="1:6" ht="14.25" customHeight="1">
      <c r="A65" s="2">
        <v>19</v>
      </c>
      <c r="B65" s="2">
        <v>64</v>
      </c>
      <c r="C65" s="2">
        <v>5</v>
      </c>
      <c r="D65" s="2">
        <v>1</v>
      </c>
      <c r="E65" s="2">
        <v>1.0049999999999999</v>
      </c>
      <c r="F65" s="2">
        <v>2</v>
      </c>
    </row>
    <row r="66" spans="1:6" ht="14.25" customHeight="1">
      <c r="A66" s="2">
        <v>19</v>
      </c>
      <c r="B66" s="2">
        <v>65</v>
      </c>
      <c r="C66" s="2">
        <v>7</v>
      </c>
      <c r="D66" s="2">
        <v>1</v>
      </c>
      <c r="E66" s="2">
        <v>0.70499999999999996</v>
      </c>
      <c r="F66" s="2">
        <v>1</v>
      </c>
    </row>
    <row r="67" spans="1:6" ht="14.25" customHeight="1">
      <c r="A67" s="2">
        <v>19</v>
      </c>
      <c r="B67" s="2">
        <v>66</v>
      </c>
      <c r="C67" s="2">
        <v>3</v>
      </c>
      <c r="D67" s="2">
        <v>0</v>
      </c>
      <c r="E67" s="2">
        <v>1.0880000000000001</v>
      </c>
      <c r="F67" s="2">
        <v>2</v>
      </c>
    </row>
    <row r="68" spans="1:6" ht="14.25" customHeight="1">
      <c r="A68" s="2">
        <v>19</v>
      </c>
      <c r="B68" s="2">
        <v>67</v>
      </c>
      <c r="C68" s="2">
        <v>1</v>
      </c>
      <c r="D68" s="2">
        <v>1</v>
      </c>
      <c r="E68" s="2">
        <v>1.3049999999999999</v>
      </c>
      <c r="F68" s="2">
        <v>2</v>
      </c>
    </row>
    <row r="69" spans="1:6" ht="14.25" customHeight="1">
      <c r="A69" s="2">
        <v>19</v>
      </c>
      <c r="B69" s="2">
        <v>68</v>
      </c>
      <c r="C69" s="2">
        <v>2</v>
      </c>
      <c r="D69" s="2">
        <v>1</v>
      </c>
      <c r="E69" s="2">
        <v>1.202</v>
      </c>
      <c r="F69" s="2">
        <v>2</v>
      </c>
    </row>
    <row r="70" spans="1:6" ht="14.25" customHeight="1">
      <c r="A70" s="2">
        <v>19</v>
      </c>
      <c r="B70" s="2">
        <v>69</v>
      </c>
      <c r="C70" s="2">
        <v>4</v>
      </c>
      <c r="D70" s="2">
        <v>1</v>
      </c>
      <c r="E70" s="2">
        <v>1.6060000000000001</v>
      </c>
      <c r="F70" s="2">
        <v>1</v>
      </c>
    </row>
    <row r="71" spans="1:6" ht="14.25" customHeight="1">
      <c r="A71" s="2">
        <v>19</v>
      </c>
      <c r="B71" s="2">
        <v>70</v>
      </c>
      <c r="C71" s="2">
        <v>8</v>
      </c>
      <c r="D71" s="2">
        <v>1</v>
      </c>
      <c r="E71" s="2">
        <v>0.46500000000000002</v>
      </c>
      <c r="F71" s="2">
        <v>1</v>
      </c>
    </row>
    <row r="72" spans="1:6" ht="14.25" customHeight="1">
      <c r="A72" s="2">
        <v>19</v>
      </c>
      <c r="B72" s="2">
        <v>71</v>
      </c>
      <c r="C72" s="2">
        <v>7</v>
      </c>
      <c r="D72" s="2">
        <v>1</v>
      </c>
      <c r="E72" s="2">
        <v>0.81899999999999995</v>
      </c>
      <c r="F72" s="2">
        <v>1</v>
      </c>
    </row>
    <row r="73" spans="1:6" ht="14.25" customHeight="1">
      <c r="A73" s="2">
        <v>19</v>
      </c>
      <c r="B73" s="2">
        <v>72</v>
      </c>
      <c r="C73" s="2">
        <v>6</v>
      </c>
      <c r="D73" s="2">
        <v>1</v>
      </c>
      <c r="E73" s="2">
        <v>0.88</v>
      </c>
      <c r="F73" s="2">
        <v>2</v>
      </c>
    </row>
    <row r="74" spans="1:6" ht="14.25" customHeight="1">
      <c r="A74" s="2">
        <v>19</v>
      </c>
      <c r="B74" s="2">
        <v>73</v>
      </c>
      <c r="C74" s="2">
        <v>4</v>
      </c>
      <c r="D74" s="2">
        <v>0</v>
      </c>
      <c r="E74" s="2">
        <v>1.2969999999999999</v>
      </c>
      <c r="F74" s="2">
        <v>1</v>
      </c>
    </row>
    <row r="75" spans="1:6" ht="14.25" customHeight="1">
      <c r="A75" s="2">
        <v>19</v>
      </c>
      <c r="B75" s="2">
        <v>74</v>
      </c>
      <c r="C75" s="2">
        <v>8</v>
      </c>
      <c r="D75" s="2">
        <v>1</v>
      </c>
      <c r="E75" s="2">
        <v>1.2250000000000001</v>
      </c>
      <c r="F75" s="2">
        <v>1</v>
      </c>
    </row>
    <row r="76" spans="1:6" ht="14.25" customHeight="1">
      <c r="A76" s="2">
        <v>19</v>
      </c>
      <c r="B76" s="2">
        <v>75</v>
      </c>
      <c r="C76" s="2">
        <v>1</v>
      </c>
      <c r="D76" s="2">
        <v>1</v>
      </c>
      <c r="E76" s="2">
        <v>0.72399999999999998</v>
      </c>
      <c r="F76" s="2">
        <v>1</v>
      </c>
    </row>
    <row r="77" spans="1:6" ht="14.25" customHeight="1">
      <c r="A77" s="2">
        <v>19</v>
      </c>
      <c r="B77" s="2">
        <v>76</v>
      </c>
      <c r="C77" s="2">
        <v>8</v>
      </c>
      <c r="D77" s="2">
        <v>1</v>
      </c>
      <c r="E77" s="2">
        <v>1.028</v>
      </c>
      <c r="F77" s="2">
        <v>2</v>
      </c>
    </row>
    <row r="78" spans="1:6" ht="14.25" customHeight="1">
      <c r="A78" s="2">
        <v>19</v>
      </c>
      <c r="B78" s="2">
        <v>77</v>
      </c>
      <c r="C78" s="2">
        <v>6</v>
      </c>
      <c r="D78" s="2">
        <v>1</v>
      </c>
      <c r="E78" s="2">
        <v>0.51100000000000001</v>
      </c>
      <c r="F78" s="2">
        <v>1</v>
      </c>
    </row>
    <row r="79" spans="1:6" ht="14.25" customHeight="1">
      <c r="A79" s="2">
        <v>19</v>
      </c>
      <c r="B79" s="2">
        <v>78</v>
      </c>
      <c r="C79" s="2">
        <v>3</v>
      </c>
      <c r="D79" s="2">
        <v>1</v>
      </c>
      <c r="E79" s="2">
        <v>0.74299999999999999</v>
      </c>
      <c r="F79" s="2">
        <v>2</v>
      </c>
    </row>
    <row r="80" spans="1:6" ht="14.25" customHeight="1">
      <c r="A80" s="2">
        <v>19</v>
      </c>
      <c r="B80" s="2">
        <v>79</v>
      </c>
      <c r="C80" s="2">
        <v>5</v>
      </c>
      <c r="D80" s="2">
        <v>1</v>
      </c>
      <c r="E80" s="2">
        <v>0.52600000000000002</v>
      </c>
      <c r="F80" s="2">
        <v>1</v>
      </c>
    </row>
    <row r="81" spans="1:6" ht="14.25" customHeight="1">
      <c r="A81" s="2">
        <v>19</v>
      </c>
      <c r="B81" s="2">
        <v>80</v>
      </c>
      <c r="C81" s="2">
        <v>1</v>
      </c>
      <c r="D81" s="2">
        <v>1</v>
      </c>
      <c r="E81" s="2">
        <v>1.0529999999999999</v>
      </c>
      <c r="F81" s="2">
        <v>2</v>
      </c>
    </row>
    <row r="82" spans="1:6" ht="14.25" customHeight="1">
      <c r="A82" s="2">
        <v>19</v>
      </c>
      <c r="B82" s="2">
        <v>81</v>
      </c>
      <c r="C82" s="2">
        <v>5</v>
      </c>
      <c r="D82" s="2">
        <v>0</v>
      </c>
      <c r="E82" s="2">
        <v>1.496</v>
      </c>
      <c r="F82" s="2">
        <v>1</v>
      </c>
    </row>
    <row r="83" spans="1:6" ht="14.25" customHeight="1">
      <c r="A83" s="2">
        <v>19</v>
      </c>
      <c r="B83" s="2">
        <v>82</v>
      </c>
      <c r="C83" s="2">
        <v>3</v>
      </c>
      <c r="D83" s="2">
        <v>1</v>
      </c>
      <c r="E83" s="2">
        <v>0.879</v>
      </c>
      <c r="F83" s="2">
        <v>2</v>
      </c>
    </row>
    <row r="84" spans="1:6" ht="14.25" customHeight="1">
      <c r="A84" s="2">
        <v>19</v>
      </c>
      <c r="B84" s="2">
        <v>83</v>
      </c>
      <c r="C84" s="2">
        <v>6</v>
      </c>
      <c r="D84" s="2">
        <v>0</v>
      </c>
      <c r="E84" s="2">
        <v>0.92900000000000005</v>
      </c>
      <c r="F84" s="2">
        <v>1</v>
      </c>
    </row>
    <row r="85" spans="1:6" ht="14.25" customHeight="1">
      <c r="A85" s="2">
        <v>19</v>
      </c>
      <c r="B85" s="2">
        <v>84</v>
      </c>
      <c r="C85" s="2">
        <v>5</v>
      </c>
      <c r="D85" s="2">
        <v>1</v>
      </c>
      <c r="E85" s="2">
        <v>0.77600000000000002</v>
      </c>
      <c r="F85" s="2">
        <v>2</v>
      </c>
    </row>
    <row r="86" spans="1:6" ht="14.25" customHeight="1">
      <c r="A86" s="2">
        <v>19</v>
      </c>
      <c r="B86" s="2">
        <v>85</v>
      </c>
      <c r="C86" s="2">
        <v>4</v>
      </c>
      <c r="D86" s="2">
        <v>0</v>
      </c>
      <c r="E86" s="2">
        <v>0.83699999999999997</v>
      </c>
      <c r="F86" s="2">
        <v>2</v>
      </c>
    </row>
    <row r="87" spans="1:6" ht="14.25" customHeight="1">
      <c r="A87" s="2">
        <v>19</v>
      </c>
      <c r="B87" s="2">
        <v>86</v>
      </c>
      <c r="C87" s="2">
        <v>3</v>
      </c>
      <c r="D87" s="2">
        <v>1</v>
      </c>
      <c r="E87" s="2">
        <v>0.68799999999999994</v>
      </c>
      <c r="F87" s="2">
        <v>1</v>
      </c>
    </row>
    <row r="88" spans="1:6" ht="14.25" customHeight="1">
      <c r="A88" s="2">
        <v>19</v>
      </c>
      <c r="B88" s="2">
        <v>87</v>
      </c>
      <c r="C88" s="2">
        <v>7</v>
      </c>
      <c r="D88" s="2">
        <v>1</v>
      </c>
      <c r="E88" s="2">
        <v>0.72099999999999997</v>
      </c>
      <c r="F88" s="2">
        <v>1</v>
      </c>
    </row>
    <row r="89" spans="1:6" ht="14.25" customHeight="1">
      <c r="A89" s="2">
        <v>19</v>
      </c>
      <c r="B89" s="2">
        <v>88</v>
      </c>
      <c r="C89" s="2">
        <v>2</v>
      </c>
      <c r="D89" s="2">
        <v>0</v>
      </c>
      <c r="E89" s="2">
        <v>1.073</v>
      </c>
      <c r="F89" s="2">
        <v>1</v>
      </c>
    </row>
    <row r="90" spans="1:6" ht="14.25" customHeight="1">
      <c r="A90" s="2">
        <v>19</v>
      </c>
      <c r="B90" s="2">
        <v>89</v>
      </c>
      <c r="C90" s="2">
        <v>1</v>
      </c>
      <c r="D90" s="2">
        <v>1</v>
      </c>
      <c r="E90" s="2">
        <v>1.282</v>
      </c>
      <c r="F90" s="2">
        <v>1</v>
      </c>
    </row>
    <row r="91" spans="1:6" ht="14.25" customHeight="1">
      <c r="A91" s="2">
        <v>19</v>
      </c>
      <c r="B91" s="2">
        <v>90</v>
      </c>
      <c r="C91" s="2">
        <v>2</v>
      </c>
      <c r="D91" s="2">
        <v>1</v>
      </c>
      <c r="E91" s="2">
        <v>0.69899999999999995</v>
      </c>
      <c r="F91" s="2">
        <v>1</v>
      </c>
    </row>
    <row r="92" spans="1:6" ht="14.25" customHeight="1">
      <c r="A92" s="2">
        <v>19</v>
      </c>
      <c r="B92" s="2">
        <v>91</v>
      </c>
      <c r="C92" s="2">
        <v>3</v>
      </c>
      <c r="D92" s="2">
        <v>1</v>
      </c>
      <c r="E92" s="2">
        <v>1.4119999999999999</v>
      </c>
      <c r="F92" s="2">
        <v>2</v>
      </c>
    </row>
    <row r="93" spans="1:6" ht="14.25" customHeight="1">
      <c r="A93" s="2">
        <v>19</v>
      </c>
      <c r="B93" s="2">
        <v>92</v>
      </c>
      <c r="C93" s="2">
        <v>6</v>
      </c>
      <c r="D93" s="2">
        <v>1</v>
      </c>
      <c r="E93" s="2">
        <v>1.464</v>
      </c>
      <c r="F93" s="2">
        <v>2</v>
      </c>
    </row>
    <row r="94" spans="1:6" ht="14.25" customHeight="1">
      <c r="A94" s="2">
        <v>19</v>
      </c>
      <c r="B94" s="2">
        <v>93</v>
      </c>
      <c r="C94" s="2">
        <v>2</v>
      </c>
      <c r="D94" s="2">
        <v>0</v>
      </c>
      <c r="E94" s="2">
        <v>1.0329999999999999</v>
      </c>
      <c r="F94" s="2">
        <v>2</v>
      </c>
    </row>
    <row r="95" spans="1:6" ht="14.25" customHeight="1">
      <c r="A95" s="2">
        <v>19</v>
      </c>
      <c r="B95" s="2">
        <v>94</v>
      </c>
      <c r="C95" s="2">
        <v>7</v>
      </c>
      <c r="D95" s="2">
        <v>1</v>
      </c>
      <c r="E95" s="2">
        <v>1.0129999999999999</v>
      </c>
      <c r="F95" s="2">
        <v>2</v>
      </c>
    </row>
    <row r="96" spans="1:6" ht="14.25" customHeight="1">
      <c r="A96" s="2">
        <v>19</v>
      </c>
      <c r="B96" s="2">
        <v>95</v>
      </c>
      <c r="C96" s="2">
        <v>6</v>
      </c>
      <c r="D96" s="2">
        <v>1</v>
      </c>
      <c r="E96" s="2">
        <v>0.80100000000000005</v>
      </c>
      <c r="F96" s="2">
        <v>1</v>
      </c>
    </row>
    <row r="97" spans="1:6" ht="14.25" customHeight="1">
      <c r="A97" s="2">
        <v>19</v>
      </c>
      <c r="B97" s="2">
        <v>96</v>
      </c>
      <c r="C97" s="2">
        <v>7</v>
      </c>
      <c r="D97" s="2">
        <v>1</v>
      </c>
      <c r="E97" s="2">
        <v>1.446</v>
      </c>
      <c r="F97" s="2">
        <v>1</v>
      </c>
    </row>
    <row r="98" spans="1:6" ht="14.25" customHeight="1">
      <c r="A98" s="2">
        <v>19</v>
      </c>
      <c r="B98" s="2">
        <v>97</v>
      </c>
      <c r="C98" s="2">
        <v>8</v>
      </c>
      <c r="D98" s="2">
        <v>1</v>
      </c>
      <c r="E98" s="2">
        <v>1.1359999999999999</v>
      </c>
      <c r="F98" s="2">
        <v>2</v>
      </c>
    </row>
    <row r="99" spans="1:6" ht="14.25" customHeight="1">
      <c r="A99" s="2">
        <v>19</v>
      </c>
      <c r="B99" s="2">
        <v>98</v>
      </c>
      <c r="C99" s="2">
        <v>5</v>
      </c>
      <c r="D99" s="2">
        <v>0</v>
      </c>
      <c r="E99" s="2">
        <v>1.0309999999999999</v>
      </c>
      <c r="F99" s="2">
        <v>1</v>
      </c>
    </row>
    <row r="100" spans="1:6" ht="14.25" customHeight="1">
      <c r="A100" s="2">
        <v>19</v>
      </c>
      <c r="B100" s="2">
        <v>99</v>
      </c>
      <c r="C100" s="2">
        <v>6</v>
      </c>
      <c r="D100" s="2">
        <v>1</v>
      </c>
      <c r="E100" s="2">
        <v>0.68300000000000005</v>
      </c>
      <c r="F100" s="2">
        <v>1</v>
      </c>
    </row>
    <row r="101" spans="1:6" ht="14.25" customHeight="1">
      <c r="A101" s="2">
        <v>19</v>
      </c>
      <c r="B101" s="2">
        <v>100</v>
      </c>
      <c r="C101" s="2">
        <v>8</v>
      </c>
      <c r="D101" s="2">
        <v>1</v>
      </c>
      <c r="E101" s="2">
        <v>1.42</v>
      </c>
      <c r="F101" s="2">
        <v>1</v>
      </c>
    </row>
    <row r="102" spans="1:6" ht="14.25" customHeight="1">
      <c r="A102" s="2">
        <v>19</v>
      </c>
      <c r="B102" s="2">
        <v>101</v>
      </c>
      <c r="C102" s="2">
        <v>8</v>
      </c>
      <c r="D102" s="2">
        <v>1</v>
      </c>
      <c r="E102" s="2">
        <v>0.85399999999999998</v>
      </c>
      <c r="F102" s="2">
        <v>2</v>
      </c>
    </row>
    <row r="103" spans="1:6" ht="14.25" customHeight="1">
      <c r="A103" s="2">
        <v>19</v>
      </c>
      <c r="B103" s="2">
        <v>102</v>
      </c>
      <c r="C103" s="2">
        <v>2</v>
      </c>
      <c r="D103" s="2">
        <v>1</v>
      </c>
      <c r="E103" s="2">
        <v>0.85499999999999998</v>
      </c>
      <c r="F103" s="2">
        <v>1</v>
      </c>
    </row>
    <row r="104" spans="1:6" ht="14.25" customHeight="1">
      <c r="A104" s="2">
        <v>19</v>
      </c>
      <c r="B104" s="2">
        <v>103</v>
      </c>
      <c r="C104" s="2">
        <v>3</v>
      </c>
      <c r="D104" s="2">
        <v>1</v>
      </c>
      <c r="E104" s="2">
        <v>0.48099999999999998</v>
      </c>
      <c r="F104" s="2">
        <v>1</v>
      </c>
    </row>
    <row r="105" spans="1:6" ht="14.25" customHeight="1">
      <c r="A105" s="2">
        <v>19</v>
      </c>
      <c r="B105" s="2">
        <v>104</v>
      </c>
      <c r="C105" s="2">
        <v>5</v>
      </c>
      <c r="D105" s="2">
        <v>1</v>
      </c>
      <c r="E105" s="2">
        <v>0.76300000000000001</v>
      </c>
      <c r="F105" s="2">
        <v>1</v>
      </c>
    </row>
    <row r="106" spans="1:6" ht="14.25" customHeight="1">
      <c r="A106" s="2">
        <v>19</v>
      </c>
      <c r="B106" s="2">
        <v>105</v>
      </c>
      <c r="C106" s="2">
        <v>3</v>
      </c>
      <c r="D106" s="2">
        <v>1</v>
      </c>
      <c r="E106" s="2">
        <v>1.2330000000000001</v>
      </c>
      <c r="F106" s="2">
        <v>2</v>
      </c>
    </row>
    <row r="107" spans="1:6" ht="14.25" customHeight="1">
      <c r="A107" s="2">
        <v>19</v>
      </c>
      <c r="B107" s="2">
        <v>106</v>
      </c>
      <c r="C107" s="2">
        <v>7</v>
      </c>
      <c r="D107" s="2">
        <v>1</v>
      </c>
      <c r="E107" s="2">
        <v>1.9550000000000001</v>
      </c>
      <c r="F107" s="2">
        <v>1</v>
      </c>
    </row>
    <row r="108" spans="1:6" ht="14.25" customHeight="1">
      <c r="A108" s="2">
        <v>19</v>
      </c>
      <c r="B108" s="2">
        <v>107</v>
      </c>
      <c r="C108" s="2">
        <v>5</v>
      </c>
      <c r="D108" s="2">
        <v>1</v>
      </c>
      <c r="E108" s="2">
        <v>1.1060000000000001</v>
      </c>
      <c r="F108" s="2">
        <v>2</v>
      </c>
    </row>
    <row r="109" spans="1:6" ht="14.25" customHeight="1">
      <c r="A109" s="2">
        <v>19</v>
      </c>
      <c r="B109" s="2">
        <v>108</v>
      </c>
      <c r="C109" s="2">
        <v>1</v>
      </c>
      <c r="D109" s="2">
        <v>1</v>
      </c>
      <c r="E109" s="2">
        <v>1.4179999999999999</v>
      </c>
      <c r="F109" s="2">
        <v>2</v>
      </c>
    </row>
    <row r="110" spans="1:6" ht="14.25" customHeight="1">
      <c r="A110" s="2">
        <v>19</v>
      </c>
      <c r="B110" s="2">
        <v>109</v>
      </c>
      <c r="C110" s="2">
        <v>6</v>
      </c>
      <c r="D110" s="2">
        <v>0</v>
      </c>
      <c r="E110" s="2">
        <v>1.2689999999999999</v>
      </c>
      <c r="F110" s="2">
        <v>1</v>
      </c>
    </row>
    <row r="111" spans="1:6" ht="14.25" customHeight="1">
      <c r="A111" s="2">
        <v>19</v>
      </c>
      <c r="B111" s="2">
        <v>110</v>
      </c>
      <c r="C111" s="2">
        <v>8</v>
      </c>
      <c r="D111" s="2">
        <v>1</v>
      </c>
      <c r="E111" s="2">
        <v>0.71899999999999997</v>
      </c>
      <c r="F111" s="2">
        <v>1</v>
      </c>
    </row>
    <row r="112" spans="1:6" ht="14.25" customHeight="1">
      <c r="A112" s="2">
        <v>19</v>
      </c>
      <c r="B112" s="2">
        <v>111</v>
      </c>
      <c r="C112" s="2">
        <v>2</v>
      </c>
      <c r="D112" s="2">
        <v>0</v>
      </c>
      <c r="E112" s="2">
        <v>0.80600000000000005</v>
      </c>
      <c r="F112" s="2">
        <v>2</v>
      </c>
    </row>
    <row r="113" spans="1:6" ht="14.25" customHeight="1">
      <c r="A113" s="2">
        <v>19</v>
      </c>
      <c r="B113" s="2">
        <v>112</v>
      </c>
      <c r="C113" s="2">
        <v>4</v>
      </c>
      <c r="D113" s="2">
        <v>1</v>
      </c>
      <c r="E113" s="2">
        <v>1.258</v>
      </c>
      <c r="F113" s="2">
        <v>2</v>
      </c>
    </row>
    <row r="114" spans="1:6" ht="14.25" customHeight="1">
      <c r="A114" s="2">
        <v>19</v>
      </c>
      <c r="B114" s="2">
        <v>113</v>
      </c>
      <c r="C114" s="2">
        <v>8</v>
      </c>
      <c r="D114" s="2">
        <v>1</v>
      </c>
      <c r="E114" s="2">
        <v>1.8919999999999999</v>
      </c>
      <c r="F114" s="2">
        <v>1</v>
      </c>
    </row>
    <row r="115" spans="1:6" ht="14.25" customHeight="1">
      <c r="A115" s="2">
        <v>19</v>
      </c>
      <c r="B115" s="2">
        <v>114</v>
      </c>
      <c r="C115" s="2">
        <v>1</v>
      </c>
      <c r="D115" s="2">
        <v>1</v>
      </c>
      <c r="E115" s="2">
        <v>1.3879999999999999</v>
      </c>
      <c r="F115" s="2">
        <v>2</v>
      </c>
    </row>
    <row r="116" spans="1:6" ht="14.25" customHeight="1">
      <c r="A116" s="2">
        <v>19</v>
      </c>
      <c r="B116" s="2">
        <v>115</v>
      </c>
      <c r="C116" s="2">
        <v>7</v>
      </c>
      <c r="D116" s="2">
        <v>1</v>
      </c>
      <c r="E116" s="2">
        <v>0.93700000000000006</v>
      </c>
      <c r="F116" s="2">
        <v>1</v>
      </c>
    </row>
    <row r="117" spans="1:6" ht="14.25" customHeight="1">
      <c r="A117" s="2">
        <v>19</v>
      </c>
      <c r="B117" s="2">
        <v>116</v>
      </c>
      <c r="C117" s="2">
        <v>3</v>
      </c>
      <c r="D117" s="2">
        <v>1</v>
      </c>
      <c r="E117" s="2">
        <v>1.0960000000000001</v>
      </c>
      <c r="F117" s="2">
        <v>1</v>
      </c>
    </row>
    <row r="118" spans="1:6" ht="14.25" customHeight="1">
      <c r="A118" s="2">
        <v>19</v>
      </c>
      <c r="B118" s="2">
        <v>117</v>
      </c>
      <c r="C118" s="2">
        <v>4</v>
      </c>
      <c r="D118" s="2">
        <v>1</v>
      </c>
      <c r="E118" s="2">
        <v>1.113</v>
      </c>
      <c r="F118" s="2">
        <v>2</v>
      </c>
    </row>
    <row r="119" spans="1:6" ht="14.25" customHeight="1">
      <c r="A119" s="2">
        <v>19</v>
      </c>
      <c r="B119" s="2">
        <v>118</v>
      </c>
      <c r="C119" s="2">
        <v>1</v>
      </c>
      <c r="D119" s="2">
        <v>1</v>
      </c>
      <c r="E119" s="2">
        <v>1.601</v>
      </c>
      <c r="F119" s="2">
        <v>2</v>
      </c>
    </row>
    <row r="120" spans="1:6" ht="14.25" customHeight="1">
      <c r="A120" s="2">
        <v>19</v>
      </c>
      <c r="B120" s="2">
        <v>119</v>
      </c>
      <c r="C120" s="2">
        <v>6</v>
      </c>
      <c r="D120" s="2">
        <v>1</v>
      </c>
      <c r="E120" s="2">
        <v>0.76500000000000001</v>
      </c>
      <c r="F120" s="2">
        <v>1</v>
      </c>
    </row>
    <row r="121" spans="1:6" ht="14.25" customHeight="1">
      <c r="A121" s="2">
        <v>19</v>
      </c>
      <c r="B121" s="2">
        <v>120</v>
      </c>
      <c r="C121" s="2">
        <v>1</v>
      </c>
      <c r="D121" s="2">
        <v>1</v>
      </c>
      <c r="E121" s="2">
        <v>0.73199999999999998</v>
      </c>
      <c r="F121" s="2">
        <v>1</v>
      </c>
    </row>
    <row r="122" spans="1:6" ht="14.25" customHeight="1">
      <c r="A122" s="2">
        <v>19</v>
      </c>
      <c r="B122" s="2">
        <v>121</v>
      </c>
      <c r="C122" s="2">
        <v>8</v>
      </c>
      <c r="D122" s="2">
        <v>1</v>
      </c>
      <c r="E122" s="2">
        <v>0.53</v>
      </c>
      <c r="F122" s="2">
        <v>1</v>
      </c>
    </row>
    <row r="123" spans="1:6" ht="14.25" customHeight="1">
      <c r="A123" s="2">
        <v>19</v>
      </c>
      <c r="B123" s="2">
        <v>122</v>
      </c>
      <c r="C123" s="2">
        <v>7</v>
      </c>
      <c r="D123" s="2">
        <v>1</v>
      </c>
      <c r="E123" s="2">
        <v>1.3939999999999999</v>
      </c>
      <c r="F123" s="2">
        <v>2</v>
      </c>
    </row>
    <row r="124" spans="1:6" ht="14.25" customHeight="1">
      <c r="A124" s="2">
        <v>19</v>
      </c>
      <c r="B124" s="2">
        <v>123</v>
      </c>
      <c r="C124" s="2">
        <v>5</v>
      </c>
      <c r="D124" s="2">
        <v>1</v>
      </c>
      <c r="E124" s="2">
        <v>1.55</v>
      </c>
      <c r="F124" s="2">
        <v>2</v>
      </c>
    </row>
    <row r="125" spans="1:6" ht="14.25" customHeight="1">
      <c r="A125" s="2">
        <v>19</v>
      </c>
      <c r="B125" s="2">
        <v>124</v>
      </c>
      <c r="C125" s="2">
        <v>3</v>
      </c>
      <c r="D125" s="2">
        <v>1</v>
      </c>
      <c r="E125" s="2">
        <v>0.59699999999999998</v>
      </c>
      <c r="F125" s="2">
        <v>1</v>
      </c>
    </row>
    <row r="126" spans="1:6" ht="14.25" customHeight="1">
      <c r="A126" s="2">
        <v>19</v>
      </c>
      <c r="B126" s="2">
        <v>125</v>
      </c>
      <c r="C126" s="2">
        <v>5</v>
      </c>
      <c r="D126" s="2">
        <v>1</v>
      </c>
      <c r="E126" s="2">
        <v>0.77800000000000002</v>
      </c>
      <c r="F126" s="2">
        <v>1</v>
      </c>
    </row>
    <row r="127" spans="1:6" ht="14.25" customHeight="1">
      <c r="A127" s="2">
        <v>19</v>
      </c>
      <c r="B127" s="2">
        <v>126</v>
      </c>
      <c r="C127" s="2">
        <v>2</v>
      </c>
      <c r="D127" s="2">
        <v>1</v>
      </c>
      <c r="E127" s="2">
        <v>0.71099999999999997</v>
      </c>
      <c r="F127" s="2">
        <v>2</v>
      </c>
    </row>
    <row r="128" spans="1:6" ht="14.25" customHeight="1">
      <c r="A128" s="2">
        <v>19</v>
      </c>
      <c r="B128" s="2">
        <v>127</v>
      </c>
      <c r="C128" s="2">
        <v>7</v>
      </c>
      <c r="D128" s="2">
        <v>1</v>
      </c>
      <c r="E128" s="2">
        <v>0.67900000000000005</v>
      </c>
      <c r="F128" s="2">
        <v>1</v>
      </c>
    </row>
    <row r="129" spans="1:6" ht="14.25" customHeight="1">
      <c r="A129" s="2">
        <v>19</v>
      </c>
      <c r="B129" s="2">
        <v>128</v>
      </c>
      <c r="C129" s="2">
        <v>3</v>
      </c>
      <c r="D129" s="2">
        <v>1</v>
      </c>
      <c r="E129" s="2">
        <v>0.86399999999999999</v>
      </c>
      <c r="F129" s="2">
        <v>2</v>
      </c>
    </row>
    <row r="130" spans="1:6" ht="14.25" customHeight="1">
      <c r="A130" s="2">
        <v>19</v>
      </c>
      <c r="B130" s="2">
        <v>129</v>
      </c>
      <c r="C130" s="2">
        <v>2</v>
      </c>
      <c r="D130" s="2">
        <v>1</v>
      </c>
      <c r="E130" s="2">
        <v>0.57799999999999996</v>
      </c>
      <c r="F130" s="2">
        <v>1</v>
      </c>
    </row>
    <row r="131" spans="1:6" ht="14.25" customHeight="1">
      <c r="A131" s="2">
        <v>19</v>
      </c>
      <c r="B131" s="2">
        <v>130</v>
      </c>
      <c r="C131" s="2">
        <v>4</v>
      </c>
      <c r="D131" s="2">
        <v>1</v>
      </c>
      <c r="E131" s="2">
        <v>0.90400000000000003</v>
      </c>
      <c r="F131" s="2">
        <v>2</v>
      </c>
    </row>
    <row r="132" spans="1:6" ht="14.25" customHeight="1">
      <c r="A132" s="2">
        <v>19</v>
      </c>
      <c r="B132" s="2">
        <v>131</v>
      </c>
      <c r="C132" s="2">
        <v>2</v>
      </c>
      <c r="D132" s="2">
        <v>1</v>
      </c>
      <c r="E132" s="2">
        <v>0.58399999999999996</v>
      </c>
      <c r="F132" s="2">
        <v>2</v>
      </c>
    </row>
    <row r="133" spans="1:6" ht="14.25" customHeight="1">
      <c r="A133" s="2">
        <v>19</v>
      </c>
      <c r="B133" s="2">
        <v>132</v>
      </c>
      <c r="C133" s="2">
        <v>6</v>
      </c>
      <c r="D133" s="2">
        <v>1</v>
      </c>
      <c r="E133" s="2">
        <v>1.204</v>
      </c>
      <c r="F133" s="2">
        <v>2</v>
      </c>
    </row>
    <row r="134" spans="1:6" ht="14.25" customHeight="1">
      <c r="A134" s="2">
        <v>19</v>
      </c>
      <c r="B134" s="2">
        <v>133</v>
      </c>
      <c r="C134" s="2">
        <v>4</v>
      </c>
      <c r="D134" s="2">
        <v>0</v>
      </c>
      <c r="E134" s="2">
        <v>0.69599999999999995</v>
      </c>
      <c r="F134" s="2">
        <v>1</v>
      </c>
    </row>
    <row r="135" spans="1:6" ht="14.25" customHeight="1">
      <c r="A135" s="2">
        <v>19</v>
      </c>
      <c r="B135" s="2">
        <v>134</v>
      </c>
      <c r="C135" s="2">
        <v>6</v>
      </c>
      <c r="D135" s="2">
        <v>1</v>
      </c>
      <c r="E135" s="2">
        <v>0.92900000000000005</v>
      </c>
      <c r="F135" s="2">
        <v>2</v>
      </c>
    </row>
    <row r="136" spans="1:6" ht="14.25" customHeight="1">
      <c r="A136" s="2">
        <v>19</v>
      </c>
      <c r="B136" s="2">
        <v>135</v>
      </c>
      <c r="C136" s="2">
        <v>4</v>
      </c>
      <c r="D136" s="2">
        <v>1</v>
      </c>
      <c r="E136" s="2">
        <v>1.5529999999999999</v>
      </c>
      <c r="F136" s="2">
        <v>1</v>
      </c>
    </row>
    <row r="137" spans="1:6" ht="14.25" customHeight="1">
      <c r="A137" s="2">
        <v>19</v>
      </c>
      <c r="B137" s="2">
        <v>136</v>
      </c>
      <c r="C137" s="2">
        <v>8</v>
      </c>
      <c r="D137" s="2">
        <v>1</v>
      </c>
      <c r="E137" s="2">
        <v>0.64700000000000002</v>
      </c>
      <c r="F137" s="2">
        <v>1</v>
      </c>
    </row>
    <row r="138" spans="1:6" ht="14.25" customHeight="1">
      <c r="A138" s="2">
        <v>19</v>
      </c>
      <c r="B138" s="2">
        <v>137</v>
      </c>
      <c r="C138" s="2">
        <v>6</v>
      </c>
      <c r="D138" s="2">
        <v>1</v>
      </c>
      <c r="E138" s="2">
        <v>0.55300000000000005</v>
      </c>
      <c r="F138" s="2">
        <v>1</v>
      </c>
    </row>
    <row r="139" spans="1:6" ht="14.25" customHeight="1">
      <c r="A139" s="2">
        <v>19</v>
      </c>
      <c r="B139" s="2">
        <v>138</v>
      </c>
      <c r="C139" s="2">
        <v>1</v>
      </c>
      <c r="D139" s="2">
        <v>0</v>
      </c>
      <c r="E139" s="2">
        <v>1.2470000000000001</v>
      </c>
      <c r="F139" s="2">
        <v>1</v>
      </c>
    </row>
    <row r="140" spans="1:6" ht="14.25" customHeight="1">
      <c r="A140" s="2">
        <v>19</v>
      </c>
      <c r="B140" s="2">
        <v>139</v>
      </c>
      <c r="C140" s="2">
        <v>4</v>
      </c>
      <c r="D140" s="2">
        <v>1</v>
      </c>
      <c r="E140" s="2">
        <v>1.0980000000000001</v>
      </c>
      <c r="F140" s="2">
        <v>1</v>
      </c>
    </row>
    <row r="141" spans="1:6" ht="14.25" customHeight="1">
      <c r="A141" s="2">
        <v>19</v>
      </c>
      <c r="B141" s="2">
        <v>140</v>
      </c>
      <c r="C141" s="2">
        <v>5</v>
      </c>
      <c r="D141" s="2">
        <v>1</v>
      </c>
      <c r="E141" s="2">
        <v>0.78600000000000003</v>
      </c>
      <c r="F141" s="2">
        <v>1</v>
      </c>
    </row>
    <row r="142" spans="1:6" ht="14.25" customHeight="1">
      <c r="A142" s="2">
        <v>19</v>
      </c>
      <c r="B142" s="2">
        <v>141</v>
      </c>
      <c r="C142" s="2">
        <v>7</v>
      </c>
      <c r="D142" s="2">
        <v>1</v>
      </c>
      <c r="E142" s="2">
        <v>0.94299999999999995</v>
      </c>
      <c r="F142" s="2">
        <v>2</v>
      </c>
    </row>
    <row r="143" spans="1:6" ht="14.25" customHeight="1">
      <c r="A143" s="2">
        <v>19</v>
      </c>
      <c r="B143" s="2">
        <v>142</v>
      </c>
      <c r="C143" s="2">
        <v>3</v>
      </c>
      <c r="D143" s="2">
        <v>1</v>
      </c>
      <c r="E143" s="2">
        <v>1.3580000000000001</v>
      </c>
      <c r="F143" s="2">
        <v>2</v>
      </c>
    </row>
    <row r="144" spans="1:6" ht="14.25" customHeight="1">
      <c r="A144" s="2">
        <v>19</v>
      </c>
      <c r="B144" s="2">
        <v>143</v>
      </c>
      <c r="C144" s="2">
        <v>1</v>
      </c>
      <c r="D144" s="2">
        <v>1</v>
      </c>
      <c r="E144" s="2">
        <v>0.996</v>
      </c>
      <c r="F144" s="2">
        <v>1</v>
      </c>
    </row>
    <row r="145" spans="1:6" ht="14.25" customHeight="1">
      <c r="A145" s="2">
        <v>19</v>
      </c>
      <c r="B145" s="2">
        <v>144</v>
      </c>
      <c r="C145" s="2">
        <v>2</v>
      </c>
      <c r="D145" s="2">
        <v>1</v>
      </c>
      <c r="E145" s="2">
        <v>1.1519999999999999</v>
      </c>
      <c r="F145" s="2">
        <v>2</v>
      </c>
    </row>
    <row r="146" spans="1:6" ht="14.25" customHeight="1">
      <c r="A146" s="2">
        <v>19</v>
      </c>
      <c r="B146" s="2">
        <v>145</v>
      </c>
      <c r="C146" s="2">
        <v>8</v>
      </c>
      <c r="D146" s="2">
        <v>1</v>
      </c>
      <c r="E146" s="2">
        <v>0.68600000000000005</v>
      </c>
      <c r="F146" s="2">
        <v>1</v>
      </c>
    </row>
    <row r="147" spans="1:6" ht="14.25" customHeight="1">
      <c r="A147" s="2">
        <v>19</v>
      </c>
      <c r="B147" s="2">
        <v>146</v>
      </c>
      <c r="C147" s="2">
        <v>5</v>
      </c>
      <c r="D147" s="2">
        <v>1</v>
      </c>
      <c r="E147" s="2">
        <v>1.0069999999999999</v>
      </c>
      <c r="F147" s="2">
        <v>1</v>
      </c>
    </row>
    <row r="148" spans="1:6" ht="14.25" customHeight="1">
      <c r="A148" s="2">
        <v>19</v>
      </c>
      <c r="B148" s="2">
        <v>147</v>
      </c>
      <c r="C148" s="2">
        <v>4</v>
      </c>
      <c r="D148" s="2">
        <v>1</v>
      </c>
      <c r="E148" s="2">
        <v>1.2430000000000001</v>
      </c>
      <c r="F148" s="2">
        <v>2</v>
      </c>
    </row>
    <row r="149" spans="1:6" ht="14.25" customHeight="1">
      <c r="A149" s="2">
        <v>19</v>
      </c>
      <c r="B149" s="2">
        <v>148</v>
      </c>
      <c r="C149" s="2">
        <v>6</v>
      </c>
      <c r="D149" s="2">
        <v>0</v>
      </c>
      <c r="E149" s="2">
        <v>1.038</v>
      </c>
      <c r="F149" s="2">
        <v>1</v>
      </c>
    </row>
    <row r="150" spans="1:6" ht="14.25" customHeight="1">
      <c r="A150" s="2">
        <v>19</v>
      </c>
      <c r="B150" s="2">
        <v>149</v>
      </c>
      <c r="C150" s="2">
        <v>8</v>
      </c>
      <c r="D150" s="2">
        <v>1</v>
      </c>
      <c r="E150" s="2">
        <v>0.68100000000000005</v>
      </c>
      <c r="F150" s="2">
        <v>1</v>
      </c>
    </row>
    <row r="151" spans="1:6" ht="14.25" customHeight="1">
      <c r="A151" s="2">
        <v>19</v>
      </c>
      <c r="B151" s="2">
        <v>150</v>
      </c>
      <c r="C151" s="2">
        <v>7</v>
      </c>
      <c r="D151" s="2">
        <v>1</v>
      </c>
      <c r="E151" s="2">
        <v>0.96199999999999997</v>
      </c>
      <c r="F151" s="2">
        <v>1</v>
      </c>
    </row>
    <row r="152" spans="1:6" ht="14.25" customHeight="1">
      <c r="A152" s="2">
        <v>19</v>
      </c>
      <c r="B152" s="2">
        <v>151</v>
      </c>
      <c r="C152" s="2">
        <v>4</v>
      </c>
      <c r="D152" s="2">
        <v>1</v>
      </c>
      <c r="E152" s="2">
        <v>1.5269999999999999</v>
      </c>
    </row>
    <row r="153" spans="1:6" ht="14.25" customHeight="1">
      <c r="A153" s="2">
        <v>19</v>
      </c>
      <c r="B153" s="2">
        <v>152</v>
      </c>
      <c r="C153" s="2">
        <v>5</v>
      </c>
      <c r="D153" s="2">
        <v>1</v>
      </c>
      <c r="E153" s="2">
        <v>0.71</v>
      </c>
    </row>
    <row r="154" spans="1:6" ht="14.25" customHeight="1">
      <c r="A154" s="2">
        <v>19</v>
      </c>
      <c r="B154" s="2">
        <v>153</v>
      </c>
      <c r="C154" s="2">
        <v>3</v>
      </c>
      <c r="D154" s="2">
        <v>1</v>
      </c>
      <c r="E154" s="2">
        <v>0.55000000000000004</v>
      </c>
    </row>
    <row r="155" spans="1:6" ht="14.25" customHeight="1">
      <c r="A155" s="2">
        <v>19</v>
      </c>
      <c r="B155" s="2">
        <v>154</v>
      </c>
      <c r="C155" s="2">
        <v>6</v>
      </c>
      <c r="D155" s="2">
        <v>1</v>
      </c>
      <c r="E155" s="2">
        <v>0.98099999999999998</v>
      </c>
    </row>
    <row r="156" spans="1:6" ht="14.25" customHeight="1">
      <c r="A156" s="2">
        <v>19</v>
      </c>
      <c r="B156" s="2">
        <v>155</v>
      </c>
      <c r="C156" s="2">
        <v>8</v>
      </c>
      <c r="D156" s="2">
        <v>1</v>
      </c>
      <c r="E156" s="2">
        <v>1.3220000000000001</v>
      </c>
    </row>
    <row r="157" spans="1:6" ht="14.25" customHeight="1">
      <c r="A157" s="2">
        <v>19</v>
      </c>
      <c r="B157" s="2">
        <v>156</v>
      </c>
      <c r="C157" s="2">
        <v>7</v>
      </c>
      <c r="D157" s="2">
        <v>1</v>
      </c>
      <c r="E157" s="2">
        <v>0.63300000000000001</v>
      </c>
    </row>
    <row r="158" spans="1:6" ht="14.25" customHeight="1">
      <c r="A158" s="2">
        <v>19</v>
      </c>
      <c r="B158" s="2">
        <v>157</v>
      </c>
      <c r="C158" s="2">
        <v>1</v>
      </c>
      <c r="D158" s="2">
        <v>1</v>
      </c>
      <c r="E158" s="2">
        <v>0.94899999999999995</v>
      </c>
    </row>
    <row r="159" spans="1:6" ht="14.25" customHeight="1">
      <c r="A159" s="2">
        <v>19</v>
      </c>
      <c r="B159" s="2">
        <v>158</v>
      </c>
      <c r="C159" s="2">
        <v>7</v>
      </c>
      <c r="D159" s="2">
        <v>0</v>
      </c>
      <c r="E159" s="2">
        <v>1.075</v>
      </c>
    </row>
    <row r="160" spans="1:6" ht="14.25" customHeight="1">
      <c r="A160" s="2">
        <v>19</v>
      </c>
      <c r="B160" s="2">
        <v>159</v>
      </c>
      <c r="C160" s="2">
        <v>8</v>
      </c>
      <c r="D160" s="2">
        <v>1</v>
      </c>
      <c r="E160" s="2">
        <v>1.5009999999999999</v>
      </c>
    </row>
    <row r="161" spans="1:5" ht="14.25" customHeight="1">
      <c r="A161" s="2">
        <v>19</v>
      </c>
      <c r="B161" s="2">
        <v>160</v>
      </c>
      <c r="C161" s="2">
        <v>7</v>
      </c>
      <c r="D161" s="2">
        <v>1</v>
      </c>
      <c r="E161" s="2">
        <v>0.63700000000000001</v>
      </c>
    </row>
    <row r="162" spans="1:5" ht="14.25" customHeight="1">
      <c r="A162" s="2">
        <v>19</v>
      </c>
      <c r="B162" s="2">
        <v>161</v>
      </c>
      <c r="C162" s="2">
        <v>8</v>
      </c>
      <c r="D162" s="2">
        <v>0</v>
      </c>
      <c r="E162" s="2">
        <v>1.3680000000000001</v>
      </c>
    </row>
    <row r="163" spans="1:5" ht="14.25" customHeight="1">
      <c r="A163" s="2">
        <v>19</v>
      </c>
      <c r="B163" s="2">
        <v>162</v>
      </c>
      <c r="C163" s="2">
        <v>3</v>
      </c>
      <c r="D163" s="2">
        <v>1</v>
      </c>
      <c r="E163" s="2">
        <v>1.2450000000000001</v>
      </c>
    </row>
    <row r="164" spans="1:5" ht="14.25" customHeight="1">
      <c r="A164" s="2">
        <v>19</v>
      </c>
      <c r="B164" s="2">
        <v>163</v>
      </c>
      <c r="C164" s="2">
        <v>4</v>
      </c>
      <c r="D164" s="2">
        <v>1</v>
      </c>
      <c r="E164" s="2">
        <v>1.2470000000000001</v>
      </c>
    </row>
    <row r="165" spans="1:5" ht="14.25" customHeight="1">
      <c r="A165" s="2">
        <v>19</v>
      </c>
      <c r="B165" s="2">
        <v>164</v>
      </c>
      <c r="C165" s="2">
        <v>5</v>
      </c>
      <c r="D165" s="2">
        <v>1</v>
      </c>
      <c r="E165" s="2">
        <v>1.0489999999999999</v>
      </c>
    </row>
    <row r="166" spans="1:5" ht="14.25" customHeight="1">
      <c r="A166" s="2">
        <v>19</v>
      </c>
      <c r="B166" s="2">
        <v>165</v>
      </c>
      <c r="C166" s="2">
        <v>2</v>
      </c>
      <c r="D166" s="2">
        <v>1</v>
      </c>
      <c r="E166" s="2">
        <v>1.0129999999999999</v>
      </c>
    </row>
    <row r="167" spans="1:5" ht="14.25" customHeight="1">
      <c r="A167" s="2">
        <v>19</v>
      </c>
      <c r="B167" s="2">
        <v>166</v>
      </c>
      <c r="C167" s="2">
        <v>8</v>
      </c>
      <c r="D167" s="2">
        <v>1</v>
      </c>
      <c r="E167" s="2">
        <v>1.5209999999999999</v>
      </c>
    </row>
    <row r="168" spans="1:5" ht="14.25" customHeight="1">
      <c r="A168" s="2">
        <v>19</v>
      </c>
      <c r="B168" s="2">
        <v>167</v>
      </c>
      <c r="C168" s="2">
        <v>6</v>
      </c>
      <c r="D168" s="2">
        <v>1</v>
      </c>
      <c r="E168" s="2">
        <v>0.98299999999999998</v>
      </c>
    </row>
    <row r="169" spans="1:5" ht="14.25" customHeight="1">
      <c r="A169" s="2">
        <v>19</v>
      </c>
      <c r="B169" s="2">
        <v>168</v>
      </c>
      <c r="C169" s="2">
        <v>4</v>
      </c>
      <c r="D169" s="2">
        <v>1</v>
      </c>
      <c r="E169" s="2">
        <v>1.581</v>
      </c>
    </row>
    <row r="170" spans="1:5" ht="14.25" customHeight="1">
      <c r="A170" s="2">
        <v>19</v>
      </c>
      <c r="B170" s="2">
        <v>169</v>
      </c>
      <c r="C170" s="2">
        <v>5</v>
      </c>
      <c r="D170" s="2">
        <v>1</v>
      </c>
      <c r="E170" s="2">
        <v>1.091</v>
      </c>
    </row>
    <row r="171" spans="1:5" ht="14.25" customHeight="1">
      <c r="A171" s="2">
        <v>19</v>
      </c>
      <c r="B171" s="2">
        <v>170</v>
      </c>
      <c r="C171" s="2">
        <v>4</v>
      </c>
      <c r="D171" s="2">
        <v>1</v>
      </c>
      <c r="E171" s="2">
        <v>0.69899999999999995</v>
      </c>
    </row>
    <row r="172" spans="1:5" ht="14.25" customHeight="1">
      <c r="A172" s="2">
        <v>19</v>
      </c>
      <c r="B172" s="2">
        <v>171</v>
      </c>
      <c r="C172" s="2">
        <v>5</v>
      </c>
      <c r="D172" s="2">
        <v>1</v>
      </c>
      <c r="E172" s="2">
        <v>0.63500000000000001</v>
      </c>
    </row>
    <row r="173" spans="1:5" ht="14.25" customHeight="1">
      <c r="A173" s="2">
        <v>19</v>
      </c>
      <c r="B173" s="2">
        <v>172</v>
      </c>
      <c r="C173" s="2">
        <v>2</v>
      </c>
      <c r="D173" s="2">
        <v>1</v>
      </c>
      <c r="E173" s="2">
        <v>1.0629999999999999</v>
      </c>
    </row>
    <row r="174" spans="1:5" ht="14.25" customHeight="1">
      <c r="A174" s="2">
        <v>19</v>
      </c>
      <c r="B174" s="2">
        <v>173</v>
      </c>
      <c r="C174" s="2">
        <v>6</v>
      </c>
      <c r="D174" s="2">
        <v>1</v>
      </c>
      <c r="E174" s="2">
        <v>1.4319999999999999</v>
      </c>
    </row>
    <row r="175" spans="1:5" ht="14.25" customHeight="1">
      <c r="A175" s="2">
        <v>19</v>
      </c>
      <c r="B175" s="2">
        <v>174</v>
      </c>
      <c r="C175" s="2">
        <v>3</v>
      </c>
      <c r="D175" s="2">
        <v>1</v>
      </c>
      <c r="E175" s="2">
        <v>0.97199999999999998</v>
      </c>
    </row>
    <row r="176" spans="1:5" ht="14.25" customHeight="1">
      <c r="A176" s="2">
        <v>19</v>
      </c>
      <c r="B176" s="2">
        <v>175</v>
      </c>
      <c r="C176" s="2">
        <v>6</v>
      </c>
      <c r="D176" s="2">
        <v>1</v>
      </c>
      <c r="E176" s="2">
        <v>0.68100000000000005</v>
      </c>
    </row>
    <row r="177" spans="1:5" ht="14.25" customHeight="1">
      <c r="A177" s="2">
        <v>19</v>
      </c>
      <c r="B177" s="2">
        <v>176</v>
      </c>
      <c r="C177" s="2">
        <v>1</v>
      </c>
      <c r="D177" s="2">
        <v>1</v>
      </c>
      <c r="E177" s="2">
        <v>1.163</v>
      </c>
    </row>
    <row r="178" spans="1:5" ht="14.25" customHeight="1">
      <c r="A178" s="2">
        <v>19</v>
      </c>
      <c r="B178" s="2">
        <v>177</v>
      </c>
      <c r="C178" s="2">
        <v>7</v>
      </c>
      <c r="D178" s="2">
        <v>1</v>
      </c>
      <c r="E178" s="2">
        <v>0.64</v>
      </c>
    </row>
    <row r="179" spans="1:5" ht="14.25" customHeight="1">
      <c r="A179" s="2">
        <v>19</v>
      </c>
      <c r="B179" s="2">
        <v>178</v>
      </c>
      <c r="C179" s="2">
        <v>4</v>
      </c>
      <c r="D179" s="2">
        <v>1</v>
      </c>
      <c r="E179" s="2">
        <v>0.89900000000000002</v>
      </c>
    </row>
    <row r="180" spans="1:5" ht="14.25" customHeight="1">
      <c r="A180" s="2">
        <v>19</v>
      </c>
      <c r="B180" s="2">
        <v>179</v>
      </c>
      <c r="C180" s="2">
        <v>3</v>
      </c>
      <c r="D180" s="2">
        <v>1</v>
      </c>
      <c r="E180" s="2">
        <v>0.58799999999999997</v>
      </c>
    </row>
    <row r="181" spans="1:5" ht="14.25" customHeight="1">
      <c r="A181" s="2">
        <v>19</v>
      </c>
      <c r="B181" s="2">
        <v>180</v>
      </c>
      <c r="C181" s="2">
        <v>6</v>
      </c>
      <c r="D181" s="2">
        <v>1</v>
      </c>
      <c r="E181" s="2">
        <v>0.752</v>
      </c>
    </row>
    <row r="182" spans="1:5" ht="14.25" customHeight="1">
      <c r="A182" s="2">
        <v>19</v>
      </c>
      <c r="B182" s="2">
        <v>181</v>
      </c>
      <c r="C182" s="2">
        <v>7</v>
      </c>
      <c r="D182" s="2">
        <v>1</v>
      </c>
      <c r="E182" s="2">
        <v>1.4059999999999999</v>
      </c>
    </row>
    <row r="183" spans="1:5" ht="14.25" customHeight="1">
      <c r="A183" s="2">
        <v>19</v>
      </c>
      <c r="B183" s="2">
        <v>182</v>
      </c>
      <c r="C183" s="2">
        <v>2</v>
      </c>
      <c r="D183" s="2">
        <v>1</v>
      </c>
      <c r="E183" s="2">
        <v>0.81100000000000005</v>
      </c>
    </row>
    <row r="184" spans="1:5" ht="14.25" customHeight="1">
      <c r="A184" s="2">
        <v>19</v>
      </c>
      <c r="B184" s="2">
        <v>183</v>
      </c>
      <c r="C184" s="2">
        <v>4</v>
      </c>
      <c r="D184" s="2">
        <v>1</v>
      </c>
      <c r="E184" s="2">
        <v>0.78200000000000003</v>
      </c>
    </row>
    <row r="185" spans="1:5" ht="14.25" customHeight="1">
      <c r="A185" s="2">
        <v>19</v>
      </c>
      <c r="B185" s="2">
        <v>184</v>
      </c>
      <c r="C185" s="2">
        <v>2</v>
      </c>
      <c r="D185" s="2">
        <v>1</v>
      </c>
      <c r="E185" s="2">
        <v>0.86</v>
      </c>
    </row>
    <row r="186" spans="1:5" ht="14.25" customHeight="1">
      <c r="A186" s="2">
        <v>19</v>
      </c>
      <c r="B186" s="2">
        <v>185</v>
      </c>
      <c r="C186" s="2">
        <v>5</v>
      </c>
      <c r="D186" s="2">
        <v>1</v>
      </c>
      <c r="E186" s="2">
        <v>1.07</v>
      </c>
    </row>
    <row r="187" spans="1:5" ht="14.25" customHeight="1">
      <c r="A187" s="2">
        <v>19</v>
      </c>
      <c r="B187" s="2">
        <v>186</v>
      </c>
      <c r="C187" s="2">
        <v>8</v>
      </c>
      <c r="D187" s="2">
        <v>1</v>
      </c>
      <c r="E187" s="2">
        <v>0.66400000000000003</v>
      </c>
    </row>
    <row r="188" spans="1:5" ht="14.25" customHeight="1">
      <c r="A188" s="2">
        <v>19</v>
      </c>
      <c r="B188" s="2">
        <v>187</v>
      </c>
      <c r="C188" s="2">
        <v>1</v>
      </c>
      <c r="D188" s="2">
        <v>1</v>
      </c>
      <c r="E188" s="2">
        <v>0.61799999999999999</v>
      </c>
    </row>
    <row r="189" spans="1:5" ht="14.25" customHeight="1">
      <c r="A189" s="2">
        <v>19</v>
      </c>
      <c r="B189" s="2">
        <v>188</v>
      </c>
      <c r="C189" s="2">
        <v>5</v>
      </c>
      <c r="D189" s="2">
        <v>1</v>
      </c>
      <c r="E189" s="2">
        <v>1.508</v>
      </c>
    </row>
    <row r="190" spans="1:5" ht="14.25" customHeight="1">
      <c r="A190" s="2">
        <v>19</v>
      </c>
      <c r="B190" s="2">
        <v>189</v>
      </c>
      <c r="C190" s="2">
        <v>3</v>
      </c>
      <c r="D190" s="2">
        <v>1</v>
      </c>
      <c r="E190" s="2">
        <v>1.0049999999999999</v>
      </c>
    </row>
    <row r="191" spans="1:5" ht="14.25" customHeight="1">
      <c r="A191" s="2">
        <v>19</v>
      </c>
      <c r="B191" s="2">
        <v>190</v>
      </c>
      <c r="C191" s="2">
        <v>8</v>
      </c>
      <c r="D191" s="2">
        <v>1</v>
      </c>
      <c r="E191" s="2">
        <v>0.68</v>
      </c>
    </row>
    <row r="192" spans="1:5" ht="14.25" customHeight="1">
      <c r="A192" s="2">
        <v>19</v>
      </c>
      <c r="B192" s="2">
        <v>191</v>
      </c>
      <c r="C192" s="2">
        <v>7</v>
      </c>
      <c r="D192" s="2">
        <v>1</v>
      </c>
      <c r="E192" s="2">
        <v>1.018</v>
      </c>
    </row>
    <row r="193" spans="1:5" ht="14.25" customHeight="1">
      <c r="A193" s="2">
        <v>19</v>
      </c>
      <c r="B193" s="2">
        <v>192</v>
      </c>
      <c r="C193" s="2">
        <v>4</v>
      </c>
      <c r="D193" s="2">
        <v>1</v>
      </c>
      <c r="E193" s="2">
        <v>1.222</v>
      </c>
    </row>
    <row r="194" spans="1:5" ht="14.25" customHeight="1">
      <c r="A194" s="2">
        <v>19</v>
      </c>
      <c r="B194" s="2">
        <v>193</v>
      </c>
      <c r="C194" s="2">
        <v>2</v>
      </c>
      <c r="D194" s="2">
        <v>1</v>
      </c>
      <c r="E194" s="2">
        <v>1.0169999999999999</v>
      </c>
    </row>
    <row r="195" spans="1:5" ht="14.25" customHeight="1">
      <c r="A195" s="2">
        <v>19</v>
      </c>
      <c r="B195" s="2">
        <v>194</v>
      </c>
      <c r="C195" s="2">
        <v>1</v>
      </c>
      <c r="D195" s="2">
        <v>1</v>
      </c>
      <c r="E195" s="2">
        <v>1.117</v>
      </c>
    </row>
    <row r="196" spans="1:5" ht="14.25" customHeight="1">
      <c r="A196" s="2">
        <v>19</v>
      </c>
      <c r="B196" s="2">
        <v>195</v>
      </c>
      <c r="C196" s="2">
        <v>2</v>
      </c>
      <c r="D196" s="2">
        <v>1</v>
      </c>
      <c r="E196" s="2">
        <v>0.67</v>
      </c>
    </row>
    <row r="197" spans="1:5" ht="14.25" customHeight="1">
      <c r="A197" s="2">
        <v>19</v>
      </c>
      <c r="B197" s="2">
        <v>196</v>
      </c>
      <c r="C197" s="2">
        <v>1</v>
      </c>
      <c r="D197" s="2">
        <v>1</v>
      </c>
      <c r="E197" s="2">
        <v>1.3420000000000001</v>
      </c>
    </row>
    <row r="198" spans="1:5" ht="14.25" customHeight="1">
      <c r="A198" s="2">
        <v>19</v>
      </c>
      <c r="B198" s="2">
        <v>197</v>
      </c>
      <c r="C198" s="2">
        <v>6</v>
      </c>
      <c r="D198" s="2">
        <v>1</v>
      </c>
      <c r="E198" s="2">
        <v>1.0129999999999999</v>
      </c>
    </row>
    <row r="199" spans="1:5" ht="14.25" customHeight="1">
      <c r="A199" s="2">
        <v>19</v>
      </c>
      <c r="B199" s="2">
        <v>198</v>
      </c>
      <c r="C199" s="2">
        <v>1</v>
      </c>
      <c r="D199" s="2">
        <v>1</v>
      </c>
      <c r="E199" s="2">
        <v>1.73</v>
      </c>
    </row>
    <row r="200" spans="1:5" ht="14.25" customHeight="1">
      <c r="A200" s="2">
        <v>19</v>
      </c>
      <c r="B200" s="2">
        <v>199</v>
      </c>
      <c r="C200" s="2">
        <v>3</v>
      </c>
      <c r="D200" s="2">
        <v>1</v>
      </c>
      <c r="E200" s="2">
        <v>0.64</v>
      </c>
    </row>
    <row r="201" spans="1:5" ht="14.25" customHeight="1">
      <c r="A201" s="2">
        <v>19</v>
      </c>
      <c r="B201" s="2">
        <v>200</v>
      </c>
      <c r="C201" s="2">
        <v>8</v>
      </c>
      <c r="D201" s="2">
        <v>1</v>
      </c>
      <c r="E201" s="2">
        <v>1.3720000000000001</v>
      </c>
    </row>
    <row r="202" spans="1:5" ht="14.25" customHeight="1">
      <c r="A202" s="2">
        <v>19</v>
      </c>
      <c r="B202" s="2">
        <v>201</v>
      </c>
      <c r="C202" s="2">
        <v>5</v>
      </c>
    </row>
    <row r="203" spans="1:5" ht="14.25" customHeight="1">
      <c r="A203" s="2">
        <v>19</v>
      </c>
      <c r="B203" s="2">
        <v>202</v>
      </c>
      <c r="C203" s="2">
        <v>3</v>
      </c>
    </row>
    <row r="204" spans="1:5" ht="14.25" customHeight="1">
      <c r="A204" s="2">
        <v>19</v>
      </c>
      <c r="B204" s="2">
        <v>203</v>
      </c>
      <c r="C204" s="2">
        <v>7</v>
      </c>
    </row>
    <row r="205" spans="1:5" ht="14.25" customHeight="1">
      <c r="A205" s="2">
        <v>19</v>
      </c>
      <c r="B205" s="2">
        <v>204</v>
      </c>
      <c r="C205" s="2">
        <v>2</v>
      </c>
    </row>
    <row r="206" spans="1:5" ht="14.25" customHeight="1">
      <c r="A206" s="2">
        <v>19</v>
      </c>
      <c r="B206" s="2">
        <v>205</v>
      </c>
      <c r="C206" s="2">
        <v>3</v>
      </c>
    </row>
    <row r="207" spans="1:5" ht="14.25" customHeight="1">
      <c r="A207" s="2">
        <v>19</v>
      </c>
      <c r="B207" s="2">
        <v>206</v>
      </c>
      <c r="C207" s="2">
        <v>4</v>
      </c>
    </row>
    <row r="208" spans="1:5" ht="14.25" customHeight="1">
      <c r="A208" s="2">
        <v>19</v>
      </c>
      <c r="B208" s="2">
        <v>207</v>
      </c>
      <c r="C208" s="2">
        <v>1</v>
      </c>
    </row>
    <row r="209" spans="1:3" ht="14.25" customHeight="1">
      <c r="A209" s="2">
        <v>19</v>
      </c>
      <c r="B209" s="2">
        <v>208</v>
      </c>
      <c r="C209" s="2">
        <v>4</v>
      </c>
    </row>
    <row r="210" spans="1:3" ht="14.25" customHeight="1">
      <c r="A210" s="2">
        <v>19</v>
      </c>
      <c r="B210" s="2">
        <v>209</v>
      </c>
      <c r="C210" s="2">
        <v>2</v>
      </c>
    </row>
    <row r="211" spans="1:3" ht="14.25" customHeight="1">
      <c r="A211" s="2">
        <v>19</v>
      </c>
      <c r="B211" s="2">
        <v>210</v>
      </c>
      <c r="C211" s="2">
        <v>7</v>
      </c>
    </row>
    <row r="212" spans="1:3" ht="14.25" customHeight="1">
      <c r="A212" s="2">
        <v>19</v>
      </c>
      <c r="B212" s="2">
        <v>211</v>
      </c>
      <c r="C212" s="2">
        <v>3</v>
      </c>
    </row>
    <row r="213" spans="1:3" ht="14.25" customHeight="1">
      <c r="A213" s="2">
        <v>19</v>
      </c>
      <c r="B213" s="2">
        <v>212</v>
      </c>
      <c r="C213" s="2">
        <v>2</v>
      </c>
    </row>
    <row r="214" spans="1:3" ht="14.25" customHeight="1">
      <c r="A214" s="2">
        <v>19</v>
      </c>
      <c r="B214" s="2">
        <v>213</v>
      </c>
      <c r="C214" s="2">
        <v>8</v>
      </c>
    </row>
    <row r="215" spans="1:3" ht="14.25" customHeight="1">
      <c r="A215" s="2">
        <v>19</v>
      </c>
      <c r="B215" s="2">
        <v>214</v>
      </c>
      <c r="C215" s="2">
        <v>6</v>
      </c>
    </row>
    <row r="216" spans="1:3" ht="14.25" customHeight="1">
      <c r="A216" s="2">
        <v>19</v>
      </c>
      <c r="B216" s="2">
        <v>215</v>
      </c>
      <c r="C216" s="2">
        <v>1</v>
      </c>
    </row>
    <row r="217" spans="1:3" ht="14.25" customHeight="1">
      <c r="A217" s="2">
        <v>19</v>
      </c>
      <c r="B217" s="2">
        <v>216</v>
      </c>
      <c r="C217" s="2">
        <v>7</v>
      </c>
    </row>
    <row r="218" spans="1:3" ht="14.25" customHeight="1">
      <c r="A218" s="2">
        <v>19</v>
      </c>
      <c r="B218" s="2">
        <v>217</v>
      </c>
      <c r="C218" s="2">
        <v>5</v>
      </c>
    </row>
    <row r="219" spans="1:3" ht="14.25" customHeight="1">
      <c r="A219" s="2">
        <v>19</v>
      </c>
      <c r="B219" s="2">
        <v>218</v>
      </c>
      <c r="C219" s="2">
        <v>6</v>
      </c>
    </row>
    <row r="220" spans="1:3" ht="14.25" customHeight="1">
      <c r="A220" s="2">
        <v>19</v>
      </c>
      <c r="B220" s="2">
        <v>219</v>
      </c>
      <c r="C220" s="2">
        <v>1</v>
      </c>
    </row>
    <row r="221" spans="1:3" ht="14.25" customHeight="1">
      <c r="A221" s="2">
        <v>19</v>
      </c>
      <c r="B221" s="2">
        <v>220</v>
      </c>
      <c r="C221" s="2">
        <v>3</v>
      </c>
    </row>
    <row r="222" spans="1:3" ht="14.25" customHeight="1">
      <c r="A222" s="2">
        <v>19</v>
      </c>
      <c r="B222" s="2">
        <v>221</v>
      </c>
      <c r="C222" s="2">
        <v>6</v>
      </c>
    </row>
    <row r="223" spans="1:3" ht="14.25" customHeight="1">
      <c r="A223" s="2">
        <v>19</v>
      </c>
      <c r="B223" s="2">
        <v>222</v>
      </c>
      <c r="C223" s="2">
        <v>8</v>
      </c>
    </row>
    <row r="224" spans="1:3" ht="14.25" customHeight="1">
      <c r="A224" s="2">
        <v>19</v>
      </c>
      <c r="B224" s="2">
        <v>223</v>
      </c>
      <c r="C224" s="2">
        <v>7</v>
      </c>
    </row>
    <row r="225" spans="1:3" ht="14.25" customHeight="1">
      <c r="A225" s="2">
        <v>19</v>
      </c>
      <c r="B225" s="2">
        <v>224</v>
      </c>
      <c r="C225" s="2">
        <v>5</v>
      </c>
    </row>
    <row r="226" spans="1:3" ht="14.25" customHeight="1">
      <c r="A226" s="2">
        <v>19</v>
      </c>
      <c r="B226" s="2">
        <v>225</v>
      </c>
      <c r="C226" s="2">
        <v>6</v>
      </c>
    </row>
    <row r="227" spans="1:3" ht="14.25" customHeight="1">
      <c r="A227" s="2">
        <v>19</v>
      </c>
      <c r="B227" s="2">
        <v>226</v>
      </c>
      <c r="C227" s="2">
        <v>5</v>
      </c>
    </row>
    <row r="228" spans="1:3" ht="14.25" customHeight="1">
      <c r="A228" s="2">
        <v>19</v>
      </c>
      <c r="B228" s="2">
        <v>227</v>
      </c>
      <c r="C228" s="2">
        <v>3</v>
      </c>
    </row>
    <row r="229" spans="1:3" ht="14.25" customHeight="1">
      <c r="A229" s="2">
        <v>19</v>
      </c>
      <c r="B229" s="2">
        <v>228</v>
      </c>
      <c r="C229" s="2">
        <v>8</v>
      </c>
    </row>
    <row r="230" spans="1:3" ht="14.25" customHeight="1">
      <c r="A230" s="2">
        <v>19</v>
      </c>
      <c r="B230" s="2">
        <v>229</v>
      </c>
      <c r="C230" s="2">
        <v>2</v>
      </c>
    </row>
    <row r="231" spans="1:3" ht="14.25" customHeight="1">
      <c r="A231" s="2">
        <v>19</v>
      </c>
      <c r="B231" s="2">
        <v>230</v>
      </c>
      <c r="C231" s="2">
        <v>8</v>
      </c>
    </row>
    <row r="232" spans="1:3" ht="14.25" customHeight="1">
      <c r="A232" s="2">
        <v>19</v>
      </c>
      <c r="B232" s="2">
        <v>231</v>
      </c>
      <c r="C232" s="2">
        <v>6</v>
      </c>
    </row>
    <row r="233" spans="1:3" ht="14.25" customHeight="1">
      <c r="A233" s="2">
        <v>19</v>
      </c>
      <c r="B233" s="2">
        <v>232</v>
      </c>
      <c r="C233" s="2">
        <v>4</v>
      </c>
    </row>
    <row r="234" spans="1:3" ht="14.25" customHeight="1">
      <c r="A234" s="2">
        <v>19</v>
      </c>
      <c r="B234" s="2">
        <v>233</v>
      </c>
      <c r="C234" s="2">
        <v>2</v>
      </c>
    </row>
    <row r="235" spans="1:3" ht="14.25" customHeight="1">
      <c r="A235" s="2">
        <v>19</v>
      </c>
      <c r="B235" s="2">
        <v>234</v>
      </c>
      <c r="C235" s="2">
        <v>7</v>
      </c>
    </row>
    <row r="236" spans="1:3" ht="14.25" customHeight="1">
      <c r="A236" s="2">
        <v>19</v>
      </c>
      <c r="B236" s="2">
        <v>235</v>
      </c>
      <c r="C236" s="2">
        <v>1</v>
      </c>
    </row>
    <row r="237" spans="1:3" ht="14.25" customHeight="1">
      <c r="A237" s="2">
        <v>19</v>
      </c>
      <c r="B237" s="2">
        <v>236</v>
      </c>
      <c r="C237" s="2">
        <v>6</v>
      </c>
    </row>
    <row r="238" spans="1:3" ht="14.25" customHeight="1">
      <c r="A238" s="2">
        <v>19</v>
      </c>
      <c r="B238" s="2">
        <v>237</v>
      </c>
      <c r="C238" s="2">
        <v>1</v>
      </c>
    </row>
    <row r="239" spans="1:3" ht="14.25" customHeight="1">
      <c r="A239" s="2">
        <v>19</v>
      </c>
      <c r="B239" s="2">
        <v>238</v>
      </c>
      <c r="C239" s="2">
        <v>4</v>
      </c>
    </row>
    <row r="240" spans="1:3" ht="14.25" customHeight="1">
      <c r="A240" s="2">
        <v>19</v>
      </c>
      <c r="B240" s="2">
        <v>239</v>
      </c>
      <c r="C240" s="2">
        <v>5</v>
      </c>
    </row>
    <row r="241" spans="1:3" ht="14.25" customHeight="1">
      <c r="A241" s="2">
        <v>19</v>
      </c>
      <c r="B241" s="2">
        <v>240</v>
      </c>
      <c r="C241" s="2">
        <v>7</v>
      </c>
    </row>
    <row r="242" spans="1:3" ht="14.25" customHeight="1">
      <c r="A242" s="2">
        <v>19</v>
      </c>
      <c r="B242" s="2">
        <v>241</v>
      </c>
      <c r="C242" s="2">
        <v>5</v>
      </c>
    </row>
    <row r="243" spans="1:3" ht="14.25" customHeight="1">
      <c r="A243" s="2">
        <v>19</v>
      </c>
      <c r="B243" s="2">
        <v>242</v>
      </c>
      <c r="C243" s="2">
        <v>8</v>
      </c>
    </row>
    <row r="244" spans="1:3" ht="14.25" customHeight="1">
      <c r="A244" s="2">
        <v>19</v>
      </c>
      <c r="B244" s="2">
        <v>243</v>
      </c>
      <c r="C244" s="2">
        <v>4</v>
      </c>
    </row>
    <row r="245" spans="1:3" ht="14.25" customHeight="1">
      <c r="A245" s="2">
        <v>19</v>
      </c>
      <c r="B245" s="2">
        <v>244</v>
      </c>
      <c r="C245" s="2">
        <v>2</v>
      </c>
    </row>
    <row r="246" spans="1:3" ht="14.25" customHeight="1">
      <c r="A246" s="2">
        <v>19</v>
      </c>
      <c r="B246" s="2">
        <v>245</v>
      </c>
      <c r="C246" s="2">
        <v>8</v>
      </c>
    </row>
    <row r="247" spans="1:3" ht="14.25" customHeight="1">
      <c r="A247" s="2">
        <v>19</v>
      </c>
      <c r="B247" s="2">
        <v>246</v>
      </c>
      <c r="C247" s="2">
        <v>3</v>
      </c>
    </row>
    <row r="248" spans="1:3" ht="14.25" customHeight="1">
      <c r="A248" s="2">
        <v>19</v>
      </c>
      <c r="B248" s="2">
        <v>247</v>
      </c>
      <c r="C248" s="2">
        <v>4</v>
      </c>
    </row>
    <row r="249" spans="1:3" ht="14.25" customHeight="1">
      <c r="A249" s="2">
        <v>19</v>
      </c>
      <c r="B249" s="2">
        <v>248</v>
      </c>
      <c r="C249" s="2">
        <v>1</v>
      </c>
    </row>
    <row r="250" spans="1:3" ht="14.25" customHeight="1">
      <c r="A250" s="2">
        <v>19</v>
      </c>
      <c r="B250" s="2">
        <v>249</v>
      </c>
      <c r="C250" s="2">
        <v>4</v>
      </c>
    </row>
    <row r="251" spans="1:3" ht="14.25" customHeight="1">
      <c r="A251" s="2">
        <v>19</v>
      </c>
      <c r="B251" s="2">
        <v>250</v>
      </c>
      <c r="C251" s="2">
        <v>8</v>
      </c>
    </row>
    <row r="252" spans="1:3" ht="14.25" customHeight="1">
      <c r="A252" s="2">
        <v>19</v>
      </c>
      <c r="B252" s="2">
        <v>251</v>
      </c>
      <c r="C252" s="2">
        <v>8</v>
      </c>
    </row>
    <row r="253" spans="1:3" ht="14.25" customHeight="1">
      <c r="A253" s="2">
        <v>19</v>
      </c>
      <c r="B253" s="2">
        <v>252</v>
      </c>
      <c r="C253" s="2">
        <v>4</v>
      </c>
    </row>
    <row r="254" spans="1:3" ht="14.25" customHeight="1">
      <c r="A254" s="2">
        <v>19</v>
      </c>
      <c r="B254" s="2">
        <v>253</v>
      </c>
      <c r="C254" s="2">
        <v>3</v>
      </c>
    </row>
    <row r="255" spans="1:3" ht="14.25" customHeight="1">
      <c r="A255" s="2">
        <v>19</v>
      </c>
      <c r="B255" s="2">
        <v>254</v>
      </c>
      <c r="C255" s="2">
        <v>1</v>
      </c>
    </row>
    <row r="256" spans="1:3" ht="14.25" customHeight="1">
      <c r="A256" s="2">
        <v>19</v>
      </c>
      <c r="B256" s="2">
        <v>255</v>
      </c>
      <c r="C256" s="2">
        <v>2</v>
      </c>
    </row>
    <row r="257" spans="1:3" ht="14.25" customHeight="1">
      <c r="A257" s="2">
        <v>19</v>
      </c>
      <c r="B257" s="2">
        <v>256</v>
      </c>
      <c r="C257" s="2">
        <v>7</v>
      </c>
    </row>
    <row r="258" spans="1:3" ht="14.25" customHeight="1">
      <c r="A258" s="2">
        <v>19</v>
      </c>
      <c r="B258" s="2">
        <v>257</v>
      </c>
      <c r="C258" s="2">
        <v>8</v>
      </c>
    </row>
    <row r="259" spans="1:3" ht="14.25" customHeight="1">
      <c r="A259" s="2">
        <v>19</v>
      </c>
      <c r="B259" s="2">
        <v>258</v>
      </c>
      <c r="C259" s="2">
        <v>3</v>
      </c>
    </row>
    <row r="260" spans="1:3" ht="14.25" customHeight="1">
      <c r="A260" s="2">
        <v>19</v>
      </c>
      <c r="B260" s="2">
        <v>259</v>
      </c>
      <c r="C260" s="2">
        <v>4</v>
      </c>
    </row>
    <row r="261" spans="1:3" ht="14.25" customHeight="1">
      <c r="A261" s="2">
        <v>19</v>
      </c>
      <c r="B261" s="2">
        <v>260</v>
      </c>
      <c r="C261" s="2">
        <v>5</v>
      </c>
    </row>
    <row r="262" spans="1:3" ht="14.25" customHeight="1">
      <c r="A262" s="2">
        <v>19</v>
      </c>
      <c r="B262" s="2">
        <v>261</v>
      </c>
      <c r="C262" s="2">
        <v>1</v>
      </c>
    </row>
    <row r="263" spans="1:3" ht="14.25" customHeight="1">
      <c r="A263" s="2">
        <v>19</v>
      </c>
      <c r="B263" s="2">
        <v>262</v>
      </c>
      <c r="C263" s="2">
        <v>8</v>
      </c>
    </row>
    <row r="264" spans="1:3" ht="14.25" customHeight="1">
      <c r="A264" s="2">
        <v>19</v>
      </c>
      <c r="B264" s="2">
        <v>263</v>
      </c>
      <c r="C264" s="2">
        <v>2</v>
      </c>
    </row>
    <row r="265" spans="1:3" ht="14.25" customHeight="1">
      <c r="A265" s="2">
        <v>19</v>
      </c>
      <c r="B265" s="2">
        <v>264</v>
      </c>
      <c r="C265" s="2">
        <v>7</v>
      </c>
    </row>
    <row r="266" spans="1:3" ht="14.25" customHeight="1">
      <c r="A266" s="2">
        <v>19</v>
      </c>
      <c r="B266" s="2">
        <v>265</v>
      </c>
      <c r="C266" s="2">
        <v>5</v>
      </c>
    </row>
    <row r="267" spans="1:3" ht="14.25" customHeight="1">
      <c r="A267" s="2">
        <v>19</v>
      </c>
      <c r="B267" s="2">
        <v>266</v>
      </c>
      <c r="C267" s="2">
        <v>2</v>
      </c>
    </row>
    <row r="268" spans="1:3" ht="14.25" customHeight="1">
      <c r="A268" s="2">
        <v>19</v>
      </c>
      <c r="B268" s="2">
        <v>267</v>
      </c>
      <c r="C268" s="2">
        <v>6</v>
      </c>
    </row>
    <row r="269" spans="1:3" ht="14.25" customHeight="1">
      <c r="A269" s="2">
        <v>19</v>
      </c>
      <c r="B269" s="2">
        <v>268</v>
      </c>
      <c r="C269" s="2">
        <v>8</v>
      </c>
    </row>
    <row r="270" spans="1:3" ht="14.25" customHeight="1">
      <c r="A270" s="2">
        <v>19</v>
      </c>
      <c r="B270" s="2">
        <v>269</v>
      </c>
      <c r="C270" s="2">
        <v>3</v>
      </c>
    </row>
    <row r="271" spans="1:3" ht="14.25" customHeight="1">
      <c r="A271" s="2">
        <v>19</v>
      </c>
      <c r="B271" s="2">
        <v>270</v>
      </c>
      <c r="C271" s="2">
        <v>7</v>
      </c>
    </row>
    <row r="272" spans="1:3" ht="14.25" customHeight="1">
      <c r="A272" s="2">
        <v>19</v>
      </c>
      <c r="B272" s="2">
        <v>271</v>
      </c>
      <c r="C272" s="2">
        <v>3</v>
      </c>
    </row>
    <row r="273" spans="1:3" ht="14.25" customHeight="1">
      <c r="A273" s="2">
        <v>19</v>
      </c>
      <c r="B273" s="2">
        <v>272</v>
      </c>
      <c r="C273" s="2">
        <v>5</v>
      </c>
    </row>
    <row r="274" spans="1:3" ht="14.25" customHeight="1">
      <c r="A274" s="2">
        <v>19</v>
      </c>
      <c r="B274" s="2">
        <v>273</v>
      </c>
      <c r="C274" s="2">
        <v>1</v>
      </c>
    </row>
    <row r="275" spans="1:3" ht="14.25" customHeight="1">
      <c r="A275" s="2">
        <v>19</v>
      </c>
      <c r="B275" s="2">
        <v>274</v>
      </c>
      <c r="C275" s="2">
        <v>4</v>
      </c>
    </row>
    <row r="276" spans="1:3" ht="14.25" customHeight="1">
      <c r="A276" s="2">
        <v>19</v>
      </c>
      <c r="B276" s="2">
        <v>275</v>
      </c>
      <c r="C276" s="2">
        <v>2</v>
      </c>
    </row>
    <row r="277" spans="1:3" ht="14.25" customHeight="1">
      <c r="A277" s="2">
        <v>19</v>
      </c>
      <c r="B277" s="2">
        <v>276</v>
      </c>
      <c r="C277" s="2">
        <v>4</v>
      </c>
    </row>
    <row r="278" spans="1:3" ht="14.25" customHeight="1">
      <c r="A278" s="2">
        <v>19</v>
      </c>
      <c r="B278" s="2">
        <v>277</v>
      </c>
      <c r="C278" s="2">
        <v>6</v>
      </c>
    </row>
    <row r="279" spans="1:3" ht="14.25" customHeight="1">
      <c r="A279" s="2">
        <v>19</v>
      </c>
      <c r="B279" s="2">
        <v>278</v>
      </c>
      <c r="C279" s="2">
        <v>3</v>
      </c>
    </row>
    <row r="280" spans="1:3" ht="14.25" customHeight="1">
      <c r="A280" s="2">
        <v>19</v>
      </c>
      <c r="B280" s="2">
        <v>279</v>
      </c>
      <c r="C280" s="2">
        <v>4</v>
      </c>
    </row>
    <row r="281" spans="1:3" ht="14.25" customHeight="1">
      <c r="A281" s="2">
        <v>19</v>
      </c>
      <c r="B281" s="2">
        <v>280</v>
      </c>
      <c r="C281" s="2">
        <v>8</v>
      </c>
    </row>
    <row r="282" spans="1:3" ht="14.25" customHeight="1">
      <c r="A282" s="2">
        <v>19</v>
      </c>
      <c r="B282" s="2">
        <v>281</v>
      </c>
      <c r="C282" s="2">
        <v>6</v>
      </c>
    </row>
    <row r="283" spans="1:3" ht="14.25" customHeight="1">
      <c r="A283" s="2">
        <v>19</v>
      </c>
      <c r="B283" s="2">
        <v>282</v>
      </c>
      <c r="C283" s="2">
        <v>7</v>
      </c>
    </row>
    <row r="284" spans="1:3" ht="14.25" customHeight="1">
      <c r="A284" s="2">
        <v>19</v>
      </c>
      <c r="B284" s="2">
        <v>283</v>
      </c>
      <c r="C284" s="2">
        <v>6</v>
      </c>
    </row>
    <row r="285" spans="1:3" ht="14.25" customHeight="1">
      <c r="A285" s="2">
        <v>19</v>
      </c>
      <c r="B285" s="2">
        <v>284</v>
      </c>
      <c r="C285" s="2">
        <v>7</v>
      </c>
    </row>
    <row r="286" spans="1:3" ht="14.25" customHeight="1">
      <c r="A286" s="2">
        <v>19</v>
      </c>
      <c r="B286" s="2">
        <v>285</v>
      </c>
      <c r="C286" s="2">
        <v>5</v>
      </c>
    </row>
    <row r="287" spans="1:3" ht="14.25" customHeight="1">
      <c r="A287" s="2">
        <v>19</v>
      </c>
      <c r="B287" s="2">
        <v>286</v>
      </c>
      <c r="C287" s="2">
        <v>6</v>
      </c>
    </row>
    <row r="288" spans="1:3" ht="14.25" customHeight="1">
      <c r="A288" s="2">
        <v>19</v>
      </c>
      <c r="B288" s="2">
        <v>287</v>
      </c>
      <c r="C288" s="2">
        <v>4</v>
      </c>
    </row>
    <row r="289" spans="1:4" ht="14.25" customHeight="1">
      <c r="A289" s="2">
        <v>19</v>
      </c>
      <c r="B289" s="2">
        <v>288</v>
      </c>
      <c r="C289" s="2">
        <v>3</v>
      </c>
    </row>
    <row r="290" spans="1:4" ht="14.25" customHeight="1">
      <c r="A290" s="2">
        <v>19</v>
      </c>
      <c r="B290" s="2">
        <v>289</v>
      </c>
      <c r="C290" s="2">
        <v>1</v>
      </c>
    </row>
    <row r="291" spans="1:4" ht="14.25" customHeight="1">
      <c r="A291" s="2">
        <v>19</v>
      </c>
      <c r="B291" s="2">
        <v>290</v>
      </c>
      <c r="C291" s="2">
        <v>2</v>
      </c>
    </row>
    <row r="292" spans="1:4" ht="14.25" customHeight="1">
      <c r="A292" s="2">
        <v>19</v>
      </c>
      <c r="B292" s="2">
        <v>291</v>
      </c>
      <c r="C292" s="2">
        <v>7</v>
      </c>
    </row>
    <row r="293" spans="1:4" ht="14.25" customHeight="1">
      <c r="A293" s="2">
        <v>19</v>
      </c>
      <c r="B293" s="2">
        <v>292</v>
      </c>
      <c r="C293" s="2">
        <v>1</v>
      </c>
    </row>
    <row r="294" spans="1:4" ht="14.25" customHeight="1">
      <c r="A294" s="2">
        <v>19</v>
      </c>
      <c r="B294" s="2">
        <v>293</v>
      </c>
      <c r="C294" s="2">
        <v>5</v>
      </c>
    </row>
    <row r="295" spans="1:4" ht="14.25" customHeight="1">
      <c r="A295" s="2">
        <v>19</v>
      </c>
      <c r="B295" s="2">
        <v>294</v>
      </c>
      <c r="C295" s="2">
        <v>4</v>
      </c>
    </row>
    <row r="296" spans="1:4" ht="14.25" customHeight="1">
      <c r="A296" s="2">
        <v>19</v>
      </c>
      <c r="B296" s="2">
        <v>295</v>
      </c>
      <c r="C296" s="2">
        <v>5</v>
      </c>
    </row>
    <row r="297" spans="1:4" ht="14.25" customHeight="1">
      <c r="A297" s="2">
        <v>19</v>
      </c>
      <c r="B297" s="2">
        <v>296</v>
      </c>
      <c r="C297" s="2">
        <v>8</v>
      </c>
    </row>
    <row r="298" spans="1:4" ht="14.25" customHeight="1">
      <c r="A298" s="2">
        <v>19</v>
      </c>
      <c r="B298" s="2">
        <v>297</v>
      </c>
      <c r="C298" s="2">
        <v>6</v>
      </c>
    </row>
    <row r="299" spans="1:4" ht="14.25" customHeight="1">
      <c r="A299" s="2">
        <v>19</v>
      </c>
      <c r="B299" s="2">
        <v>298</v>
      </c>
      <c r="C299" s="2">
        <v>1</v>
      </c>
    </row>
    <row r="300" spans="1:4" ht="14.25" customHeight="1">
      <c r="A300" s="2">
        <v>19</v>
      </c>
      <c r="B300" s="2">
        <v>299</v>
      </c>
      <c r="C300" s="2">
        <v>2</v>
      </c>
    </row>
    <row r="301" spans="1:4" ht="14.25" customHeight="1">
      <c r="A301" s="2">
        <v>19</v>
      </c>
      <c r="B301" s="2">
        <v>300</v>
      </c>
      <c r="C301" s="2">
        <v>8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20</v>
      </c>
      <c r="I1" s="2">
        <v>201</v>
      </c>
      <c r="J1" s="2">
        <v>6</v>
      </c>
      <c r="K1" s="2">
        <v>1</v>
      </c>
      <c r="L1" s="2">
        <v>1.0349999999999999</v>
      </c>
    </row>
    <row r="2" spans="1:22" ht="14.25" customHeight="1">
      <c r="A2" s="2">
        <v>20</v>
      </c>
      <c r="B2" s="2">
        <v>1</v>
      </c>
      <c r="C2" s="2">
        <v>6</v>
      </c>
      <c r="D2" s="2">
        <v>1</v>
      </c>
      <c r="E2" s="2">
        <v>1.0609999999999999</v>
      </c>
      <c r="F2" s="2">
        <v>2</v>
      </c>
      <c r="H2" s="2">
        <v>20</v>
      </c>
      <c r="I2" s="2">
        <v>202</v>
      </c>
      <c r="J2" s="2">
        <v>3</v>
      </c>
      <c r="K2" s="2">
        <v>1</v>
      </c>
      <c r="L2" s="2">
        <v>1.03</v>
      </c>
    </row>
    <row r="3" spans="1:22" ht="14.25" customHeight="1">
      <c r="A3" s="2">
        <v>20</v>
      </c>
      <c r="B3" s="2">
        <v>2</v>
      </c>
      <c r="C3" s="2">
        <v>1</v>
      </c>
      <c r="D3" s="2">
        <v>0</v>
      </c>
      <c r="E3" s="2">
        <v>0.98899999999999999</v>
      </c>
      <c r="F3" s="2">
        <v>1</v>
      </c>
      <c r="H3" s="2">
        <v>20</v>
      </c>
      <c r="I3" s="2">
        <v>203</v>
      </c>
      <c r="J3" s="2">
        <v>7</v>
      </c>
      <c r="K3" s="2">
        <v>1</v>
      </c>
      <c r="L3" s="2">
        <v>0.84899999999999998</v>
      </c>
    </row>
    <row r="4" spans="1:22" ht="14.25" customHeight="1">
      <c r="A4" s="2">
        <v>20</v>
      </c>
      <c r="B4" s="2">
        <v>3</v>
      </c>
      <c r="C4" s="2">
        <v>4</v>
      </c>
      <c r="D4" s="2">
        <v>1</v>
      </c>
      <c r="E4" s="2">
        <v>0.81</v>
      </c>
      <c r="F4" s="2">
        <v>1</v>
      </c>
      <c r="H4" s="2">
        <v>20</v>
      </c>
      <c r="I4" s="2">
        <v>204</v>
      </c>
      <c r="J4" s="2">
        <v>3</v>
      </c>
      <c r="K4" s="2">
        <v>1</v>
      </c>
      <c r="L4" s="2">
        <v>1.2270000000000001</v>
      </c>
      <c r="O4" s="2" t="s">
        <v>6</v>
      </c>
    </row>
    <row r="5" spans="1:22" ht="14.25" customHeight="1">
      <c r="A5" s="2">
        <v>20</v>
      </c>
      <c r="B5" s="2">
        <v>4</v>
      </c>
      <c r="C5" s="2">
        <v>5</v>
      </c>
      <c r="D5" s="2">
        <v>1</v>
      </c>
      <c r="E5" s="2">
        <v>0.52600000000000002</v>
      </c>
      <c r="F5" s="2">
        <v>2</v>
      </c>
      <c r="H5" s="2">
        <v>20</v>
      </c>
      <c r="I5" s="2">
        <v>205</v>
      </c>
      <c r="J5" s="2">
        <v>1</v>
      </c>
      <c r="K5" s="2">
        <v>1</v>
      </c>
      <c r="L5" s="2">
        <v>0.81499999999999995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20</v>
      </c>
      <c r="B6" s="2">
        <v>5</v>
      </c>
      <c r="C6" s="2">
        <v>2</v>
      </c>
      <c r="D6" s="2">
        <v>0</v>
      </c>
      <c r="E6" s="2">
        <v>1.157</v>
      </c>
      <c r="F6" s="2">
        <v>2</v>
      </c>
      <c r="H6" s="2">
        <v>20</v>
      </c>
      <c r="I6" s="2">
        <v>206</v>
      </c>
      <c r="J6" s="2">
        <v>5</v>
      </c>
      <c r="K6" s="2">
        <v>1</v>
      </c>
      <c r="L6" s="2">
        <v>0.77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20</v>
      </c>
      <c r="B7" s="2">
        <v>6</v>
      </c>
      <c r="C7" s="2">
        <v>7</v>
      </c>
      <c r="D7" s="2">
        <v>0</v>
      </c>
      <c r="E7" s="2">
        <v>1.4750000000000001</v>
      </c>
      <c r="F7" s="2">
        <v>2</v>
      </c>
      <c r="H7" s="2">
        <v>20</v>
      </c>
      <c r="I7" s="2">
        <v>207</v>
      </c>
      <c r="J7" s="2">
        <v>6</v>
      </c>
      <c r="K7" s="2">
        <v>1</v>
      </c>
      <c r="L7" s="2">
        <v>0.72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20</v>
      </c>
      <c r="B8" s="2">
        <v>7</v>
      </c>
      <c r="C8" s="2">
        <v>1</v>
      </c>
      <c r="D8" s="2">
        <v>1</v>
      </c>
      <c r="E8" s="2">
        <v>0.73199999999999998</v>
      </c>
      <c r="F8" s="2">
        <v>2</v>
      </c>
      <c r="H8" s="2">
        <v>20</v>
      </c>
      <c r="I8" s="2">
        <v>208</v>
      </c>
      <c r="J8" s="2">
        <v>4</v>
      </c>
      <c r="K8" s="2">
        <v>1</v>
      </c>
      <c r="L8" s="2">
        <v>0.72699999999999998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20</v>
      </c>
      <c r="B9" s="2">
        <v>8</v>
      </c>
      <c r="C9" s="2">
        <v>2</v>
      </c>
      <c r="D9" s="2">
        <v>0</v>
      </c>
      <c r="E9" s="2">
        <v>1.06</v>
      </c>
      <c r="F9" s="2">
        <v>2</v>
      </c>
      <c r="H9" s="2">
        <v>20</v>
      </c>
      <c r="I9" s="2">
        <v>209</v>
      </c>
      <c r="J9" s="2">
        <v>6</v>
      </c>
      <c r="K9" s="2">
        <v>1</v>
      </c>
      <c r="L9" s="2">
        <v>0.879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20</v>
      </c>
      <c r="B10" s="2">
        <v>9</v>
      </c>
      <c r="C10" s="2">
        <v>6</v>
      </c>
      <c r="D10" s="2">
        <v>1</v>
      </c>
      <c r="E10" s="2">
        <v>1.0860000000000001</v>
      </c>
      <c r="F10" s="2">
        <v>2</v>
      </c>
      <c r="H10" s="2">
        <v>20</v>
      </c>
      <c r="I10" s="2">
        <v>210</v>
      </c>
      <c r="J10" s="2">
        <v>7</v>
      </c>
      <c r="K10" s="2">
        <v>0</v>
      </c>
      <c r="L10" s="2">
        <v>0.68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20</v>
      </c>
      <c r="B11" s="2">
        <v>10</v>
      </c>
      <c r="C11" s="2">
        <v>8</v>
      </c>
      <c r="D11" s="2">
        <v>1</v>
      </c>
      <c r="E11" s="2">
        <v>0.80600000000000005</v>
      </c>
      <c r="F11" s="2">
        <v>1</v>
      </c>
      <c r="H11" s="2">
        <v>20</v>
      </c>
      <c r="I11" s="2">
        <v>211</v>
      </c>
      <c r="J11" s="2">
        <v>4</v>
      </c>
      <c r="K11" s="2">
        <v>1</v>
      </c>
      <c r="L11" s="2">
        <v>0.70399999999999996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20</v>
      </c>
      <c r="B12" s="2">
        <v>11</v>
      </c>
      <c r="C12" s="2">
        <v>7</v>
      </c>
      <c r="D12" s="2">
        <v>1</v>
      </c>
      <c r="E12" s="2">
        <v>0.59399999999999997</v>
      </c>
      <c r="F12" s="2">
        <v>1</v>
      </c>
      <c r="H12" s="2">
        <v>20</v>
      </c>
      <c r="I12" s="2">
        <v>212</v>
      </c>
      <c r="J12" s="2">
        <v>1</v>
      </c>
      <c r="K12" s="2">
        <v>1</v>
      </c>
      <c r="L12" s="2">
        <v>0.77600000000000002</v>
      </c>
    </row>
    <row r="13" spans="1:22" ht="14.25" customHeight="1">
      <c r="A13" s="2">
        <v>20</v>
      </c>
      <c r="B13" s="2">
        <v>12</v>
      </c>
      <c r="C13" s="2">
        <v>4</v>
      </c>
      <c r="D13" s="2">
        <v>1</v>
      </c>
      <c r="E13" s="2">
        <v>1.3340000000000001</v>
      </c>
      <c r="F13" s="2">
        <v>1</v>
      </c>
      <c r="H13" s="2">
        <v>20</v>
      </c>
      <c r="I13" s="2">
        <v>213</v>
      </c>
      <c r="J13" s="2">
        <v>7</v>
      </c>
      <c r="K13" s="2">
        <v>1</v>
      </c>
      <c r="L13" s="2">
        <v>0.95</v>
      </c>
    </row>
    <row r="14" spans="1:22" ht="14.25" customHeight="1">
      <c r="A14" s="2">
        <v>20</v>
      </c>
      <c r="B14" s="2">
        <v>13</v>
      </c>
      <c r="C14" s="2">
        <v>5</v>
      </c>
      <c r="D14" s="2">
        <v>1</v>
      </c>
      <c r="E14" s="2">
        <v>0.749</v>
      </c>
      <c r="F14" s="2">
        <v>2</v>
      </c>
      <c r="H14" s="2">
        <v>20</v>
      </c>
      <c r="I14" s="2">
        <v>214</v>
      </c>
      <c r="J14" s="2">
        <v>1</v>
      </c>
      <c r="K14" s="2">
        <v>1</v>
      </c>
      <c r="L14" s="2">
        <v>0.89200000000000002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20</v>
      </c>
      <c r="B15" s="2">
        <v>14</v>
      </c>
      <c r="C15" s="2">
        <v>1</v>
      </c>
      <c r="D15" s="2">
        <v>1</v>
      </c>
      <c r="E15" s="2">
        <v>1.1160000000000001</v>
      </c>
      <c r="F15" s="2">
        <v>2</v>
      </c>
      <c r="H15" s="2">
        <v>20</v>
      </c>
      <c r="I15" s="2">
        <v>215</v>
      </c>
      <c r="J15" s="2">
        <v>8</v>
      </c>
      <c r="K15" s="2">
        <v>1</v>
      </c>
      <c r="L15" s="2">
        <v>0.79700000000000004</v>
      </c>
      <c r="O15" s="2" t="s">
        <v>9</v>
      </c>
    </row>
    <row r="16" spans="1:22" ht="14.25" customHeight="1">
      <c r="A16" s="2">
        <v>20</v>
      </c>
      <c r="B16" s="2">
        <v>15</v>
      </c>
      <c r="C16" s="2">
        <v>4</v>
      </c>
      <c r="D16" s="2">
        <v>1</v>
      </c>
      <c r="E16" s="2">
        <v>1.3240000000000001</v>
      </c>
      <c r="F16" s="2">
        <v>1</v>
      </c>
      <c r="H16" s="2">
        <v>20</v>
      </c>
      <c r="I16" s="2">
        <v>216</v>
      </c>
      <c r="J16" s="2">
        <v>6</v>
      </c>
      <c r="K16" s="2">
        <v>1</v>
      </c>
      <c r="L16" s="2">
        <v>0.55400000000000005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20</v>
      </c>
      <c r="B17" s="2">
        <v>16</v>
      </c>
      <c r="C17" s="2">
        <v>2</v>
      </c>
      <c r="D17" s="2">
        <v>0</v>
      </c>
      <c r="E17" s="2">
        <v>1.0189999999999999</v>
      </c>
      <c r="F17" s="2">
        <v>2</v>
      </c>
      <c r="H17" s="2">
        <v>20</v>
      </c>
      <c r="I17" s="2">
        <v>217</v>
      </c>
      <c r="J17" s="2">
        <v>4</v>
      </c>
      <c r="K17" s="2">
        <v>1</v>
      </c>
      <c r="L17" s="2">
        <v>0.97599999999999998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9.0000000000000427E-2</v>
      </c>
      <c r="R17" s="2">
        <f t="shared" ref="R17:R22" si="3">(R6*COUNTIF($J$1:$J$100,R$16) - COUNTIFS($J$1:$J$100,R$16,$K$1:$K$100,"=0"))^2</f>
        <v>9.0000000000000024E-2</v>
      </c>
      <c r="S17" s="2">
        <f t="shared" ref="S17:T17" si="4">(S6*COUNTIF($J$1:$J$100,S$16) - COUNTIFS($J$1:$J$100,S$16,$K$1:$K$100,"=1"))^2</f>
        <v>9.0000000000000427E-2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0.42249999999999988</v>
      </c>
      <c r="V17" s="2">
        <f t="shared" si="5"/>
        <v>0.12250000000000003</v>
      </c>
    </row>
    <row r="18" spans="1:22" ht="14.25" customHeight="1">
      <c r="A18" s="2">
        <v>20</v>
      </c>
      <c r="B18" s="2">
        <v>17</v>
      </c>
      <c r="C18" s="2">
        <v>3</v>
      </c>
      <c r="D18" s="2">
        <v>0</v>
      </c>
      <c r="E18" s="2">
        <v>0.71799999999999997</v>
      </c>
      <c r="F18" s="2">
        <v>1</v>
      </c>
      <c r="H18" s="2">
        <v>20</v>
      </c>
      <c r="I18" s="2">
        <v>218</v>
      </c>
      <c r="J18" s="2">
        <v>1</v>
      </c>
      <c r="K18" s="2">
        <v>1</v>
      </c>
      <c r="L18" s="2">
        <v>0.72499999999999998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32.49</v>
      </c>
      <c r="R18" s="2">
        <f t="shared" si="3"/>
        <v>9.0000000000000024E-2</v>
      </c>
      <c r="S18" s="2">
        <f t="shared" ref="S18:T18" si="6">(S7*COUNTIF($J$1:$J$100,S$16) - COUNTIFS($J$1:$J$100,S$16,$K$1:$K$100,"=1"))^2</f>
        <v>9.0000000000000427E-2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0.42249999999999988</v>
      </c>
      <c r="V18" s="2">
        <f t="shared" si="7"/>
        <v>0.12250000000000003</v>
      </c>
    </row>
    <row r="19" spans="1:22" ht="14.25" customHeight="1">
      <c r="A19" s="2">
        <v>20</v>
      </c>
      <c r="B19" s="2">
        <v>18</v>
      </c>
      <c r="C19" s="2">
        <v>1</v>
      </c>
      <c r="D19" s="2">
        <v>1</v>
      </c>
      <c r="E19" s="2">
        <v>0.88600000000000001</v>
      </c>
      <c r="F19" s="2">
        <v>2</v>
      </c>
      <c r="H19" s="2">
        <v>20</v>
      </c>
      <c r="I19" s="2">
        <v>219</v>
      </c>
      <c r="J19" s="2">
        <v>6</v>
      </c>
      <c r="K19" s="2">
        <v>1</v>
      </c>
      <c r="L19" s="2">
        <v>0.68400000000000005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9.0000000000000427E-2</v>
      </c>
      <c r="R19" s="2">
        <f t="shared" si="3"/>
        <v>9.0000000000000024E-2</v>
      </c>
      <c r="S19" s="2">
        <f t="shared" ref="S19:T19" si="8">(S8*COUNTIF($J$1:$J$100,S$16) - COUNTIFS($J$1:$J$100,S$16,$K$1:$K$100,"=1"))^2</f>
        <v>9.0000000000000427E-2</v>
      </c>
      <c r="T19" s="2">
        <f t="shared" si="8"/>
        <v>32.49</v>
      </c>
      <c r="U19" s="2">
        <f t="shared" ref="U19:V19" si="9">(U8*COUNTIF($J$1:$J$100,U$16) - COUNTIFS($J$1:$J$100,U$16,$K$1:$K$100,"=0"))^2</f>
        <v>31.922499999999992</v>
      </c>
      <c r="V19" s="2">
        <f t="shared" si="9"/>
        <v>0.12250000000000003</v>
      </c>
    </row>
    <row r="20" spans="1:22" ht="14.25" customHeight="1">
      <c r="A20" s="2">
        <v>20</v>
      </c>
      <c r="B20" s="2">
        <v>19</v>
      </c>
      <c r="C20" s="2">
        <v>2</v>
      </c>
      <c r="D20" s="2">
        <v>1</v>
      </c>
      <c r="E20" s="2">
        <v>1.286</v>
      </c>
      <c r="F20" s="2">
        <v>1</v>
      </c>
      <c r="H20" s="2">
        <v>20</v>
      </c>
      <c r="I20" s="2">
        <v>220</v>
      </c>
      <c r="J20" s="2">
        <v>3</v>
      </c>
      <c r="K20" s="2">
        <v>1</v>
      </c>
      <c r="L20" s="2">
        <v>0.82899999999999996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9</v>
      </c>
      <c r="R20" s="2">
        <f t="shared" si="3"/>
        <v>9</v>
      </c>
      <c r="S20" s="2">
        <f t="shared" ref="S20:T20" si="10">(S9*COUNTIF($J$1:$J$100,S$16) - COUNTIFS($J$1:$J$100,S$16,$K$1:$K$100,"=1"))^2</f>
        <v>9.0000000000000427E-2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0.42249999999999988</v>
      </c>
      <c r="V20" s="2">
        <f t="shared" si="11"/>
        <v>0.12250000000000003</v>
      </c>
    </row>
    <row r="21" spans="1:22" ht="14.25" customHeight="1">
      <c r="A21" s="2">
        <v>20</v>
      </c>
      <c r="B21" s="2">
        <v>20</v>
      </c>
      <c r="C21" s="2">
        <v>7</v>
      </c>
      <c r="D21" s="2">
        <v>1</v>
      </c>
      <c r="E21" s="2">
        <v>1.0389999999999999</v>
      </c>
      <c r="F21" s="2">
        <v>1</v>
      </c>
      <c r="H21" s="2">
        <v>20</v>
      </c>
      <c r="I21" s="2">
        <v>221</v>
      </c>
      <c r="J21" s="2">
        <v>4</v>
      </c>
      <c r="K21" s="2">
        <v>1</v>
      </c>
      <c r="L21" s="2">
        <v>0.745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9.0000000000000427E-2</v>
      </c>
      <c r="R21" s="2">
        <f t="shared" si="3"/>
        <v>9.0000000000000024E-2</v>
      </c>
      <c r="S21" s="2">
        <f t="shared" ref="S21:T21" si="12">(S10*COUNTIF($J$1:$J$100,S$16) - COUNTIFS($J$1:$J$100,S$16,$K$1:$K$100,"=1"))^2</f>
        <v>9</v>
      </c>
      <c r="T21" s="2">
        <f t="shared" si="12"/>
        <v>9</v>
      </c>
      <c r="U21" s="2">
        <f t="shared" ref="U21:V21" si="13">(U10*COUNTIF($J$1:$J$100,U$16) - COUNTIFS($J$1:$J$100,U$16,$K$1:$K$100,"=0"))^2</f>
        <v>6.25</v>
      </c>
      <c r="V21" s="2">
        <f t="shared" si="13"/>
        <v>12.25</v>
      </c>
    </row>
    <row r="22" spans="1:22" ht="14.25" customHeight="1">
      <c r="A22" s="2">
        <v>20</v>
      </c>
      <c r="B22" s="2">
        <v>21</v>
      </c>
      <c r="C22" s="2">
        <v>8</v>
      </c>
      <c r="D22" s="2">
        <v>1</v>
      </c>
      <c r="E22" s="2">
        <v>1.0489999999999999</v>
      </c>
      <c r="F22" s="2">
        <v>1</v>
      </c>
      <c r="H22" s="2">
        <v>20</v>
      </c>
      <c r="I22" s="2">
        <v>222</v>
      </c>
      <c r="J22" s="2">
        <v>3</v>
      </c>
      <c r="K22" s="2">
        <v>1</v>
      </c>
      <c r="L22" s="2">
        <v>0.80700000000000005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9</v>
      </c>
      <c r="R22" s="2">
        <f t="shared" si="3"/>
        <v>9</v>
      </c>
      <c r="S22" s="2">
        <f t="shared" ref="S22:T22" si="14">(S11*COUNTIF($J$1:$J$100,S$16) - COUNTIFS($J$1:$J$100,S$16,$K$1:$K$100,"=1"))^2</f>
        <v>9</v>
      </c>
      <c r="T22" s="2">
        <f t="shared" si="14"/>
        <v>9</v>
      </c>
      <c r="U22" s="2">
        <f t="shared" ref="U22:V22" si="15">(U11*COUNTIF($J$1:$J$100,U$16) - COUNTIFS($J$1:$J$100,U$16,$K$1:$K$100,"=0"))^2</f>
        <v>6.25</v>
      </c>
      <c r="V22" s="2">
        <f t="shared" si="15"/>
        <v>12.25</v>
      </c>
    </row>
    <row r="23" spans="1:22" ht="14.25" customHeight="1">
      <c r="A23" s="2">
        <v>20</v>
      </c>
      <c r="B23" s="2">
        <v>22</v>
      </c>
      <c r="C23" s="2">
        <v>3</v>
      </c>
      <c r="D23" s="2">
        <v>0</v>
      </c>
      <c r="E23" s="2">
        <v>1.341</v>
      </c>
      <c r="F23" s="2">
        <v>1</v>
      </c>
      <c r="H23" s="2">
        <v>20</v>
      </c>
      <c r="I23" s="2">
        <v>223</v>
      </c>
      <c r="J23" s="2">
        <v>7</v>
      </c>
      <c r="K23" s="2">
        <v>1</v>
      </c>
      <c r="L23" s="2">
        <v>0.69899999999999995</v>
      </c>
    </row>
    <row r="24" spans="1:22" ht="14.25" customHeight="1">
      <c r="A24" s="2">
        <v>20</v>
      </c>
      <c r="B24" s="2">
        <v>23</v>
      </c>
      <c r="C24" s="2">
        <v>5</v>
      </c>
      <c r="D24" s="2">
        <v>1</v>
      </c>
      <c r="E24" s="2">
        <v>1.339</v>
      </c>
      <c r="F24" s="2">
        <v>2</v>
      </c>
      <c r="H24" s="2">
        <v>20</v>
      </c>
      <c r="I24" s="2">
        <v>224</v>
      </c>
      <c r="J24" s="2">
        <v>8</v>
      </c>
      <c r="K24" s="2">
        <v>1</v>
      </c>
      <c r="L24" s="2">
        <v>1.228</v>
      </c>
    </row>
    <row r="25" spans="1:22" ht="14.25" customHeight="1">
      <c r="A25" s="2">
        <v>20</v>
      </c>
      <c r="B25" s="2">
        <v>24</v>
      </c>
      <c r="C25" s="2">
        <v>2</v>
      </c>
      <c r="D25" s="2">
        <v>1</v>
      </c>
      <c r="E25" s="2">
        <v>1.3140000000000001</v>
      </c>
      <c r="F25" s="2">
        <v>1</v>
      </c>
      <c r="H25" s="2">
        <v>20</v>
      </c>
      <c r="I25" s="2">
        <v>225</v>
      </c>
      <c r="J25" s="2">
        <v>1</v>
      </c>
      <c r="K25" s="2">
        <v>1</v>
      </c>
      <c r="L25" s="2">
        <v>1.248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20</v>
      </c>
      <c r="B26" s="2">
        <v>25</v>
      </c>
      <c r="C26" s="2">
        <v>4</v>
      </c>
      <c r="D26" s="2">
        <v>1</v>
      </c>
      <c r="E26" s="2">
        <v>1.0980000000000001</v>
      </c>
      <c r="F26" s="2">
        <v>1</v>
      </c>
      <c r="H26" s="2">
        <v>20</v>
      </c>
      <c r="I26" s="2">
        <v>226</v>
      </c>
      <c r="J26" s="2">
        <v>7</v>
      </c>
      <c r="K26" s="2">
        <v>1</v>
      </c>
      <c r="L26" s="2">
        <v>0.77800000000000002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36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49</v>
      </c>
      <c r="V26" s="2">
        <f t="shared" si="16"/>
        <v>49</v>
      </c>
    </row>
    <row r="27" spans="1:22" ht="14.25" customHeight="1">
      <c r="A27" s="2">
        <v>20</v>
      </c>
      <c r="B27" s="2">
        <v>26</v>
      </c>
      <c r="C27" s="2">
        <v>7</v>
      </c>
      <c r="D27" s="2">
        <v>0</v>
      </c>
      <c r="E27" s="2">
        <v>1.7869999999999999</v>
      </c>
      <c r="F27" s="2">
        <v>2</v>
      </c>
      <c r="H27" s="2">
        <v>20</v>
      </c>
      <c r="I27" s="2">
        <v>227</v>
      </c>
      <c r="J27" s="2">
        <v>2</v>
      </c>
      <c r="K27" s="2">
        <v>1</v>
      </c>
      <c r="L27" s="2">
        <v>1.2390000000000001</v>
      </c>
    </row>
    <row r="28" spans="1:22" ht="14.25" customHeight="1">
      <c r="A28" s="2">
        <v>20</v>
      </c>
      <c r="B28" s="2">
        <v>27</v>
      </c>
      <c r="C28" s="2">
        <v>6</v>
      </c>
      <c r="D28" s="2">
        <v>1</v>
      </c>
      <c r="E28" s="2">
        <v>1.56</v>
      </c>
      <c r="F28" s="2">
        <v>2</v>
      </c>
      <c r="H28" s="2">
        <v>20</v>
      </c>
      <c r="I28" s="2">
        <v>228</v>
      </c>
      <c r="J28" s="2">
        <v>3</v>
      </c>
      <c r="K28" s="2">
        <v>1</v>
      </c>
      <c r="L28" s="2">
        <v>0.88200000000000001</v>
      </c>
    </row>
    <row r="29" spans="1:22" ht="14.25" customHeight="1">
      <c r="A29" s="2">
        <v>20</v>
      </c>
      <c r="B29" s="2">
        <v>28</v>
      </c>
      <c r="C29" s="2">
        <v>7</v>
      </c>
      <c r="D29" s="2">
        <v>1</v>
      </c>
      <c r="E29" s="2">
        <v>0.749</v>
      </c>
      <c r="F29" s="2">
        <v>1</v>
      </c>
      <c r="H29" s="2">
        <v>20</v>
      </c>
      <c r="I29" s="2">
        <v>229</v>
      </c>
      <c r="J29" s="2">
        <v>1</v>
      </c>
      <c r="K29" s="2">
        <v>1</v>
      </c>
      <c r="L29" s="2">
        <v>1.0760000000000001</v>
      </c>
    </row>
    <row r="30" spans="1:22" ht="14.25" customHeight="1">
      <c r="A30" s="2">
        <v>20</v>
      </c>
      <c r="B30" s="2">
        <v>29</v>
      </c>
      <c r="C30" s="2">
        <v>8</v>
      </c>
      <c r="D30" s="2">
        <v>1</v>
      </c>
      <c r="E30" s="2">
        <v>1.236</v>
      </c>
      <c r="F30" s="2">
        <v>1</v>
      </c>
      <c r="H30" s="2">
        <v>20</v>
      </c>
      <c r="I30" s="2">
        <v>230</v>
      </c>
      <c r="J30" s="2">
        <v>2</v>
      </c>
      <c r="K30" s="2">
        <v>1</v>
      </c>
      <c r="L30" s="2">
        <v>0.59699999999999998</v>
      </c>
    </row>
    <row r="31" spans="1:22" ht="14.25" customHeight="1">
      <c r="A31" s="2">
        <v>20</v>
      </c>
      <c r="B31" s="2">
        <v>30</v>
      </c>
      <c r="C31" s="2">
        <v>7</v>
      </c>
      <c r="D31" s="2">
        <v>1</v>
      </c>
      <c r="E31" s="2">
        <v>1.135</v>
      </c>
      <c r="F31" s="2">
        <v>1</v>
      </c>
      <c r="H31" s="2">
        <v>20</v>
      </c>
      <c r="I31" s="2">
        <v>231</v>
      </c>
      <c r="J31" s="2">
        <v>8</v>
      </c>
      <c r="K31" s="2">
        <v>1</v>
      </c>
      <c r="L31" s="2">
        <v>1.2410000000000001</v>
      </c>
      <c r="N31" s="2">
        <v>1</v>
      </c>
      <c r="O31" s="2">
        <f t="shared" ref="O31:O36" si="17">SUM(O17:V17)/(SUM($O$26:$V$26))</f>
        <v>3.4554140127388585E-3</v>
      </c>
    </row>
    <row r="32" spans="1:22" ht="14.25" customHeight="1">
      <c r="A32" s="2">
        <v>20</v>
      </c>
      <c r="B32" s="2">
        <v>31</v>
      </c>
      <c r="C32" s="2">
        <v>1</v>
      </c>
      <c r="D32" s="2">
        <v>1</v>
      </c>
      <c r="E32" s="2">
        <v>0.78100000000000003</v>
      </c>
      <c r="F32" s="2">
        <v>2</v>
      </c>
      <c r="H32" s="2">
        <v>20</v>
      </c>
      <c r="I32" s="2">
        <v>232</v>
      </c>
      <c r="J32" s="2">
        <v>7</v>
      </c>
      <c r="K32" s="2">
        <v>1</v>
      </c>
      <c r="L32" s="2">
        <v>1.044</v>
      </c>
      <c r="N32" s="2">
        <v>2</v>
      </c>
      <c r="O32" s="2">
        <f t="shared" si="17"/>
        <v>0.20982484076433122</v>
      </c>
    </row>
    <row r="33" spans="1:15" ht="14.25" customHeight="1">
      <c r="A33" s="2">
        <v>20</v>
      </c>
      <c r="B33" s="2">
        <v>32</v>
      </c>
      <c r="C33" s="2">
        <v>6</v>
      </c>
      <c r="D33" s="2">
        <v>1</v>
      </c>
      <c r="E33" s="2">
        <v>1.4670000000000001</v>
      </c>
      <c r="F33" s="2">
        <v>2</v>
      </c>
      <c r="H33" s="2">
        <v>20</v>
      </c>
      <c r="I33" s="2">
        <v>233</v>
      </c>
      <c r="J33" s="2">
        <v>5</v>
      </c>
      <c r="K33" s="2">
        <v>1</v>
      </c>
      <c r="L33" s="2">
        <v>0.79</v>
      </c>
      <c r="N33" s="2">
        <v>3</v>
      </c>
      <c r="O33" s="2">
        <f t="shared" si="17"/>
        <v>0.20695859872611463</v>
      </c>
    </row>
    <row r="34" spans="1:15" ht="14.25" customHeight="1">
      <c r="A34" s="2">
        <v>20</v>
      </c>
      <c r="B34" s="2">
        <v>33</v>
      </c>
      <c r="C34" s="2">
        <v>3</v>
      </c>
      <c r="D34" s="2">
        <v>0</v>
      </c>
      <c r="E34" s="2">
        <v>0.62</v>
      </c>
      <c r="F34" s="2">
        <v>1</v>
      </c>
      <c r="H34" s="2">
        <v>20</v>
      </c>
      <c r="I34" s="2">
        <v>234</v>
      </c>
      <c r="J34" s="2">
        <v>8</v>
      </c>
      <c r="K34" s="2">
        <v>1</v>
      </c>
      <c r="L34" s="2">
        <v>0.77100000000000002</v>
      </c>
      <c r="N34" s="2">
        <v>4</v>
      </c>
      <c r="O34" s="2">
        <f t="shared" si="17"/>
        <v>0.11695859872611468</v>
      </c>
    </row>
    <row r="35" spans="1:15" ht="14.25" customHeight="1">
      <c r="A35" s="2">
        <v>20</v>
      </c>
      <c r="B35" s="2">
        <v>34</v>
      </c>
      <c r="C35" s="2">
        <v>8</v>
      </c>
      <c r="D35" s="2">
        <v>1</v>
      </c>
      <c r="E35" s="2">
        <v>0.98399999999999999</v>
      </c>
      <c r="F35" s="2">
        <v>1</v>
      </c>
      <c r="H35" s="2">
        <v>20</v>
      </c>
      <c r="I35" s="2">
        <v>235</v>
      </c>
      <c r="J35" s="2">
        <v>3</v>
      </c>
      <c r="K35" s="2">
        <v>1</v>
      </c>
      <c r="L35" s="2">
        <v>0.752</v>
      </c>
      <c r="N35" s="2">
        <v>5</v>
      </c>
      <c r="O35" s="2">
        <f t="shared" si="17"/>
        <v>0.11738853503184714</v>
      </c>
    </row>
    <row r="36" spans="1:15" ht="14.25" customHeight="1">
      <c r="A36" s="2">
        <v>20</v>
      </c>
      <c r="B36" s="2">
        <v>35</v>
      </c>
      <c r="C36" s="2">
        <v>5</v>
      </c>
      <c r="D36" s="2">
        <v>1</v>
      </c>
      <c r="E36" s="2">
        <v>1.1339999999999999</v>
      </c>
      <c r="F36" s="2">
        <v>2</v>
      </c>
      <c r="H36" s="2">
        <v>20</v>
      </c>
      <c r="I36" s="2">
        <v>236</v>
      </c>
      <c r="J36" s="2">
        <v>5</v>
      </c>
      <c r="K36" s="2">
        <v>1</v>
      </c>
      <c r="L36" s="2">
        <v>0.61399999999999999</v>
      </c>
      <c r="N36" s="2">
        <v>6</v>
      </c>
      <c r="O36" s="2">
        <f t="shared" si="17"/>
        <v>0.23089171974522293</v>
      </c>
    </row>
    <row r="37" spans="1:15" ht="14.25" customHeight="1">
      <c r="A37" s="2">
        <v>20</v>
      </c>
      <c r="B37" s="2">
        <v>36</v>
      </c>
      <c r="C37" s="2">
        <v>1</v>
      </c>
      <c r="D37" s="2">
        <v>1</v>
      </c>
      <c r="E37" s="2">
        <v>0.78900000000000003</v>
      </c>
      <c r="F37" s="2">
        <v>2</v>
      </c>
      <c r="H37" s="2">
        <v>20</v>
      </c>
      <c r="I37" s="2">
        <v>237</v>
      </c>
      <c r="J37" s="2">
        <v>4</v>
      </c>
      <c r="K37" s="2">
        <v>1</v>
      </c>
      <c r="L37" s="2">
        <v>1.306</v>
      </c>
    </row>
    <row r="38" spans="1:15" ht="14.25" customHeight="1">
      <c r="A38" s="2">
        <v>20</v>
      </c>
      <c r="B38" s="2">
        <v>37</v>
      </c>
      <c r="C38" s="2">
        <v>3</v>
      </c>
      <c r="D38" s="2">
        <v>0</v>
      </c>
      <c r="E38" s="2">
        <v>0.81699999999999995</v>
      </c>
      <c r="F38" s="2">
        <v>1</v>
      </c>
      <c r="H38" s="2">
        <v>20</v>
      </c>
      <c r="I38" s="2">
        <v>238</v>
      </c>
      <c r="J38" s="2">
        <v>2</v>
      </c>
      <c r="K38" s="2">
        <v>1</v>
      </c>
      <c r="L38" s="2">
        <v>1.234</v>
      </c>
    </row>
    <row r="39" spans="1:15" ht="14.25" customHeight="1">
      <c r="A39" s="2">
        <v>20</v>
      </c>
      <c r="B39" s="2">
        <v>38</v>
      </c>
      <c r="C39" s="2">
        <v>4</v>
      </c>
      <c r="D39" s="2">
        <v>0</v>
      </c>
      <c r="E39" s="2">
        <v>1.4930000000000001</v>
      </c>
      <c r="F39" s="2">
        <v>2</v>
      </c>
      <c r="H39" s="2">
        <v>20</v>
      </c>
      <c r="I39" s="2">
        <v>239</v>
      </c>
      <c r="J39" s="2">
        <v>5</v>
      </c>
      <c r="K39" s="2">
        <v>1</v>
      </c>
      <c r="L39" s="2">
        <v>1.3340000000000001</v>
      </c>
    </row>
    <row r="40" spans="1:15" ht="14.25" customHeight="1">
      <c r="A40" s="2">
        <v>20</v>
      </c>
      <c r="B40" s="2">
        <v>39</v>
      </c>
      <c r="C40" s="2">
        <v>5</v>
      </c>
      <c r="D40" s="2">
        <v>1</v>
      </c>
      <c r="E40" s="2">
        <v>1.8220000000000001</v>
      </c>
      <c r="F40" s="2">
        <v>2</v>
      </c>
      <c r="H40" s="2">
        <v>20</v>
      </c>
      <c r="I40" s="2">
        <v>240</v>
      </c>
      <c r="J40" s="2">
        <v>8</v>
      </c>
      <c r="K40" s="2">
        <v>1</v>
      </c>
      <c r="L40" s="2">
        <v>1.3169999999999999</v>
      </c>
    </row>
    <row r="41" spans="1:15" ht="14.25" customHeight="1">
      <c r="A41" s="2">
        <v>20</v>
      </c>
      <c r="B41" s="2">
        <v>40</v>
      </c>
      <c r="C41" s="2">
        <v>4</v>
      </c>
      <c r="D41" s="2">
        <v>1</v>
      </c>
      <c r="E41" s="2">
        <v>1.202</v>
      </c>
      <c r="F41" s="2">
        <v>1</v>
      </c>
      <c r="H41" s="2">
        <v>20</v>
      </c>
      <c r="I41" s="2">
        <v>241</v>
      </c>
      <c r="J41" s="2">
        <v>2</v>
      </c>
      <c r="K41" s="2">
        <v>1</v>
      </c>
      <c r="L41" s="2">
        <v>0.70099999999999996</v>
      </c>
    </row>
    <row r="42" spans="1:15" ht="14.25" customHeight="1">
      <c r="A42" s="2">
        <v>20</v>
      </c>
      <c r="B42" s="2">
        <v>41</v>
      </c>
      <c r="C42" s="2">
        <v>8</v>
      </c>
      <c r="D42" s="2">
        <v>1</v>
      </c>
      <c r="E42" s="2">
        <v>1.837</v>
      </c>
      <c r="F42" s="2">
        <v>1</v>
      </c>
      <c r="H42" s="2">
        <v>20</v>
      </c>
      <c r="I42" s="2">
        <v>242</v>
      </c>
      <c r="J42" s="2">
        <v>6</v>
      </c>
      <c r="K42" s="2">
        <v>1</v>
      </c>
      <c r="L42" s="2">
        <v>0.88600000000000001</v>
      </c>
    </row>
    <row r="43" spans="1:15" ht="14.25" customHeight="1">
      <c r="A43" s="2">
        <v>20</v>
      </c>
      <c r="B43" s="2">
        <v>42</v>
      </c>
      <c r="C43" s="2">
        <v>6</v>
      </c>
      <c r="D43" s="2">
        <v>1</v>
      </c>
      <c r="E43" s="2">
        <v>1.272</v>
      </c>
      <c r="F43" s="2">
        <v>2</v>
      </c>
      <c r="H43" s="2">
        <v>20</v>
      </c>
      <c r="I43" s="2">
        <v>243</v>
      </c>
      <c r="J43" s="2">
        <v>2</v>
      </c>
      <c r="K43" s="2">
        <v>1</v>
      </c>
      <c r="L43" s="2">
        <v>1.0469999999999999</v>
      </c>
    </row>
    <row r="44" spans="1:15" ht="14.25" customHeight="1">
      <c r="A44" s="2">
        <v>20</v>
      </c>
      <c r="B44" s="2">
        <v>43</v>
      </c>
      <c r="C44" s="2">
        <v>2</v>
      </c>
      <c r="D44" s="2">
        <v>0</v>
      </c>
      <c r="E44" s="2">
        <v>1.7929999999999999</v>
      </c>
      <c r="F44" s="2">
        <v>2</v>
      </c>
      <c r="H44" s="2">
        <v>20</v>
      </c>
      <c r="I44" s="2">
        <v>244</v>
      </c>
      <c r="J44" s="2">
        <v>4</v>
      </c>
      <c r="K44" s="2">
        <v>1</v>
      </c>
      <c r="L44" s="2">
        <v>0.85</v>
      </c>
    </row>
    <row r="45" spans="1:15" ht="14.25" customHeight="1">
      <c r="A45" s="2">
        <v>20</v>
      </c>
      <c r="B45" s="2">
        <v>44</v>
      </c>
      <c r="C45" s="2">
        <v>8</v>
      </c>
      <c r="D45" s="2">
        <v>1</v>
      </c>
      <c r="E45" s="2">
        <v>1.286</v>
      </c>
      <c r="F45" s="2">
        <v>1</v>
      </c>
      <c r="H45" s="2">
        <v>20</v>
      </c>
      <c r="I45" s="2">
        <v>245</v>
      </c>
      <c r="J45" s="2">
        <v>5</v>
      </c>
      <c r="K45" s="2">
        <v>1</v>
      </c>
      <c r="L45" s="2">
        <v>0.86</v>
      </c>
    </row>
    <row r="46" spans="1:15" ht="14.25" customHeight="1">
      <c r="A46" s="2">
        <v>20</v>
      </c>
      <c r="B46" s="2">
        <v>45</v>
      </c>
      <c r="C46" s="2">
        <v>3</v>
      </c>
      <c r="D46" s="2">
        <v>1</v>
      </c>
      <c r="E46" s="2">
        <v>1.4059999999999999</v>
      </c>
      <c r="F46" s="2">
        <v>2</v>
      </c>
      <c r="H46" s="2">
        <v>20</v>
      </c>
      <c r="I46" s="2">
        <v>246</v>
      </c>
      <c r="J46" s="2">
        <v>7</v>
      </c>
      <c r="K46" s="2">
        <v>1</v>
      </c>
      <c r="L46" s="2">
        <v>1.1910000000000001</v>
      </c>
    </row>
    <row r="47" spans="1:15" ht="14.25" customHeight="1">
      <c r="A47" s="2">
        <v>20</v>
      </c>
      <c r="B47" s="2">
        <v>46</v>
      </c>
      <c r="C47" s="2">
        <v>5</v>
      </c>
      <c r="D47" s="2">
        <v>1</v>
      </c>
      <c r="E47" s="2">
        <v>1.0820000000000001</v>
      </c>
      <c r="F47" s="2">
        <v>2</v>
      </c>
      <c r="H47" s="2">
        <v>20</v>
      </c>
      <c r="I47" s="2">
        <v>247</v>
      </c>
      <c r="J47" s="2">
        <v>8</v>
      </c>
      <c r="K47" s="2">
        <v>1</v>
      </c>
      <c r="L47" s="2">
        <v>0.72299999999999998</v>
      </c>
    </row>
    <row r="48" spans="1:15" ht="14.25" customHeight="1">
      <c r="A48" s="2">
        <v>20</v>
      </c>
      <c r="B48" s="2">
        <v>47</v>
      </c>
      <c r="C48" s="2">
        <v>8</v>
      </c>
      <c r="D48" s="2">
        <v>1</v>
      </c>
      <c r="E48" s="2">
        <v>0.97199999999999998</v>
      </c>
      <c r="F48" s="2">
        <v>1</v>
      </c>
      <c r="H48" s="2">
        <v>20</v>
      </c>
      <c r="I48" s="2">
        <v>248</v>
      </c>
      <c r="J48" s="2">
        <v>5</v>
      </c>
      <c r="K48" s="2">
        <v>1</v>
      </c>
      <c r="L48" s="2">
        <v>0.79400000000000004</v>
      </c>
    </row>
    <row r="49" spans="1:13" ht="14.25" customHeight="1">
      <c r="A49" s="2">
        <v>20</v>
      </c>
      <c r="B49" s="2">
        <v>48</v>
      </c>
      <c r="C49" s="2">
        <v>6</v>
      </c>
      <c r="D49" s="2">
        <v>1</v>
      </c>
      <c r="E49" s="2">
        <v>0.92900000000000005</v>
      </c>
      <c r="F49" s="2">
        <v>2</v>
      </c>
      <c r="H49" s="2">
        <v>20</v>
      </c>
      <c r="I49" s="2">
        <v>249</v>
      </c>
      <c r="J49" s="2">
        <v>8</v>
      </c>
      <c r="K49" s="2">
        <v>1</v>
      </c>
      <c r="L49" s="2">
        <v>1.623</v>
      </c>
    </row>
    <row r="50" spans="1:13" ht="14.25" customHeight="1">
      <c r="A50" s="2">
        <v>20</v>
      </c>
      <c r="B50" s="2">
        <v>49</v>
      </c>
      <c r="C50" s="2">
        <v>3</v>
      </c>
      <c r="D50" s="2">
        <v>1</v>
      </c>
      <c r="E50" s="2">
        <v>1.2490000000000001</v>
      </c>
      <c r="F50" s="2">
        <v>2</v>
      </c>
      <c r="H50" s="2">
        <v>20</v>
      </c>
      <c r="I50" s="2">
        <v>250</v>
      </c>
      <c r="J50" s="2">
        <v>2</v>
      </c>
      <c r="K50" s="2">
        <v>1</v>
      </c>
      <c r="L50" s="2">
        <v>0.82699999999999996</v>
      </c>
    </row>
    <row r="51" spans="1:13" ht="14.25" customHeight="1">
      <c r="A51" s="2">
        <v>20</v>
      </c>
      <c r="B51" s="2">
        <v>50</v>
      </c>
      <c r="C51" s="2">
        <v>7</v>
      </c>
      <c r="D51" s="2">
        <v>1</v>
      </c>
      <c r="E51" s="2">
        <v>0.69899999999999995</v>
      </c>
      <c r="F51" s="2">
        <v>1</v>
      </c>
      <c r="H51" s="3"/>
      <c r="I51" s="3"/>
      <c r="J51" s="3"/>
      <c r="K51" s="3"/>
      <c r="L51" s="3"/>
      <c r="M51" s="4"/>
    </row>
    <row r="52" spans="1:13" ht="14.25" customHeight="1">
      <c r="A52" s="2">
        <v>20</v>
      </c>
      <c r="B52" s="2">
        <v>51</v>
      </c>
      <c r="C52" s="2">
        <v>2</v>
      </c>
      <c r="D52" s="2">
        <v>1</v>
      </c>
      <c r="E52" s="2">
        <v>1.3460000000000001</v>
      </c>
      <c r="F52" s="2">
        <v>2</v>
      </c>
      <c r="H52" s="3"/>
      <c r="I52" s="3"/>
      <c r="J52" s="3"/>
      <c r="K52" s="3"/>
      <c r="L52" s="3"/>
      <c r="M52" s="4"/>
    </row>
    <row r="53" spans="1:13" ht="14.25" customHeight="1">
      <c r="A53" s="2">
        <v>20</v>
      </c>
      <c r="B53" s="2">
        <v>52</v>
      </c>
      <c r="C53" s="2">
        <v>1</v>
      </c>
      <c r="D53" s="2">
        <v>1</v>
      </c>
      <c r="E53" s="2">
        <v>0.72799999999999998</v>
      </c>
      <c r="F53" s="2">
        <v>2</v>
      </c>
      <c r="H53" s="3"/>
      <c r="I53" s="3"/>
      <c r="J53" s="3"/>
      <c r="K53" s="3"/>
      <c r="L53" s="3"/>
      <c r="M53" s="4"/>
    </row>
    <row r="54" spans="1:13" ht="14.25" customHeight="1">
      <c r="A54" s="2">
        <v>20</v>
      </c>
      <c r="B54" s="2">
        <v>53</v>
      </c>
      <c r="C54" s="2">
        <v>7</v>
      </c>
      <c r="D54" s="2">
        <v>0</v>
      </c>
      <c r="E54" s="2">
        <v>1.1599999999999999</v>
      </c>
      <c r="F54" s="2">
        <v>2</v>
      </c>
      <c r="H54" s="3"/>
      <c r="I54" s="3"/>
      <c r="J54" s="3"/>
      <c r="K54" s="3"/>
      <c r="L54" s="3"/>
      <c r="M54" s="4"/>
    </row>
    <row r="55" spans="1:13" ht="14.25" customHeight="1">
      <c r="A55" s="2">
        <v>20</v>
      </c>
      <c r="B55" s="2">
        <v>54</v>
      </c>
      <c r="C55" s="2">
        <v>8</v>
      </c>
      <c r="D55" s="2">
        <v>1</v>
      </c>
      <c r="E55" s="2">
        <v>0.71</v>
      </c>
      <c r="F55" s="2">
        <v>2</v>
      </c>
      <c r="H55" s="3"/>
      <c r="I55" s="3"/>
      <c r="J55" s="3"/>
      <c r="K55" s="3"/>
      <c r="L55" s="3"/>
      <c r="M55" s="4"/>
    </row>
    <row r="56" spans="1:13" ht="14.25" customHeight="1">
      <c r="A56" s="2">
        <v>20</v>
      </c>
      <c r="B56" s="2">
        <v>55</v>
      </c>
      <c r="C56" s="2">
        <v>3</v>
      </c>
      <c r="D56" s="2">
        <v>0</v>
      </c>
      <c r="E56" s="2">
        <v>1.4610000000000001</v>
      </c>
      <c r="F56" s="2">
        <v>2</v>
      </c>
      <c r="H56" s="3"/>
      <c r="I56" s="3"/>
      <c r="J56" s="3"/>
      <c r="K56" s="3"/>
      <c r="L56" s="3"/>
      <c r="M56" s="4"/>
    </row>
    <row r="57" spans="1:13" ht="14.25" customHeight="1">
      <c r="A57" s="2">
        <v>20</v>
      </c>
      <c r="B57" s="2">
        <v>56</v>
      </c>
      <c r="C57" s="2">
        <v>8</v>
      </c>
      <c r="D57" s="2">
        <v>1</v>
      </c>
      <c r="E57" s="2">
        <v>0.88800000000000001</v>
      </c>
      <c r="F57" s="2">
        <v>1</v>
      </c>
      <c r="H57" s="3"/>
      <c r="I57" s="3"/>
      <c r="J57" s="3"/>
      <c r="K57" s="3"/>
      <c r="L57" s="3"/>
      <c r="M57" s="4"/>
    </row>
    <row r="58" spans="1:13" ht="14.25" customHeight="1">
      <c r="A58" s="2">
        <v>20</v>
      </c>
      <c r="B58" s="2">
        <v>57</v>
      </c>
      <c r="C58" s="2">
        <v>5</v>
      </c>
      <c r="D58" s="2">
        <v>1</v>
      </c>
      <c r="E58" s="2">
        <v>0.79200000000000004</v>
      </c>
      <c r="F58" s="2">
        <v>2</v>
      </c>
      <c r="H58" s="3"/>
      <c r="I58" s="3"/>
      <c r="J58" s="3"/>
      <c r="K58" s="3"/>
      <c r="L58" s="3"/>
      <c r="M58" s="4"/>
    </row>
    <row r="59" spans="1:13" ht="14.25" customHeight="1">
      <c r="A59" s="2">
        <v>20</v>
      </c>
      <c r="B59" s="2">
        <v>58</v>
      </c>
      <c r="C59" s="2">
        <v>7</v>
      </c>
      <c r="D59" s="2">
        <v>0</v>
      </c>
      <c r="E59" s="2">
        <v>0.72599999999999998</v>
      </c>
      <c r="F59" s="2">
        <v>2</v>
      </c>
      <c r="H59" s="3"/>
      <c r="I59" s="3"/>
      <c r="J59" s="3"/>
      <c r="K59" s="3"/>
      <c r="L59" s="3"/>
      <c r="M59" s="4"/>
    </row>
    <row r="60" spans="1:13" ht="14.25" customHeight="1">
      <c r="A60" s="2">
        <v>20</v>
      </c>
      <c r="B60" s="2">
        <v>59</v>
      </c>
      <c r="C60" s="2">
        <v>4</v>
      </c>
      <c r="D60" s="2">
        <v>1</v>
      </c>
      <c r="E60" s="2">
        <v>0.877</v>
      </c>
      <c r="F60" s="2">
        <v>2</v>
      </c>
      <c r="H60" s="3"/>
      <c r="I60" s="3"/>
      <c r="J60" s="3"/>
      <c r="K60" s="3"/>
      <c r="L60" s="3"/>
      <c r="M60" s="4"/>
    </row>
    <row r="61" spans="1:13" ht="14.25" customHeight="1">
      <c r="A61" s="2">
        <v>20</v>
      </c>
      <c r="B61" s="2">
        <v>60</v>
      </c>
      <c r="C61" s="2">
        <v>1</v>
      </c>
      <c r="D61" s="2">
        <v>1</v>
      </c>
      <c r="E61" s="2">
        <v>1.246</v>
      </c>
      <c r="F61" s="2">
        <v>1</v>
      </c>
      <c r="H61" s="3"/>
      <c r="I61" s="3"/>
      <c r="J61" s="3"/>
      <c r="K61" s="3"/>
      <c r="L61" s="3"/>
      <c r="M61" s="4"/>
    </row>
    <row r="62" spans="1:13" ht="14.25" customHeight="1">
      <c r="A62" s="2">
        <v>20</v>
      </c>
      <c r="B62" s="2">
        <v>61</v>
      </c>
      <c r="C62" s="2">
        <v>7</v>
      </c>
      <c r="D62" s="2">
        <v>1</v>
      </c>
      <c r="E62" s="2">
        <v>0.78400000000000003</v>
      </c>
      <c r="F62" s="2">
        <v>1</v>
      </c>
      <c r="H62" s="3"/>
      <c r="I62" s="3"/>
      <c r="J62" s="3"/>
      <c r="K62" s="3"/>
      <c r="L62" s="3"/>
      <c r="M62" s="4"/>
    </row>
    <row r="63" spans="1:13" ht="14.25" customHeight="1">
      <c r="A63" s="2">
        <v>20</v>
      </c>
      <c r="B63" s="2">
        <v>62</v>
      </c>
      <c r="C63" s="2">
        <v>1</v>
      </c>
      <c r="D63" s="2">
        <v>0</v>
      </c>
      <c r="E63" s="2">
        <v>1.2450000000000001</v>
      </c>
      <c r="F63" s="2">
        <v>2</v>
      </c>
      <c r="H63" s="3"/>
      <c r="I63" s="3"/>
      <c r="J63" s="3"/>
      <c r="K63" s="3"/>
      <c r="L63" s="3"/>
      <c r="M63" s="4"/>
    </row>
    <row r="64" spans="1:13" ht="14.25" customHeight="1">
      <c r="A64" s="2">
        <v>20</v>
      </c>
      <c r="B64" s="2">
        <v>63</v>
      </c>
      <c r="C64" s="2">
        <v>3</v>
      </c>
      <c r="D64" s="2">
        <v>1</v>
      </c>
      <c r="E64" s="2">
        <v>0.91900000000000004</v>
      </c>
      <c r="F64" s="2">
        <v>2</v>
      </c>
      <c r="H64" s="3"/>
      <c r="I64" s="3"/>
      <c r="J64" s="3"/>
      <c r="K64" s="3"/>
      <c r="L64" s="3"/>
      <c r="M64" s="4"/>
    </row>
    <row r="65" spans="1:13" ht="14.25" customHeight="1">
      <c r="A65" s="2">
        <v>20</v>
      </c>
      <c r="B65" s="2">
        <v>64</v>
      </c>
      <c r="C65" s="2">
        <v>5</v>
      </c>
      <c r="D65" s="2">
        <v>1</v>
      </c>
      <c r="E65" s="2">
        <v>0.95899999999999996</v>
      </c>
      <c r="F65" s="2">
        <v>2</v>
      </c>
      <c r="H65" s="3"/>
      <c r="I65" s="3"/>
      <c r="J65" s="3"/>
      <c r="K65" s="3"/>
      <c r="L65" s="3"/>
      <c r="M65" s="4"/>
    </row>
    <row r="66" spans="1:13" ht="14.25" customHeight="1">
      <c r="A66" s="2">
        <v>20</v>
      </c>
      <c r="B66" s="2">
        <v>65</v>
      </c>
      <c r="C66" s="2">
        <v>6</v>
      </c>
      <c r="D66" s="2">
        <v>1</v>
      </c>
      <c r="E66" s="2">
        <v>1.093</v>
      </c>
      <c r="F66" s="2">
        <v>1</v>
      </c>
      <c r="H66" s="3"/>
      <c r="I66" s="3"/>
      <c r="J66" s="3"/>
      <c r="K66" s="3"/>
      <c r="L66" s="3"/>
      <c r="M66" s="4"/>
    </row>
    <row r="67" spans="1:13" ht="14.25" customHeight="1">
      <c r="A67" s="2">
        <v>20</v>
      </c>
      <c r="B67" s="2">
        <v>66</v>
      </c>
      <c r="C67" s="2">
        <v>4</v>
      </c>
      <c r="D67" s="2">
        <v>1</v>
      </c>
      <c r="E67" s="2">
        <v>1.325</v>
      </c>
      <c r="F67" s="2">
        <v>1</v>
      </c>
      <c r="H67" s="3"/>
      <c r="I67" s="3"/>
      <c r="J67" s="3"/>
      <c r="K67" s="3"/>
      <c r="L67" s="3"/>
      <c r="M67" s="4"/>
    </row>
    <row r="68" spans="1:13" ht="14.25" customHeight="1">
      <c r="A68" s="2">
        <v>20</v>
      </c>
      <c r="B68" s="2">
        <v>67</v>
      </c>
      <c r="C68" s="2">
        <v>1</v>
      </c>
      <c r="D68" s="2">
        <v>0</v>
      </c>
      <c r="E68" s="2">
        <v>1.2210000000000001</v>
      </c>
      <c r="F68" s="2">
        <v>1</v>
      </c>
      <c r="H68" s="3"/>
      <c r="I68" s="3"/>
      <c r="J68" s="3"/>
      <c r="K68" s="3"/>
      <c r="L68" s="3"/>
      <c r="M68" s="4"/>
    </row>
    <row r="69" spans="1:13" ht="14.25" customHeight="1">
      <c r="A69" s="2">
        <v>20</v>
      </c>
      <c r="B69" s="2">
        <v>68</v>
      </c>
      <c r="C69" s="2">
        <v>4</v>
      </c>
      <c r="D69" s="2">
        <v>1</v>
      </c>
      <c r="E69" s="2">
        <v>0.96</v>
      </c>
      <c r="F69" s="2">
        <v>2</v>
      </c>
      <c r="H69" s="3"/>
      <c r="I69" s="3"/>
      <c r="J69" s="3"/>
      <c r="K69" s="3"/>
      <c r="L69" s="3"/>
      <c r="M69" s="4"/>
    </row>
    <row r="70" spans="1:13" ht="14.25" customHeight="1">
      <c r="A70" s="2">
        <v>20</v>
      </c>
      <c r="B70" s="2">
        <v>69</v>
      </c>
      <c r="C70" s="2">
        <v>7</v>
      </c>
      <c r="D70" s="2">
        <v>1</v>
      </c>
      <c r="E70" s="2">
        <v>1.006</v>
      </c>
      <c r="F70" s="2">
        <v>1</v>
      </c>
      <c r="H70" s="3"/>
      <c r="I70" s="3"/>
      <c r="J70" s="3"/>
      <c r="K70" s="3"/>
      <c r="L70" s="3"/>
      <c r="M70" s="4"/>
    </row>
    <row r="71" spans="1:13" ht="14.25" customHeight="1">
      <c r="A71" s="2">
        <v>20</v>
      </c>
      <c r="B71" s="2">
        <v>70</v>
      </c>
      <c r="C71" s="2">
        <v>8</v>
      </c>
      <c r="D71" s="2">
        <v>1</v>
      </c>
      <c r="E71" s="2">
        <v>0.95399999999999996</v>
      </c>
      <c r="F71" s="2">
        <v>1</v>
      </c>
      <c r="H71" s="3"/>
      <c r="I71" s="3"/>
      <c r="J71" s="3"/>
      <c r="K71" s="3"/>
      <c r="L71" s="3"/>
      <c r="M71" s="4"/>
    </row>
    <row r="72" spans="1:13" ht="14.25" customHeight="1">
      <c r="A72" s="2">
        <v>20</v>
      </c>
      <c r="B72" s="2">
        <v>71</v>
      </c>
      <c r="C72" s="2">
        <v>6</v>
      </c>
      <c r="D72" s="2">
        <v>1</v>
      </c>
      <c r="E72" s="2">
        <v>0.97599999999999998</v>
      </c>
      <c r="F72" s="2">
        <v>1</v>
      </c>
      <c r="H72" s="3"/>
      <c r="I72" s="3"/>
      <c r="J72" s="3"/>
      <c r="K72" s="3"/>
      <c r="L72" s="3"/>
      <c r="M72" s="4"/>
    </row>
    <row r="73" spans="1:13" ht="14.25" customHeight="1">
      <c r="A73" s="2">
        <v>20</v>
      </c>
      <c r="B73" s="2">
        <v>72</v>
      </c>
      <c r="C73" s="2">
        <v>8</v>
      </c>
      <c r="D73" s="2">
        <v>0</v>
      </c>
      <c r="E73" s="2">
        <v>1.5249999999999999</v>
      </c>
      <c r="F73" s="2">
        <v>1</v>
      </c>
      <c r="H73" s="3"/>
      <c r="I73" s="3"/>
      <c r="J73" s="3"/>
      <c r="K73" s="3"/>
      <c r="L73" s="3"/>
      <c r="M73" s="4"/>
    </row>
    <row r="74" spans="1:13" ht="14.25" customHeight="1">
      <c r="A74" s="2">
        <v>20</v>
      </c>
      <c r="B74" s="2">
        <v>73</v>
      </c>
      <c r="C74" s="2">
        <v>2</v>
      </c>
      <c r="D74" s="2">
        <v>1</v>
      </c>
      <c r="E74" s="2">
        <v>1.468</v>
      </c>
      <c r="F74" s="2">
        <v>2</v>
      </c>
      <c r="H74" s="3"/>
      <c r="I74" s="3"/>
      <c r="J74" s="3"/>
      <c r="K74" s="3"/>
      <c r="L74" s="3"/>
      <c r="M74" s="4"/>
    </row>
    <row r="75" spans="1:13" ht="14.25" customHeight="1">
      <c r="A75" s="2">
        <v>20</v>
      </c>
      <c r="B75" s="2">
        <v>74</v>
      </c>
      <c r="C75" s="2">
        <v>7</v>
      </c>
      <c r="D75" s="2">
        <v>1</v>
      </c>
      <c r="E75" s="2">
        <v>0.96599999999999997</v>
      </c>
      <c r="F75" s="2">
        <v>1</v>
      </c>
      <c r="H75" s="3"/>
      <c r="I75" s="3"/>
      <c r="J75" s="3"/>
      <c r="K75" s="3"/>
      <c r="L75" s="3"/>
      <c r="M75" s="4"/>
    </row>
    <row r="76" spans="1:13" ht="14.25" customHeight="1">
      <c r="A76" s="2">
        <v>20</v>
      </c>
      <c r="B76" s="2">
        <v>75</v>
      </c>
      <c r="C76" s="2">
        <v>6</v>
      </c>
      <c r="E76" s="2">
        <v>2</v>
      </c>
      <c r="H76" s="3"/>
      <c r="I76" s="3"/>
      <c r="J76" s="3"/>
      <c r="K76" s="3"/>
      <c r="L76" s="3"/>
      <c r="M76" s="4"/>
    </row>
    <row r="77" spans="1:13" ht="14.25" customHeight="1">
      <c r="A77" s="2">
        <v>20</v>
      </c>
      <c r="B77" s="2">
        <v>76</v>
      </c>
      <c r="C77" s="2">
        <v>5</v>
      </c>
      <c r="D77" s="2">
        <v>1</v>
      </c>
      <c r="E77" s="2">
        <v>1.224</v>
      </c>
      <c r="F77" s="2">
        <v>1</v>
      </c>
      <c r="H77" s="3"/>
      <c r="I77" s="3"/>
      <c r="J77" s="3"/>
      <c r="K77" s="3"/>
      <c r="L77" s="3"/>
      <c r="M77" s="4"/>
    </row>
    <row r="78" spans="1:13" ht="14.25" customHeight="1">
      <c r="A78" s="2">
        <v>20</v>
      </c>
      <c r="B78" s="2">
        <v>77</v>
      </c>
      <c r="C78" s="2">
        <v>2</v>
      </c>
      <c r="D78" s="2">
        <v>0</v>
      </c>
      <c r="E78" s="2">
        <v>1.1719999999999999</v>
      </c>
      <c r="F78" s="2">
        <v>1</v>
      </c>
      <c r="H78" s="3"/>
      <c r="I78" s="3"/>
      <c r="J78" s="3"/>
      <c r="K78" s="3"/>
      <c r="L78" s="3"/>
      <c r="M78" s="4"/>
    </row>
    <row r="79" spans="1:13" ht="14.25" customHeight="1">
      <c r="A79" s="2">
        <v>20</v>
      </c>
      <c r="B79" s="2">
        <v>78</v>
      </c>
      <c r="C79" s="2">
        <v>3</v>
      </c>
      <c r="D79" s="2">
        <v>1</v>
      </c>
      <c r="E79" s="2">
        <v>1.0089999999999999</v>
      </c>
      <c r="F79" s="2">
        <v>1</v>
      </c>
      <c r="H79" s="3"/>
      <c r="I79" s="3"/>
      <c r="J79" s="3"/>
      <c r="K79" s="3"/>
      <c r="L79" s="3"/>
      <c r="M79" s="4"/>
    </row>
    <row r="80" spans="1:13" ht="14.25" customHeight="1">
      <c r="A80" s="2">
        <v>20</v>
      </c>
      <c r="B80" s="2">
        <v>79</v>
      </c>
      <c r="C80" s="2">
        <v>8</v>
      </c>
      <c r="D80" s="2">
        <v>1</v>
      </c>
      <c r="E80" s="2">
        <v>0.54900000000000004</v>
      </c>
      <c r="F80" s="2">
        <v>1</v>
      </c>
      <c r="H80" s="3"/>
      <c r="I80" s="3"/>
      <c r="J80" s="3"/>
      <c r="K80" s="3"/>
      <c r="L80" s="3"/>
      <c r="M80" s="4"/>
    </row>
    <row r="81" spans="1:13" ht="14.25" customHeight="1">
      <c r="A81" s="2">
        <v>20</v>
      </c>
      <c r="B81" s="2">
        <v>80</v>
      </c>
      <c r="C81" s="2">
        <v>3</v>
      </c>
      <c r="D81" s="2">
        <v>1</v>
      </c>
      <c r="E81" s="2">
        <v>0.69099999999999995</v>
      </c>
      <c r="F81" s="2">
        <v>1</v>
      </c>
      <c r="H81" s="3"/>
      <c r="I81" s="3"/>
      <c r="J81" s="3"/>
      <c r="K81" s="3"/>
      <c r="L81" s="3"/>
      <c r="M81" s="4"/>
    </row>
    <row r="82" spans="1:13" ht="14.25" customHeight="1">
      <c r="A82" s="2">
        <v>20</v>
      </c>
      <c r="B82" s="2">
        <v>81</v>
      </c>
      <c r="C82" s="2">
        <v>6</v>
      </c>
      <c r="D82" s="2">
        <v>1</v>
      </c>
      <c r="E82" s="2">
        <v>0.82099999999999995</v>
      </c>
      <c r="F82" s="2">
        <v>2</v>
      </c>
      <c r="H82" s="3"/>
      <c r="I82" s="3"/>
      <c r="J82" s="3"/>
      <c r="K82" s="3"/>
      <c r="L82" s="3"/>
      <c r="M82" s="4"/>
    </row>
    <row r="83" spans="1:13" ht="14.25" customHeight="1">
      <c r="A83" s="2">
        <v>20</v>
      </c>
      <c r="B83" s="2">
        <v>82</v>
      </c>
      <c r="C83" s="2">
        <v>3</v>
      </c>
      <c r="D83" s="2">
        <v>0</v>
      </c>
      <c r="E83" s="2">
        <v>1.1679999999999999</v>
      </c>
      <c r="F83" s="2">
        <v>1</v>
      </c>
      <c r="H83" s="3"/>
      <c r="I83" s="3"/>
      <c r="J83" s="3"/>
      <c r="K83" s="3"/>
      <c r="L83" s="3"/>
      <c r="M83" s="4"/>
    </row>
    <row r="84" spans="1:13" ht="14.25" customHeight="1">
      <c r="A84" s="2">
        <v>20</v>
      </c>
      <c r="B84" s="2">
        <v>83</v>
      </c>
      <c r="C84" s="2">
        <v>8</v>
      </c>
      <c r="D84" s="2">
        <v>1</v>
      </c>
      <c r="E84" s="2">
        <v>1.4370000000000001</v>
      </c>
      <c r="F84" s="2">
        <v>2</v>
      </c>
      <c r="H84" s="3"/>
      <c r="I84" s="3"/>
      <c r="J84" s="3"/>
      <c r="K84" s="3"/>
      <c r="L84" s="3"/>
      <c r="M84" s="4"/>
    </row>
    <row r="85" spans="1:13" ht="14.25" customHeight="1">
      <c r="A85" s="2">
        <v>20</v>
      </c>
      <c r="B85" s="2">
        <v>84</v>
      </c>
      <c r="C85" s="2">
        <v>6</v>
      </c>
      <c r="D85" s="2">
        <v>1</v>
      </c>
      <c r="E85" s="2">
        <v>0.68799999999999994</v>
      </c>
      <c r="F85" s="2">
        <v>1</v>
      </c>
      <c r="H85" s="3"/>
      <c r="I85" s="3"/>
      <c r="J85" s="3"/>
      <c r="K85" s="3"/>
      <c r="L85" s="3"/>
      <c r="M85" s="4"/>
    </row>
    <row r="86" spans="1:13" ht="14.25" customHeight="1">
      <c r="A86" s="2">
        <v>20</v>
      </c>
      <c r="B86" s="2">
        <v>85</v>
      </c>
      <c r="C86" s="2">
        <v>8</v>
      </c>
      <c r="D86" s="2">
        <v>1</v>
      </c>
      <c r="E86" s="2">
        <v>0.86399999999999999</v>
      </c>
      <c r="F86" s="2">
        <v>2</v>
      </c>
      <c r="H86" s="3"/>
      <c r="I86" s="3"/>
      <c r="J86" s="3"/>
      <c r="K86" s="3"/>
      <c r="L86" s="3"/>
      <c r="M86" s="4"/>
    </row>
    <row r="87" spans="1:13" ht="14.25" customHeight="1">
      <c r="A87" s="2">
        <v>20</v>
      </c>
      <c r="B87" s="2">
        <v>86</v>
      </c>
      <c r="C87" s="2">
        <v>5</v>
      </c>
      <c r="D87" s="2">
        <v>1</v>
      </c>
      <c r="E87" s="2">
        <v>0.85</v>
      </c>
      <c r="F87" s="2">
        <v>2</v>
      </c>
      <c r="H87" s="3"/>
      <c r="I87" s="3"/>
      <c r="J87" s="3"/>
      <c r="K87" s="3"/>
      <c r="L87" s="3"/>
      <c r="M87" s="4"/>
    </row>
    <row r="88" spans="1:13" ht="14.25" customHeight="1">
      <c r="A88" s="2">
        <v>20</v>
      </c>
      <c r="B88" s="2">
        <v>87</v>
      </c>
      <c r="C88" s="2">
        <v>2</v>
      </c>
      <c r="D88" s="2">
        <v>1</v>
      </c>
      <c r="E88" s="2">
        <v>1.157</v>
      </c>
      <c r="F88" s="2">
        <v>2</v>
      </c>
      <c r="H88" s="3"/>
      <c r="I88" s="3"/>
      <c r="J88" s="3"/>
      <c r="K88" s="3"/>
      <c r="L88" s="3"/>
      <c r="M88" s="4"/>
    </row>
    <row r="89" spans="1:13" ht="14.25" customHeight="1">
      <c r="A89" s="2">
        <v>20</v>
      </c>
      <c r="B89" s="2">
        <v>88</v>
      </c>
      <c r="C89" s="2">
        <v>1</v>
      </c>
      <c r="D89" s="2">
        <v>1</v>
      </c>
      <c r="E89" s="2">
        <v>1.0189999999999999</v>
      </c>
      <c r="F89" s="2">
        <v>1</v>
      </c>
      <c r="H89" s="3"/>
      <c r="I89" s="3"/>
      <c r="J89" s="3"/>
      <c r="K89" s="3"/>
      <c r="L89" s="3"/>
      <c r="M89" s="4"/>
    </row>
    <row r="90" spans="1:13" ht="14.25" customHeight="1">
      <c r="A90" s="2">
        <v>20</v>
      </c>
      <c r="B90" s="2">
        <v>89</v>
      </c>
      <c r="C90" s="2">
        <v>5</v>
      </c>
      <c r="D90" s="2">
        <v>1</v>
      </c>
      <c r="E90" s="2">
        <v>1.2070000000000001</v>
      </c>
      <c r="F90" s="2">
        <v>2</v>
      </c>
      <c r="H90" s="3"/>
      <c r="I90" s="3"/>
      <c r="J90" s="3"/>
      <c r="K90" s="3"/>
      <c r="L90" s="3"/>
      <c r="M90" s="4"/>
    </row>
    <row r="91" spans="1:13" ht="14.25" customHeight="1">
      <c r="A91" s="2">
        <v>20</v>
      </c>
      <c r="B91" s="2">
        <v>90</v>
      </c>
      <c r="C91" s="2">
        <v>3</v>
      </c>
      <c r="D91" s="2">
        <v>1</v>
      </c>
      <c r="E91" s="2">
        <v>1.099</v>
      </c>
      <c r="F91" s="2">
        <v>1</v>
      </c>
      <c r="H91" s="3"/>
      <c r="I91" s="3"/>
      <c r="J91" s="3"/>
      <c r="K91" s="3"/>
      <c r="L91" s="3"/>
      <c r="M91" s="4"/>
    </row>
    <row r="92" spans="1:13" ht="14.25" customHeight="1">
      <c r="A92" s="2">
        <v>20</v>
      </c>
      <c r="B92" s="2">
        <v>91</v>
      </c>
      <c r="C92" s="2">
        <v>7</v>
      </c>
      <c r="D92" s="2">
        <v>1</v>
      </c>
      <c r="E92" s="2">
        <v>1.091</v>
      </c>
      <c r="F92" s="2">
        <v>1</v>
      </c>
      <c r="H92" s="3"/>
      <c r="I92" s="3"/>
      <c r="J92" s="3"/>
      <c r="K92" s="3"/>
      <c r="L92" s="3"/>
      <c r="M92" s="4"/>
    </row>
    <row r="93" spans="1:13" ht="14.25" customHeight="1">
      <c r="A93" s="2">
        <v>20</v>
      </c>
      <c r="B93" s="2">
        <v>92</v>
      </c>
      <c r="C93" s="2">
        <v>1</v>
      </c>
      <c r="D93" s="2">
        <v>0</v>
      </c>
      <c r="E93" s="2">
        <v>1.2110000000000001</v>
      </c>
      <c r="F93" s="2">
        <v>1</v>
      </c>
      <c r="H93" s="3"/>
      <c r="I93" s="3"/>
      <c r="J93" s="3"/>
      <c r="K93" s="3"/>
      <c r="L93" s="3"/>
      <c r="M93" s="4"/>
    </row>
    <row r="94" spans="1:13" ht="14.25" customHeight="1">
      <c r="A94" s="2">
        <v>20</v>
      </c>
      <c r="B94" s="2">
        <v>93</v>
      </c>
      <c r="C94" s="2">
        <v>6</v>
      </c>
      <c r="D94" s="2">
        <v>0</v>
      </c>
      <c r="E94" s="2">
        <v>0.64</v>
      </c>
      <c r="F94" s="2">
        <v>2</v>
      </c>
      <c r="H94" s="3"/>
      <c r="I94" s="3"/>
      <c r="J94" s="3"/>
      <c r="K94" s="3"/>
      <c r="L94" s="3"/>
      <c r="M94" s="4"/>
    </row>
    <row r="95" spans="1:13" ht="14.25" customHeight="1">
      <c r="A95" s="2">
        <v>20</v>
      </c>
      <c r="B95" s="2">
        <v>94</v>
      </c>
      <c r="C95" s="2">
        <v>2</v>
      </c>
      <c r="D95" s="2">
        <v>1</v>
      </c>
      <c r="E95" s="2">
        <v>0.874</v>
      </c>
      <c r="F95" s="2">
        <v>1</v>
      </c>
      <c r="H95" s="3"/>
      <c r="I95" s="3"/>
      <c r="J95" s="3"/>
      <c r="K95" s="3"/>
      <c r="L95" s="3"/>
      <c r="M95" s="4"/>
    </row>
    <row r="96" spans="1:13" ht="14.25" customHeight="1">
      <c r="A96" s="2">
        <v>20</v>
      </c>
      <c r="B96" s="2">
        <v>95</v>
      </c>
      <c r="C96" s="2">
        <v>4</v>
      </c>
      <c r="D96" s="2">
        <v>1</v>
      </c>
      <c r="E96" s="2">
        <v>1.083</v>
      </c>
      <c r="F96" s="2">
        <v>2</v>
      </c>
      <c r="H96" s="3"/>
      <c r="I96" s="3"/>
      <c r="J96" s="3"/>
      <c r="K96" s="3"/>
      <c r="L96" s="3"/>
      <c r="M96" s="4"/>
    </row>
    <row r="97" spans="1:13" ht="14.25" customHeight="1">
      <c r="A97" s="2">
        <v>20</v>
      </c>
      <c r="B97" s="2">
        <v>96</v>
      </c>
      <c r="C97" s="2">
        <v>2</v>
      </c>
      <c r="D97" s="2">
        <v>1</v>
      </c>
      <c r="E97" s="2">
        <v>0.86799999999999999</v>
      </c>
      <c r="F97" s="2">
        <v>2</v>
      </c>
      <c r="H97" s="3"/>
      <c r="I97" s="3"/>
      <c r="J97" s="3"/>
      <c r="K97" s="3"/>
      <c r="L97" s="3"/>
      <c r="M97" s="4"/>
    </row>
    <row r="98" spans="1:13" ht="14.25" customHeight="1">
      <c r="A98" s="2">
        <v>20</v>
      </c>
      <c r="B98" s="2">
        <v>97</v>
      </c>
      <c r="C98" s="2">
        <v>7</v>
      </c>
      <c r="D98" s="2">
        <v>1</v>
      </c>
      <c r="E98" s="2">
        <v>0.78900000000000003</v>
      </c>
      <c r="F98" s="2">
        <v>1</v>
      </c>
      <c r="H98" s="3"/>
      <c r="I98" s="3"/>
      <c r="J98" s="3"/>
      <c r="K98" s="3"/>
      <c r="L98" s="3"/>
      <c r="M98" s="4"/>
    </row>
    <row r="99" spans="1:13" ht="14.25" customHeight="1">
      <c r="A99" s="2">
        <v>20</v>
      </c>
      <c r="B99" s="2">
        <v>98</v>
      </c>
      <c r="C99" s="2">
        <v>4</v>
      </c>
      <c r="D99" s="2">
        <v>1</v>
      </c>
      <c r="E99" s="2">
        <v>1.1459999999999999</v>
      </c>
      <c r="F99" s="2">
        <v>2</v>
      </c>
      <c r="H99" s="3"/>
      <c r="I99" s="3"/>
      <c r="J99" s="3"/>
      <c r="K99" s="3"/>
      <c r="L99" s="3"/>
      <c r="M99" s="4"/>
    </row>
    <row r="100" spans="1:13" ht="14.25" customHeight="1">
      <c r="A100" s="2">
        <v>20</v>
      </c>
      <c r="B100" s="2">
        <v>99</v>
      </c>
      <c r="C100" s="2">
        <v>5</v>
      </c>
      <c r="D100" s="2">
        <v>1</v>
      </c>
      <c r="E100" s="2">
        <v>1.032</v>
      </c>
      <c r="F100" s="2">
        <v>2</v>
      </c>
      <c r="H100" s="3"/>
      <c r="I100" s="3"/>
      <c r="J100" s="3"/>
      <c r="K100" s="3"/>
      <c r="L100" s="3"/>
      <c r="M100" s="4"/>
    </row>
    <row r="101" spans="1:13" ht="14.25" customHeight="1">
      <c r="A101" s="2">
        <v>20</v>
      </c>
      <c r="B101" s="2">
        <v>100</v>
      </c>
      <c r="C101" s="2">
        <v>4</v>
      </c>
      <c r="D101" s="2">
        <v>1</v>
      </c>
      <c r="E101" s="2">
        <v>0.86799999999999999</v>
      </c>
      <c r="F101" s="2">
        <v>1</v>
      </c>
    </row>
    <row r="102" spans="1:13" ht="14.25" customHeight="1">
      <c r="A102" s="2">
        <v>20</v>
      </c>
      <c r="B102" s="2">
        <v>101</v>
      </c>
      <c r="C102" s="2">
        <v>3</v>
      </c>
      <c r="D102" s="2">
        <v>1</v>
      </c>
      <c r="E102" s="2">
        <v>1.3080000000000001</v>
      </c>
      <c r="F102" s="2">
        <v>2</v>
      </c>
    </row>
    <row r="103" spans="1:13" ht="14.25" customHeight="1">
      <c r="A103" s="2">
        <v>20</v>
      </c>
      <c r="B103" s="2">
        <v>102</v>
      </c>
      <c r="C103" s="2">
        <v>2</v>
      </c>
      <c r="D103" s="2">
        <v>1</v>
      </c>
      <c r="E103" s="2">
        <v>1.036</v>
      </c>
      <c r="F103" s="2">
        <v>2</v>
      </c>
    </row>
    <row r="104" spans="1:13" ht="14.25" customHeight="1">
      <c r="A104" s="2">
        <v>20</v>
      </c>
      <c r="B104" s="2">
        <v>103</v>
      </c>
      <c r="C104" s="2">
        <v>5</v>
      </c>
      <c r="D104" s="2">
        <v>0</v>
      </c>
      <c r="E104" s="2">
        <v>1.0229999999999999</v>
      </c>
      <c r="F104" s="2">
        <v>2</v>
      </c>
    </row>
    <row r="105" spans="1:13" ht="14.25" customHeight="1">
      <c r="A105" s="2">
        <v>20</v>
      </c>
      <c r="B105" s="2">
        <v>104</v>
      </c>
      <c r="C105" s="2">
        <v>2</v>
      </c>
      <c r="D105" s="2">
        <v>1</v>
      </c>
      <c r="E105" s="2">
        <v>0.82599999999999996</v>
      </c>
      <c r="F105" s="2">
        <v>2</v>
      </c>
    </row>
    <row r="106" spans="1:13" ht="14.25" customHeight="1">
      <c r="A106" s="2">
        <v>20</v>
      </c>
      <c r="B106" s="2">
        <v>105</v>
      </c>
      <c r="C106" s="2">
        <v>6</v>
      </c>
      <c r="D106" s="2">
        <v>1</v>
      </c>
      <c r="E106" s="2">
        <v>0.83699999999999997</v>
      </c>
      <c r="F106" s="2">
        <v>1</v>
      </c>
    </row>
    <row r="107" spans="1:13" ht="14.25" customHeight="1">
      <c r="A107" s="2">
        <v>20</v>
      </c>
      <c r="B107" s="2">
        <v>106</v>
      </c>
      <c r="C107" s="2">
        <v>3</v>
      </c>
      <c r="D107" s="2">
        <v>1</v>
      </c>
      <c r="E107" s="2">
        <v>0.83199999999999996</v>
      </c>
      <c r="F107" s="2">
        <v>1</v>
      </c>
    </row>
    <row r="108" spans="1:13" ht="14.25" customHeight="1">
      <c r="A108" s="2">
        <v>20</v>
      </c>
      <c r="B108" s="2">
        <v>107</v>
      </c>
      <c r="C108" s="2">
        <v>8</v>
      </c>
      <c r="D108" s="2">
        <v>1</v>
      </c>
      <c r="E108" s="2">
        <v>0.875</v>
      </c>
      <c r="F108" s="2">
        <v>2</v>
      </c>
    </row>
    <row r="109" spans="1:13" ht="14.25" customHeight="1">
      <c r="A109" s="2">
        <v>20</v>
      </c>
      <c r="B109" s="2">
        <v>108</v>
      </c>
      <c r="C109" s="2">
        <v>1</v>
      </c>
      <c r="D109" s="2">
        <v>1</v>
      </c>
      <c r="E109" s="2">
        <v>0.82</v>
      </c>
      <c r="F109" s="2">
        <v>1</v>
      </c>
    </row>
    <row r="110" spans="1:13" ht="14.25" customHeight="1">
      <c r="A110" s="2">
        <v>20</v>
      </c>
      <c r="B110" s="2">
        <v>109</v>
      </c>
      <c r="C110" s="2">
        <v>2</v>
      </c>
      <c r="D110" s="2">
        <v>0</v>
      </c>
      <c r="E110" s="2">
        <v>1.1519999999999999</v>
      </c>
      <c r="F110" s="2">
        <v>1</v>
      </c>
    </row>
    <row r="111" spans="1:13" ht="14.25" customHeight="1">
      <c r="A111" s="2">
        <v>20</v>
      </c>
      <c r="B111" s="2">
        <v>110</v>
      </c>
      <c r="C111" s="2">
        <v>6</v>
      </c>
      <c r="D111" s="2">
        <v>1</v>
      </c>
      <c r="E111" s="2">
        <v>1.3819999999999999</v>
      </c>
      <c r="F111" s="2">
        <v>1</v>
      </c>
    </row>
    <row r="112" spans="1:13" ht="14.25" customHeight="1">
      <c r="A112" s="2">
        <v>20</v>
      </c>
      <c r="B112" s="2">
        <v>111</v>
      </c>
      <c r="C112" s="2">
        <v>5</v>
      </c>
      <c r="D112" s="2">
        <v>1</v>
      </c>
      <c r="E112" s="2">
        <v>0.69899999999999995</v>
      </c>
      <c r="F112" s="2">
        <v>1</v>
      </c>
    </row>
    <row r="113" spans="1:6" ht="14.25" customHeight="1">
      <c r="A113" s="2">
        <v>20</v>
      </c>
      <c r="B113" s="2">
        <v>112</v>
      </c>
      <c r="C113" s="2">
        <v>8</v>
      </c>
      <c r="D113" s="2">
        <v>0</v>
      </c>
      <c r="E113" s="2">
        <v>1.619</v>
      </c>
      <c r="F113" s="2">
        <v>2</v>
      </c>
    </row>
    <row r="114" spans="1:6" ht="14.25" customHeight="1">
      <c r="A114" s="2">
        <v>20</v>
      </c>
      <c r="B114" s="2">
        <v>113</v>
      </c>
      <c r="C114" s="2">
        <v>6</v>
      </c>
      <c r="D114" s="2">
        <v>1</v>
      </c>
      <c r="E114" s="2">
        <v>1.1020000000000001</v>
      </c>
      <c r="F114" s="2">
        <v>2</v>
      </c>
    </row>
    <row r="115" spans="1:6" ht="14.25" customHeight="1">
      <c r="A115" s="2">
        <v>20</v>
      </c>
      <c r="B115" s="2">
        <v>114</v>
      </c>
      <c r="C115" s="2">
        <v>5</v>
      </c>
      <c r="D115" s="2">
        <v>1</v>
      </c>
      <c r="E115" s="2">
        <v>1.1739999999999999</v>
      </c>
      <c r="F115" s="2">
        <v>2</v>
      </c>
    </row>
    <row r="116" spans="1:6" ht="14.25" customHeight="1">
      <c r="A116" s="2">
        <v>20</v>
      </c>
      <c r="B116" s="2">
        <v>115</v>
      </c>
      <c r="C116" s="2">
        <v>6</v>
      </c>
      <c r="D116" s="2">
        <v>1</v>
      </c>
      <c r="E116" s="2">
        <v>0.94799999999999995</v>
      </c>
      <c r="F116" s="2">
        <v>1</v>
      </c>
    </row>
    <row r="117" spans="1:6" ht="14.25" customHeight="1">
      <c r="A117" s="2">
        <v>20</v>
      </c>
      <c r="B117" s="2">
        <v>116</v>
      </c>
      <c r="C117" s="2">
        <v>1</v>
      </c>
      <c r="D117" s="2">
        <v>1</v>
      </c>
      <c r="E117" s="2">
        <v>1.379</v>
      </c>
      <c r="F117" s="2">
        <v>1</v>
      </c>
    </row>
    <row r="118" spans="1:6" ht="14.25" customHeight="1">
      <c r="A118" s="2">
        <v>20</v>
      </c>
      <c r="B118" s="2">
        <v>117</v>
      </c>
      <c r="C118" s="2">
        <v>8</v>
      </c>
      <c r="D118" s="2">
        <v>1</v>
      </c>
      <c r="E118" s="2">
        <v>1.256</v>
      </c>
      <c r="F118" s="2">
        <v>2</v>
      </c>
    </row>
    <row r="119" spans="1:6" ht="14.25" customHeight="1">
      <c r="A119" s="2">
        <v>20</v>
      </c>
      <c r="B119" s="2">
        <v>118</v>
      </c>
      <c r="C119" s="2">
        <v>3</v>
      </c>
      <c r="D119" s="2">
        <v>1</v>
      </c>
      <c r="E119" s="2">
        <v>1.026</v>
      </c>
      <c r="F119" s="2">
        <v>2</v>
      </c>
    </row>
    <row r="120" spans="1:6" ht="14.25" customHeight="1">
      <c r="A120" s="2">
        <v>20</v>
      </c>
      <c r="B120" s="2">
        <v>119</v>
      </c>
      <c r="C120" s="2">
        <v>4</v>
      </c>
      <c r="D120" s="2">
        <v>1</v>
      </c>
      <c r="E120" s="2">
        <v>1.0129999999999999</v>
      </c>
      <c r="F120" s="2">
        <v>1</v>
      </c>
    </row>
    <row r="121" spans="1:6" ht="14.25" customHeight="1">
      <c r="A121" s="2">
        <v>20</v>
      </c>
      <c r="B121" s="2">
        <v>120</v>
      </c>
      <c r="C121" s="2">
        <v>2</v>
      </c>
      <c r="D121" s="2">
        <v>1</v>
      </c>
      <c r="E121" s="2">
        <v>0.79300000000000004</v>
      </c>
      <c r="F121" s="2">
        <v>1</v>
      </c>
    </row>
    <row r="122" spans="1:6" ht="14.25" customHeight="1">
      <c r="A122" s="2">
        <v>20</v>
      </c>
      <c r="B122" s="2">
        <v>121</v>
      </c>
      <c r="C122" s="2">
        <v>7</v>
      </c>
      <c r="D122" s="2">
        <v>1</v>
      </c>
      <c r="E122" s="2">
        <v>0.76600000000000001</v>
      </c>
      <c r="F122" s="2">
        <v>1</v>
      </c>
    </row>
    <row r="123" spans="1:6" ht="14.25" customHeight="1">
      <c r="A123" s="2">
        <v>20</v>
      </c>
      <c r="B123" s="2">
        <v>122</v>
      </c>
      <c r="C123" s="2">
        <v>6</v>
      </c>
      <c r="D123" s="2">
        <v>1</v>
      </c>
      <c r="E123" s="2">
        <v>1.1559999999999999</v>
      </c>
      <c r="F123" s="2">
        <v>2</v>
      </c>
    </row>
    <row r="124" spans="1:6" ht="14.25" customHeight="1">
      <c r="A124" s="2">
        <v>20</v>
      </c>
      <c r="B124" s="2">
        <v>123</v>
      </c>
      <c r="C124" s="2">
        <v>7</v>
      </c>
      <c r="D124" s="2">
        <v>1</v>
      </c>
      <c r="E124" s="2">
        <v>1.298</v>
      </c>
      <c r="F124" s="2">
        <v>2</v>
      </c>
    </row>
    <row r="125" spans="1:6" ht="14.25" customHeight="1">
      <c r="A125" s="2">
        <v>20</v>
      </c>
      <c r="B125" s="2">
        <v>124</v>
      </c>
      <c r="C125" s="2">
        <v>5</v>
      </c>
      <c r="D125" s="2">
        <v>1</v>
      </c>
      <c r="E125" s="2">
        <v>0.92200000000000004</v>
      </c>
      <c r="F125" s="2">
        <v>1</v>
      </c>
    </row>
    <row r="126" spans="1:6" ht="14.25" customHeight="1">
      <c r="A126" s="2">
        <v>20</v>
      </c>
      <c r="B126" s="2">
        <v>125</v>
      </c>
      <c r="C126" s="2">
        <v>8</v>
      </c>
      <c r="D126" s="2">
        <v>1</v>
      </c>
      <c r="E126" s="2">
        <v>1.778</v>
      </c>
      <c r="F126" s="2">
        <v>1</v>
      </c>
    </row>
    <row r="127" spans="1:6" ht="14.25" customHeight="1">
      <c r="A127" s="2">
        <v>20</v>
      </c>
      <c r="B127" s="2">
        <v>126</v>
      </c>
      <c r="C127" s="2">
        <v>4</v>
      </c>
      <c r="D127" s="2">
        <v>1</v>
      </c>
      <c r="E127" s="2">
        <v>0.77500000000000002</v>
      </c>
      <c r="F127" s="2">
        <v>1</v>
      </c>
    </row>
    <row r="128" spans="1:6" ht="14.25" customHeight="1">
      <c r="A128" s="2">
        <v>20</v>
      </c>
      <c r="B128" s="2">
        <v>127</v>
      </c>
      <c r="C128" s="2">
        <v>2</v>
      </c>
      <c r="D128" s="2">
        <v>0</v>
      </c>
      <c r="E128" s="2">
        <v>1.645</v>
      </c>
      <c r="F128" s="2">
        <v>1</v>
      </c>
    </row>
    <row r="129" spans="1:6" ht="14.25" customHeight="1">
      <c r="A129" s="2">
        <v>20</v>
      </c>
      <c r="B129" s="2">
        <v>128</v>
      </c>
      <c r="C129" s="2">
        <v>4</v>
      </c>
      <c r="D129" s="2">
        <v>1</v>
      </c>
      <c r="E129" s="2">
        <v>0.76700000000000002</v>
      </c>
      <c r="F129" s="2">
        <v>1</v>
      </c>
    </row>
    <row r="130" spans="1:6" ht="14.25" customHeight="1">
      <c r="A130" s="2">
        <v>20</v>
      </c>
      <c r="B130" s="2">
        <v>129</v>
      </c>
      <c r="C130" s="2">
        <v>1</v>
      </c>
      <c r="D130" s="2">
        <v>1</v>
      </c>
      <c r="E130" s="2">
        <v>0.63</v>
      </c>
      <c r="F130" s="2">
        <v>1</v>
      </c>
    </row>
    <row r="131" spans="1:6" ht="14.25" customHeight="1">
      <c r="A131" s="2">
        <v>20</v>
      </c>
      <c r="B131" s="2">
        <v>130</v>
      </c>
      <c r="C131" s="2">
        <v>3</v>
      </c>
      <c r="D131" s="2">
        <v>1</v>
      </c>
      <c r="E131" s="2">
        <v>0.68</v>
      </c>
      <c r="F131" s="2">
        <v>1</v>
      </c>
    </row>
    <row r="132" spans="1:6" ht="14.25" customHeight="1">
      <c r="A132" s="2">
        <v>20</v>
      </c>
      <c r="B132" s="2">
        <v>131</v>
      </c>
      <c r="C132" s="2">
        <v>6</v>
      </c>
      <c r="D132" s="2">
        <v>1</v>
      </c>
      <c r="E132" s="2">
        <v>1.018</v>
      </c>
      <c r="F132" s="2">
        <v>2</v>
      </c>
    </row>
    <row r="133" spans="1:6" ht="14.25" customHeight="1">
      <c r="A133" s="2">
        <v>20</v>
      </c>
      <c r="B133" s="2">
        <v>132</v>
      </c>
      <c r="C133" s="2">
        <v>2</v>
      </c>
      <c r="D133" s="2">
        <v>1</v>
      </c>
      <c r="E133" s="2">
        <v>1.31</v>
      </c>
      <c r="F133" s="2">
        <v>2</v>
      </c>
    </row>
    <row r="134" spans="1:6" ht="14.25" customHeight="1">
      <c r="A134" s="2">
        <v>20</v>
      </c>
      <c r="B134" s="2">
        <v>133</v>
      </c>
      <c r="C134" s="2">
        <v>5</v>
      </c>
      <c r="D134" s="2">
        <v>1</v>
      </c>
      <c r="E134" s="2">
        <v>1.1739999999999999</v>
      </c>
      <c r="F134" s="2">
        <v>2</v>
      </c>
    </row>
    <row r="135" spans="1:6" ht="14.25" customHeight="1">
      <c r="A135" s="2">
        <v>20</v>
      </c>
      <c r="B135" s="2">
        <v>134</v>
      </c>
      <c r="C135" s="2">
        <v>7</v>
      </c>
      <c r="D135" s="2">
        <v>1</v>
      </c>
      <c r="E135" s="2">
        <v>0.57099999999999995</v>
      </c>
      <c r="F135" s="2">
        <v>1</v>
      </c>
    </row>
    <row r="136" spans="1:6" ht="14.25" customHeight="1">
      <c r="A136" s="2">
        <v>20</v>
      </c>
      <c r="B136" s="2">
        <v>135</v>
      </c>
      <c r="C136" s="2">
        <v>3</v>
      </c>
      <c r="D136" s="2">
        <v>1</v>
      </c>
      <c r="E136" s="2">
        <v>0.92900000000000005</v>
      </c>
      <c r="F136" s="2">
        <v>2</v>
      </c>
    </row>
    <row r="137" spans="1:6" ht="14.25" customHeight="1">
      <c r="A137" s="2">
        <v>20</v>
      </c>
      <c r="B137" s="2">
        <v>136</v>
      </c>
      <c r="C137" s="2">
        <v>4</v>
      </c>
      <c r="D137" s="2">
        <v>1</v>
      </c>
      <c r="E137" s="2">
        <v>1.224</v>
      </c>
      <c r="F137" s="2">
        <v>2</v>
      </c>
    </row>
    <row r="138" spans="1:6" ht="14.25" customHeight="1">
      <c r="A138" s="2">
        <v>20</v>
      </c>
      <c r="B138" s="2">
        <v>137</v>
      </c>
      <c r="C138" s="2">
        <v>8</v>
      </c>
      <c r="D138" s="2">
        <v>1</v>
      </c>
      <c r="E138" s="2">
        <v>1.1870000000000001</v>
      </c>
      <c r="F138" s="2">
        <v>2</v>
      </c>
    </row>
    <row r="139" spans="1:6" ht="14.25" customHeight="1">
      <c r="A139" s="2">
        <v>20</v>
      </c>
      <c r="B139" s="2">
        <v>138</v>
      </c>
      <c r="C139" s="2">
        <v>7</v>
      </c>
      <c r="D139" s="2">
        <v>1</v>
      </c>
      <c r="E139" s="2">
        <v>1.1439999999999999</v>
      </c>
      <c r="F139" s="2">
        <v>1</v>
      </c>
    </row>
    <row r="140" spans="1:6" ht="14.25" customHeight="1">
      <c r="A140" s="2">
        <v>20</v>
      </c>
      <c r="B140" s="2">
        <v>139</v>
      </c>
      <c r="C140" s="2">
        <v>1</v>
      </c>
      <c r="D140" s="2">
        <v>1</v>
      </c>
      <c r="E140" s="2">
        <v>0.82299999999999995</v>
      </c>
      <c r="F140" s="2">
        <v>2</v>
      </c>
    </row>
    <row r="141" spans="1:6" ht="14.25" customHeight="1">
      <c r="A141" s="2">
        <v>20</v>
      </c>
      <c r="B141" s="2">
        <v>140</v>
      </c>
      <c r="C141" s="2">
        <v>7</v>
      </c>
      <c r="D141" s="2">
        <v>1</v>
      </c>
      <c r="E141" s="2">
        <v>1.498</v>
      </c>
      <c r="F141" s="2">
        <v>1</v>
      </c>
    </row>
    <row r="142" spans="1:6" ht="14.25" customHeight="1">
      <c r="A142" s="2">
        <v>20</v>
      </c>
      <c r="B142" s="2">
        <v>141</v>
      </c>
      <c r="C142" s="2">
        <v>1</v>
      </c>
      <c r="D142" s="2">
        <v>1</v>
      </c>
      <c r="E142" s="2">
        <v>1.395</v>
      </c>
      <c r="F142" s="2">
        <v>1</v>
      </c>
    </row>
    <row r="143" spans="1:6" ht="14.25" customHeight="1">
      <c r="A143" s="2">
        <v>20</v>
      </c>
      <c r="B143" s="2">
        <v>142</v>
      </c>
      <c r="C143" s="2">
        <v>8</v>
      </c>
      <c r="D143" s="2">
        <v>1</v>
      </c>
      <c r="E143" s="2">
        <v>0.71899999999999997</v>
      </c>
      <c r="F143" s="2">
        <v>2</v>
      </c>
    </row>
    <row r="144" spans="1:6" ht="14.25" customHeight="1">
      <c r="A144" s="2">
        <v>20</v>
      </c>
      <c r="B144" s="2">
        <v>143</v>
      </c>
      <c r="C144" s="2">
        <v>3</v>
      </c>
      <c r="D144" s="2">
        <v>1</v>
      </c>
      <c r="E144" s="2">
        <v>1.0229999999999999</v>
      </c>
      <c r="F144" s="2">
        <v>1</v>
      </c>
    </row>
    <row r="145" spans="1:6" ht="14.25" customHeight="1">
      <c r="A145" s="2">
        <v>20</v>
      </c>
      <c r="B145" s="2">
        <v>144</v>
      </c>
      <c r="C145" s="2">
        <v>1</v>
      </c>
      <c r="D145" s="2">
        <v>1</v>
      </c>
      <c r="E145" s="2">
        <v>0.81</v>
      </c>
      <c r="F145" s="2">
        <v>1</v>
      </c>
    </row>
    <row r="146" spans="1:6" ht="14.25" customHeight="1">
      <c r="A146" s="2">
        <v>20</v>
      </c>
      <c r="B146" s="2">
        <v>145</v>
      </c>
      <c r="C146" s="2">
        <v>7</v>
      </c>
      <c r="D146" s="2">
        <v>1</v>
      </c>
      <c r="E146" s="2">
        <v>0.79</v>
      </c>
      <c r="F146" s="2">
        <v>2</v>
      </c>
    </row>
    <row r="147" spans="1:6" ht="14.25" customHeight="1">
      <c r="A147" s="2">
        <v>20</v>
      </c>
      <c r="B147" s="2">
        <v>146</v>
      </c>
      <c r="C147" s="2">
        <v>4</v>
      </c>
      <c r="D147" s="2">
        <v>1</v>
      </c>
      <c r="E147" s="2">
        <v>0.73799999999999999</v>
      </c>
      <c r="F147" s="2">
        <v>2</v>
      </c>
    </row>
    <row r="148" spans="1:6" ht="14.25" customHeight="1">
      <c r="A148" s="2">
        <v>20</v>
      </c>
      <c r="B148" s="2">
        <v>147</v>
      </c>
      <c r="C148" s="2">
        <v>8</v>
      </c>
      <c r="D148" s="2">
        <v>1</v>
      </c>
      <c r="E148" s="2">
        <v>0.76900000000000002</v>
      </c>
      <c r="F148" s="2">
        <v>1</v>
      </c>
    </row>
    <row r="149" spans="1:6" ht="14.25" customHeight="1">
      <c r="A149" s="2">
        <v>20</v>
      </c>
      <c r="B149" s="2">
        <v>148</v>
      </c>
      <c r="C149" s="2">
        <v>7</v>
      </c>
      <c r="D149" s="2">
        <v>1</v>
      </c>
      <c r="E149" s="2">
        <v>0.91</v>
      </c>
      <c r="F149" s="2">
        <v>2</v>
      </c>
    </row>
    <row r="150" spans="1:6" ht="14.25" customHeight="1">
      <c r="A150" s="2">
        <v>20</v>
      </c>
      <c r="B150" s="2">
        <v>149</v>
      </c>
      <c r="C150" s="2">
        <v>5</v>
      </c>
      <c r="D150" s="2">
        <v>1</v>
      </c>
      <c r="E150" s="2">
        <v>1.1100000000000001</v>
      </c>
      <c r="F150" s="2">
        <v>2</v>
      </c>
    </row>
    <row r="151" spans="1:6" ht="14.25" customHeight="1">
      <c r="A151" s="2">
        <v>20</v>
      </c>
      <c r="B151" s="2">
        <v>150</v>
      </c>
      <c r="C151" s="2">
        <v>4</v>
      </c>
      <c r="D151" s="2">
        <v>1</v>
      </c>
      <c r="E151" s="2">
        <v>1.367</v>
      </c>
      <c r="F151" s="2">
        <v>1</v>
      </c>
    </row>
    <row r="152" spans="1:6" ht="14.25" customHeight="1">
      <c r="A152" s="2">
        <v>20</v>
      </c>
      <c r="B152" s="2">
        <v>151</v>
      </c>
      <c r="C152" s="2">
        <v>4</v>
      </c>
      <c r="D152" s="2">
        <v>1</v>
      </c>
      <c r="E152" s="2">
        <v>1.4830000000000001</v>
      </c>
      <c r="F152" s="2">
        <v>2</v>
      </c>
    </row>
    <row r="153" spans="1:6" ht="14.25" customHeight="1">
      <c r="A153" s="2">
        <v>20</v>
      </c>
      <c r="B153" s="2">
        <v>152</v>
      </c>
      <c r="C153" s="2">
        <v>8</v>
      </c>
      <c r="D153" s="2">
        <v>1</v>
      </c>
      <c r="E153" s="2">
        <v>1.1879999999999999</v>
      </c>
      <c r="F153" s="2">
        <v>2</v>
      </c>
    </row>
    <row r="154" spans="1:6" ht="14.25" customHeight="1">
      <c r="A154" s="2">
        <v>20</v>
      </c>
      <c r="B154" s="2">
        <v>153</v>
      </c>
      <c r="C154" s="2">
        <v>3</v>
      </c>
      <c r="D154" s="2">
        <v>1</v>
      </c>
      <c r="E154" s="2">
        <v>1.1619999999999999</v>
      </c>
      <c r="F154" s="2">
        <v>1</v>
      </c>
    </row>
    <row r="155" spans="1:6" ht="14.25" customHeight="1">
      <c r="A155" s="2">
        <v>20</v>
      </c>
      <c r="B155" s="2">
        <v>154</v>
      </c>
      <c r="C155" s="2">
        <v>6</v>
      </c>
      <c r="D155" s="2">
        <v>1</v>
      </c>
      <c r="E155" s="2">
        <v>0.73499999999999999</v>
      </c>
      <c r="F155" s="2">
        <v>2</v>
      </c>
    </row>
    <row r="156" spans="1:6" ht="14.25" customHeight="1">
      <c r="A156" s="2">
        <v>20</v>
      </c>
      <c r="B156" s="2">
        <v>155</v>
      </c>
      <c r="C156" s="2">
        <v>5</v>
      </c>
      <c r="D156" s="2">
        <v>1</v>
      </c>
      <c r="E156" s="2">
        <v>1.07</v>
      </c>
      <c r="F156" s="2">
        <v>1</v>
      </c>
    </row>
    <row r="157" spans="1:6" ht="14.25" customHeight="1">
      <c r="A157" s="2">
        <v>20</v>
      </c>
      <c r="B157" s="2">
        <v>156</v>
      </c>
      <c r="C157" s="2">
        <v>4</v>
      </c>
      <c r="D157" s="2">
        <v>1</v>
      </c>
      <c r="E157" s="2">
        <v>0.91900000000000004</v>
      </c>
      <c r="F157" s="2">
        <v>1</v>
      </c>
    </row>
    <row r="158" spans="1:6" ht="14.25" customHeight="1">
      <c r="A158" s="2">
        <v>20</v>
      </c>
      <c r="B158" s="2">
        <v>157</v>
      </c>
      <c r="C158" s="2">
        <v>7</v>
      </c>
      <c r="D158" s="2">
        <v>1</v>
      </c>
      <c r="E158" s="2">
        <v>0.83899999999999997</v>
      </c>
      <c r="F158" s="2">
        <v>2</v>
      </c>
    </row>
    <row r="159" spans="1:6" ht="14.25" customHeight="1">
      <c r="A159" s="2">
        <v>20</v>
      </c>
      <c r="B159" s="2">
        <v>158</v>
      </c>
      <c r="C159" s="2">
        <v>6</v>
      </c>
      <c r="D159" s="2">
        <v>1</v>
      </c>
      <c r="E159" s="2">
        <v>0.88900000000000001</v>
      </c>
      <c r="F159" s="2">
        <v>1</v>
      </c>
    </row>
    <row r="160" spans="1:6" ht="14.25" customHeight="1">
      <c r="A160" s="2">
        <v>20</v>
      </c>
      <c r="B160" s="2">
        <v>159</v>
      </c>
      <c r="C160" s="2">
        <v>3</v>
      </c>
      <c r="D160" s="2">
        <v>1</v>
      </c>
      <c r="E160" s="2">
        <v>1.1539999999999999</v>
      </c>
      <c r="F160" s="2">
        <v>2</v>
      </c>
    </row>
    <row r="161" spans="1:6" ht="14.25" customHeight="1">
      <c r="A161" s="2">
        <v>20</v>
      </c>
      <c r="B161" s="2">
        <v>160</v>
      </c>
      <c r="C161" s="2">
        <v>5</v>
      </c>
      <c r="D161" s="2">
        <v>1</v>
      </c>
      <c r="E161" s="2">
        <v>0.77600000000000002</v>
      </c>
      <c r="F161" s="2">
        <v>1</v>
      </c>
    </row>
    <row r="162" spans="1:6" ht="14.25" customHeight="1">
      <c r="A162" s="2">
        <v>20</v>
      </c>
      <c r="B162" s="2">
        <v>161</v>
      </c>
      <c r="C162" s="2">
        <v>3</v>
      </c>
      <c r="D162" s="2">
        <v>1</v>
      </c>
      <c r="E162" s="2">
        <v>0.83699999999999997</v>
      </c>
      <c r="F162" s="2">
        <v>1</v>
      </c>
    </row>
    <row r="163" spans="1:6" ht="14.25" customHeight="1">
      <c r="A163" s="2">
        <v>20</v>
      </c>
      <c r="B163" s="2">
        <v>162</v>
      </c>
      <c r="C163" s="2">
        <v>1</v>
      </c>
      <c r="D163" s="2">
        <v>1</v>
      </c>
      <c r="E163" s="2">
        <v>1.2629999999999999</v>
      </c>
      <c r="F163" s="2">
        <v>1</v>
      </c>
    </row>
    <row r="164" spans="1:6" ht="14.25" customHeight="1">
      <c r="A164" s="2">
        <v>20</v>
      </c>
      <c r="B164" s="2">
        <v>163</v>
      </c>
      <c r="C164" s="2">
        <v>7</v>
      </c>
      <c r="D164" s="2">
        <v>1</v>
      </c>
      <c r="E164" s="2">
        <v>0.85699999999999998</v>
      </c>
      <c r="F164" s="2">
        <v>2</v>
      </c>
    </row>
    <row r="165" spans="1:6" ht="14.25" customHeight="1">
      <c r="A165" s="2">
        <v>20</v>
      </c>
      <c r="B165" s="2">
        <v>164</v>
      </c>
      <c r="C165" s="2">
        <v>6</v>
      </c>
      <c r="D165" s="2">
        <v>1</v>
      </c>
      <c r="E165" s="2">
        <v>0.85199999999999998</v>
      </c>
      <c r="F165" s="2">
        <v>2</v>
      </c>
    </row>
    <row r="166" spans="1:6" ht="14.25" customHeight="1">
      <c r="A166" s="2">
        <v>20</v>
      </c>
      <c r="B166" s="2">
        <v>165</v>
      </c>
      <c r="C166" s="2">
        <v>1</v>
      </c>
      <c r="D166" s="2">
        <v>1</v>
      </c>
      <c r="E166" s="2">
        <v>0.73299999999999998</v>
      </c>
      <c r="F166" s="2">
        <v>1</v>
      </c>
    </row>
    <row r="167" spans="1:6" ht="14.25" customHeight="1">
      <c r="A167" s="2">
        <v>20</v>
      </c>
      <c r="B167" s="2">
        <v>166</v>
      </c>
      <c r="C167" s="2">
        <v>2</v>
      </c>
      <c r="D167" s="2">
        <v>1</v>
      </c>
      <c r="E167" s="2">
        <v>0.78100000000000003</v>
      </c>
      <c r="F167" s="2">
        <v>1</v>
      </c>
    </row>
    <row r="168" spans="1:6" ht="14.25" customHeight="1">
      <c r="A168" s="2">
        <v>20</v>
      </c>
      <c r="B168" s="2">
        <v>167</v>
      </c>
      <c r="C168" s="2">
        <v>6</v>
      </c>
      <c r="D168" s="2">
        <v>1</v>
      </c>
      <c r="E168" s="2">
        <v>0.71399999999999997</v>
      </c>
      <c r="F168" s="2">
        <v>2</v>
      </c>
    </row>
    <row r="169" spans="1:6" ht="14.25" customHeight="1">
      <c r="A169" s="2">
        <v>20</v>
      </c>
      <c r="B169" s="2">
        <v>168</v>
      </c>
      <c r="C169" s="2">
        <v>4</v>
      </c>
      <c r="D169" s="2">
        <v>1</v>
      </c>
      <c r="E169" s="2">
        <v>0.626</v>
      </c>
      <c r="F169" s="2">
        <v>2</v>
      </c>
    </row>
    <row r="170" spans="1:6" ht="14.25" customHeight="1">
      <c r="A170" s="2">
        <v>20</v>
      </c>
      <c r="B170" s="2">
        <v>169</v>
      </c>
      <c r="C170" s="2">
        <v>8</v>
      </c>
      <c r="D170" s="2">
        <v>1</v>
      </c>
      <c r="E170" s="2">
        <v>0.93300000000000005</v>
      </c>
      <c r="F170" s="2">
        <v>1</v>
      </c>
    </row>
    <row r="171" spans="1:6" ht="14.25" customHeight="1">
      <c r="A171" s="2">
        <v>20</v>
      </c>
      <c r="B171" s="2">
        <v>170</v>
      </c>
      <c r="C171" s="2">
        <v>5</v>
      </c>
      <c r="D171" s="2">
        <v>0</v>
      </c>
      <c r="E171" s="2">
        <v>0.82899999999999996</v>
      </c>
      <c r="F171" s="2">
        <v>2</v>
      </c>
    </row>
    <row r="172" spans="1:6" ht="14.25" customHeight="1">
      <c r="A172" s="2">
        <v>20</v>
      </c>
      <c r="B172" s="2">
        <v>171</v>
      </c>
      <c r="C172" s="2">
        <v>4</v>
      </c>
      <c r="D172" s="2">
        <v>1</v>
      </c>
      <c r="E172" s="2">
        <v>0.67200000000000004</v>
      </c>
      <c r="F172" s="2">
        <v>1</v>
      </c>
    </row>
    <row r="173" spans="1:6" ht="14.25" customHeight="1">
      <c r="A173" s="2">
        <v>20</v>
      </c>
      <c r="B173" s="2">
        <v>172</v>
      </c>
      <c r="C173" s="2">
        <v>2</v>
      </c>
      <c r="D173" s="2">
        <v>1</v>
      </c>
      <c r="E173" s="2">
        <v>0.82499999999999996</v>
      </c>
      <c r="F173" s="2">
        <v>2</v>
      </c>
    </row>
    <row r="174" spans="1:6" ht="14.25" customHeight="1">
      <c r="A174" s="2">
        <v>20</v>
      </c>
      <c r="B174" s="2">
        <v>173</v>
      </c>
      <c r="C174" s="2">
        <v>8</v>
      </c>
      <c r="D174" s="2">
        <v>1</v>
      </c>
      <c r="E174" s="2">
        <v>0.79700000000000004</v>
      </c>
      <c r="F174" s="2">
        <v>2</v>
      </c>
    </row>
    <row r="175" spans="1:6" ht="14.25" customHeight="1">
      <c r="A175" s="2">
        <v>20</v>
      </c>
      <c r="B175" s="2">
        <v>174</v>
      </c>
      <c r="C175" s="2">
        <v>4</v>
      </c>
      <c r="D175" s="2">
        <v>1</v>
      </c>
      <c r="E175" s="2">
        <v>0.96099999999999997</v>
      </c>
      <c r="F175" s="2">
        <v>1</v>
      </c>
    </row>
    <row r="176" spans="1:6" ht="14.25" customHeight="1">
      <c r="A176" s="2">
        <v>20</v>
      </c>
      <c r="B176" s="2">
        <v>175</v>
      </c>
      <c r="C176" s="2">
        <v>1</v>
      </c>
      <c r="D176" s="2">
        <v>1</v>
      </c>
      <c r="E176" s="2">
        <v>0.91100000000000003</v>
      </c>
      <c r="F176" s="2">
        <v>1</v>
      </c>
    </row>
    <row r="177" spans="1:6" ht="14.25" customHeight="1">
      <c r="A177" s="2">
        <v>20</v>
      </c>
      <c r="B177" s="2">
        <v>176</v>
      </c>
      <c r="C177" s="2">
        <v>5</v>
      </c>
      <c r="D177" s="2">
        <v>1</v>
      </c>
      <c r="E177" s="2">
        <v>0.92700000000000005</v>
      </c>
      <c r="F177" s="2">
        <v>1</v>
      </c>
    </row>
    <row r="178" spans="1:6" ht="14.25" customHeight="1">
      <c r="A178" s="2">
        <v>20</v>
      </c>
      <c r="B178" s="2">
        <v>177</v>
      </c>
      <c r="C178" s="2">
        <v>2</v>
      </c>
      <c r="D178" s="2">
        <v>0</v>
      </c>
      <c r="E178" s="2">
        <v>1.5669999999999999</v>
      </c>
      <c r="F178" s="2">
        <v>1</v>
      </c>
    </row>
    <row r="179" spans="1:6" ht="14.25" customHeight="1">
      <c r="A179" s="2">
        <v>20</v>
      </c>
      <c r="B179" s="2">
        <v>178</v>
      </c>
      <c r="C179" s="2">
        <v>4</v>
      </c>
      <c r="D179" s="2">
        <v>1</v>
      </c>
      <c r="E179" s="2">
        <v>0.66900000000000004</v>
      </c>
      <c r="F179" s="2">
        <v>1</v>
      </c>
    </row>
    <row r="180" spans="1:6" ht="14.25" customHeight="1">
      <c r="A180" s="2">
        <v>20</v>
      </c>
      <c r="B180" s="2">
        <v>179</v>
      </c>
      <c r="C180" s="2">
        <v>7</v>
      </c>
      <c r="D180" s="2">
        <v>1</v>
      </c>
      <c r="E180" s="2">
        <v>0.71</v>
      </c>
      <c r="F180" s="2">
        <v>1</v>
      </c>
    </row>
    <row r="181" spans="1:6" ht="14.25" customHeight="1">
      <c r="A181" s="2">
        <v>20</v>
      </c>
      <c r="B181" s="2">
        <v>180</v>
      </c>
      <c r="C181" s="2">
        <v>2</v>
      </c>
      <c r="D181" s="2">
        <v>1</v>
      </c>
      <c r="E181" s="2">
        <v>0.95799999999999996</v>
      </c>
      <c r="F181" s="2">
        <v>1</v>
      </c>
    </row>
    <row r="182" spans="1:6" ht="14.25" customHeight="1">
      <c r="A182" s="2">
        <v>20</v>
      </c>
      <c r="B182" s="2">
        <v>181</v>
      </c>
      <c r="C182" s="2">
        <v>8</v>
      </c>
      <c r="D182" s="2">
        <v>1</v>
      </c>
      <c r="E182" s="2">
        <v>0.85199999999999998</v>
      </c>
      <c r="F182" s="2">
        <v>2</v>
      </c>
    </row>
    <row r="183" spans="1:6" ht="14.25" customHeight="1">
      <c r="A183" s="2">
        <v>20</v>
      </c>
      <c r="B183" s="2">
        <v>182</v>
      </c>
      <c r="C183" s="2">
        <v>6</v>
      </c>
      <c r="D183" s="2">
        <v>0</v>
      </c>
      <c r="E183" s="2">
        <v>1.2210000000000001</v>
      </c>
      <c r="F183" s="2">
        <v>1</v>
      </c>
    </row>
    <row r="184" spans="1:6" ht="14.25" customHeight="1">
      <c r="A184" s="2">
        <v>20</v>
      </c>
      <c r="B184" s="2">
        <v>183</v>
      </c>
      <c r="C184" s="2">
        <v>7</v>
      </c>
      <c r="D184" s="2">
        <v>1</v>
      </c>
      <c r="E184" s="2">
        <v>1.113</v>
      </c>
      <c r="F184" s="2">
        <v>2</v>
      </c>
    </row>
    <row r="185" spans="1:6" ht="14.25" customHeight="1">
      <c r="A185" s="2">
        <v>20</v>
      </c>
      <c r="B185" s="2">
        <v>184</v>
      </c>
      <c r="C185" s="2">
        <v>3</v>
      </c>
      <c r="D185" s="2">
        <v>1</v>
      </c>
      <c r="E185" s="2">
        <v>0.72899999999999998</v>
      </c>
      <c r="F185" s="2">
        <v>1</v>
      </c>
    </row>
    <row r="186" spans="1:6" ht="14.25" customHeight="1">
      <c r="A186" s="2">
        <v>20</v>
      </c>
      <c r="B186" s="2">
        <v>185</v>
      </c>
      <c r="C186" s="2">
        <v>7</v>
      </c>
      <c r="D186" s="2">
        <v>1</v>
      </c>
      <c r="E186" s="2">
        <v>0.81699999999999995</v>
      </c>
      <c r="F186" s="2">
        <v>2</v>
      </c>
    </row>
    <row r="187" spans="1:6" ht="14.25" customHeight="1">
      <c r="A187" s="2">
        <v>20</v>
      </c>
      <c r="B187" s="2">
        <v>186</v>
      </c>
      <c r="C187" s="2">
        <v>2</v>
      </c>
      <c r="D187" s="2">
        <v>1</v>
      </c>
      <c r="E187" s="2">
        <v>1.109</v>
      </c>
      <c r="F187" s="2">
        <v>2</v>
      </c>
    </row>
    <row r="188" spans="1:6" ht="14.25" customHeight="1">
      <c r="A188" s="2">
        <v>20</v>
      </c>
      <c r="B188" s="2">
        <v>187</v>
      </c>
      <c r="C188" s="2">
        <v>1</v>
      </c>
      <c r="D188" s="2">
        <v>1</v>
      </c>
      <c r="E188" s="2">
        <v>0.84499999999999997</v>
      </c>
      <c r="F188" s="2">
        <v>2</v>
      </c>
    </row>
    <row r="189" spans="1:6" ht="14.25" customHeight="1">
      <c r="A189" s="2">
        <v>20</v>
      </c>
      <c r="B189" s="2">
        <v>188</v>
      </c>
      <c r="C189" s="2">
        <v>6</v>
      </c>
      <c r="D189" s="2">
        <v>1</v>
      </c>
      <c r="E189" s="2">
        <v>0.83899999999999997</v>
      </c>
      <c r="F189" s="2">
        <v>1</v>
      </c>
    </row>
    <row r="190" spans="1:6" ht="14.25" customHeight="1">
      <c r="A190" s="2">
        <v>20</v>
      </c>
      <c r="B190" s="2">
        <v>189</v>
      </c>
      <c r="C190" s="2">
        <v>8</v>
      </c>
      <c r="D190" s="2">
        <v>1</v>
      </c>
      <c r="E190" s="2">
        <v>0.746</v>
      </c>
      <c r="F190" s="2">
        <v>2</v>
      </c>
    </row>
    <row r="191" spans="1:6" ht="14.25" customHeight="1">
      <c r="A191" s="2">
        <v>20</v>
      </c>
      <c r="B191" s="2">
        <v>190</v>
      </c>
      <c r="C191" s="2">
        <v>5</v>
      </c>
      <c r="D191" s="2">
        <v>1</v>
      </c>
      <c r="E191" s="2">
        <v>0.72</v>
      </c>
      <c r="F191" s="2">
        <v>1</v>
      </c>
    </row>
    <row r="192" spans="1:6" ht="14.25" customHeight="1">
      <c r="A192" s="2">
        <v>20</v>
      </c>
      <c r="B192" s="2">
        <v>191</v>
      </c>
      <c r="C192" s="2">
        <v>8</v>
      </c>
      <c r="D192" s="2">
        <v>0</v>
      </c>
      <c r="E192" s="2">
        <v>0.97599999999999998</v>
      </c>
      <c r="F192" s="2">
        <v>2</v>
      </c>
    </row>
    <row r="193" spans="1:6" ht="14.25" customHeight="1">
      <c r="A193" s="2">
        <v>20</v>
      </c>
      <c r="B193" s="2">
        <v>192</v>
      </c>
      <c r="C193" s="2">
        <v>1</v>
      </c>
      <c r="D193" s="2">
        <v>1</v>
      </c>
      <c r="E193" s="2">
        <v>0.91</v>
      </c>
      <c r="F193" s="2">
        <v>2</v>
      </c>
    </row>
    <row r="194" spans="1:6" ht="14.25" customHeight="1">
      <c r="A194" s="2">
        <v>20</v>
      </c>
      <c r="B194" s="2">
        <v>193</v>
      </c>
      <c r="C194" s="2">
        <v>3</v>
      </c>
      <c r="D194" s="2">
        <v>1</v>
      </c>
      <c r="E194" s="2">
        <v>1.077</v>
      </c>
      <c r="F194" s="2">
        <v>1</v>
      </c>
    </row>
    <row r="195" spans="1:6" ht="14.25" customHeight="1">
      <c r="A195" s="2">
        <v>20</v>
      </c>
      <c r="B195" s="2">
        <v>194</v>
      </c>
      <c r="C195" s="2">
        <v>8</v>
      </c>
      <c r="D195" s="2">
        <v>1</v>
      </c>
      <c r="E195" s="2">
        <v>0.95099999999999996</v>
      </c>
      <c r="F195" s="2">
        <v>1</v>
      </c>
    </row>
    <row r="196" spans="1:6" ht="14.25" customHeight="1">
      <c r="A196" s="2">
        <v>20</v>
      </c>
      <c r="B196" s="2">
        <v>195</v>
      </c>
      <c r="C196" s="2">
        <v>7</v>
      </c>
      <c r="D196" s="2">
        <v>1</v>
      </c>
      <c r="E196" s="2">
        <v>0.90900000000000003</v>
      </c>
      <c r="F196" s="2">
        <v>2</v>
      </c>
    </row>
    <row r="197" spans="1:6" ht="14.25" customHeight="1">
      <c r="A197" s="2">
        <v>20</v>
      </c>
      <c r="B197" s="2">
        <v>196</v>
      </c>
      <c r="C197" s="2">
        <v>5</v>
      </c>
      <c r="D197" s="2">
        <v>1</v>
      </c>
      <c r="E197" s="2">
        <v>1.4370000000000001</v>
      </c>
      <c r="F197" s="2">
        <v>2</v>
      </c>
    </row>
    <row r="198" spans="1:6" ht="14.25" customHeight="1">
      <c r="A198" s="2">
        <v>20</v>
      </c>
      <c r="B198" s="2">
        <v>197</v>
      </c>
      <c r="C198" s="2">
        <v>7</v>
      </c>
      <c r="D198" s="2">
        <v>1</v>
      </c>
      <c r="E198" s="2">
        <v>0.79200000000000004</v>
      </c>
      <c r="F198" s="2">
        <v>1</v>
      </c>
    </row>
    <row r="199" spans="1:6" ht="14.25" customHeight="1">
      <c r="A199" s="2">
        <v>20</v>
      </c>
      <c r="B199" s="2">
        <v>198</v>
      </c>
      <c r="C199" s="2">
        <v>2</v>
      </c>
      <c r="D199" s="2">
        <v>1</v>
      </c>
      <c r="E199" s="2">
        <v>0.85199999999999998</v>
      </c>
      <c r="F199" s="2">
        <v>2</v>
      </c>
    </row>
    <row r="200" spans="1:6" ht="14.25" customHeight="1">
      <c r="A200" s="2">
        <v>20</v>
      </c>
      <c r="B200" s="2">
        <v>199</v>
      </c>
      <c r="C200" s="2">
        <v>1</v>
      </c>
      <c r="D200" s="2">
        <v>0</v>
      </c>
      <c r="E200" s="2">
        <v>0.79800000000000004</v>
      </c>
      <c r="F200" s="2">
        <v>1</v>
      </c>
    </row>
    <row r="201" spans="1:6" ht="14.25" customHeight="1">
      <c r="A201" s="2">
        <v>20</v>
      </c>
      <c r="B201" s="2">
        <v>200</v>
      </c>
      <c r="C201" s="2">
        <v>3</v>
      </c>
      <c r="D201" s="2">
        <v>1</v>
      </c>
      <c r="E201" s="2">
        <v>0.88300000000000001</v>
      </c>
      <c r="F201" s="2">
        <v>1</v>
      </c>
    </row>
    <row r="202" spans="1:6" ht="14.25" customHeight="1">
      <c r="A202" s="2">
        <v>20</v>
      </c>
      <c r="B202" s="2">
        <v>201</v>
      </c>
      <c r="C202" s="2">
        <v>6</v>
      </c>
      <c r="D202" s="2">
        <v>1</v>
      </c>
      <c r="E202" s="2">
        <v>1.0349999999999999</v>
      </c>
    </row>
    <row r="203" spans="1:6" ht="14.25" customHeight="1">
      <c r="A203" s="2">
        <v>20</v>
      </c>
      <c r="B203" s="2">
        <v>202</v>
      </c>
      <c r="C203" s="2">
        <v>3</v>
      </c>
      <c r="D203" s="2">
        <v>1</v>
      </c>
      <c r="E203" s="2">
        <v>1.03</v>
      </c>
    </row>
    <row r="204" spans="1:6" ht="14.25" customHeight="1">
      <c r="A204" s="2">
        <v>20</v>
      </c>
      <c r="B204" s="2">
        <v>203</v>
      </c>
      <c r="C204" s="2">
        <v>7</v>
      </c>
      <c r="D204" s="2">
        <v>1</v>
      </c>
      <c r="E204" s="2">
        <v>0.84899999999999998</v>
      </c>
    </row>
    <row r="205" spans="1:6" ht="14.25" customHeight="1">
      <c r="A205" s="2">
        <v>20</v>
      </c>
      <c r="B205" s="2">
        <v>204</v>
      </c>
      <c r="C205" s="2">
        <v>3</v>
      </c>
      <c r="D205" s="2">
        <v>1</v>
      </c>
      <c r="E205" s="2">
        <v>1.2270000000000001</v>
      </c>
    </row>
    <row r="206" spans="1:6" ht="14.25" customHeight="1">
      <c r="A206" s="2">
        <v>20</v>
      </c>
      <c r="B206" s="2">
        <v>205</v>
      </c>
      <c r="C206" s="2">
        <v>1</v>
      </c>
      <c r="D206" s="2">
        <v>1</v>
      </c>
      <c r="E206" s="2">
        <v>0.81499999999999995</v>
      </c>
    </row>
    <row r="207" spans="1:6" ht="14.25" customHeight="1">
      <c r="A207" s="2">
        <v>20</v>
      </c>
      <c r="B207" s="2">
        <v>206</v>
      </c>
      <c r="C207" s="2">
        <v>5</v>
      </c>
      <c r="D207" s="2">
        <v>1</v>
      </c>
      <c r="E207" s="2">
        <v>0.77</v>
      </c>
    </row>
    <row r="208" spans="1:6" ht="14.25" customHeight="1">
      <c r="A208" s="2">
        <v>20</v>
      </c>
      <c r="B208" s="2">
        <v>207</v>
      </c>
      <c r="C208" s="2">
        <v>6</v>
      </c>
      <c r="D208" s="2">
        <v>1</v>
      </c>
      <c r="E208" s="2">
        <v>0.72</v>
      </c>
    </row>
    <row r="209" spans="1:5" ht="14.25" customHeight="1">
      <c r="A209" s="2">
        <v>20</v>
      </c>
      <c r="B209" s="2">
        <v>208</v>
      </c>
      <c r="C209" s="2">
        <v>4</v>
      </c>
      <c r="D209" s="2">
        <v>1</v>
      </c>
      <c r="E209" s="2">
        <v>0.72699999999999998</v>
      </c>
    </row>
    <row r="210" spans="1:5" ht="14.25" customHeight="1">
      <c r="A210" s="2">
        <v>20</v>
      </c>
      <c r="B210" s="2">
        <v>209</v>
      </c>
      <c r="C210" s="2">
        <v>6</v>
      </c>
      <c r="D210" s="2">
        <v>1</v>
      </c>
      <c r="E210" s="2">
        <v>0.879</v>
      </c>
    </row>
    <row r="211" spans="1:5" ht="14.25" customHeight="1">
      <c r="A211" s="2">
        <v>20</v>
      </c>
      <c r="B211" s="2">
        <v>210</v>
      </c>
      <c r="C211" s="2">
        <v>7</v>
      </c>
      <c r="D211" s="2">
        <v>0</v>
      </c>
      <c r="E211" s="2">
        <v>0.68</v>
      </c>
    </row>
    <row r="212" spans="1:5" ht="14.25" customHeight="1">
      <c r="A212" s="2">
        <v>20</v>
      </c>
      <c r="B212" s="2">
        <v>211</v>
      </c>
      <c r="C212" s="2">
        <v>4</v>
      </c>
      <c r="D212" s="2">
        <v>1</v>
      </c>
      <c r="E212" s="2">
        <v>0.70399999999999996</v>
      </c>
    </row>
    <row r="213" spans="1:5" ht="14.25" customHeight="1">
      <c r="A213" s="2">
        <v>20</v>
      </c>
      <c r="B213" s="2">
        <v>212</v>
      </c>
      <c r="C213" s="2">
        <v>1</v>
      </c>
      <c r="D213" s="2">
        <v>1</v>
      </c>
      <c r="E213" s="2">
        <v>0.77600000000000002</v>
      </c>
    </row>
    <row r="214" spans="1:5" ht="14.25" customHeight="1">
      <c r="A214" s="2">
        <v>20</v>
      </c>
      <c r="B214" s="2">
        <v>213</v>
      </c>
      <c r="C214" s="2">
        <v>7</v>
      </c>
      <c r="D214" s="2">
        <v>1</v>
      </c>
      <c r="E214" s="2">
        <v>0.95</v>
      </c>
    </row>
    <row r="215" spans="1:5" ht="14.25" customHeight="1">
      <c r="A215" s="2">
        <v>20</v>
      </c>
      <c r="B215" s="2">
        <v>214</v>
      </c>
      <c r="C215" s="2">
        <v>1</v>
      </c>
      <c r="D215" s="2">
        <v>1</v>
      </c>
      <c r="E215" s="2">
        <v>0.89200000000000002</v>
      </c>
    </row>
    <row r="216" spans="1:5" ht="14.25" customHeight="1">
      <c r="A216" s="2">
        <v>20</v>
      </c>
      <c r="B216" s="2">
        <v>215</v>
      </c>
      <c r="C216" s="2">
        <v>8</v>
      </c>
      <c r="D216" s="2">
        <v>1</v>
      </c>
      <c r="E216" s="2">
        <v>0.79700000000000004</v>
      </c>
    </row>
    <row r="217" spans="1:5" ht="14.25" customHeight="1">
      <c r="A217" s="2">
        <v>20</v>
      </c>
      <c r="B217" s="2">
        <v>216</v>
      </c>
      <c r="C217" s="2">
        <v>6</v>
      </c>
      <c r="D217" s="2">
        <v>1</v>
      </c>
      <c r="E217" s="2">
        <v>0.55400000000000005</v>
      </c>
    </row>
    <row r="218" spans="1:5" ht="14.25" customHeight="1">
      <c r="A218" s="2">
        <v>20</v>
      </c>
      <c r="B218" s="2">
        <v>217</v>
      </c>
      <c r="C218" s="2">
        <v>4</v>
      </c>
      <c r="D218" s="2">
        <v>1</v>
      </c>
      <c r="E218" s="2">
        <v>0.97599999999999998</v>
      </c>
    </row>
    <row r="219" spans="1:5" ht="14.25" customHeight="1">
      <c r="A219" s="2">
        <v>20</v>
      </c>
      <c r="B219" s="2">
        <v>218</v>
      </c>
      <c r="C219" s="2">
        <v>1</v>
      </c>
      <c r="D219" s="2">
        <v>1</v>
      </c>
      <c r="E219" s="2">
        <v>0.72499999999999998</v>
      </c>
    </row>
    <row r="220" spans="1:5" ht="14.25" customHeight="1">
      <c r="A220" s="2">
        <v>20</v>
      </c>
      <c r="B220" s="2">
        <v>219</v>
      </c>
      <c r="C220" s="2">
        <v>6</v>
      </c>
      <c r="D220" s="2">
        <v>1</v>
      </c>
      <c r="E220" s="2">
        <v>0.68400000000000005</v>
      </c>
    </row>
    <row r="221" spans="1:5" ht="14.25" customHeight="1">
      <c r="A221" s="2">
        <v>20</v>
      </c>
      <c r="B221" s="2">
        <v>220</v>
      </c>
      <c r="C221" s="2">
        <v>3</v>
      </c>
      <c r="D221" s="2">
        <v>1</v>
      </c>
      <c r="E221" s="2">
        <v>0.82899999999999996</v>
      </c>
    </row>
    <row r="222" spans="1:5" ht="14.25" customHeight="1">
      <c r="A222" s="2">
        <v>20</v>
      </c>
      <c r="B222" s="2">
        <v>221</v>
      </c>
      <c r="C222" s="2">
        <v>4</v>
      </c>
      <c r="D222" s="2">
        <v>1</v>
      </c>
      <c r="E222" s="2">
        <v>0.745</v>
      </c>
    </row>
    <row r="223" spans="1:5" ht="14.25" customHeight="1">
      <c r="A223" s="2">
        <v>20</v>
      </c>
      <c r="B223" s="2">
        <v>222</v>
      </c>
      <c r="C223" s="2">
        <v>3</v>
      </c>
      <c r="D223" s="2">
        <v>1</v>
      </c>
      <c r="E223" s="2">
        <v>0.80700000000000005</v>
      </c>
    </row>
    <row r="224" spans="1:5" ht="14.25" customHeight="1">
      <c r="A224" s="2">
        <v>20</v>
      </c>
      <c r="B224" s="2">
        <v>223</v>
      </c>
      <c r="C224" s="2">
        <v>7</v>
      </c>
      <c r="D224" s="2">
        <v>1</v>
      </c>
      <c r="E224" s="2">
        <v>0.69899999999999995</v>
      </c>
    </row>
    <row r="225" spans="1:5" ht="14.25" customHeight="1">
      <c r="A225" s="2">
        <v>20</v>
      </c>
      <c r="B225" s="2">
        <v>224</v>
      </c>
      <c r="C225" s="2">
        <v>8</v>
      </c>
      <c r="D225" s="2">
        <v>1</v>
      </c>
      <c r="E225" s="2">
        <v>1.228</v>
      </c>
    </row>
    <row r="226" spans="1:5" ht="14.25" customHeight="1">
      <c r="A226" s="2">
        <v>20</v>
      </c>
      <c r="B226" s="2">
        <v>225</v>
      </c>
      <c r="C226" s="2">
        <v>1</v>
      </c>
      <c r="D226" s="2">
        <v>1</v>
      </c>
      <c r="E226" s="2">
        <v>1.248</v>
      </c>
    </row>
    <row r="227" spans="1:5" ht="14.25" customHeight="1">
      <c r="A227" s="2">
        <v>20</v>
      </c>
      <c r="B227" s="2">
        <v>226</v>
      </c>
      <c r="C227" s="2">
        <v>7</v>
      </c>
      <c r="D227" s="2">
        <v>1</v>
      </c>
      <c r="E227" s="2">
        <v>0.77800000000000002</v>
      </c>
    </row>
    <row r="228" spans="1:5" ht="14.25" customHeight="1">
      <c r="A228" s="2">
        <v>20</v>
      </c>
      <c r="B228" s="2">
        <v>227</v>
      </c>
      <c r="C228" s="2">
        <v>2</v>
      </c>
      <c r="D228" s="2">
        <v>1</v>
      </c>
      <c r="E228" s="2">
        <v>1.2390000000000001</v>
      </c>
    </row>
    <row r="229" spans="1:5" ht="14.25" customHeight="1">
      <c r="A229" s="2">
        <v>20</v>
      </c>
      <c r="B229" s="2">
        <v>228</v>
      </c>
      <c r="C229" s="2">
        <v>3</v>
      </c>
      <c r="D229" s="2">
        <v>1</v>
      </c>
      <c r="E229" s="2">
        <v>0.88200000000000001</v>
      </c>
    </row>
    <row r="230" spans="1:5" ht="14.25" customHeight="1">
      <c r="A230" s="2">
        <v>20</v>
      </c>
      <c r="B230" s="2">
        <v>229</v>
      </c>
      <c r="C230" s="2">
        <v>1</v>
      </c>
      <c r="D230" s="2">
        <v>1</v>
      </c>
      <c r="E230" s="2">
        <v>1.0760000000000001</v>
      </c>
    </row>
    <row r="231" spans="1:5" ht="14.25" customHeight="1">
      <c r="A231" s="2">
        <v>20</v>
      </c>
      <c r="B231" s="2">
        <v>230</v>
      </c>
      <c r="C231" s="2">
        <v>2</v>
      </c>
      <c r="D231" s="2">
        <v>1</v>
      </c>
      <c r="E231" s="2">
        <v>0.59699999999999998</v>
      </c>
    </row>
    <row r="232" spans="1:5" ht="14.25" customHeight="1">
      <c r="A232" s="2">
        <v>20</v>
      </c>
      <c r="B232" s="2">
        <v>231</v>
      </c>
      <c r="C232" s="2">
        <v>8</v>
      </c>
      <c r="D232" s="2">
        <v>1</v>
      </c>
      <c r="E232" s="2">
        <v>1.2410000000000001</v>
      </c>
    </row>
    <row r="233" spans="1:5" ht="14.25" customHeight="1">
      <c r="A233" s="2">
        <v>20</v>
      </c>
      <c r="B233" s="2">
        <v>232</v>
      </c>
      <c r="C233" s="2">
        <v>7</v>
      </c>
      <c r="D233" s="2">
        <v>1</v>
      </c>
      <c r="E233" s="2">
        <v>1.044</v>
      </c>
    </row>
    <row r="234" spans="1:5" ht="14.25" customHeight="1">
      <c r="A234" s="2">
        <v>20</v>
      </c>
      <c r="B234" s="2">
        <v>233</v>
      </c>
      <c r="C234" s="2">
        <v>5</v>
      </c>
      <c r="D234" s="2">
        <v>1</v>
      </c>
      <c r="E234" s="2">
        <v>0.79</v>
      </c>
    </row>
    <row r="235" spans="1:5" ht="14.25" customHeight="1">
      <c r="A235" s="2">
        <v>20</v>
      </c>
      <c r="B235" s="2">
        <v>234</v>
      </c>
      <c r="C235" s="2">
        <v>8</v>
      </c>
      <c r="D235" s="2">
        <v>1</v>
      </c>
      <c r="E235" s="2">
        <v>0.77100000000000002</v>
      </c>
    </row>
    <row r="236" spans="1:5" ht="14.25" customHeight="1">
      <c r="A236" s="2">
        <v>20</v>
      </c>
      <c r="B236" s="2">
        <v>235</v>
      </c>
      <c r="C236" s="2">
        <v>3</v>
      </c>
      <c r="D236" s="2">
        <v>1</v>
      </c>
      <c r="E236" s="2">
        <v>0.752</v>
      </c>
    </row>
    <row r="237" spans="1:5" ht="14.25" customHeight="1">
      <c r="A237" s="2">
        <v>20</v>
      </c>
      <c r="B237" s="2">
        <v>236</v>
      </c>
      <c r="C237" s="2">
        <v>5</v>
      </c>
      <c r="D237" s="2">
        <v>1</v>
      </c>
      <c r="E237" s="2">
        <v>0.61399999999999999</v>
      </c>
    </row>
    <row r="238" spans="1:5" ht="14.25" customHeight="1">
      <c r="A238" s="2">
        <v>20</v>
      </c>
      <c r="B238" s="2">
        <v>237</v>
      </c>
      <c r="C238" s="2">
        <v>4</v>
      </c>
      <c r="D238" s="2">
        <v>1</v>
      </c>
      <c r="E238" s="2">
        <v>1.306</v>
      </c>
    </row>
    <row r="239" spans="1:5" ht="14.25" customHeight="1">
      <c r="A239" s="2">
        <v>20</v>
      </c>
      <c r="B239" s="2">
        <v>238</v>
      </c>
      <c r="C239" s="2">
        <v>2</v>
      </c>
      <c r="D239" s="2">
        <v>1</v>
      </c>
      <c r="E239" s="2">
        <v>1.234</v>
      </c>
    </row>
    <row r="240" spans="1:5" ht="14.25" customHeight="1">
      <c r="A240" s="2">
        <v>20</v>
      </c>
      <c r="B240" s="2">
        <v>239</v>
      </c>
      <c r="C240" s="2">
        <v>5</v>
      </c>
      <c r="D240" s="2">
        <v>1</v>
      </c>
      <c r="E240" s="2">
        <v>1.3340000000000001</v>
      </c>
    </row>
    <row r="241" spans="1:5" ht="14.25" customHeight="1">
      <c r="A241" s="2">
        <v>20</v>
      </c>
      <c r="B241" s="2">
        <v>240</v>
      </c>
      <c r="C241" s="2">
        <v>8</v>
      </c>
      <c r="D241" s="2">
        <v>1</v>
      </c>
      <c r="E241" s="2">
        <v>1.3169999999999999</v>
      </c>
    </row>
    <row r="242" spans="1:5" ht="14.25" customHeight="1">
      <c r="A242" s="2">
        <v>20</v>
      </c>
      <c r="B242" s="2">
        <v>241</v>
      </c>
      <c r="C242" s="2">
        <v>2</v>
      </c>
      <c r="D242" s="2">
        <v>1</v>
      </c>
      <c r="E242" s="2">
        <v>0.70099999999999996</v>
      </c>
    </row>
    <row r="243" spans="1:5" ht="14.25" customHeight="1">
      <c r="A243" s="2">
        <v>20</v>
      </c>
      <c r="B243" s="2">
        <v>242</v>
      </c>
      <c r="C243" s="2">
        <v>6</v>
      </c>
      <c r="D243" s="2">
        <v>1</v>
      </c>
      <c r="E243" s="2">
        <v>0.88600000000000001</v>
      </c>
    </row>
    <row r="244" spans="1:5" ht="14.25" customHeight="1">
      <c r="A244" s="2">
        <v>20</v>
      </c>
      <c r="B244" s="2">
        <v>243</v>
      </c>
      <c r="C244" s="2">
        <v>2</v>
      </c>
      <c r="D244" s="2">
        <v>1</v>
      </c>
      <c r="E244" s="2">
        <v>1.0469999999999999</v>
      </c>
    </row>
    <row r="245" spans="1:5" ht="14.25" customHeight="1">
      <c r="A245" s="2">
        <v>20</v>
      </c>
      <c r="B245" s="2">
        <v>244</v>
      </c>
      <c r="C245" s="2">
        <v>4</v>
      </c>
      <c r="D245" s="2">
        <v>1</v>
      </c>
      <c r="E245" s="2">
        <v>0.85</v>
      </c>
    </row>
    <row r="246" spans="1:5" ht="14.25" customHeight="1">
      <c r="A246" s="2">
        <v>20</v>
      </c>
      <c r="B246" s="2">
        <v>245</v>
      </c>
      <c r="C246" s="2">
        <v>5</v>
      </c>
      <c r="D246" s="2">
        <v>1</v>
      </c>
      <c r="E246" s="2">
        <v>0.86</v>
      </c>
    </row>
    <row r="247" spans="1:5" ht="14.25" customHeight="1">
      <c r="A247" s="2">
        <v>20</v>
      </c>
      <c r="B247" s="2">
        <v>246</v>
      </c>
      <c r="C247" s="2">
        <v>7</v>
      </c>
      <c r="D247" s="2">
        <v>1</v>
      </c>
      <c r="E247" s="2">
        <v>1.1910000000000001</v>
      </c>
    </row>
    <row r="248" spans="1:5" ht="14.25" customHeight="1">
      <c r="A248" s="2">
        <v>20</v>
      </c>
      <c r="B248" s="2">
        <v>247</v>
      </c>
      <c r="C248" s="2">
        <v>8</v>
      </c>
      <c r="D248" s="2">
        <v>1</v>
      </c>
      <c r="E248" s="2">
        <v>0.72299999999999998</v>
      </c>
    </row>
    <row r="249" spans="1:5" ht="14.25" customHeight="1">
      <c r="A249" s="2">
        <v>20</v>
      </c>
      <c r="B249" s="2">
        <v>248</v>
      </c>
      <c r="C249" s="2">
        <v>5</v>
      </c>
      <c r="D249" s="2">
        <v>1</v>
      </c>
      <c r="E249" s="2">
        <v>0.79400000000000004</v>
      </c>
    </row>
    <row r="250" spans="1:5" ht="14.25" customHeight="1">
      <c r="A250" s="2">
        <v>20</v>
      </c>
      <c r="B250" s="2">
        <v>249</v>
      </c>
      <c r="C250" s="2">
        <v>8</v>
      </c>
      <c r="D250" s="2">
        <v>1</v>
      </c>
      <c r="E250" s="2">
        <v>1.623</v>
      </c>
    </row>
    <row r="251" spans="1:5" ht="14.25" customHeight="1">
      <c r="A251" s="2">
        <v>20</v>
      </c>
      <c r="B251" s="2">
        <v>250</v>
      </c>
      <c r="C251" s="2">
        <v>2</v>
      </c>
      <c r="D251" s="2">
        <v>1</v>
      </c>
      <c r="E251" s="2">
        <v>0.82699999999999996</v>
      </c>
    </row>
    <row r="252" spans="1:5" ht="14.25" customHeight="1">
      <c r="A252" s="2">
        <v>20</v>
      </c>
      <c r="B252" s="2">
        <v>251</v>
      </c>
      <c r="C252" s="2">
        <v>5</v>
      </c>
    </row>
    <row r="253" spans="1:5" ht="14.25" customHeight="1">
      <c r="A253" s="2">
        <v>20</v>
      </c>
      <c r="B253" s="2">
        <v>252</v>
      </c>
      <c r="C253" s="2">
        <v>4</v>
      </c>
    </row>
    <row r="254" spans="1:5" ht="14.25" customHeight="1">
      <c r="A254" s="2">
        <v>20</v>
      </c>
      <c r="B254" s="2">
        <v>253</v>
      </c>
      <c r="C254" s="2">
        <v>7</v>
      </c>
    </row>
    <row r="255" spans="1:5" ht="14.25" customHeight="1">
      <c r="A255" s="2">
        <v>20</v>
      </c>
      <c r="B255" s="2">
        <v>254</v>
      </c>
      <c r="C255" s="2">
        <v>3</v>
      </c>
    </row>
    <row r="256" spans="1:5" ht="14.25" customHeight="1">
      <c r="A256" s="2">
        <v>20</v>
      </c>
      <c r="B256" s="2">
        <v>255</v>
      </c>
      <c r="C256" s="2">
        <v>6</v>
      </c>
    </row>
    <row r="257" spans="1:3" ht="14.25" customHeight="1">
      <c r="A257" s="2">
        <v>20</v>
      </c>
      <c r="B257" s="2">
        <v>256</v>
      </c>
      <c r="C257" s="2">
        <v>2</v>
      </c>
    </row>
    <row r="258" spans="1:3" ht="14.25" customHeight="1">
      <c r="A258" s="2">
        <v>20</v>
      </c>
      <c r="B258" s="2">
        <v>257</v>
      </c>
      <c r="C258" s="2">
        <v>6</v>
      </c>
    </row>
    <row r="259" spans="1:3" ht="14.25" customHeight="1">
      <c r="A259" s="2">
        <v>20</v>
      </c>
      <c r="B259" s="2">
        <v>258</v>
      </c>
      <c r="C259" s="2">
        <v>1</v>
      </c>
    </row>
    <row r="260" spans="1:3" ht="14.25" customHeight="1">
      <c r="A260" s="2">
        <v>20</v>
      </c>
      <c r="B260" s="2">
        <v>259</v>
      </c>
      <c r="C260" s="2">
        <v>6</v>
      </c>
    </row>
    <row r="261" spans="1:3" ht="14.25" customHeight="1">
      <c r="A261" s="2">
        <v>20</v>
      </c>
      <c r="B261" s="2">
        <v>260</v>
      </c>
      <c r="C261" s="2">
        <v>8</v>
      </c>
    </row>
    <row r="262" spans="1:3" ht="14.25" customHeight="1">
      <c r="A262" s="2">
        <v>20</v>
      </c>
      <c r="B262" s="2">
        <v>261</v>
      </c>
      <c r="C262" s="2">
        <v>7</v>
      </c>
    </row>
    <row r="263" spans="1:3" ht="14.25" customHeight="1">
      <c r="A263" s="2">
        <v>20</v>
      </c>
      <c r="B263" s="2">
        <v>262</v>
      </c>
      <c r="C263" s="2">
        <v>2</v>
      </c>
    </row>
    <row r="264" spans="1:3" ht="14.25" customHeight="1">
      <c r="A264" s="2">
        <v>20</v>
      </c>
      <c r="B264" s="2">
        <v>263</v>
      </c>
      <c r="C264" s="2">
        <v>4</v>
      </c>
    </row>
    <row r="265" spans="1:3" ht="14.25" customHeight="1">
      <c r="A265" s="2">
        <v>20</v>
      </c>
      <c r="B265" s="2">
        <v>264</v>
      </c>
      <c r="C265" s="2">
        <v>1</v>
      </c>
    </row>
    <row r="266" spans="1:3" ht="14.25" customHeight="1">
      <c r="A266" s="2">
        <v>20</v>
      </c>
      <c r="B266" s="2">
        <v>265</v>
      </c>
      <c r="C266" s="2">
        <v>8</v>
      </c>
    </row>
    <row r="267" spans="1:3" ht="14.25" customHeight="1">
      <c r="A267" s="2">
        <v>20</v>
      </c>
      <c r="B267" s="2">
        <v>266</v>
      </c>
      <c r="C267" s="2">
        <v>4</v>
      </c>
    </row>
    <row r="268" spans="1:3" ht="14.25" customHeight="1">
      <c r="A268" s="2">
        <v>20</v>
      </c>
      <c r="B268" s="2">
        <v>267</v>
      </c>
      <c r="C268" s="2">
        <v>2</v>
      </c>
    </row>
    <row r="269" spans="1:3" ht="14.25" customHeight="1">
      <c r="A269" s="2">
        <v>20</v>
      </c>
      <c r="B269" s="2">
        <v>268</v>
      </c>
      <c r="C269" s="2">
        <v>1</v>
      </c>
    </row>
    <row r="270" spans="1:3" ht="14.25" customHeight="1">
      <c r="A270" s="2">
        <v>20</v>
      </c>
      <c r="B270" s="2">
        <v>269</v>
      </c>
      <c r="C270" s="2">
        <v>4</v>
      </c>
    </row>
    <row r="271" spans="1:3" ht="14.25" customHeight="1">
      <c r="A271" s="2">
        <v>20</v>
      </c>
      <c r="B271" s="2">
        <v>270</v>
      </c>
      <c r="C271" s="2">
        <v>7</v>
      </c>
    </row>
    <row r="272" spans="1:3" ht="14.25" customHeight="1">
      <c r="A272" s="2">
        <v>20</v>
      </c>
      <c r="B272" s="2">
        <v>271</v>
      </c>
      <c r="C272" s="2">
        <v>1</v>
      </c>
    </row>
    <row r="273" spans="1:3" ht="14.25" customHeight="1">
      <c r="A273" s="2">
        <v>20</v>
      </c>
      <c r="B273" s="2">
        <v>272</v>
      </c>
      <c r="C273" s="2">
        <v>3</v>
      </c>
    </row>
    <row r="274" spans="1:3" ht="14.25" customHeight="1">
      <c r="A274" s="2">
        <v>20</v>
      </c>
      <c r="B274" s="2">
        <v>273</v>
      </c>
      <c r="C274" s="2">
        <v>8</v>
      </c>
    </row>
    <row r="275" spans="1:3" ht="14.25" customHeight="1">
      <c r="A275" s="2">
        <v>20</v>
      </c>
      <c r="B275" s="2">
        <v>274</v>
      </c>
      <c r="C275" s="2">
        <v>3</v>
      </c>
    </row>
    <row r="276" spans="1:3" ht="14.25" customHeight="1">
      <c r="A276" s="2">
        <v>20</v>
      </c>
      <c r="B276" s="2">
        <v>275</v>
      </c>
      <c r="C276" s="2">
        <v>2</v>
      </c>
    </row>
    <row r="277" spans="1:3" ht="14.25" customHeight="1">
      <c r="A277" s="2">
        <v>20</v>
      </c>
      <c r="B277" s="2">
        <v>276</v>
      </c>
      <c r="C277" s="2">
        <v>6</v>
      </c>
    </row>
    <row r="278" spans="1:3" ht="14.25" customHeight="1">
      <c r="A278" s="2">
        <v>20</v>
      </c>
      <c r="B278" s="2">
        <v>277</v>
      </c>
      <c r="C278" s="2">
        <v>7</v>
      </c>
    </row>
    <row r="279" spans="1:3" ht="14.25" customHeight="1">
      <c r="A279" s="2">
        <v>20</v>
      </c>
      <c r="B279" s="2">
        <v>278</v>
      </c>
      <c r="C279" s="2">
        <v>6</v>
      </c>
    </row>
    <row r="280" spans="1:3" ht="14.25" customHeight="1">
      <c r="A280" s="2">
        <v>20</v>
      </c>
      <c r="B280" s="2">
        <v>279</v>
      </c>
      <c r="C280" s="2">
        <v>3</v>
      </c>
    </row>
    <row r="281" spans="1:3" ht="14.25" customHeight="1">
      <c r="A281" s="2">
        <v>20</v>
      </c>
      <c r="B281" s="2">
        <v>280</v>
      </c>
      <c r="C281" s="2">
        <v>7</v>
      </c>
    </row>
    <row r="282" spans="1:3" ht="14.25" customHeight="1">
      <c r="A282" s="2">
        <v>20</v>
      </c>
      <c r="B282" s="2">
        <v>281</v>
      </c>
      <c r="C282" s="2">
        <v>2</v>
      </c>
    </row>
    <row r="283" spans="1:3" ht="14.25" customHeight="1">
      <c r="A283" s="2">
        <v>20</v>
      </c>
      <c r="B283" s="2">
        <v>282</v>
      </c>
      <c r="C283" s="2">
        <v>6</v>
      </c>
    </row>
    <row r="284" spans="1:3" ht="14.25" customHeight="1">
      <c r="A284" s="2">
        <v>20</v>
      </c>
      <c r="B284" s="2">
        <v>283</v>
      </c>
      <c r="C284" s="2">
        <v>5</v>
      </c>
    </row>
    <row r="285" spans="1:3" ht="14.25" customHeight="1">
      <c r="A285" s="2">
        <v>20</v>
      </c>
      <c r="B285" s="2">
        <v>284</v>
      </c>
      <c r="C285" s="2">
        <v>4</v>
      </c>
    </row>
    <row r="286" spans="1:3" ht="14.25" customHeight="1">
      <c r="A286" s="2">
        <v>20</v>
      </c>
      <c r="B286" s="2">
        <v>285</v>
      </c>
      <c r="C286" s="2">
        <v>3</v>
      </c>
    </row>
    <row r="287" spans="1:3" ht="14.25" customHeight="1">
      <c r="A287" s="2">
        <v>20</v>
      </c>
      <c r="B287" s="2">
        <v>286</v>
      </c>
      <c r="C287" s="2">
        <v>1</v>
      </c>
    </row>
    <row r="288" spans="1:3" ht="14.25" customHeight="1">
      <c r="A288" s="2">
        <v>20</v>
      </c>
      <c r="B288" s="2">
        <v>287</v>
      </c>
      <c r="C288" s="2">
        <v>5</v>
      </c>
    </row>
    <row r="289" spans="1:4" ht="14.25" customHeight="1">
      <c r="A289" s="2">
        <v>20</v>
      </c>
      <c r="B289" s="2">
        <v>288</v>
      </c>
      <c r="C289" s="2">
        <v>8</v>
      </c>
    </row>
    <row r="290" spans="1:4" ht="14.25" customHeight="1">
      <c r="A290" s="2">
        <v>20</v>
      </c>
      <c r="B290" s="2">
        <v>289</v>
      </c>
      <c r="C290" s="2">
        <v>1</v>
      </c>
    </row>
    <row r="291" spans="1:4" ht="14.25" customHeight="1">
      <c r="A291" s="2">
        <v>20</v>
      </c>
      <c r="B291" s="2">
        <v>290</v>
      </c>
      <c r="C291" s="2">
        <v>5</v>
      </c>
    </row>
    <row r="292" spans="1:4" ht="14.25" customHeight="1">
      <c r="A292" s="2">
        <v>20</v>
      </c>
      <c r="B292" s="2">
        <v>291</v>
      </c>
      <c r="C292" s="2">
        <v>7</v>
      </c>
    </row>
    <row r="293" spans="1:4" ht="14.25" customHeight="1">
      <c r="A293" s="2">
        <v>20</v>
      </c>
      <c r="B293" s="2">
        <v>292</v>
      </c>
      <c r="C293" s="2">
        <v>5</v>
      </c>
    </row>
    <row r="294" spans="1:4" ht="14.25" customHeight="1">
      <c r="A294" s="2">
        <v>20</v>
      </c>
      <c r="B294" s="2">
        <v>293</v>
      </c>
      <c r="C294" s="2">
        <v>8</v>
      </c>
    </row>
    <row r="295" spans="1:4" ht="14.25" customHeight="1">
      <c r="A295" s="2">
        <v>20</v>
      </c>
      <c r="B295" s="2">
        <v>294</v>
      </c>
      <c r="C295" s="2">
        <v>2</v>
      </c>
    </row>
    <row r="296" spans="1:4" ht="14.25" customHeight="1">
      <c r="A296" s="2">
        <v>20</v>
      </c>
      <c r="B296" s="2">
        <v>295</v>
      </c>
      <c r="C296" s="2">
        <v>8</v>
      </c>
    </row>
    <row r="297" spans="1:4" ht="14.25" customHeight="1">
      <c r="A297" s="2">
        <v>20</v>
      </c>
      <c r="B297" s="2">
        <v>296</v>
      </c>
      <c r="C297" s="2">
        <v>4</v>
      </c>
    </row>
    <row r="298" spans="1:4" ht="14.25" customHeight="1">
      <c r="A298" s="2">
        <v>20</v>
      </c>
      <c r="B298" s="2">
        <v>297</v>
      </c>
      <c r="C298" s="2">
        <v>5</v>
      </c>
    </row>
    <row r="299" spans="1:4" ht="14.25" customHeight="1">
      <c r="A299" s="2">
        <v>20</v>
      </c>
      <c r="B299" s="2">
        <v>298</v>
      </c>
      <c r="C299" s="2">
        <v>3</v>
      </c>
    </row>
    <row r="300" spans="1:4" ht="14.25" customHeight="1">
      <c r="A300" s="2">
        <v>20</v>
      </c>
      <c r="B300" s="2">
        <v>299</v>
      </c>
      <c r="C300" s="2">
        <v>8</v>
      </c>
    </row>
    <row r="301" spans="1:4" ht="14.25" customHeight="1">
      <c r="A301" s="2">
        <v>20</v>
      </c>
      <c r="B301" s="2">
        <v>300</v>
      </c>
      <c r="C301" s="2">
        <v>7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21</v>
      </c>
      <c r="I1" s="2">
        <v>201</v>
      </c>
      <c r="J1" s="2">
        <v>6</v>
      </c>
      <c r="K1" s="2">
        <v>1</v>
      </c>
      <c r="L1" s="2">
        <v>0.69099999999999995</v>
      </c>
    </row>
    <row r="2" spans="1:22" ht="14.25" customHeight="1">
      <c r="A2" s="2">
        <v>21</v>
      </c>
      <c r="B2" s="2">
        <v>1</v>
      </c>
      <c r="C2" s="2">
        <v>5</v>
      </c>
      <c r="D2" s="2">
        <v>1</v>
      </c>
      <c r="E2" s="2">
        <v>0.749</v>
      </c>
      <c r="F2" s="2">
        <v>2</v>
      </c>
      <c r="H2" s="2">
        <v>21</v>
      </c>
      <c r="I2" s="2">
        <v>202</v>
      </c>
      <c r="J2" s="2">
        <v>2</v>
      </c>
      <c r="K2" s="2">
        <v>1</v>
      </c>
      <c r="L2" s="2">
        <v>0.92400000000000004</v>
      </c>
    </row>
    <row r="3" spans="1:22" ht="14.25" customHeight="1">
      <c r="A3" s="2">
        <v>21</v>
      </c>
      <c r="B3" s="2">
        <v>2</v>
      </c>
      <c r="C3" s="2">
        <v>4</v>
      </c>
      <c r="D3" s="2">
        <v>0</v>
      </c>
      <c r="E3" s="2">
        <v>1.07</v>
      </c>
      <c r="F3" s="2">
        <v>2</v>
      </c>
      <c r="H3" s="2">
        <v>21</v>
      </c>
      <c r="I3" s="2">
        <v>203</v>
      </c>
      <c r="J3" s="2">
        <v>1</v>
      </c>
      <c r="K3" s="2">
        <v>1</v>
      </c>
      <c r="L3" s="2">
        <v>0.89900000000000002</v>
      </c>
    </row>
    <row r="4" spans="1:22" ht="14.25" customHeight="1">
      <c r="A4" s="2">
        <v>21</v>
      </c>
      <c r="B4" s="2">
        <v>3</v>
      </c>
      <c r="C4" s="2">
        <v>6</v>
      </c>
      <c r="D4" s="2">
        <v>1</v>
      </c>
      <c r="E4" s="2">
        <v>0.997</v>
      </c>
      <c r="F4" s="2">
        <v>2</v>
      </c>
      <c r="H4" s="2">
        <v>21</v>
      </c>
      <c r="I4" s="2">
        <v>204</v>
      </c>
      <c r="J4" s="2">
        <v>2</v>
      </c>
      <c r="K4" s="2">
        <v>1</v>
      </c>
      <c r="L4" s="2">
        <v>1.5569999999999999</v>
      </c>
      <c r="O4" s="2" t="s">
        <v>6</v>
      </c>
    </row>
    <row r="5" spans="1:22" ht="14.25" customHeight="1">
      <c r="A5" s="2">
        <v>21</v>
      </c>
      <c r="B5" s="2">
        <v>4</v>
      </c>
      <c r="C5" s="2">
        <v>3</v>
      </c>
      <c r="D5" s="2">
        <v>0</v>
      </c>
      <c r="E5" s="2">
        <v>1.0509999999999999</v>
      </c>
      <c r="F5" s="2">
        <v>1</v>
      </c>
      <c r="H5" s="2">
        <v>21</v>
      </c>
      <c r="I5" s="2">
        <v>205</v>
      </c>
      <c r="J5" s="2">
        <v>8</v>
      </c>
      <c r="K5" s="2">
        <v>1</v>
      </c>
      <c r="L5" s="2">
        <v>0.70599999999999996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21</v>
      </c>
      <c r="B6" s="2">
        <v>5</v>
      </c>
      <c r="C6" s="2">
        <v>8</v>
      </c>
      <c r="D6" s="2">
        <v>0</v>
      </c>
      <c r="E6" s="2">
        <v>1.4850000000000001</v>
      </c>
      <c r="F6" s="2">
        <v>2</v>
      </c>
      <c r="H6" s="2">
        <v>21</v>
      </c>
      <c r="I6" s="2">
        <v>206</v>
      </c>
      <c r="J6" s="2">
        <v>7</v>
      </c>
      <c r="K6" s="2">
        <v>1</v>
      </c>
      <c r="L6" s="2">
        <v>1.33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21</v>
      </c>
      <c r="B7" s="2">
        <v>6</v>
      </c>
      <c r="C7" s="2">
        <v>2</v>
      </c>
      <c r="D7" s="2">
        <v>0</v>
      </c>
      <c r="E7" s="2">
        <v>1.4139999999999999</v>
      </c>
      <c r="F7" s="2">
        <v>2</v>
      </c>
      <c r="H7" s="2">
        <v>21</v>
      </c>
      <c r="I7" s="2">
        <v>207</v>
      </c>
      <c r="J7" s="2">
        <v>1</v>
      </c>
      <c r="K7" s="2">
        <v>1</v>
      </c>
      <c r="L7" s="2">
        <v>0.80900000000000005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21</v>
      </c>
      <c r="B8" s="2">
        <v>7</v>
      </c>
      <c r="C8" s="2">
        <v>7</v>
      </c>
      <c r="E8" s="2">
        <v>2.0009999999999999</v>
      </c>
      <c r="H8" s="2">
        <v>21</v>
      </c>
      <c r="I8" s="2">
        <v>208</v>
      </c>
      <c r="J8" s="2">
        <v>2</v>
      </c>
      <c r="K8" s="2">
        <v>1</v>
      </c>
      <c r="L8" s="2">
        <v>0.78900000000000003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21</v>
      </c>
      <c r="B9" s="2">
        <v>8</v>
      </c>
      <c r="C9" s="2">
        <v>6</v>
      </c>
      <c r="D9" s="2">
        <v>1</v>
      </c>
      <c r="E9" s="2">
        <v>1.631</v>
      </c>
      <c r="F9" s="2">
        <v>2</v>
      </c>
      <c r="H9" s="2">
        <v>21</v>
      </c>
      <c r="I9" s="2">
        <v>209</v>
      </c>
      <c r="J9" s="2">
        <v>7</v>
      </c>
      <c r="K9" s="2">
        <v>1</v>
      </c>
      <c r="L9" s="2">
        <v>0.79400000000000004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21</v>
      </c>
      <c r="B10" s="2">
        <v>9</v>
      </c>
      <c r="C10" s="2">
        <v>7</v>
      </c>
      <c r="D10" s="2">
        <v>1</v>
      </c>
      <c r="E10" s="2">
        <v>1.2749999999999999</v>
      </c>
      <c r="F10" s="2">
        <v>1</v>
      </c>
      <c r="H10" s="2">
        <v>21</v>
      </c>
      <c r="I10" s="2">
        <v>210</v>
      </c>
      <c r="J10" s="2">
        <v>4</v>
      </c>
      <c r="K10" s="2">
        <v>1</v>
      </c>
      <c r="L10" s="2">
        <v>1.03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21</v>
      </c>
      <c r="B11" s="2">
        <v>10</v>
      </c>
      <c r="C11" s="2">
        <v>2</v>
      </c>
      <c r="D11" s="2">
        <v>0</v>
      </c>
      <c r="E11" s="2">
        <v>1.851</v>
      </c>
      <c r="F11" s="2">
        <v>2</v>
      </c>
      <c r="H11" s="2">
        <v>21</v>
      </c>
      <c r="I11" s="2">
        <v>211</v>
      </c>
      <c r="J11" s="2">
        <v>3</v>
      </c>
      <c r="K11" s="2">
        <v>1</v>
      </c>
      <c r="L11" s="2">
        <v>0.93799999999999994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21</v>
      </c>
      <c r="B12" s="2">
        <v>11</v>
      </c>
      <c r="C12" s="2">
        <v>3</v>
      </c>
      <c r="D12" s="2">
        <v>0</v>
      </c>
      <c r="E12" s="2">
        <v>1.4259999999999999</v>
      </c>
      <c r="F12" s="2">
        <v>1</v>
      </c>
      <c r="H12" s="2">
        <v>21</v>
      </c>
      <c r="I12" s="2">
        <v>212</v>
      </c>
      <c r="J12" s="2">
        <v>7</v>
      </c>
      <c r="K12" s="2">
        <v>1</v>
      </c>
      <c r="L12" s="2">
        <v>1.369</v>
      </c>
    </row>
    <row r="13" spans="1:22" ht="14.25" customHeight="1">
      <c r="A13" s="2">
        <v>21</v>
      </c>
      <c r="B13" s="2">
        <v>12</v>
      </c>
      <c r="C13" s="2">
        <v>4</v>
      </c>
      <c r="D13" s="2">
        <v>0</v>
      </c>
      <c r="E13" s="2">
        <v>1.3959999999999999</v>
      </c>
      <c r="F13" s="2">
        <v>2</v>
      </c>
      <c r="H13" s="2">
        <v>21</v>
      </c>
      <c r="I13" s="2">
        <v>213</v>
      </c>
      <c r="J13" s="2">
        <v>8</v>
      </c>
      <c r="K13" s="2">
        <v>1</v>
      </c>
      <c r="L13" s="2">
        <v>0.82199999999999995</v>
      </c>
    </row>
    <row r="14" spans="1:22" ht="14.25" customHeight="1">
      <c r="A14" s="2">
        <v>21</v>
      </c>
      <c r="B14" s="2">
        <v>13</v>
      </c>
      <c r="C14" s="2">
        <v>1</v>
      </c>
      <c r="D14" s="2">
        <v>1</v>
      </c>
      <c r="E14" s="2">
        <v>1.337</v>
      </c>
      <c r="F14" s="2">
        <v>2</v>
      </c>
      <c r="H14" s="2">
        <v>21</v>
      </c>
      <c r="I14" s="2">
        <v>214</v>
      </c>
      <c r="J14" s="2">
        <v>5</v>
      </c>
      <c r="K14" s="2">
        <v>1</v>
      </c>
      <c r="L14" s="2">
        <v>0.69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21</v>
      </c>
      <c r="B15" s="2">
        <v>14</v>
      </c>
      <c r="C15" s="2">
        <v>3</v>
      </c>
      <c r="D15" s="2">
        <v>0</v>
      </c>
      <c r="E15" s="2">
        <v>1.351</v>
      </c>
      <c r="F15" s="2">
        <v>1</v>
      </c>
      <c r="H15" s="2">
        <v>21</v>
      </c>
      <c r="I15" s="2">
        <v>215</v>
      </c>
      <c r="J15" s="2">
        <v>3</v>
      </c>
      <c r="K15" s="2">
        <v>1</v>
      </c>
      <c r="L15" s="2">
        <v>0.79500000000000004</v>
      </c>
      <c r="O15" s="2" t="s">
        <v>9</v>
      </c>
    </row>
    <row r="16" spans="1:22" ht="14.25" customHeight="1">
      <c r="A16" s="2">
        <v>21</v>
      </c>
      <c r="B16" s="2">
        <v>15</v>
      </c>
      <c r="C16" s="2">
        <v>1</v>
      </c>
      <c r="D16" s="2">
        <v>0</v>
      </c>
      <c r="E16" s="2">
        <v>1.4379999999999999</v>
      </c>
      <c r="F16" s="2">
        <v>1</v>
      </c>
      <c r="H16" s="2">
        <v>21</v>
      </c>
      <c r="I16" s="2">
        <v>216</v>
      </c>
      <c r="J16" s="2">
        <v>5</v>
      </c>
      <c r="K16" s="2">
        <v>1</v>
      </c>
      <c r="L16" s="2">
        <v>0.99099999999999999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21</v>
      </c>
      <c r="B17" s="2">
        <v>16</v>
      </c>
      <c r="C17" s="2">
        <v>7</v>
      </c>
      <c r="D17" s="2">
        <v>1</v>
      </c>
      <c r="E17" s="2">
        <v>1.2410000000000001</v>
      </c>
      <c r="F17" s="2">
        <v>1</v>
      </c>
      <c r="H17" s="2">
        <v>21</v>
      </c>
      <c r="I17" s="2">
        <v>217</v>
      </c>
      <c r="J17" s="2">
        <v>2</v>
      </c>
      <c r="K17" s="2">
        <v>1</v>
      </c>
      <c r="L17" s="2">
        <v>0.91600000000000004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0.12250000000000003</v>
      </c>
      <c r="Q17" s="2">
        <f t="shared" ref="Q17:Q22" si="2">(Q6*COUNTIF($J$1:$J$100,Q$16) - COUNTIFS($J$1:$J$100,Q$16,$K$1:$K$100,"=1"))^2</f>
        <v>9.0000000000000427E-2</v>
      </c>
      <c r="R17" s="2">
        <f t="shared" ref="R17:R22" si="3">(R6*COUNTIF($J$1:$J$100,R$16) - COUNTIFS($J$1:$J$100,R$16,$K$1:$K$100,"=0"))^2</f>
        <v>0.12250000000000003</v>
      </c>
      <c r="S17" s="2">
        <f t="shared" ref="S17:T17" si="4">(S6*COUNTIF($J$1:$J$100,S$16) - COUNTIFS($J$1:$J$100,S$16,$K$1:$K$100,"=1"))^2</f>
        <v>9.0000000000000427E-2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9.0000000000000024E-2</v>
      </c>
    </row>
    <row r="18" spans="1:22" ht="14.25" customHeight="1">
      <c r="A18" s="2">
        <v>21</v>
      </c>
      <c r="B18" s="2">
        <v>17</v>
      </c>
      <c r="C18" s="2">
        <v>3</v>
      </c>
      <c r="E18" s="2">
        <v>2.0009999999999999</v>
      </c>
      <c r="H18" s="2">
        <v>21</v>
      </c>
      <c r="I18" s="2">
        <v>218</v>
      </c>
      <c r="J18" s="2">
        <v>4</v>
      </c>
      <c r="K18" s="2">
        <v>1</v>
      </c>
      <c r="L18" s="2">
        <v>0.73099999999999998</v>
      </c>
      <c r="N18" s="2">
        <v>2</v>
      </c>
      <c r="O18" s="2">
        <f t="shared" si="0"/>
        <v>9.0000000000000427E-2</v>
      </c>
      <c r="P18" s="2">
        <f t="shared" si="1"/>
        <v>44.222499999999989</v>
      </c>
      <c r="Q18" s="2">
        <f t="shared" si="2"/>
        <v>32.49</v>
      </c>
      <c r="R18" s="2">
        <f t="shared" si="3"/>
        <v>0.12250000000000003</v>
      </c>
      <c r="S18" s="2">
        <f t="shared" ref="S18:T18" si="6">(S7*COUNTIF($J$1:$J$100,S$16) - COUNTIFS($J$1:$J$100,S$16,$K$1:$K$100,"=1"))^2</f>
        <v>9.0000000000000427E-2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9.0000000000000024E-2</v>
      </c>
    </row>
    <row r="19" spans="1:22" ht="14.25" customHeight="1">
      <c r="A19" s="2">
        <v>21</v>
      </c>
      <c r="B19" s="2">
        <v>18</v>
      </c>
      <c r="C19" s="2">
        <v>4</v>
      </c>
      <c r="D19" s="2">
        <v>1</v>
      </c>
      <c r="E19" s="2">
        <v>1.0089999999999999</v>
      </c>
      <c r="F19" s="2">
        <v>1</v>
      </c>
      <c r="H19" s="2">
        <v>21</v>
      </c>
      <c r="I19" s="2">
        <v>219</v>
      </c>
      <c r="J19" s="2">
        <v>8</v>
      </c>
      <c r="K19" s="2">
        <v>1</v>
      </c>
      <c r="L19" s="2">
        <v>0.94699999999999995</v>
      </c>
      <c r="N19" s="2">
        <v>3</v>
      </c>
      <c r="O19" s="2">
        <f t="shared" si="0"/>
        <v>9.0000000000000427E-2</v>
      </c>
      <c r="P19" s="2">
        <f t="shared" si="1"/>
        <v>0.12250000000000003</v>
      </c>
      <c r="Q19" s="2">
        <f t="shared" si="2"/>
        <v>9.0000000000000427E-2</v>
      </c>
      <c r="R19" s="2">
        <f t="shared" si="3"/>
        <v>0.12250000000000003</v>
      </c>
      <c r="S19" s="2">
        <f t="shared" ref="S19:T19" si="8">(S8*COUNTIF($J$1:$J$100,S$16) - COUNTIFS($J$1:$J$100,S$16,$K$1:$K$100,"=1"))^2</f>
        <v>9.0000000000000427E-2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9.0000000000000024E-2</v>
      </c>
    </row>
    <row r="20" spans="1:22" ht="14.25" customHeight="1">
      <c r="A20" s="2">
        <v>21</v>
      </c>
      <c r="B20" s="2">
        <v>19</v>
      </c>
      <c r="C20" s="2">
        <v>6</v>
      </c>
      <c r="D20" s="2">
        <v>1</v>
      </c>
      <c r="E20" s="2">
        <v>1.236</v>
      </c>
      <c r="F20" s="2">
        <v>2</v>
      </c>
      <c r="H20" s="2">
        <v>21</v>
      </c>
      <c r="I20" s="2">
        <v>220</v>
      </c>
      <c r="J20" s="2">
        <v>4</v>
      </c>
      <c r="K20" s="2">
        <v>1</v>
      </c>
      <c r="L20" s="2">
        <v>0.91300000000000003</v>
      </c>
      <c r="N20" s="2">
        <v>4</v>
      </c>
      <c r="O20" s="2">
        <f t="shared" si="0"/>
        <v>9</v>
      </c>
      <c r="P20" s="2">
        <f t="shared" si="1"/>
        <v>12.25</v>
      </c>
      <c r="Q20" s="2">
        <f t="shared" si="2"/>
        <v>9</v>
      </c>
      <c r="R20" s="2">
        <f t="shared" si="3"/>
        <v>12.25</v>
      </c>
      <c r="S20" s="2">
        <f t="shared" ref="S20:T20" si="10">(S9*COUNTIF($J$1:$J$100,S$16) - COUNTIFS($J$1:$J$100,S$16,$K$1:$K$100,"=1"))^2</f>
        <v>9.0000000000000427E-2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9.0000000000000024E-2</v>
      </c>
    </row>
    <row r="21" spans="1:22" ht="14.25" customHeight="1">
      <c r="A21" s="2">
        <v>21</v>
      </c>
      <c r="B21" s="2">
        <v>20</v>
      </c>
      <c r="C21" s="2">
        <v>2</v>
      </c>
      <c r="D21" s="2">
        <v>0</v>
      </c>
      <c r="E21" s="2">
        <v>1.575</v>
      </c>
      <c r="F21" s="2">
        <v>2</v>
      </c>
      <c r="H21" s="2">
        <v>21</v>
      </c>
      <c r="I21" s="2">
        <v>221</v>
      </c>
      <c r="J21" s="2">
        <v>1</v>
      </c>
      <c r="K21" s="2">
        <v>1</v>
      </c>
      <c r="L21" s="2">
        <v>0.73799999999999999</v>
      </c>
      <c r="N21" s="2">
        <v>5</v>
      </c>
      <c r="O21" s="2">
        <f t="shared" si="0"/>
        <v>9.0000000000000427E-2</v>
      </c>
      <c r="P21" s="2">
        <f t="shared" si="1"/>
        <v>0.12250000000000003</v>
      </c>
      <c r="Q21" s="2">
        <f t="shared" si="2"/>
        <v>9.0000000000000427E-2</v>
      </c>
      <c r="R21" s="2">
        <f t="shared" si="3"/>
        <v>0.12250000000000003</v>
      </c>
      <c r="S21" s="2">
        <f t="shared" ref="S21:T21" si="12">(S10*COUNTIF($J$1:$J$100,S$16) - COUNTIFS($J$1:$J$100,S$16,$K$1:$K$100,"=1"))^2</f>
        <v>9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9</v>
      </c>
    </row>
    <row r="22" spans="1:22" ht="14.25" customHeight="1">
      <c r="A22" s="2">
        <v>21</v>
      </c>
      <c r="B22" s="2">
        <v>21</v>
      </c>
      <c r="C22" s="2">
        <v>5</v>
      </c>
      <c r="E22" s="2">
        <v>2</v>
      </c>
      <c r="H22" s="2">
        <v>21</v>
      </c>
      <c r="I22" s="2">
        <v>222</v>
      </c>
      <c r="J22" s="2">
        <v>6</v>
      </c>
      <c r="K22" s="2">
        <v>1</v>
      </c>
      <c r="L22" s="2">
        <v>0.88900000000000001</v>
      </c>
      <c r="N22" s="2">
        <v>6</v>
      </c>
      <c r="O22" s="2">
        <f t="shared" si="0"/>
        <v>9</v>
      </c>
      <c r="P22" s="2">
        <f t="shared" si="1"/>
        <v>12.25</v>
      </c>
      <c r="Q22" s="2">
        <f t="shared" si="2"/>
        <v>9</v>
      </c>
      <c r="R22" s="2">
        <f t="shared" si="3"/>
        <v>12.25</v>
      </c>
      <c r="S22" s="2">
        <f t="shared" ref="S22:T22" si="14">(S11*COUNTIF($J$1:$J$100,S$16) - COUNTIFS($J$1:$J$100,S$16,$K$1:$K$100,"=1"))^2</f>
        <v>9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9</v>
      </c>
    </row>
    <row r="23" spans="1:22" ht="14.25" customHeight="1">
      <c r="A23" s="2">
        <v>21</v>
      </c>
      <c r="B23" s="2">
        <v>22</v>
      </c>
      <c r="C23" s="2">
        <v>3</v>
      </c>
      <c r="D23" s="2">
        <v>0</v>
      </c>
      <c r="E23" s="2">
        <v>0.69799999999999995</v>
      </c>
      <c r="F23" s="2">
        <v>1</v>
      </c>
      <c r="H23" s="2">
        <v>21</v>
      </c>
      <c r="I23" s="2">
        <v>223</v>
      </c>
      <c r="J23" s="2">
        <v>8</v>
      </c>
      <c r="K23" s="2">
        <v>1</v>
      </c>
      <c r="L23" s="2">
        <v>0.65800000000000003</v>
      </c>
    </row>
    <row r="24" spans="1:22" ht="14.25" customHeight="1">
      <c r="A24" s="2">
        <v>21</v>
      </c>
      <c r="B24" s="2">
        <v>23</v>
      </c>
      <c r="C24" s="2">
        <v>7</v>
      </c>
      <c r="D24" s="2">
        <v>1</v>
      </c>
      <c r="E24" s="2">
        <v>0.84099999999999997</v>
      </c>
      <c r="F24" s="2">
        <v>1</v>
      </c>
      <c r="H24" s="2">
        <v>21</v>
      </c>
      <c r="I24" s="2">
        <v>224</v>
      </c>
      <c r="J24" s="2">
        <v>6</v>
      </c>
      <c r="K24" s="2">
        <v>1</v>
      </c>
      <c r="L24" s="2">
        <v>1.0429999999999999</v>
      </c>
    </row>
    <row r="25" spans="1:22" ht="14.25" customHeight="1">
      <c r="A25" s="2">
        <v>21</v>
      </c>
      <c r="B25" s="2">
        <v>24</v>
      </c>
      <c r="C25" s="2">
        <v>3</v>
      </c>
      <c r="D25" s="2">
        <v>1</v>
      </c>
      <c r="E25" s="2">
        <v>1.365</v>
      </c>
      <c r="F25" s="2">
        <v>2</v>
      </c>
      <c r="H25" s="2">
        <v>21</v>
      </c>
      <c r="I25" s="2">
        <v>225</v>
      </c>
      <c r="J25" s="2">
        <v>3</v>
      </c>
      <c r="K25" s="2">
        <v>1</v>
      </c>
      <c r="L25" s="2">
        <v>1.2609999999999999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21</v>
      </c>
      <c r="B26" s="2">
        <v>25</v>
      </c>
      <c r="C26" s="2">
        <v>2</v>
      </c>
      <c r="D26" s="2">
        <v>1</v>
      </c>
      <c r="E26" s="2">
        <v>1.5229999999999999</v>
      </c>
      <c r="F26" s="2">
        <v>1</v>
      </c>
      <c r="H26" s="2">
        <v>21</v>
      </c>
      <c r="I26" s="2">
        <v>226</v>
      </c>
      <c r="J26" s="2">
        <v>5</v>
      </c>
      <c r="K26" s="2">
        <v>1</v>
      </c>
      <c r="L26" s="2">
        <v>1.0149999999999999</v>
      </c>
      <c r="O26" s="2">
        <f t="shared" ref="O26:V26" si="16">COUNTIF($J$1:$J$100,O$16)^2</f>
        <v>36</v>
      </c>
      <c r="P26" s="2">
        <f t="shared" si="16"/>
        <v>49</v>
      </c>
      <c r="Q26" s="2">
        <f t="shared" si="16"/>
        <v>36</v>
      </c>
      <c r="R26" s="2">
        <f t="shared" si="16"/>
        <v>49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21</v>
      </c>
      <c r="B27" s="2">
        <v>26</v>
      </c>
      <c r="C27" s="2">
        <v>1</v>
      </c>
      <c r="D27" s="2">
        <v>0</v>
      </c>
      <c r="E27" s="2">
        <v>1.177</v>
      </c>
      <c r="F27" s="2">
        <v>1</v>
      </c>
      <c r="H27" s="2">
        <v>21</v>
      </c>
      <c r="I27" s="2">
        <v>227</v>
      </c>
      <c r="J27" s="2">
        <v>7</v>
      </c>
      <c r="K27" s="2">
        <v>1</v>
      </c>
      <c r="L27" s="2">
        <v>0.79500000000000004</v>
      </c>
    </row>
    <row r="28" spans="1:22" ht="14.25" customHeight="1">
      <c r="A28" s="2">
        <v>21</v>
      </c>
      <c r="B28" s="2">
        <v>27</v>
      </c>
      <c r="C28" s="2">
        <v>8</v>
      </c>
      <c r="D28" s="2">
        <v>1</v>
      </c>
      <c r="E28" s="2">
        <v>1.0309999999999999</v>
      </c>
      <c r="F28" s="2">
        <v>1</v>
      </c>
      <c r="H28" s="2">
        <v>21</v>
      </c>
      <c r="I28" s="2">
        <v>228</v>
      </c>
      <c r="J28" s="2">
        <v>3</v>
      </c>
      <c r="K28" s="2">
        <v>1</v>
      </c>
      <c r="L28" s="2">
        <v>0.86499999999999999</v>
      </c>
    </row>
    <row r="29" spans="1:22" ht="14.25" customHeight="1">
      <c r="A29" s="2">
        <v>21</v>
      </c>
      <c r="B29" s="2">
        <v>28</v>
      </c>
      <c r="C29" s="2">
        <v>5</v>
      </c>
      <c r="D29" s="2">
        <v>1</v>
      </c>
      <c r="E29" s="2">
        <v>1.5229999999999999</v>
      </c>
      <c r="F29" s="2">
        <v>2</v>
      </c>
      <c r="H29" s="2">
        <v>21</v>
      </c>
      <c r="I29" s="2">
        <v>229</v>
      </c>
      <c r="J29" s="2">
        <v>7</v>
      </c>
      <c r="K29" s="2">
        <v>1</v>
      </c>
      <c r="L29" s="2">
        <v>1.242</v>
      </c>
    </row>
    <row r="30" spans="1:22" ht="14.25" customHeight="1">
      <c r="A30" s="2">
        <v>21</v>
      </c>
      <c r="B30" s="2">
        <v>29</v>
      </c>
      <c r="C30" s="2">
        <v>7</v>
      </c>
      <c r="D30" s="2">
        <v>1</v>
      </c>
      <c r="E30" s="2">
        <v>1.026</v>
      </c>
      <c r="F30" s="2">
        <v>1</v>
      </c>
      <c r="H30" s="2">
        <v>21</v>
      </c>
      <c r="I30" s="2">
        <v>230</v>
      </c>
      <c r="J30" s="2">
        <v>4</v>
      </c>
      <c r="K30" s="2">
        <v>1</v>
      </c>
      <c r="L30" s="2">
        <v>1.268</v>
      </c>
    </row>
    <row r="31" spans="1:22" ht="14.25" customHeight="1">
      <c r="A31" s="2">
        <v>21</v>
      </c>
      <c r="B31" s="2">
        <v>30</v>
      </c>
      <c r="C31" s="2">
        <v>4</v>
      </c>
      <c r="D31" s="2">
        <v>0</v>
      </c>
      <c r="E31" s="2">
        <v>1.4119999999999999</v>
      </c>
      <c r="F31" s="2">
        <v>2</v>
      </c>
      <c r="H31" s="2">
        <v>21</v>
      </c>
      <c r="I31" s="2">
        <v>231</v>
      </c>
      <c r="J31" s="2">
        <v>3</v>
      </c>
      <c r="K31" s="2">
        <v>1</v>
      </c>
      <c r="L31" s="2">
        <v>0.94399999999999995</v>
      </c>
      <c r="N31" s="2">
        <v>1</v>
      </c>
      <c r="O31" s="2">
        <f t="shared" ref="O31:O36" si="17">SUM(O17:V17)/(SUM($O$26:$V$26))</f>
        <v>2.5000000000000061E-3</v>
      </c>
    </row>
    <row r="32" spans="1:22" ht="14.25" customHeight="1">
      <c r="A32" s="2">
        <v>21</v>
      </c>
      <c r="B32" s="2">
        <v>31</v>
      </c>
      <c r="C32" s="2">
        <v>6</v>
      </c>
      <c r="D32" s="2">
        <v>1</v>
      </c>
      <c r="E32" s="2">
        <v>1.754</v>
      </c>
      <c r="F32" s="2">
        <v>2</v>
      </c>
      <c r="H32" s="2">
        <v>21</v>
      </c>
      <c r="I32" s="2">
        <v>232</v>
      </c>
      <c r="J32" s="2">
        <v>8</v>
      </c>
      <c r="K32" s="2">
        <v>1</v>
      </c>
      <c r="L32" s="2">
        <v>1.157</v>
      </c>
      <c r="N32" s="2">
        <v>2</v>
      </c>
      <c r="O32" s="2">
        <f t="shared" si="17"/>
        <v>0.24613057324840767</v>
      </c>
    </row>
    <row r="33" spans="1:15" ht="14.25" customHeight="1">
      <c r="A33" s="2">
        <v>21</v>
      </c>
      <c r="B33" s="2">
        <v>32</v>
      </c>
      <c r="C33" s="2">
        <v>2</v>
      </c>
      <c r="D33" s="2">
        <v>1</v>
      </c>
      <c r="E33" s="2">
        <v>1.88</v>
      </c>
      <c r="F33" s="2">
        <v>1</v>
      </c>
      <c r="H33" s="2">
        <v>21</v>
      </c>
      <c r="I33" s="2">
        <v>233</v>
      </c>
      <c r="J33" s="2">
        <v>3</v>
      </c>
      <c r="K33" s="2">
        <v>1</v>
      </c>
      <c r="L33" s="2">
        <v>0.98699999999999999</v>
      </c>
      <c r="N33" s="2">
        <v>3</v>
      </c>
      <c r="O33" s="2">
        <f t="shared" si="17"/>
        <v>0.20886942675159237</v>
      </c>
    </row>
    <row r="34" spans="1:15" ht="14.25" customHeight="1">
      <c r="A34" s="2">
        <v>21</v>
      </c>
      <c r="B34" s="2">
        <v>33</v>
      </c>
      <c r="C34" s="2">
        <v>8</v>
      </c>
      <c r="D34" s="2">
        <v>1</v>
      </c>
      <c r="E34" s="2">
        <v>0.81599999999999995</v>
      </c>
      <c r="F34" s="2">
        <v>1</v>
      </c>
      <c r="H34" s="2">
        <v>21</v>
      </c>
      <c r="I34" s="2">
        <v>234</v>
      </c>
      <c r="J34" s="2">
        <v>6</v>
      </c>
      <c r="K34" s="2">
        <v>1</v>
      </c>
      <c r="L34" s="2">
        <v>1.641</v>
      </c>
      <c r="N34" s="2">
        <v>4</v>
      </c>
      <c r="O34" s="2">
        <f t="shared" si="17"/>
        <v>0.13649681528662425</v>
      </c>
    </row>
    <row r="35" spans="1:15" ht="14.25" customHeight="1">
      <c r="A35" s="2">
        <v>21</v>
      </c>
      <c r="B35" s="2">
        <v>34</v>
      </c>
      <c r="C35" s="2">
        <v>2</v>
      </c>
      <c r="E35" s="2">
        <v>2.0009999999999999</v>
      </c>
      <c r="H35" s="2">
        <v>21</v>
      </c>
      <c r="I35" s="2">
        <v>235</v>
      </c>
      <c r="J35" s="2">
        <v>2</v>
      </c>
      <c r="K35" s="2">
        <v>1</v>
      </c>
      <c r="L35" s="2">
        <v>1.0429999999999999</v>
      </c>
      <c r="N35" s="2">
        <v>5</v>
      </c>
      <c r="O35" s="2">
        <f t="shared" si="17"/>
        <v>0.11600318471337578</v>
      </c>
    </row>
    <row r="36" spans="1:15" ht="14.25" customHeight="1">
      <c r="A36" s="2">
        <v>21</v>
      </c>
      <c r="B36" s="2">
        <v>35</v>
      </c>
      <c r="C36" s="2">
        <v>6</v>
      </c>
      <c r="D36" s="2">
        <v>1</v>
      </c>
      <c r="E36" s="2">
        <v>1.6339999999999999</v>
      </c>
      <c r="F36" s="2">
        <v>2</v>
      </c>
      <c r="H36" s="2">
        <v>21</v>
      </c>
      <c r="I36" s="2">
        <v>236</v>
      </c>
      <c r="J36" s="2">
        <v>8</v>
      </c>
      <c r="K36" s="2">
        <v>1</v>
      </c>
      <c r="L36" s="2">
        <v>1.046</v>
      </c>
      <c r="N36" s="2">
        <v>6</v>
      </c>
      <c r="O36" s="2">
        <f t="shared" si="17"/>
        <v>0.25</v>
      </c>
    </row>
    <row r="37" spans="1:15" ht="14.25" customHeight="1">
      <c r="A37" s="2">
        <v>21</v>
      </c>
      <c r="B37" s="2">
        <v>36</v>
      </c>
      <c r="C37" s="2">
        <v>1</v>
      </c>
      <c r="D37" s="2">
        <v>1</v>
      </c>
      <c r="E37" s="2">
        <v>1.958</v>
      </c>
      <c r="F37" s="2">
        <v>2</v>
      </c>
      <c r="H37" s="2">
        <v>21</v>
      </c>
      <c r="I37" s="2">
        <v>237</v>
      </c>
      <c r="J37" s="2">
        <v>4</v>
      </c>
      <c r="K37" s="2">
        <v>1</v>
      </c>
      <c r="L37" s="2">
        <v>1.0880000000000001</v>
      </c>
    </row>
    <row r="38" spans="1:15" ht="14.25" customHeight="1">
      <c r="A38" s="2">
        <v>21</v>
      </c>
      <c r="B38" s="2">
        <v>37</v>
      </c>
      <c r="C38" s="2">
        <v>4</v>
      </c>
      <c r="D38" s="2">
        <v>1</v>
      </c>
      <c r="E38" s="2">
        <v>0.94699999999999995</v>
      </c>
      <c r="F38" s="2">
        <v>1</v>
      </c>
      <c r="H38" s="2">
        <v>21</v>
      </c>
      <c r="I38" s="2">
        <v>238</v>
      </c>
      <c r="J38" s="2">
        <v>6</v>
      </c>
      <c r="K38" s="2">
        <v>1</v>
      </c>
      <c r="L38" s="2">
        <v>1.002</v>
      </c>
    </row>
    <row r="39" spans="1:15" ht="14.25" customHeight="1">
      <c r="A39" s="2">
        <v>21</v>
      </c>
      <c r="B39" s="2">
        <v>38</v>
      </c>
      <c r="C39" s="2">
        <v>1</v>
      </c>
      <c r="D39" s="2">
        <v>0</v>
      </c>
      <c r="E39" s="2">
        <v>1.7210000000000001</v>
      </c>
      <c r="F39" s="2">
        <v>1</v>
      </c>
      <c r="H39" s="2">
        <v>21</v>
      </c>
      <c r="I39" s="2">
        <v>239</v>
      </c>
      <c r="J39" s="2">
        <v>2</v>
      </c>
      <c r="K39" s="2">
        <v>1</v>
      </c>
      <c r="L39" s="2">
        <v>0.74099999999999999</v>
      </c>
    </row>
    <row r="40" spans="1:15" ht="14.25" customHeight="1">
      <c r="A40" s="2">
        <v>21</v>
      </c>
      <c r="B40" s="2">
        <v>39</v>
      </c>
      <c r="C40" s="2">
        <v>2</v>
      </c>
      <c r="D40" s="2">
        <v>1</v>
      </c>
      <c r="E40" s="2">
        <v>0.57799999999999996</v>
      </c>
      <c r="F40" s="2">
        <v>1</v>
      </c>
      <c r="H40" s="2">
        <v>21</v>
      </c>
      <c r="I40" s="2">
        <v>240</v>
      </c>
      <c r="J40" s="2">
        <v>5</v>
      </c>
      <c r="K40" s="2">
        <v>1</v>
      </c>
      <c r="L40" s="2">
        <v>0.70799999999999996</v>
      </c>
    </row>
    <row r="41" spans="1:15" ht="14.25" customHeight="1">
      <c r="A41" s="2">
        <v>21</v>
      </c>
      <c r="B41" s="2">
        <v>40</v>
      </c>
      <c r="C41" s="2">
        <v>8</v>
      </c>
      <c r="D41" s="2">
        <v>1</v>
      </c>
      <c r="E41" s="2">
        <v>0.74199999999999999</v>
      </c>
      <c r="F41" s="2">
        <v>1</v>
      </c>
      <c r="H41" s="2">
        <v>21</v>
      </c>
      <c r="I41" s="2">
        <v>241</v>
      </c>
      <c r="J41" s="2">
        <v>4</v>
      </c>
      <c r="K41" s="2">
        <v>1</v>
      </c>
      <c r="L41" s="2">
        <v>1.3560000000000001</v>
      </c>
    </row>
    <row r="42" spans="1:15" ht="14.25" customHeight="1">
      <c r="A42" s="2">
        <v>21</v>
      </c>
      <c r="B42" s="2">
        <v>41</v>
      </c>
      <c r="C42" s="2">
        <v>4</v>
      </c>
      <c r="D42" s="2">
        <v>1</v>
      </c>
      <c r="E42" s="2">
        <v>1.7410000000000001</v>
      </c>
      <c r="F42" s="2">
        <v>1</v>
      </c>
      <c r="H42" s="2">
        <v>21</v>
      </c>
      <c r="I42" s="2">
        <v>242</v>
      </c>
      <c r="J42" s="2">
        <v>5</v>
      </c>
      <c r="K42" s="2">
        <v>1</v>
      </c>
      <c r="L42" s="2">
        <v>0.97</v>
      </c>
    </row>
    <row r="43" spans="1:15" ht="14.25" customHeight="1">
      <c r="A43" s="2">
        <v>21</v>
      </c>
      <c r="B43" s="2">
        <v>42</v>
      </c>
      <c r="C43" s="2">
        <v>5</v>
      </c>
      <c r="D43" s="2">
        <v>1</v>
      </c>
      <c r="E43" s="2">
        <v>1.4670000000000001</v>
      </c>
      <c r="F43" s="2">
        <v>2</v>
      </c>
      <c r="H43" s="2">
        <v>21</v>
      </c>
      <c r="I43" s="2">
        <v>243</v>
      </c>
      <c r="J43" s="2">
        <v>1</v>
      </c>
      <c r="K43" s="2">
        <v>1</v>
      </c>
      <c r="L43" s="2">
        <v>0.94299999999999995</v>
      </c>
    </row>
    <row r="44" spans="1:15" ht="14.25" customHeight="1">
      <c r="A44" s="2">
        <v>21</v>
      </c>
      <c r="B44" s="2">
        <v>43</v>
      </c>
      <c r="C44" s="2">
        <v>1</v>
      </c>
      <c r="D44" s="2">
        <v>1</v>
      </c>
      <c r="E44" s="2">
        <v>1.125</v>
      </c>
      <c r="F44" s="2">
        <v>2</v>
      </c>
      <c r="H44" s="2">
        <v>21</v>
      </c>
      <c r="I44" s="2">
        <v>244</v>
      </c>
      <c r="J44" s="2">
        <v>7</v>
      </c>
      <c r="K44" s="2">
        <v>1</v>
      </c>
      <c r="L44" s="2">
        <v>0.65400000000000003</v>
      </c>
    </row>
    <row r="45" spans="1:15" ht="14.25" customHeight="1">
      <c r="A45" s="2">
        <v>21</v>
      </c>
      <c r="B45" s="2">
        <v>44</v>
      </c>
      <c r="C45" s="2">
        <v>5</v>
      </c>
      <c r="E45" s="2">
        <v>2</v>
      </c>
      <c r="H45" s="2">
        <v>21</v>
      </c>
      <c r="I45" s="2">
        <v>245</v>
      </c>
      <c r="J45" s="2">
        <v>1</v>
      </c>
      <c r="K45" s="2">
        <v>1</v>
      </c>
      <c r="L45" s="2">
        <v>0.81599999999999995</v>
      </c>
    </row>
    <row r="46" spans="1:15" ht="14.25" customHeight="1">
      <c r="A46" s="2">
        <v>21</v>
      </c>
      <c r="B46" s="2">
        <v>45</v>
      </c>
      <c r="C46" s="2">
        <v>8</v>
      </c>
      <c r="D46" s="2">
        <v>1</v>
      </c>
      <c r="E46" s="2">
        <v>0.82599999999999996</v>
      </c>
      <c r="F46" s="2">
        <v>1</v>
      </c>
      <c r="H46" s="2">
        <v>21</v>
      </c>
      <c r="I46" s="2">
        <v>246</v>
      </c>
      <c r="J46" s="2">
        <v>5</v>
      </c>
      <c r="K46" s="2">
        <v>1</v>
      </c>
      <c r="L46" s="2">
        <v>0.96399999999999997</v>
      </c>
    </row>
    <row r="47" spans="1:15" ht="14.25" customHeight="1">
      <c r="A47" s="2">
        <v>21</v>
      </c>
      <c r="B47" s="2">
        <v>46</v>
      </c>
      <c r="C47" s="2">
        <v>6</v>
      </c>
      <c r="D47" s="2">
        <v>0</v>
      </c>
      <c r="E47" s="2">
        <v>1.7969999999999999</v>
      </c>
      <c r="F47" s="2">
        <v>1</v>
      </c>
      <c r="H47" s="2">
        <v>21</v>
      </c>
      <c r="I47" s="2">
        <v>247</v>
      </c>
      <c r="J47" s="2">
        <v>2</v>
      </c>
      <c r="K47" s="2">
        <v>1</v>
      </c>
      <c r="L47" s="2">
        <v>1.1859999999999999</v>
      </c>
    </row>
    <row r="48" spans="1:15" ht="14.25" customHeight="1">
      <c r="A48" s="2">
        <v>21</v>
      </c>
      <c r="B48" s="2">
        <v>47</v>
      </c>
      <c r="C48" s="2">
        <v>4</v>
      </c>
      <c r="D48" s="2">
        <v>1</v>
      </c>
      <c r="E48" s="2">
        <v>0.92200000000000004</v>
      </c>
      <c r="F48" s="2">
        <v>1</v>
      </c>
      <c r="H48" s="2">
        <v>21</v>
      </c>
      <c r="I48" s="2">
        <v>248</v>
      </c>
      <c r="J48" s="2">
        <v>6</v>
      </c>
      <c r="K48" s="2">
        <v>1</v>
      </c>
      <c r="L48" s="2">
        <v>0.752</v>
      </c>
    </row>
    <row r="49" spans="1:12" ht="14.25" customHeight="1">
      <c r="A49" s="2">
        <v>21</v>
      </c>
      <c r="B49" s="2">
        <v>48</v>
      </c>
      <c r="C49" s="2">
        <v>7</v>
      </c>
      <c r="D49" s="2">
        <v>1</v>
      </c>
      <c r="E49" s="2">
        <v>0.80800000000000005</v>
      </c>
      <c r="F49" s="2">
        <v>1</v>
      </c>
      <c r="H49" s="2">
        <v>21</v>
      </c>
      <c r="I49" s="2">
        <v>249</v>
      </c>
      <c r="J49" s="2">
        <v>1</v>
      </c>
      <c r="K49" s="2">
        <v>1</v>
      </c>
      <c r="L49" s="2">
        <v>0.66200000000000003</v>
      </c>
    </row>
    <row r="50" spans="1:12" ht="14.25" customHeight="1">
      <c r="A50" s="2">
        <v>21</v>
      </c>
      <c r="B50" s="2">
        <v>49</v>
      </c>
      <c r="C50" s="2">
        <v>8</v>
      </c>
      <c r="D50" s="2">
        <v>1</v>
      </c>
      <c r="E50" s="2">
        <v>1.077</v>
      </c>
      <c r="F50" s="2">
        <v>1</v>
      </c>
      <c r="H50" s="2">
        <v>21</v>
      </c>
      <c r="I50" s="2">
        <v>250</v>
      </c>
      <c r="J50" s="2">
        <v>4</v>
      </c>
      <c r="K50" s="2">
        <v>1</v>
      </c>
      <c r="L50" s="2">
        <v>1.0329999999999999</v>
      </c>
    </row>
    <row r="51" spans="1:12" ht="14.25" customHeight="1">
      <c r="A51" s="2">
        <v>21</v>
      </c>
      <c r="B51" s="2">
        <v>50</v>
      </c>
      <c r="C51" s="2">
        <v>5</v>
      </c>
      <c r="D51" s="2">
        <v>1</v>
      </c>
      <c r="E51" s="2">
        <v>1.39</v>
      </c>
      <c r="F51" s="2">
        <v>2</v>
      </c>
    </row>
    <row r="52" spans="1:12" ht="14.25" customHeight="1">
      <c r="A52" s="2">
        <v>21</v>
      </c>
      <c r="B52" s="2">
        <v>51</v>
      </c>
      <c r="C52" s="2">
        <v>1</v>
      </c>
      <c r="D52" s="2">
        <v>1</v>
      </c>
      <c r="E52" s="2">
        <v>1.248</v>
      </c>
      <c r="F52" s="2">
        <v>2</v>
      </c>
    </row>
    <row r="53" spans="1:12" ht="14.25" customHeight="1">
      <c r="A53" s="2">
        <v>21</v>
      </c>
      <c r="B53" s="2">
        <v>52</v>
      </c>
      <c r="C53" s="2">
        <v>3</v>
      </c>
      <c r="D53" s="2">
        <v>1</v>
      </c>
      <c r="E53" s="2">
        <v>1.379</v>
      </c>
      <c r="F53" s="2">
        <v>1</v>
      </c>
    </row>
    <row r="54" spans="1:12" ht="14.25" customHeight="1">
      <c r="A54" s="2">
        <v>21</v>
      </c>
      <c r="B54" s="2">
        <v>53</v>
      </c>
      <c r="C54" s="2">
        <v>2</v>
      </c>
      <c r="D54" s="2">
        <v>1</v>
      </c>
      <c r="E54" s="2">
        <v>1.5509999999999999</v>
      </c>
      <c r="F54" s="2">
        <v>2</v>
      </c>
    </row>
    <row r="55" spans="1:12" ht="14.25" customHeight="1">
      <c r="A55" s="2">
        <v>21</v>
      </c>
      <c r="B55" s="2">
        <v>54</v>
      </c>
      <c r="C55" s="2">
        <v>8</v>
      </c>
      <c r="D55" s="2">
        <v>0</v>
      </c>
      <c r="E55" s="2">
        <v>0.75800000000000001</v>
      </c>
      <c r="F55" s="2">
        <v>1</v>
      </c>
    </row>
    <row r="56" spans="1:12" ht="14.25" customHeight="1">
      <c r="A56" s="2">
        <v>21</v>
      </c>
      <c r="B56" s="2">
        <v>55</v>
      </c>
      <c r="C56" s="2">
        <v>2</v>
      </c>
      <c r="D56" s="2">
        <v>1</v>
      </c>
      <c r="E56" s="2">
        <v>0.86099999999999999</v>
      </c>
      <c r="F56" s="2">
        <v>1</v>
      </c>
    </row>
    <row r="57" spans="1:12" ht="14.25" customHeight="1">
      <c r="A57" s="2">
        <v>21</v>
      </c>
      <c r="B57" s="2">
        <v>56</v>
      </c>
      <c r="C57" s="2">
        <v>4</v>
      </c>
      <c r="D57" s="2">
        <v>1</v>
      </c>
      <c r="E57" s="2">
        <v>1.502</v>
      </c>
      <c r="F57" s="2">
        <v>1</v>
      </c>
    </row>
    <row r="58" spans="1:12" ht="14.25" customHeight="1">
      <c r="A58" s="2">
        <v>21</v>
      </c>
      <c r="B58" s="2">
        <v>57</v>
      </c>
      <c r="C58" s="2">
        <v>1</v>
      </c>
      <c r="D58" s="2">
        <v>1</v>
      </c>
      <c r="E58" s="2">
        <v>0.78300000000000003</v>
      </c>
      <c r="F58" s="2">
        <v>1</v>
      </c>
    </row>
    <row r="59" spans="1:12" ht="14.25" customHeight="1">
      <c r="A59" s="2">
        <v>21</v>
      </c>
      <c r="B59" s="2">
        <v>58</v>
      </c>
      <c r="C59" s="2">
        <v>5</v>
      </c>
      <c r="D59" s="2">
        <v>1</v>
      </c>
      <c r="E59" s="2">
        <v>1.724</v>
      </c>
      <c r="F59" s="2">
        <v>2</v>
      </c>
    </row>
    <row r="60" spans="1:12" ht="14.25" customHeight="1">
      <c r="A60" s="2">
        <v>21</v>
      </c>
      <c r="B60" s="2">
        <v>59</v>
      </c>
      <c r="C60" s="2">
        <v>1</v>
      </c>
      <c r="D60" s="2">
        <v>1</v>
      </c>
      <c r="E60" s="2">
        <v>0.64400000000000002</v>
      </c>
      <c r="F60" s="2">
        <v>1</v>
      </c>
    </row>
    <row r="61" spans="1:12" ht="14.25" customHeight="1">
      <c r="A61" s="2">
        <v>21</v>
      </c>
      <c r="B61" s="2">
        <v>60</v>
      </c>
      <c r="C61" s="2">
        <v>8</v>
      </c>
      <c r="D61" s="2">
        <v>1</v>
      </c>
      <c r="E61" s="2">
        <v>1.4379999999999999</v>
      </c>
      <c r="F61" s="2">
        <v>1</v>
      </c>
    </row>
    <row r="62" spans="1:12" ht="14.25" customHeight="1">
      <c r="A62" s="2">
        <v>21</v>
      </c>
      <c r="B62" s="2">
        <v>61</v>
      </c>
      <c r="C62" s="2">
        <v>4</v>
      </c>
      <c r="D62" s="2">
        <v>1</v>
      </c>
      <c r="E62" s="2">
        <v>1.5760000000000001</v>
      </c>
      <c r="F62" s="2">
        <v>2</v>
      </c>
    </row>
    <row r="63" spans="1:12" ht="14.25" customHeight="1">
      <c r="A63" s="2">
        <v>21</v>
      </c>
      <c r="B63" s="2">
        <v>62</v>
      </c>
      <c r="C63" s="2">
        <v>2</v>
      </c>
      <c r="D63" s="2">
        <v>1</v>
      </c>
      <c r="E63" s="2">
        <v>1.4930000000000001</v>
      </c>
      <c r="F63" s="2">
        <v>1</v>
      </c>
    </row>
    <row r="64" spans="1:12" ht="14.25" customHeight="1">
      <c r="A64" s="2">
        <v>21</v>
      </c>
      <c r="B64" s="2">
        <v>63</v>
      </c>
      <c r="C64" s="2">
        <v>3</v>
      </c>
      <c r="D64" s="2">
        <v>1</v>
      </c>
      <c r="E64" s="2">
        <v>1.575</v>
      </c>
      <c r="F64" s="2">
        <v>2</v>
      </c>
    </row>
    <row r="65" spans="1:6" ht="14.25" customHeight="1">
      <c r="A65" s="2">
        <v>21</v>
      </c>
      <c r="B65" s="2">
        <v>64</v>
      </c>
      <c r="C65" s="2">
        <v>6</v>
      </c>
      <c r="D65" s="2">
        <v>1</v>
      </c>
      <c r="E65" s="2">
        <v>1.403</v>
      </c>
      <c r="F65" s="2">
        <v>2</v>
      </c>
    </row>
    <row r="66" spans="1:6" ht="14.25" customHeight="1">
      <c r="A66" s="2">
        <v>21</v>
      </c>
      <c r="B66" s="2">
        <v>65</v>
      </c>
      <c r="C66" s="2">
        <v>2</v>
      </c>
      <c r="D66" s="2">
        <v>1</v>
      </c>
      <c r="E66" s="2">
        <v>1.8480000000000001</v>
      </c>
      <c r="F66" s="2">
        <v>2</v>
      </c>
    </row>
    <row r="67" spans="1:6" ht="14.25" customHeight="1">
      <c r="A67" s="2">
        <v>21</v>
      </c>
      <c r="B67" s="2">
        <v>66</v>
      </c>
      <c r="C67" s="2">
        <v>7</v>
      </c>
      <c r="D67" s="2">
        <v>1</v>
      </c>
      <c r="E67" s="2">
        <v>0.77100000000000002</v>
      </c>
      <c r="F67" s="2">
        <v>1</v>
      </c>
    </row>
    <row r="68" spans="1:6" ht="14.25" customHeight="1">
      <c r="A68" s="2">
        <v>21</v>
      </c>
      <c r="B68" s="2">
        <v>67</v>
      </c>
      <c r="C68" s="2">
        <v>6</v>
      </c>
      <c r="D68" s="2">
        <v>0</v>
      </c>
      <c r="E68" s="2">
        <v>1.8879999999999999</v>
      </c>
      <c r="F68" s="2">
        <v>1</v>
      </c>
    </row>
    <row r="69" spans="1:6" ht="14.25" customHeight="1">
      <c r="A69" s="2">
        <v>21</v>
      </c>
      <c r="B69" s="2">
        <v>68</v>
      </c>
      <c r="C69" s="2">
        <v>5</v>
      </c>
      <c r="D69" s="2">
        <v>1</v>
      </c>
      <c r="E69" s="2">
        <v>1.6890000000000001</v>
      </c>
      <c r="F69" s="2">
        <v>1</v>
      </c>
    </row>
    <row r="70" spans="1:6" ht="14.25" customHeight="1">
      <c r="A70" s="2">
        <v>21</v>
      </c>
      <c r="B70" s="2">
        <v>69</v>
      </c>
      <c r="C70" s="2">
        <v>1</v>
      </c>
      <c r="D70" s="2">
        <v>0</v>
      </c>
      <c r="E70" s="2">
        <v>1.802</v>
      </c>
      <c r="F70" s="2">
        <v>1</v>
      </c>
    </row>
    <row r="71" spans="1:6" ht="14.25" customHeight="1">
      <c r="A71" s="2">
        <v>21</v>
      </c>
      <c r="B71" s="2">
        <v>70</v>
      </c>
      <c r="C71" s="2">
        <v>8</v>
      </c>
      <c r="D71" s="2">
        <v>1</v>
      </c>
      <c r="E71" s="2">
        <v>1.1419999999999999</v>
      </c>
      <c r="F71" s="2">
        <v>1</v>
      </c>
    </row>
    <row r="72" spans="1:6" ht="14.25" customHeight="1">
      <c r="A72" s="2">
        <v>21</v>
      </c>
      <c r="B72" s="2">
        <v>71</v>
      </c>
      <c r="C72" s="2">
        <v>4</v>
      </c>
      <c r="D72" s="2">
        <v>1</v>
      </c>
      <c r="E72" s="2">
        <v>1.1259999999999999</v>
      </c>
      <c r="F72" s="2">
        <v>2</v>
      </c>
    </row>
    <row r="73" spans="1:6" ht="14.25" customHeight="1">
      <c r="A73" s="2">
        <v>21</v>
      </c>
      <c r="B73" s="2">
        <v>72</v>
      </c>
      <c r="C73" s="2">
        <v>2</v>
      </c>
      <c r="D73" s="2">
        <v>1</v>
      </c>
      <c r="E73" s="2">
        <v>1.1080000000000001</v>
      </c>
      <c r="F73" s="2">
        <v>2</v>
      </c>
    </row>
    <row r="74" spans="1:6" ht="14.25" customHeight="1">
      <c r="A74" s="2">
        <v>21</v>
      </c>
      <c r="B74" s="2">
        <v>73</v>
      </c>
      <c r="C74" s="2">
        <v>6</v>
      </c>
      <c r="D74" s="2">
        <v>1</v>
      </c>
      <c r="E74" s="2">
        <v>1.02</v>
      </c>
      <c r="F74" s="2">
        <v>1</v>
      </c>
    </row>
    <row r="75" spans="1:6" ht="14.25" customHeight="1">
      <c r="A75" s="2">
        <v>21</v>
      </c>
      <c r="B75" s="2">
        <v>74</v>
      </c>
      <c r="C75" s="2">
        <v>4</v>
      </c>
      <c r="D75" s="2">
        <v>1</v>
      </c>
      <c r="E75" s="2">
        <v>1.2010000000000001</v>
      </c>
      <c r="F75" s="2">
        <v>2</v>
      </c>
    </row>
    <row r="76" spans="1:6" ht="14.25" customHeight="1">
      <c r="A76" s="2">
        <v>21</v>
      </c>
      <c r="B76" s="2">
        <v>75</v>
      </c>
      <c r="C76" s="2">
        <v>5</v>
      </c>
      <c r="D76" s="2">
        <v>1</v>
      </c>
      <c r="E76" s="2">
        <v>1.044</v>
      </c>
      <c r="F76" s="2">
        <v>1</v>
      </c>
    </row>
    <row r="77" spans="1:6" ht="14.25" customHeight="1">
      <c r="A77" s="2">
        <v>21</v>
      </c>
      <c r="B77" s="2">
        <v>76</v>
      </c>
      <c r="C77" s="2">
        <v>3</v>
      </c>
      <c r="D77" s="2">
        <v>1</v>
      </c>
      <c r="E77" s="2">
        <v>1.4950000000000001</v>
      </c>
      <c r="F77" s="2">
        <v>2</v>
      </c>
    </row>
    <row r="78" spans="1:6" ht="14.25" customHeight="1">
      <c r="A78" s="2">
        <v>21</v>
      </c>
      <c r="B78" s="2">
        <v>77</v>
      </c>
      <c r="C78" s="2">
        <v>5</v>
      </c>
      <c r="D78" s="2">
        <v>1</v>
      </c>
      <c r="E78" s="2">
        <v>0.86299999999999999</v>
      </c>
      <c r="F78" s="2">
        <v>1</v>
      </c>
    </row>
    <row r="79" spans="1:6" ht="14.25" customHeight="1">
      <c r="A79" s="2">
        <v>21</v>
      </c>
      <c r="B79" s="2">
        <v>78</v>
      </c>
      <c r="C79" s="2">
        <v>4</v>
      </c>
      <c r="D79" s="2">
        <v>1</v>
      </c>
      <c r="E79" s="2">
        <v>1.6559999999999999</v>
      </c>
      <c r="F79" s="2">
        <v>2</v>
      </c>
    </row>
    <row r="80" spans="1:6" ht="14.25" customHeight="1">
      <c r="A80" s="2">
        <v>21</v>
      </c>
      <c r="B80" s="2">
        <v>79</v>
      </c>
      <c r="C80" s="2">
        <v>6</v>
      </c>
      <c r="D80" s="2">
        <v>1</v>
      </c>
      <c r="E80" s="2">
        <v>0.82699999999999996</v>
      </c>
      <c r="F80" s="2">
        <v>1</v>
      </c>
    </row>
    <row r="81" spans="1:6" ht="14.25" customHeight="1">
      <c r="A81" s="2">
        <v>21</v>
      </c>
      <c r="B81" s="2">
        <v>80</v>
      </c>
      <c r="C81" s="2">
        <v>7</v>
      </c>
      <c r="D81" s="2">
        <v>1</v>
      </c>
      <c r="E81" s="2">
        <v>1.462</v>
      </c>
      <c r="F81" s="2">
        <v>1</v>
      </c>
    </row>
    <row r="82" spans="1:6" ht="14.25" customHeight="1">
      <c r="A82" s="2">
        <v>21</v>
      </c>
      <c r="B82" s="2">
        <v>81</v>
      </c>
      <c r="C82" s="2">
        <v>2</v>
      </c>
      <c r="D82" s="2">
        <v>1</v>
      </c>
      <c r="E82" s="2">
        <v>1.048</v>
      </c>
      <c r="F82" s="2">
        <v>2</v>
      </c>
    </row>
    <row r="83" spans="1:6" ht="14.25" customHeight="1">
      <c r="A83" s="2">
        <v>21</v>
      </c>
      <c r="B83" s="2">
        <v>82</v>
      </c>
      <c r="C83" s="2">
        <v>3</v>
      </c>
      <c r="D83" s="2">
        <v>1</v>
      </c>
      <c r="E83" s="2">
        <v>1.4990000000000001</v>
      </c>
      <c r="F83" s="2">
        <v>1</v>
      </c>
    </row>
    <row r="84" spans="1:6" ht="14.25" customHeight="1">
      <c r="A84" s="2">
        <v>21</v>
      </c>
      <c r="B84" s="2">
        <v>83</v>
      </c>
      <c r="C84" s="2">
        <v>5</v>
      </c>
      <c r="D84" s="2">
        <v>1</v>
      </c>
      <c r="E84" s="2">
        <v>0.93200000000000005</v>
      </c>
      <c r="F84" s="2">
        <v>1</v>
      </c>
    </row>
    <row r="85" spans="1:6" ht="14.25" customHeight="1">
      <c r="A85" s="2">
        <v>21</v>
      </c>
      <c r="B85" s="2">
        <v>84</v>
      </c>
      <c r="C85" s="2">
        <v>7</v>
      </c>
      <c r="D85" s="2">
        <v>1</v>
      </c>
      <c r="E85" s="2">
        <v>1.1080000000000001</v>
      </c>
      <c r="F85" s="2">
        <v>1</v>
      </c>
    </row>
    <row r="86" spans="1:6" ht="14.25" customHeight="1">
      <c r="A86" s="2">
        <v>21</v>
      </c>
      <c r="B86" s="2">
        <v>85</v>
      </c>
      <c r="C86" s="2">
        <v>1</v>
      </c>
      <c r="D86" s="2">
        <v>0</v>
      </c>
      <c r="E86" s="2">
        <v>1.5389999999999999</v>
      </c>
      <c r="F86" s="2">
        <v>1</v>
      </c>
    </row>
    <row r="87" spans="1:6" ht="14.25" customHeight="1">
      <c r="A87" s="2">
        <v>21</v>
      </c>
      <c r="B87" s="2">
        <v>86</v>
      </c>
      <c r="C87" s="2">
        <v>4</v>
      </c>
      <c r="D87" s="2">
        <v>1</v>
      </c>
      <c r="E87" s="2">
        <v>1.5620000000000001</v>
      </c>
      <c r="F87" s="2">
        <v>2</v>
      </c>
    </row>
    <row r="88" spans="1:6" ht="14.25" customHeight="1">
      <c r="A88" s="2">
        <v>21</v>
      </c>
      <c r="B88" s="2">
        <v>87</v>
      </c>
      <c r="C88" s="2">
        <v>3</v>
      </c>
      <c r="D88" s="2">
        <v>1</v>
      </c>
      <c r="E88" s="2">
        <v>1.8320000000000001</v>
      </c>
      <c r="F88" s="2">
        <v>1</v>
      </c>
    </row>
    <row r="89" spans="1:6" ht="14.25" customHeight="1">
      <c r="A89" s="2">
        <v>21</v>
      </c>
      <c r="B89" s="2">
        <v>88</v>
      </c>
      <c r="C89" s="2">
        <v>8</v>
      </c>
      <c r="D89" s="2">
        <v>1</v>
      </c>
      <c r="E89" s="2">
        <v>1.131</v>
      </c>
      <c r="F89" s="2">
        <v>2</v>
      </c>
    </row>
    <row r="90" spans="1:6" ht="14.25" customHeight="1">
      <c r="A90" s="2">
        <v>21</v>
      </c>
      <c r="B90" s="2">
        <v>89</v>
      </c>
      <c r="C90" s="2">
        <v>6</v>
      </c>
      <c r="D90" s="2">
        <v>1</v>
      </c>
      <c r="E90" s="2">
        <v>0.68300000000000005</v>
      </c>
      <c r="F90" s="2">
        <v>1</v>
      </c>
    </row>
    <row r="91" spans="1:6" ht="14.25" customHeight="1">
      <c r="A91" s="2">
        <v>21</v>
      </c>
      <c r="B91" s="2">
        <v>90</v>
      </c>
      <c r="C91" s="2">
        <v>7</v>
      </c>
      <c r="D91" s="2">
        <v>1</v>
      </c>
      <c r="E91" s="2">
        <v>0.72299999999999998</v>
      </c>
      <c r="F91" s="2">
        <v>1</v>
      </c>
    </row>
    <row r="92" spans="1:6" ht="14.25" customHeight="1">
      <c r="A92" s="2">
        <v>21</v>
      </c>
      <c r="B92" s="2">
        <v>91</v>
      </c>
      <c r="C92" s="2">
        <v>4</v>
      </c>
      <c r="D92" s="2">
        <v>1</v>
      </c>
      <c r="E92" s="2">
        <v>0.73099999999999998</v>
      </c>
      <c r="F92" s="2">
        <v>1</v>
      </c>
    </row>
    <row r="93" spans="1:6" ht="14.25" customHeight="1">
      <c r="A93" s="2">
        <v>21</v>
      </c>
      <c r="B93" s="2">
        <v>92</v>
      </c>
      <c r="C93" s="2">
        <v>7</v>
      </c>
      <c r="D93" s="2">
        <v>1</v>
      </c>
      <c r="E93" s="2">
        <v>0.52200000000000002</v>
      </c>
      <c r="F93" s="2">
        <v>2</v>
      </c>
    </row>
    <row r="94" spans="1:6" ht="14.25" customHeight="1">
      <c r="A94" s="2">
        <v>21</v>
      </c>
      <c r="B94" s="2">
        <v>93</v>
      </c>
      <c r="C94" s="2">
        <v>2</v>
      </c>
      <c r="D94" s="2">
        <v>1</v>
      </c>
      <c r="E94" s="2">
        <v>0.84099999999999997</v>
      </c>
      <c r="F94" s="2">
        <v>2</v>
      </c>
    </row>
    <row r="95" spans="1:6" ht="14.25" customHeight="1">
      <c r="A95" s="2">
        <v>21</v>
      </c>
      <c r="B95" s="2">
        <v>94</v>
      </c>
      <c r="C95" s="2">
        <v>8</v>
      </c>
      <c r="D95" s="2">
        <v>1</v>
      </c>
      <c r="E95" s="2">
        <v>1.1479999999999999</v>
      </c>
      <c r="F95" s="2">
        <v>2</v>
      </c>
    </row>
    <row r="96" spans="1:6" ht="14.25" customHeight="1">
      <c r="A96" s="2">
        <v>21</v>
      </c>
      <c r="B96" s="2">
        <v>95</v>
      </c>
      <c r="C96" s="2">
        <v>6</v>
      </c>
      <c r="D96" s="2">
        <v>1</v>
      </c>
      <c r="E96" s="2">
        <v>0.86799999999999999</v>
      </c>
      <c r="F96" s="2">
        <v>1</v>
      </c>
    </row>
    <row r="97" spans="1:13" ht="14.25" customHeight="1">
      <c r="A97" s="2">
        <v>21</v>
      </c>
      <c r="B97" s="2">
        <v>96</v>
      </c>
      <c r="C97" s="2">
        <v>5</v>
      </c>
      <c r="D97" s="2">
        <v>0</v>
      </c>
      <c r="E97" s="2">
        <v>1.228</v>
      </c>
      <c r="F97" s="2">
        <v>1</v>
      </c>
    </row>
    <row r="98" spans="1:13" ht="14.25" customHeight="1">
      <c r="A98" s="2">
        <v>21</v>
      </c>
      <c r="B98" s="2">
        <v>97</v>
      </c>
      <c r="C98" s="2">
        <v>3</v>
      </c>
      <c r="D98" s="2">
        <v>1</v>
      </c>
      <c r="E98" s="2">
        <v>1.375</v>
      </c>
      <c r="F98" s="2">
        <v>1</v>
      </c>
    </row>
    <row r="99" spans="1:13" ht="14.25" customHeight="1">
      <c r="A99" s="2">
        <v>21</v>
      </c>
      <c r="B99" s="2">
        <v>98</v>
      </c>
      <c r="C99" s="2">
        <v>1</v>
      </c>
      <c r="D99" s="2">
        <v>1</v>
      </c>
      <c r="E99" s="2">
        <v>0.72499999999999998</v>
      </c>
      <c r="F99" s="2">
        <v>1</v>
      </c>
    </row>
    <row r="100" spans="1:13" ht="14.25" customHeight="1">
      <c r="A100" s="2">
        <v>21</v>
      </c>
      <c r="B100" s="2">
        <v>99</v>
      </c>
      <c r="C100" s="2">
        <v>8</v>
      </c>
      <c r="D100" s="2">
        <v>1</v>
      </c>
      <c r="E100" s="2">
        <v>0.98</v>
      </c>
      <c r="F100" s="2">
        <v>1</v>
      </c>
    </row>
    <row r="101" spans="1:13" ht="14.25" customHeight="1">
      <c r="A101" s="2">
        <v>21</v>
      </c>
      <c r="B101" s="2">
        <v>100</v>
      </c>
      <c r="C101" s="2">
        <v>7</v>
      </c>
      <c r="D101" s="2">
        <v>1</v>
      </c>
      <c r="E101" s="2">
        <v>1.2010000000000001</v>
      </c>
      <c r="F101" s="2">
        <v>2</v>
      </c>
      <c r="H101" s="4"/>
      <c r="I101" s="4"/>
      <c r="J101" s="4"/>
      <c r="K101" s="4"/>
      <c r="L101" s="4"/>
      <c r="M101" s="4"/>
    </row>
    <row r="102" spans="1:13" ht="14.25" customHeight="1">
      <c r="A102" s="2">
        <v>21</v>
      </c>
      <c r="B102" s="2">
        <v>101</v>
      </c>
      <c r="C102" s="2">
        <v>3</v>
      </c>
      <c r="D102" s="2">
        <v>1</v>
      </c>
      <c r="E102" s="2">
        <v>1.341</v>
      </c>
      <c r="F102" s="2">
        <v>2</v>
      </c>
      <c r="H102" s="4"/>
      <c r="I102" s="4"/>
      <c r="J102" s="4"/>
      <c r="K102" s="4"/>
      <c r="L102" s="4"/>
      <c r="M102" s="4"/>
    </row>
    <row r="103" spans="1:13" ht="14.25" customHeight="1">
      <c r="A103" s="2">
        <v>21</v>
      </c>
      <c r="B103" s="2">
        <v>102</v>
      </c>
      <c r="C103" s="2">
        <v>8</v>
      </c>
      <c r="D103" s="2">
        <v>1</v>
      </c>
      <c r="E103" s="2">
        <v>0.63500000000000001</v>
      </c>
      <c r="F103" s="2">
        <v>1</v>
      </c>
      <c r="H103" s="4"/>
      <c r="I103" s="4"/>
      <c r="J103" s="4"/>
      <c r="K103" s="4"/>
      <c r="L103" s="4"/>
      <c r="M103" s="4"/>
    </row>
    <row r="104" spans="1:13" ht="14.25" customHeight="1">
      <c r="A104" s="2">
        <v>21</v>
      </c>
      <c r="B104" s="2">
        <v>103</v>
      </c>
      <c r="C104" s="2">
        <v>2</v>
      </c>
      <c r="D104" s="2">
        <v>1</v>
      </c>
      <c r="E104" s="2">
        <v>1.0860000000000001</v>
      </c>
      <c r="F104" s="2">
        <v>2</v>
      </c>
      <c r="H104" s="4"/>
      <c r="I104" s="4"/>
      <c r="J104" s="4"/>
      <c r="K104" s="4"/>
      <c r="L104" s="4"/>
      <c r="M104" s="4"/>
    </row>
    <row r="105" spans="1:13" ht="14.25" customHeight="1">
      <c r="A105" s="2">
        <v>21</v>
      </c>
      <c r="B105" s="2">
        <v>104</v>
      </c>
      <c r="C105" s="2">
        <v>4</v>
      </c>
      <c r="D105" s="2">
        <v>0</v>
      </c>
      <c r="E105" s="2">
        <v>0.66300000000000003</v>
      </c>
      <c r="F105" s="2">
        <v>1</v>
      </c>
      <c r="H105" s="4"/>
      <c r="I105" s="4"/>
      <c r="J105" s="4"/>
      <c r="K105" s="4"/>
      <c r="L105" s="4"/>
      <c r="M105" s="4"/>
    </row>
    <row r="106" spans="1:13" ht="14.25" customHeight="1">
      <c r="A106" s="2">
        <v>21</v>
      </c>
      <c r="B106" s="2">
        <v>105</v>
      </c>
      <c r="C106" s="2">
        <v>3</v>
      </c>
      <c r="D106" s="2">
        <v>1</v>
      </c>
      <c r="E106" s="2">
        <v>1.3520000000000001</v>
      </c>
      <c r="F106" s="2">
        <v>1</v>
      </c>
      <c r="H106" s="4"/>
      <c r="I106" s="4"/>
      <c r="J106" s="4"/>
      <c r="K106" s="4"/>
      <c r="L106" s="4"/>
      <c r="M106" s="4"/>
    </row>
    <row r="107" spans="1:13" ht="14.25" customHeight="1">
      <c r="A107" s="2">
        <v>21</v>
      </c>
      <c r="B107" s="2">
        <v>106</v>
      </c>
      <c r="C107" s="2">
        <v>1</v>
      </c>
      <c r="D107" s="2">
        <v>0</v>
      </c>
      <c r="E107" s="2">
        <v>1.448</v>
      </c>
      <c r="F107" s="2">
        <v>2</v>
      </c>
      <c r="H107" s="4"/>
      <c r="I107" s="4"/>
      <c r="J107" s="4"/>
      <c r="K107" s="4"/>
      <c r="L107" s="4"/>
      <c r="M107" s="4"/>
    </row>
    <row r="108" spans="1:13" ht="14.25" customHeight="1">
      <c r="A108" s="2">
        <v>21</v>
      </c>
      <c r="B108" s="2">
        <v>107</v>
      </c>
      <c r="C108" s="2">
        <v>4</v>
      </c>
      <c r="D108" s="2">
        <v>1</v>
      </c>
      <c r="E108" s="2">
        <v>0.80200000000000005</v>
      </c>
      <c r="F108" s="2">
        <v>1</v>
      </c>
      <c r="H108" s="4"/>
      <c r="I108" s="4"/>
      <c r="J108" s="4"/>
      <c r="K108" s="4"/>
      <c r="L108" s="4"/>
      <c r="M108" s="4"/>
    </row>
    <row r="109" spans="1:13" ht="14.25" customHeight="1">
      <c r="A109" s="2">
        <v>21</v>
      </c>
      <c r="B109" s="2">
        <v>108</v>
      </c>
      <c r="C109" s="2">
        <v>8</v>
      </c>
      <c r="D109" s="2">
        <v>1</v>
      </c>
      <c r="E109" s="2">
        <v>1.4950000000000001</v>
      </c>
      <c r="F109" s="2">
        <v>2</v>
      </c>
      <c r="H109" s="4"/>
      <c r="I109" s="4"/>
      <c r="J109" s="4"/>
      <c r="K109" s="4"/>
      <c r="L109" s="4"/>
      <c r="M109" s="4"/>
    </row>
    <row r="110" spans="1:13" ht="14.25" customHeight="1">
      <c r="A110" s="2">
        <v>21</v>
      </c>
      <c r="B110" s="2">
        <v>109</v>
      </c>
      <c r="C110" s="2">
        <v>4</v>
      </c>
      <c r="D110" s="2">
        <v>1</v>
      </c>
      <c r="E110" s="2">
        <v>0.63900000000000001</v>
      </c>
      <c r="F110" s="2">
        <v>1</v>
      </c>
      <c r="H110" s="4"/>
      <c r="I110" s="4"/>
      <c r="J110" s="4"/>
      <c r="K110" s="4"/>
      <c r="L110" s="4"/>
      <c r="M110" s="4"/>
    </row>
    <row r="111" spans="1:13" ht="14.25" customHeight="1">
      <c r="A111" s="2">
        <v>21</v>
      </c>
      <c r="B111" s="2">
        <v>110</v>
      </c>
      <c r="C111" s="2">
        <v>2</v>
      </c>
      <c r="D111" s="2">
        <v>1</v>
      </c>
      <c r="E111" s="2">
        <v>0.77100000000000002</v>
      </c>
      <c r="F111" s="2">
        <v>1</v>
      </c>
      <c r="H111" s="4"/>
      <c r="I111" s="4"/>
      <c r="J111" s="4"/>
      <c r="K111" s="4"/>
      <c r="L111" s="4"/>
      <c r="M111" s="4"/>
    </row>
    <row r="112" spans="1:13" ht="14.25" customHeight="1">
      <c r="A112" s="2">
        <v>21</v>
      </c>
      <c r="B112" s="2">
        <v>111</v>
      </c>
      <c r="C112" s="2">
        <v>7</v>
      </c>
      <c r="D112" s="2">
        <v>1</v>
      </c>
      <c r="E112" s="2">
        <v>1.071</v>
      </c>
      <c r="F112" s="2">
        <v>2</v>
      </c>
      <c r="H112" s="4"/>
      <c r="I112" s="4"/>
      <c r="J112" s="4"/>
      <c r="K112" s="4"/>
      <c r="L112" s="4"/>
      <c r="M112" s="4"/>
    </row>
    <row r="113" spans="1:13" ht="14.25" customHeight="1">
      <c r="A113" s="2">
        <v>21</v>
      </c>
      <c r="B113" s="2">
        <v>112</v>
      </c>
      <c r="C113" s="2">
        <v>8</v>
      </c>
      <c r="D113" s="2">
        <v>1</v>
      </c>
      <c r="E113" s="2">
        <v>0.67300000000000004</v>
      </c>
      <c r="F113" s="2">
        <v>1</v>
      </c>
      <c r="H113" s="4"/>
      <c r="I113" s="4"/>
      <c r="J113" s="4"/>
      <c r="K113" s="4"/>
      <c r="L113" s="4"/>
      <c r="M113" s="4"/>
    </row>
    <row r="114" spans="1:13" ht="14.25" customHeight="1">
      <c r="A114" s="2">
        <v>21</v>
      </c>
      <c r="B114" s="2">
        <v>113</v>
      </c>
      <c r="C114" s="2">
        <v>6</v>
      </c>
      <c r="D114" s="2">
        <v>1</v>
      </c>
      <c r="E114" s="2">
        <v>0.92300000000000004</v>
      </c>
      <c r="F114" s="2">
        <v>2</v>
      </c>
      <c r="H114" s="4"/>
      <c r="I114" s="4"/>
      <c r="J114" s="4"/>
      <c r="K114" s="4"/>
      <c r="L114" s="4"/>
      <c r="M114" s="4"/>
    </row>
    <row r="115" spans="1:13" ht="14.25" customHeight="1">
      <c r="A115" s="2">
        <v>21</v>
      </c>
      <c r="B115" s="2">
        <v>114</v>
      </c>
      <c r="C115" s="2">
        <v>8</v>
      </c>
      <c r="D115" s="2">
        <v>1</v>
      </c>
      <c r="E115" s="2">
        <v>0.80100000000000005</v>
      </c>
      <c r="F115" s="2">
        <v>2</v>
      </c>
      <c r="H115" s="4"/>
      <c r="I115" s="4"/>
      <c r="J115" s="4"/>
      <c r="K115" s="4"/>
      <c r="L115" s="4"/>
      <c r="M115" s="4"/>
    </row>
    <row r="116" spans="1:13" ht="14.25" customHeight="1">
      <c r="A116" s="2">
        <v>21</v>
      </c>
      <c r="B116" s="2">
        <v>115</v>
      </c>
      <c r="C116" s="2">
        <v>7</v>
      </c>
      <c r="D116" s="2">
        <v>1</v>
      </c>
      <c r="E116" s="2">
        <v>0.70299999999999996</v>
      </c>
      <c r="F116" s="2">
        <v>2</v>
      </c>
      <c r="H116" s="4"/>
      <c r="I116" s="4"/>
      <c r="J116" s="4"/>
      <c r="K116" s="4"/>
      <c r="L116" s="4"/>
      <c r="M116" s="4"/>
    </row>
    <row r="117" spans="1:13" ht="14.25" customHeight="1">
      <c r="A117" s="2">
        <v>21</v>
      </c>
      <c r="B117" s="2">
        <v>116</v>
      </c>
      <c r="C117" s="2">
        <v>5</v>
      </c>
      <c r="D117" s="2">
        <v>1</v>
      </c>
      <c r="E117" s="2">
        <v>0.80700000000000005</v>
      </c>
      <c r="F117" s="2">
        <v>1</v>
      </c>
      <c r="H117" s="4"/>
      <c r="I117" s="4"/>
      <c r="J117" s="4"/>
      <c r="K117" s="4"/>
      <c r="L117" s="4"/>
      <c r="M117" s="4"/>
    </row>
    <row r="118" spans="1:13" ht="14.25" customHeight="1">
      <c r="A118" s="2">
        <v>21</v>
      </c>
      <c r="B118" s="2">
        <v>117</v>
      </c>
      <c r="C118" s="2">
        <v>7</v>
      </c>
      <c r="D118" s="2">
        <v>1</v>
      </c>
      <c r="E118" s="2">
        <v>1.298</v>
      </c>
      <c r="F118" s="2">
        <v>2</v>
      </c>
      <c r="H118" s="4"/>
      <c r="I118" s="4"/>
      <c r="J118" s="4"/>
      <c r="K118" s="4"/>
      <c r="L118" s="4"/>
      <c r="M118" s="4"/>
    </row>
    <row r="119" spans="1:13" ht="14.25" customHeight="1">
      <c r="A119" s="2">
        <v>21</v>
      </c>
      <c r="B119" s="2">
        <v>118</v>
      </c>
      <c r="C119" s="2">
        <v>8</v>
      </c>
      <c r="D119" s="2">
        <v>1</v>
      </c>
      <c r="E119" s="2">
        <v>1.7709999999999999</v>
      </c>
      <c r="F119" s="2">
        <v>1</v>
      </c>
      <c r="H119" s="4"/>
      <c r="I119" s="4"/>
      <c r="J119" s="4"/>
      <c r="K119" s="4"/>
      <c r="L119" s="4"/>
      <c r="M119" s="4"/>
    </row>
    <row r="120" spans="1:13" ht="14.25" customHeight="1">
      <c r="A120" s="2">
        <v>21</v>
      </c>
      <c r="B120" s="2">
        <v>119</v>
      </c>
      <c r="C120" s="2">
        <v>1</v>
      </c>
      <c r="E120" s="2">
        <v>2</v>
      </c>
      <c r="H120" s="4"/>
      <c r="I120" s="4"/>
      <c r="J120" s="4"/>
      <c r="K120" s="4"/>
      <c r="L120" s="4"/>
      <c r="M120" s="4"/>
    </row>
    <row r="121" spans="1:13" ht="14.25" customHeight="1">
      <c r="A121" s="2">
        <v>21</v>
      </c>
      <c r="B121" s="2">
        <v>120</v>
      </c>
      <c r="C121" s="2">
        <v>4</v>
      </c>
      <c r="D121" s="2">
        <v>0</v>
      </c>
      <c r="E121" s="2">
        <v>1.5569999999999999</v>
      </c>
      <c r="F121" s="2">
        <v>2</v>
      </c>
      <c r="H121" s="4"/>
      <c r="I121" s="4"/>
      <c r="J121" s="4"/>
      <c r="K121" s="4"/>
      <c r="L121" s="4"/>
      <c r="M121" s="4"/>
    </row>
    <row r="122" spans="1:13" ht="14.25" customHeight="1">
      <c r="A122" s="2">
        <v>21</v>
      </c>
      <c r="B122" s="2">
        <v>121</v>
      </c>
      <c r="C122" s="2">
        <v>5</v>
      </c>
      <c r="D122" s="2">
        <v>1</v>
      </c>
      <c r="E122" s="2">
        <v>1.4750000000000001</v>
      </c>
      <c r="F122" s="2">
        <v>2</v>
      </c>
      <c r="H122" s="4"/>
      <c r="I122" s="4"/>
      <c r="J122" s="4"/>
      <c r="K122" s="4"/>
      <c r="L122" s="4"/>
      <c r="M122" s="4"/>
    </row>
    <row r="123" spans="1:13" ht="14.25" customHeight="1">
      <c r="A123" s="2">
        <v>21</v>
      </c>
      <c r="B123" s="2">
        <v>122</v>
      </c>
      <c r="C123" s="2">
        <v>8</v>
      </c>
      <c r="D123" s="2">
        <v>1</v>
      </c>
      <c r="E123" s="2">
        <v>0.80500000000000005</v>
      </c>
      <c r="F123" s="2">
        <v>2</v>
      </c>
      <c r="H123" s="4"/>
      <c r="I123" s="4"/>
      <c r="J123" s="4"/>
      <c r="K123" s="4"/>
      <c r="L123" s="4"/>
      <c r="M123" s="4"/>
    </row>
    <row r="124" spans="1:13" ht="14.25" customHeight="1">
      <c r="A124" s="2">
        <v>21</v>
      </c>
      <c r="B124" s="2">
        <v>123</v>
      </c>
      <c r="C124" s="2">
        <v>3</v>
      </c>
      <c r="D124" s="2">
        <v>1</v>
      </c>
      <c r="E124" s="2">
        <v>0.98399999999999999</v>
      </c>
      <c r="F124" s="2">
        <v>1</v>
      </c>
      <c r="H124" s="4"/>
      <c r="I124" s="4"/>
      <c r="J124" s="4"/>
      <c r="K124" s="4"/>
      <c r="L124" s="4"/>
      <c r="M124" s="4"/>
    </row>
    <row r="125" spans="1:13" ht="14.25" customHeight="1">
      <c r="A125" s="2">
        <v>21</v>
      </c>
      <c r="B125" s="2">
        <v>124</v>
      </c>
      <c r="C125" s="2">
        <v>5</v>
      </c>
      <c r="D125" s="2">
        <v>1</v>
      </c>
      <c r="E125" s="2">
        <v>0.89400000000000002</v>
      </c>
      <c r="F125" s="2">
        <v>2</v>
      </c>
      <c r="H125" s="4"/>
      <c r="I125" s="4"/>
      <c r="J125" s="4"/>
      <c r="K125" s="4"/>
      <c r="L125" s="4"/>
      <c r="M125" s="4"/>
    </row>
    <row r="126" spans="1:13" ht="14.25" customHeight="1">
      <c r="A126" s="2">
        <v>21</v>
      </c>
      <c r="B126" s="2">
        <v>125</v>
      </c>
      <c r="C126" s="2">
        <v>3</v>
      </c>
      <c r="D126" s="2">
        <v>1</v>
      </c>
      <c r="E126" s="2">
        <v>1.454</v>
      </c>
      <c r="F126" s="2">
        <v>1</v>
      </c>
      <c r="H126" s="4"/>
      <c r="I126" s="4"/>
      <c r="J126" s="4"/>
      <c r="K126" s="4"/>
      <c r="L126" s="4"/>
      <c r="M126" s="4"/>
    </row>
    <row r="127" spans="1:13" ht="14.25" customHeight="1">
      <c r="A127" s="2">
        <v>21</v>
      </c>
      <c r="B127" s="2">
        <v>126</v>
      </c>
      <c r="C127" s="2">
        <v>5</v>
      </c>
      <c r="D127" s="2">
        <v>1</v>
      </c>
      <c r="E127" s="2">
        <v>1.256</v>
      </c>
      <c r="F127" s="2">
        <v>2</v>
      </c>
      <c r="H127" s="4"/>
      <c r="I127" s="4"/>
      <c r="J127" s="4"/>
      <c r="K127" s="4"/>
      <c r="L127" s="4"/>
      <c r="M127" s="4"/>
    </row>
    <row r="128" spans="1:13" ht="14.25" customHeight="1">
      <c r="A128" s="2">
        <v>21</v>
      </c>
      <c r="B128" s="2">
        <v>127</v>
      </c>
      <c r="C128" s="2">
        <v>4</v>
      </c>
      <c r="D128" s="2">
        <v>1</v>
      </c>
      <c r="E128" s="2">
        <v>0.69799999999999995</v>
      </c>
      <c r="F128" s="2">
        <v>1</v>
      </c>
      <c r="H128" s="4"/>
      <c r="I128" s="4"/>
      <c r="J128" s="4"/>
      <c r="K128" s="4"/>
      <c r="L128" s="4"/>
      <c r="M128" s="4"/>
    </row>
    <row r="129" spans="1:13" ht="14.25" customHeight="1">
      <c r="A129" s="2">
        <v>21</v>
      </c>
      <c r="B129" s="2">
        <v>128</v>
      </c>
      <c r="C129" s="2">
        <v>2</v>
      </c>
      <c r="D129" s="2">
        <v>1</v>
      </c>
      <c r="E129" s="2">
        <v>1.3620000000000001</v>
      </c>
      <c r="F129" s="2">
        <v>2</v>
      </c>
      <c r="H129" s="4"/>
      <c r="I129" s="4"/>
      <c r="J129" s="4"/>
      <c r="K129" s="4"/>
      <c r="L129" s="4"/>
      <c r="M129" s="4"/>
    </row>
    <row r="130" spans="1:13" ht="14.25" customHeight="1">
      <c r="A130" s="2">
        <v>21</v>
      </c>
      <c r="B130" s="2">
        <v>129</v>
      </c>
      <c r="C130" s="2">
        <v>5</v>
      </c>
      <c r="D130" s="2">
        <v>1</v>
      </c>
      <c r="E130" s="2">
        <v>1.137</v>
      </c>
      <c r="F130" s="2">
        <v>1</v>
      </c>
      <c r="H130" s="4"/>
      <c r="I130" s="4"/>
      <c r="J130" s="4"/>
      <c r="K130" s="4"/>
      <c r="L130" s="4"/>
      <c r="M130" s="4"/>
    </row>
    <row r="131" spans="1:13" ht="14.25" customHeight="1">
      <c r="A131" s="2">
        <v>21</v>
      </c>
      <c r="B131" s="2">
        <v>130</v>
      </c>
      <c r="C131" s="2">
        <v>4</v>
      </c>
      <c r="D131" s="2">
        <v>1</v>
      </c>
      <c r="E131" s="2">
        <v>0.89500000000000002</v>
      </c>
      <c r="F131" s="2">
        <v>1</v>
      </c>
    </row>
    <row r="132" spans="1:13" ht="14.25" customHeight="1">
      <c r="A132" s="2">
        <v>21</v>
      </c>
      <c r="B132" s="2">
        <v>131</v>
      </c>
      <c r="C132" s="2">
        <v>6</v>
      </c>
      <c r="D132" s="2">
        <v>1</v>
      </c>
      <c r="E132" s="2">
        <v>1.425</v>
      </c>
      <c r="F132" s="2">
        <v>2</v>
      </c>
    </row>
    <row r="133" spans="1:13" ht="14.25" customHeight="1">
      <c r="A133" s="2">
        <v>21</v>
      </c>
      <c r="B133" s="2">
        <v>132</v>
      </c>
      <c r="C133" s="2">
        <v>2</v>
      </c>
      <c r="D133" s="2">
        <v>1</v>
      </c>
      <c r="E133" s="2">
        <v>1.4350000000000001</v>
      </c>
      <c r="F133" s="2">
        <v>1</v>
      </c>
    </row>
    <row r="134" spans="1:13" ht="14.25" customHeight="1">
      <c r="A134" s="2">
        <v>21</v>
      </c>
      <c r="B134" s="2">
        <v>133</v>
      </c>
      <c r="C134" s="2">
        <v>3</v>
      </c>
      <c r="D134" s="2">
        <v>1</v>
      </c>
      <c r="E134" s="2">
        <v>0.75</v>
      </c>
      <c r="F134" s="2">
        <v>1</v>
      </c>
    </row>
    <row r="135" spans="1:13" ht="14.25" customHeight="1">
      <c r="A135" s="2">
        <v>21</v>
      </c>
      <c r="B135" s="2">
        <v>134</v>
      </c>
      <c r="C135" s="2">
        <v>2</v>
      </c>
      <c r="D135" s="2">
        <v>1</v>
      </c>
      <c r="E135" s="2">
        <v>0.94899999999999995</v>
      </c>
      <c r="F135" s="2">
        <v>1</v>
      </c>
    </row>
    <row r="136" spans="1:13" ht="14.25" customHeight="1">
      <c r="A136" s="2">
        <v>21</v>
      </c>
      <c r="B136" s="2">
        <v>135</v>
      </c>
      <c r="C136" s="2">
        <v>6</v>
      </c>
      <c r="D136" s="2">
        <v>1</v>
      </c>
      <c r="E136" s="2">
        <v>1.3720000000000001</v>
      </c>
      <c r="F136" s="2">
        <v>2</v>
      </c>
    </row>
    <row r="137" spans="1:13" ht="14.25" customHeight="1">
      <c r="A137" s="2">
        <v>21</v>
      </c>
      <c r="B137" s="2">
        <v>136</v>
      </c>
      <c r="C137" s="2">
        <v>1</v>
      </c>
      <c r="D137" s="2">
        <v>1</v>
      </c>
      <c r="E137" s="2">
        <v>1.3859999999999999</v>
      </c>
      <c r="F137" s="2">
        <v>2</v>
      </c>
    </row>
    <row r="138" spans="1:13" ht="14.25" customHeight="1">
      <c r="A138" s="2">
        <v>21</v>
      </c>
      <c r="B138" s="2">
        <v>137</v>
      </c>
      <c r="C138" s="2">
        <v>7</v>
      </c>
      <c r="D138" s="2">
        <v>1</v>
      </c>
      <c r="E138" s="2">
        <v>1.679</v>
      </c>
      <c r="F138" s="2">
        <v>1</v>
      </c>
    </row>
    <row r="139" spans="1:13" ht="14.25" customHeight="1">
      <c r="A139" s="2">
        <v>21</v>
      </c>
      <c r="B139" s="2">
        <v>138</v>
      </c>
      <c r="C139" s="2">
        <v>6</v>
      </c>
      <c r="D139" s="2">
        <v>1</v>
      </c>
      <c r="E139" s="2">
        <v>1.0649999999999999</v>
      </c>
      <c r="F139" s="2">
        <v>2</v>
      </c>
    </row>
    <row r="140" spans="1:13" ht="14.25" customHeight="1">
      <c r="A140" s="2">
        <v>21</v>
      </c>
      <c r="B140" s="2">
        <v>139</v>
      </c>
      <c r="C140" s="2">
        <v>5</v>
      </c>
      <c r="D140" s="2">
        <v>1</v>
      </c>
      <c r="E140" s="2">
        <v>0.79400000000000004</v>
      </c>
      <c r="F140" s="2">
        <v>1</v>
      </c>
    </row>
    <row r="141" spans="1:13" ht="14.25" customHeight="1">
      <c r="A141" s="2">
        <v>21</v>
      </c>
      <c r="B141" s="2">
        <v>140</v>
      </c>
      <c r="C141" s="2">
        <v>4</v>
      </c>
      <c r="D141" s="2">
        <v>1</v>
      </c>
      <c r="E141" s="2">
        <v>0.80700000000000005</v>
      </c>
      <c r="F141" s="2">
        <v>1</v>
      </c>
    </row>
    <row r="142" spans="1:13" ht="14.25" customHeight="1">
      <c r="A142" s="2">
        <v>21</v>
      </c>
      <c r="B142" s="2">
        <v>141</v>
      </c>
      <c r="C142" s="2">
        <v>6</v>
      </c>
      <c r="D142" s="2">
        <v>1</v>
      </c>
      <c r="E142" s="2">
        <v>1.659</v>
      </c>
      <c r="F142" s="2">
        <v>1</v>
      </c>
    </row>
    <row r="143" spans="1:13" ht="14.25" customHeight="1">
      <c r="A143" s="2">
        <v>21</v>
      </c>
      <c r="B143" s="2">
        <v>142</v>
      </c>
      <c r="C143" s="2">
        <v>2</v>
      </c>
      <c r="D143" s="2">
        <v>1</v>
      </c>
      <c r="E143" s="2">
        <v>0.79800000000000004</v>
      </c>
      <c r="F143" s="2">
        <v>2</v>
      </c>
    </row>
    <row r="144" spans="1:13" ht="14.25" customHeight="1">
      <c r="A144" s="2">
        <v>21</v>
      </c>
      <c r="B144" s="2">
        <v>143</v>
      </c>
      <c r="C144" s="2">
        <v>1</v>
      </c>
      <c r="D144" s="2">
        <v>1</v>
      </c>
      <c r="E144" s="2">
        <v>1.7849999999999999</v>
      </c>
      <c r="F144" s="2">
        <v>2</v>
      </c>
    </row>
    <row r="145" spans="1:6" ht="14.25" customHeight="1">
      <c r="A145" s="2">
        <v>21</v>
      </c>
      <c r="B145" s="2">
        <v>144</v>
      </c>
      <c r="C145" s="2">
        <v>6</v>
      </c>
      <c r="D145" s="2">
        <v>1</v>
      </c>
      <c r="E145" s="2">
        <v>1.704</v>
      </c>
      <c r="F145" s="2">
        <v>2</v>
      </c>
    </row>
    <row r="146" spans="1:6" ht="14.25" customHeight="1">
      <c r="A146" s="2">
        <v>21</v>
      </c>
      <c r="B146" s="2">
        <v>145</v>
      </c>
      <c r="C146" s="2">
        <v>1</v>
      </c>
      <c r="D146" s="2">
        <v>1</v>
      </c>
      <c r="E146" s="2">
        <v>0.92800000000000005</v>
      </c>
      <c r="F146" s="2">
        <v>1</v>
      </c>
    </row>
    <row r="147" spans="1:6" ht="14.25" customHeight="1">
      <c r="A147" s="2">
        <v>21</v>
      </c>
      <c r="B147" s="2">
        <v>146</v>
      </c>
      <c r="C147" s="2">
        <v>3</v>
      </c>
      <c r="D147" s="2">
        <v>1</v>
      </c>
      <c r="E147" s="2">
        <v>1.014</v>
      </c>
      <c r="F147" s="2">
        <v>2</v>
      </c>
    </row>
    <row r="148" spans="1:6" ht="14.25" customHeight="1">
      <c r="A148" s="2">
        <v>21</v>
      </c>
      <c r="B148" s="2">
        <v>147</v>
      </c>
      <c r="C148" s="2">
        <v>7</v>
      </c>
      <c r="D148" s="2">
        <v>0</v>
      </c>
      <c r="E148" s="2">
        <v>1.762</v>
      </c>
      <c r="F148" s="2">
        <v>2</v>
      </c>
    </row>
    <row r="149" spans="1:6" ht="14.25" customHeight="1">
      <c r="A149" s="2">
        <v>21</v>
      </c>
      <c r="B149" s="2">
        <v>148</v>
      </c>
      <c r="C149" s="2">
        <v>1</v>
      </c>
      <c r="D149" s="2">
        <v>1</v>
      </c>
      <c r="E149" s="2">
        <v>0.68</v>
      </c>
      <c r="F149" s="2">
        <v>1</v>
      </c>
    </row>
    <row r="150" spans="1:6" ht="14.25" customHeight="1">
      <c r="A150" s="2">
        <v>21</v>
      </c>
      <c r="B150" s="2">
        <v>149</v>
      </c>
      <c r="C150" s="2">
        <v>7</v>
      </c>
      <c r="D150" s="2">
        <v>1</v>
      </c>
      <c r="E150" s="2">
        <v>0.82599999999999996</v>
      </c>
      <c r="F150" s="2">
        <v>1</v>
      </c>
    </row>
    <row r="151" spans="1:6" ht="14.25" customHeight="1">
      <c r="A151" s="2">
        <v>21</v>
      </c>
      <c r="B151" s="2">
        <v>150</v>
      </c>
      <c r="C151" s="2">
        <v>2</v>
      </c>
      <c r="D151" s="2">
        <v>1</v>
      </c>
      <c r="E151" s="2">
        <v>0.72599999999999998</v>
      </c>
      <c r="F151" s="2">
        <v>2</v>
      </c>
    </row>
    <row r="152" spans="1:6" ht="14.25" customHeight="1">
      <c r="A152" s="2">
        <v>21</v>
      </c>
      <c r="B152" s="2">
        <v>151</v>
      </c>
      <c r="C152" s="2">
        <v>4</v>
      </c>
      <c r="D152" s="2">
        <v>1</v>
      </c>
      <c r="E152" s="2">
        <v>0.91600000000000004</v>
      </c>
      <c r="F152" s="2">
        <v>2</v>
      </c>
    </row>
    <row r="153" spans="1:6" ht="14.25" customHeight="1">
      <c r="A153" s="2">
        <v>21</v>
      </c>
      <c r="B153" s="2">
        <v>152</v>
      </c>
      <c r="C153" s="2">
        <v>2</v>
      </c>
      <c r="D153" s="2">
        <v>1</v>
      </c>
      <c r="E153" s="2">
        <v>1.4910000000000001</v>
      </c>
      <c r="F153" s="2">
        <v>1</v>
      </c>
    </row>
    <row r="154" spans="1:6" ht="14.25" customHeight="1">
      <c r="A154" s="2">
        <v>21</v>
      </c>
      <c r="B154" s="2">
        <v>153</v>
      </c>
      <c r="C154" s="2">
        <v>5</v>
      </c>
      <c r="D154" s="2">
        <v>1</v>
      </c>
      <c r="E154" s="2">
        <v>0.7</v>
      </c>
      <c r="F154" s="2">
        <v>2</v>
      </c>
    </row>
    <row r="155" spans="1:6" ht="14.25" customHeight="1">
      <c r="A155" s="2">
        <v>21</v>
      </c>
      <c r="B155" s="2">
        <v>154</v>
      </c>
      <c r="C155" s="2">
        <v>3</v>
      </c>
      <c r="D155" s="2">
        <v>1</v>
      </c>
      <c r="E155" s="2">
        <v>1.212</v>
      </c>
      <c r="F155" s="2">
        <v>2</v>
      </c>
    </row>
    <row r="156" spans="1:6" ht="14.25" customHeight="1">
      <c r="A156" s="2">
        <v>21</v>
      </c>
      <c r="B156" s="2">
        <v>155</v>
      </c>
      <c r="C156" s="2">
        <v>7</v>
      </c>
      <c r="D156" s="2">
        <v>1</v>
      </c>
      <c r="E156" s="2">
        <v>0.53700000000000003</v>
      </c>
      <c r="F156" s="2">
        <v>1</v>
      </c>
    </row>
    <row r="157" spans="1:6" ht="14.25" customHeight="1">
      <c r="A157" s="2">
        <v>21</v>
      </c>
      <c r="B157" s="2">
        <v>156</v>
      </c>
      <c r="C157" s="2">
        <v>4</v>
      </c>
      <c r="D157" s="2">
        <v>1</v>
      </c>
      <c r="E157" s="2">
        <v>0.52800000000000002</v>
      </c>
      <c r="F157" s="2">
        <v>1</v>
      </c>
    </row>
    <row r="158" spans="1:6" ht="14.25" customHeight="1">
      <c r="A158" s="2">
        <v>21</v>
      </c>
      <c r="B158" s="2">
        <v>157</v>
      </c>
      <c r="C158" s="2">
        <v>2</v>
      </c>
      <c r="D158" s="2">
        <v>1</v>
      </c>
      <c r="E158" s="2">
        <v>0.67800000000000005</v>
      </c>
      <c r="F158" s="2">
        <v>1</v>
      </c>
    </row>
    <row r="159" spans="1:6" ht="14.25" customHeight="1">
      <c r="A159" s="2">
        <v>21</v>
      </c>
      <c r="B159" s="2">
        <v>158</v>
      </c>
      <c r="C159" s="2">
        <v>7</v>
      </c>
      <c r="D159" s="2">
        <v>1</v>
      </c>
      <c r="E159" s="2">
        <v>0.97499999999999998</v>
      </c>
      <c r="F159" s="2">
        <v>2</v>
      </c>
    </row>
    <row r="160" spans="1:6" ht="14.25" customHeight="1">
      <c r="A160" s="2">
        <v>21</v>
      </c>
      <c r="B160" s="2">
        <v>159</v>
      </c>
      <c r="C160" s="2">
        <v>8</v>
      </c>
      <c r="D160" s="2">
        <v>1</v>
      </c>
      <c r="E160" s="2">
        <v>0.51700000000000002</v>
      </c>
      <c r="F160" s="2">
        <v>1</v>
      </c>
    </row>
    <row r="161" spans="1:6" ht="14.25" customHeight="1">
      <c r="A161" s="2">
        <v>21</v>
      </c>
      <c r="B161" s="2">
        <v>160</v>
      </c>
      <c r="C161" s="2">
        <v>2</v>
      </c>
      <c r="E161" s="2">
        <v>2</v>
      </c>
    </row>
    <row r="162" spans="1:6" ht="14.25" customHeight="1">
      <c r="A162" s="2">
        <v>21</v>
      </c>
      <c r="B162" s="2">
        <v>161</v>
      </c>
      <c r="C162" s="2">
        <v>5</v>
      </c>
      <c r="D162" s="2">
        <v>1</v>
      </c>
      <c r="E162" s="2">
        <v>1.625</v>
      </c>
      <c r="F162" s="2">
        <v>2</v>
      </c>
    </row>
    <row r="163" spans="1:6" ht="14.25" customHeight="1">
      <c r="A163" s="2">
        <v>21</v>
      </c>
      <c r="B163" s="2">
        <v>162</v>
      </c>
      <c r="C163" s="2">
        <v>4</v>
      </c>
      <c r="D163" s="2">
        <v>1</v>
      </c>
      <c r="E163" s="2">
        <v>1.1399999999999999</v>
      </c>
      <c r="F163" s="2">
        <v>1</v>
      </c>
    </row>
    <row r="164" spans="1:6" ht="14.25" customHeight="1">
      <c r="A164" s="2">
        <v>21</v>
      </c>
      <c r="B164" s="2">
        <v>163</v>
      </c>
      <c r="C164" s="2">
        <v>2</v>
      </c>
      <c r="D164" s="2">
        <v>1</v>
      </c>
      <c r="E164" s="2">
        <v>1.0589999999999999</v>
      </c>
      <c r="F164" s="2">
        <v>2</v>
      </c>
    </row>
    <row r="165" spans="1:6" ht="14.25" customHeight="1">
      <c r="A165" s="2">
        <v>21</v>
      </c>
      <c r="B165" s="2">
        <v>164</v>
      </c>
      <c r="C165" s="2">
        <v>8</v>
      </c>
      <c r="D165" s="2">
        <v>1</v>
      </c>
      <c r="E165" s="2">
        <v>0.92500000000000004</v>
      </c>
      <c r="F165" s="2">
        <v>2</v>
      </c>
    </row>
    <row r="166" spans="1:6" ht="14.25" customHeight="1">
      <c r="A166" s="2">
        <v>21</v>
      </c>
      <c r="B166" s="2">
        <v>165</v>
      </c>
      <c r="C166" s="2">
        <v>3</v>
      </c>
      <c r="D166" s="2">
        <v>1</v>
      </c>
      <c r="E166" s="2">
        <v>1.149</v>
      </c>
      <c r="F166" s="2">
        <v>2</v>
      </c>
    </row>
    <row r="167" spans="1:6" ht="14.25" customHeight="1">
      <c r="A167" s="2">
        <v>21</v>
      </c>
      <c r="B167" s="2">
        <v>166</v>
      </c>
      <c r="C167" s="2">
        <v>1</v>
      </c>
      <c r="D167" s="2">
        <v>1</v>
      </c>
      <c r="E167" s="2">
        <v>1.2270000000000001</v>
      </c>
      <c r="F167" s="2">
        <v>1</v>
      </c>
    </row>
    <row r="168" spans="1:6" ht="14.25" customHeight="1">
      <c r="A168" s="2">
        <v>21</v>
      </c>
      <c r="B168" s="2">
        <v>167</v>
      </c>
      <c r="C168" s="2">
        <v>5</v>
      </c>
      <c r="D168" s="2">
        <v>1</v>
      </c>
      <c r="E168" s="2">
        <v>1.0620000000000001</v>
      </c>
      <c r="F168" s="2">
        <v>2</v>
      </c>
    </row>
    <row r="169" spans="1:6" ht="14.25" customHeight="1">
      <c r="A169" s="2">
        <v>21</v>
      </c>
      <c r="B169" s="2">
        <v>168</v>
      </c>
      <c r="C169" s="2">
        <v>7</v>
      </c>
      <c r="D169" s="2">
        <v>1</v>
      </c>
      <c r="E169" s="2">
        <v>0.96</v>
      </c>
      <c r="F169" s="2">
        <v>1</v>
      </c>
    </row>
    <row r="170" spans="1:6" ht="14.25" customHeight="1">
      <c r="A170" s="2">
        <v>21</v>
      </c>
      <c r="B170" s="2">
        <v>169</v>
      </c>
      <c r="C170" s="2">
        <v>4</v>
      </c>
      <c r="D170" s="2">
        <v>1</v>
      </c>
      <c r="E170" s="2">
        <v>1.022</v>
      </c>
      <c r="F170" s="2">
        <v>2</v>
      </c>
    </row>
    <row r="171" spans="1:6" ht="14.25" customHeight="1">
      <c r="A171" s="2">
        <v>21</v>
      </c>
      <c r="B171" s="2">
        <v>170</v>
      </c>
      <c r="C171" s="2">
        <v>7</v>
      </c>
      <c r="D171" s="2">
        <v>1</v>
      </c>
      <c r="E171" s="2">
        <v>1.161</v>
      </c>
      <c r="F171" s="2">
        <v>1</v>
      </c>
    </row>
    <row r="172" spans="1:6" ht="14.25" customHeight="1">
      <c r="A172" s="2">
        <v>21</v>
      </c>
      <c r="B172" s="2">
        <v>171</v>
      </c>
      <c r="C172" s="2">
        <v>3</v>
      </c>
      <c r="D172" s="2">
        <v>1</v>
      </c>
      <c r="E172" s="2">
        <v>0.76700000000000002</v>
      </c>
      <c r="F172" s="2">
        <v>2</v>
      </c>
    </row>
    <row r="173" spans="1:6" ht="14.25" customHeight="1">
      <c r="A173" s="2">
        <v>21</v>
      </c>
      <c r="B173" s="2">
        <v>172</v>
      </c>
      <c r="C173" s="2">
        <v>6</v>
      </c>
      <c r="D173" s="2">
        <v>1</v>
      </c>
      <c r="E173" s="2">
        <v>1.413</v>
      </c>
      <c r="F173" s="2">
        <v>2</v>
      </c>
    </row>
    <row r="174" spans="1:6" ht="14.25" customHeight="1">
      <c r="A174" s="2">
        <v>21</v>
      </c>
      <c r="B174" s="2">
        <v>173</v>
      </c>
      <c r="C174" s="2">
        <v>1</v>
      </c>
      <c r="D174" s="2">
        <v>1</v>
      </c>
      <c r="E174" s="2">
        <v>0.753</v>
      </c>
      <c r="F174" s="2">
        <v>1</v>
      </c>
    </row>
    <row r="175" spans="1:6" ht="14.25" customHeight="1">
      <c r="A175" s="2">
        <v>21</v>
      </c>
      <c r="B175" s="2">
        <v>174</v>
      </c>
      <c r="C175" s="2">
        <v>5</v>
      </c>
      <c r="D175" s="2">
        <v>1</v>
      </c>
      <c r="E175" s="2">
        <v>0.84799999999999998</v>
      </c>
      <c r="F175" s="2">
        <v>2</v>
      </c>
    </row>
    <row r="176" spans="1:6" ht="14.25" customHeight="1">
      <c r="A176" s="2">
        <v>21</v>
      </c>
      <c r="B176" s="2">
        <v>175</v>
      </c>
      <c r="C176" s="2">
        <v>2</v>
      </c>
      <c r="D176" s="2">
        <v>1</v>
      </c>
      <c r="E176" s="2">
        <v>0.84199999999999997</v>
      </c>
      <c r="F176" s="2">
        <v>1</v>
      </c>
    </row>
    <row r="177" spans="1:6" ht="14.25" customHeight="1">
      <c r="A177" s="2">
        <v>21</v>
      </c>
      <c r="B177" s="2">
        <v>176</v>
      </c>
      <c r="C177" s="2">
        <v>5</v>
      </c>
      <c r="D177" s="2">
        <v>1</v>
      </c>
      <c r="E177" s="2">
        <v>1.2210000000000001</v>
      </c>
      <c r="F177" s="2">
        <v>2</v>
      </c>
    </row>
    <row r="178" spans="1:6" ht="14.25" customHeight="1">
      <c r="A178" s="2">
        <v>21</v>
      </c>
      <c r="B178" s="2">
        <v>177</v>
      </c>
      <c r="C178" s="2">
        <v>1</v>
      </c>
      <c r="D178" s="2">
        <v>1</v>
      </c>
      <c r="E178" s="2">
        <v>1.569</v>
      </c>
      <c r="F178" s="2">
        <v>1</v>
      </c>
    </row>
    <row r="179" spans="1:6" ht="14.25" customHeight="1">
      <c r="A179" s="2">
        <v>21</v>
      </c>
      <c r="B179" s="2">
        <v>178</v>
      </c>
      <c r="C179" s="2">
        <v>3</v>
      </c>
      <c r="D179" s="2">
        <v>1</v>
      </c>
      <c r="E179" s="2">
        <v>1.1419999999999999</v>
      </c>
      <c r="F179" s="2">
        <v>2</v>
      </c>
    </row>
    <row r="180" spans="1:6" ht="14.25" customHeight="1">
      <c r="A180" s="2">
        <v>21</v>
      </c>
      <c r="B180" s="2">
        <v>179</v>
      </c>
      <c r="C180" s="2">
        <v>1</v>
      </c>
      <c r="D180" s="2">
        <v>1</v>
      </c>
      <c r="E180" s="2">
        <v>0.66</v>
      </c>
      <c r="F180" s="2">
        <v>1</v>
      </c>
    </row>
    <row r="181" spans="1:6" ht="14.25" customHeight="1">
      <c r="A181" s="2">
        <v>21</v>
      </c>
      <c r="B181" s="2">
        <v>180</v>
      </c>
      <c r="C181" s="2">
        <v>7</v>
      </c>
      <c r="D181" s="2">
        <v>1</v>
      </c>
      <c r="E181" s="2">
        <v>1.3759999999999999</v>
      </c>
      <c r="F181" s="2">
        <v>1</v>
      </c>
    </row>
    <row r="182" spans="1:6" ht="14.25" customHeight="1">
      <c r="A182" s="2">
        <v>21</v>
      </c>
      <c r="B182" s="2">
        <v>181</v>
      </c>
      <c r="C182" s="2">
        <v>3</v>
      </c>
      <c r="D182" s="2">
        <v>1</v>
      </c>
      <c r="E182" s="2">
        <v>0.95599999999999996</v>
      </c>
      <c r="F182" s="2">
        <v>2</v>
      </c>
    </row>
    <row r="183" spans="1:6" ht="14.25" customHeight="1">
      <c r="A183" s="2">
        <v>21</v>
      </c>
      <c r="B183" s="2">
        <v>182</v>
      </c>
      <c r="C183" s="2">
        <v>8</v>
      </c>
      <c r="D183" s="2">
        <v>1</v>
      </c>
      <c r="E183" s="2">
        <v>0.86599999999999999</v>
      </c>
      <c r="F183" s="2">
        <v>1</v>
      </c>
    </row>
    <row r="184" spans="1:6" ht="14.25" customHeight="1">
      <c r="A184" s="2">
        <v>21</v>
      </c>
      <c r="B184" s="2">
        <v>183</v>
      </c>
      <c r="C184" s="2">
        <v>2</v>
      </c>
      <c r="D184" s="2">
        <v>1</v>
      </c>
      <c r="E184" s="2">
        <v>0.876</v>
      </c>
      <c r="F184" s="2">
        <v>1</v>
      </c>
    </row>
    <row r="185" spans="1:6" ht="14.25" customHeight="1">
      <c r="A185" s="2">
        <v>21</v>
      </c>
      <c r="B185" s="2">
        <v>184</v>
      </c>
      <c r="C185" s="2">
        <v>6</v>
      </c>
      <c r="D185" s="2">
        <v>1</v>
      </c>
      <c r="E185" s="2">
        <v>1.133</v>
      </c>
      <c r="F185" s="2">
        <v>1</v>
      </c>
    </row>
    <row r="186" spans="1:6" ht="14.25" customHeight="1">
      <c r="A186" s="2">
        <v>21</v>
      </c>
      <c r="B186" s="2">
        <v>185</v>
      </c>
      <c r="C186" s="2">
        <v>4</v>
      </c>
      <c r="D186" s="2">
        <v>1</v>
      </c>
      <c r="E186" s="2">
        <v>1.1719999999999999</v>
      </c>
      <c r="F186" s="2">
        <v>2</v>
      </c>
    </row>
    <row r="187" spans="1:6" ht="14.25" customHeight="1">
      <c r="A187" s="2">
        <v>21</v>
      </c>
      <c r="B187" s="2">
        <v>186</v>
      </c>
      <c r="C187" s="2">
        <v>6</v>
      </c>
      <c r="D187" s="2">
        <v>1</v>
      </c>
      <c r="E187" s="2">
        <v>1.306</v>
      </c>
      <c r="F187" s="2">
        <v>2</v>
      </c>
    </row>
    <row r="188" spans="1:6" ht="14.25" customHeight="1">
      <c r="A188" s="2">
        <v>21</v>
      </c>
      <c r="B188" s="2">
        <v>187</v>
      </c>
      <c r="C188" s="2">
        <v>7</v>
      </c>
      <c r="D188" s="2">
        <v>1</v>
      </c>
      <c r="E188" s="2">
        <v>1.1459999999999999</v>
      </c>
      <c r="F188" s="2">
        <v>1</v>
      </c>
    </row>
    <row r="189" spans="1:6" ht="14.25" customHeight="1">
      <c r="A189" s="2">
        <v>21</v>
      </c>
      <c r="B189" s="2">
        <v>188</v>
      </c>
      <c r="C189" s="2">
        <v>6</v>
      </c>
      <c r="D189" s="2">
        <v>1</v>
      </c>
      <c r="E189" s="2">
        <v>0.73</v>
      </c>
      <c r="F189" s="2">
        <v>2</v>
      </c>
    </row>
    <row r="190" spans="1:6" ht="14.25" customHeight="1">
      <c r="A190" s="2">
        <v>21</v>
      </c>
      <c r="B190" s="2">
        <v>189</v>
      </c>
      <c r="C190" s="2">
        <v>3</v>
      </c>
      <c r="D190" s="2">
        <v>1</v>
      </c>
      <c r="E190" s="2">
        <v>0.84</v>
      </c>
      <c r="F190" s="2">
        <v>1</v>
      </c>
    </row>
    <row r="191" spans="1:6" ht="14.25" customHeight="1">
      <c r="A191" s="2">
        <v>21</v>
      </c>
      <c r="B191" s="2">
        <v>190</v>
      </c>
      <c r="C191" s="2">
        <v>1</v>
      </c>
      <c r="D191" s="2">
        <v>1</v>
      </c>
      <c r="E191" s="2">
        <v>0.874</v>
      </c>
      <c r="F191" s="2">
        <v>1</v>
      </c>
    </row>
    <row r="192" spans="1:6" ht="14.25" customHeight="1">
      <c r="A192" s="2">
        <v>21</v>
      </c>
      <c r="B192" s="2">
        <v>191</v>
      </c>
      <c r="C192" s="2">
        <v>6</v>
      </c>
      <c r="D192" s="2">
        <v>1</v>
      </c>
      <c r="E192" s="2">
        <v>1.085</v>
      </c>
      <c r="F192" s="2">
        <v>1</v>
      </c>
    </row>
    <row r="193" spans="1:6" ht="14.25" customHeight="1">
      <c r="A193" s="2">
        <v>21</v>
      </c>
      <c r="B193" s="2">
        <v>192</v>
      </c>
      <c r="C193" s="2">
        <v>8</v>
      </c>
      <c r="D193" s="2">
        <v>1</v>
      </c>
      <c r="E193" s="2">
        <v>0.86199999999999999</v>
      </c>
      <c r="F193" s="2">
        <v>2</v>
      </c>
    </row>
    <row r="194" spans="1:6" ht="14.25" customHeight="1">
      <c r="A194" s="2">
        <v>21</v>
      </c>
      <c r="B194" s="2">
        <v>193</v>
      </c>
      <c r="C194" s="2">
        <v>1</v>
      </c>
      <c r="D194" s="2">
        <v>1</v>
      </c>
      <c r="E194" s="2">
        <v>0.999</v>
      </c>
      <c r="F194" s="2">
        <v>2</v>
      </c>
    </row>
    <row r="195" spans="1:6" ht="14.25" customHeight="1">
      <c r="A195" s="2">
        <v>21</v>
      </c>
      <c r="B195" s="2">
        <v>194</v>
      </c>
      <c r="C195" s="2">
        <v>5</v>
      </c>
      <c r="D195" s="2">
        <v>1</v>
      </c>
      <c r="E195" s="2">
        <v>0.81299999999999994</v>
      </c>
      <c r="F195" s="2">
        <v>2</v>
      </c>
    </row>
    <row r="196" spans="1:6" ht="14.25" customHeight="1">
      <c r="A196" s="2">
        <v>21</v>
      </c>
      <c r="B196" s="2">
        <v>195</v>
      </c>
      <c r="C196" s="2">
        <v>4</v>
      </c>
      <c r="D196" s="2">
        <v>1</v>
      </c>
      <c r="E196" s="2">
        <v>0.85599999999999998</v>
      </c>
      <c r="F196" s="2">
        <v>1</v>
      </c>
    </row>
    <row r="197" spans="1:6" ht="14.25" customHeight="1">
      <c r="A197" s="2">
        <v>21</v>
      </c>
      <c r="B197" s="2">
        <v>196</v>
      </c>
      <c r="C197" s="2">
        <v>8</v>
      </c>
      <c r="D197" s="2">
        <v>1</v>
      </c>
      <c r="E197" s="2">
        <v>0.875</v>
      </c>
      <c r="F197" s="2">
        <v>2</v>
      </c>
    </row>
    <row r="198" spans="1:6" ht="14.25" customHeight="1">
      <c r="A198" s="2">
        <v>21</v>
      </c>
      <c r="B198" s="2">
        <v>197</v>
      </c>
      <c r="C198" s="2">
        <v>4</v>
      </c>
      <c r="D198" s="2">
        <v>1</v>
      </c>
      <c r="E198" s="2">
        <v>1.3069999999999999</v>
      </c>
      <c r="F198" s="2">
        <v>1</v>
      </c>
    </row>
    <row r="199" spans="1:6" ht="14.25" customHeight="1">
      <c r="A199" s="2">
        <v>21</v>
      </c>
      <c r="B199" s="2">
        <v>198</v>
      </c>
      <c r="C199" s="2">
        <v>6</v>
      </c>
      <c r="D199" s="2">
        <v>1</v>
      </c>
      <c r="E199" s="2">
        <v>1.0589999999999999</v>
      </c>
      <c r="F199" s="2">
        <v>1</v>
      </c>
    </row>
    <row r="200" spans="1:6" ht="14.25" customHeight="1">
      <c r="A200" s="2">
        <v>21</v>
      </c>
      <c r="B200" s="2">
        <v>199</v>
      </c>
      <c r="C200" s="2">
        <v>8</v>
      </c>
      <c r="D200" s="2">
        <v>1</v>
      </c>
      <c r="E200" s="2">
        <v>1.6779999999999999</v>
      </c>
      <c r="F200" s="2">
        <v>1</v>
      </c>
    </row>
    <row r="201" spans="1:6" ht="14.25" customHeight="1">
      <c r="A201" s="2">
        <v>21</v>
      </c>
      <c r="B201" s="2">
        <v>200</v>
      </c>
      <c r="C201" s="2">
        <v>2</v>
      </c>
      <c r="D201" s="2">
        <v>1</v>
      </c>
      <c r="E201" s="2">
        <v>0.56000000000000005</v>
      </c>
      <c r="F201" s="2">
        <v>2</v>
      </c>
    </row>
    <row r="202" spans="1:6" ht="14.25" customHeight="1">
      <c r="A202" s="2">
        <v>21</v>
      </c>
      <c r="B202" s="2">
        <v>201</v>
      </c>
      <c r="C202" s="2">
        <v>6</v>
      </c>
      <c r="D202" s="2">
        <v>1</v>
      </c>
      <c r="E202" s="2">
        <v>0.69099999999999995</v>
      </c>
    </row>
    <row r="203" spans="1:6" ht="14.25" customHeight="1">
      <c r="A203" s="2">
        <v>21</v>
      </c>
      <c r="B203" s="2">
        <v>202</v>
      </c>
      <c r="C203" s="2">
        <v>2</v>
      </c>
      <c r="D203" s="2">
        <v>1</v>
      </c>
      <c r="E203" s="2">
        <v>0.92400000000000004</v>
      </c>
    </row>
    <row r="204" spans="1:6" ht="14.25" customHeight="1">
      <c r="A204" s="2">
        <v>21</v>
      </c>
      <c r="B204" s="2">
        <v>203</v>
      </c>
      <c r="C204" s="2">
        <v>1</v>
      </c>
      <c r="D204" s="2">
        <v>1</v>
      </c>
      <c r="E204" s="2">
        <v>0.89900000000000002</v>
      </c>
    </row>
    <row r="205" spans="1:6" ht="14.25" customHeight="1">
      <c r="A205" s="2">
        <v>21</v>
      </c>
      <c r="B205" s="2">
        <v>204</v>
      </c>
      <c r="C205" s="2">
        <v>2</v>
      </c>
      <c r="D205" s="2">
        <v>1</v>
      </c>
      <c r="E205" s="2">
        <v>1.5569999999999999</v>
      </c>
    </row>
    <row r="206" spans="1:6" ht="14.25" customHeight="1">
      <c r="A206" s="2">
        <v>21</v>
      </c>
      <c r="B206" s="2">
        <v>205</v>
      </c>
      <c r="C206" s="2">
        <v>8</v>
      </c>
      <c r="D206" s="2">
        <v>1</v>
      </c>
      <c r="E206" s="2">
        <v>0.70599999999999996</v>
      </c>
    </row>
    <row r="207" spans="1:6" ht="14.25" customHeight="1">
      <c r="A207" s="2">
        <v>21</v>
      </c>
      <c r="B207" s="2">
        <v>206</v>
      </c>
      <c r="C207" s="2">
        <v>7</v>
      </c>
      <c r="D207" s="2">
        <v>1</v>
      </c>
      <c r="E207" s="2">
        <v>1.33</v>
      </c>
    </row>
    <row r="208" spans="1:6" ht="14.25" customHeight="1">
      <c r="A208" s="2">
        <v>21</v>
      </c>
      <c r="B208" s="2">
        <v>207</v>
      </c>
      <c r="C208" s="2">
        <v>1</v>
      </c>
      <c r="D208" s="2">
        <v>1</v>
      </c>
      <c r="E208" s="2">
        <v>0.80900000000000005</v>
      </c>
    </row>
    <row r="209" spans="1:5" ht="14.25" customHeight="1">
      <c r="A209" s="2">
        <v>21</v>
      </c>
      <c r="B209" s="2">
        <v>208</v>
      </c>
      <c r="C209" s="2">
        <v>2</v>
      </c>
      <c r="D209" s="2">
        <v>1</v>
      </c>
      <c r="E209" s="2">
        <v>0.78900000000000003</v>
      </c>
    </row>
    <row r="210" spans="1:5" ht="14.25" customHeight="1">
      <c r="A210" s="2">
        <v>21</v>
      </c>
      <c r="B210" s="2">
        <v>209</v>
      </c>
      <c r="C210" s="2">
        <v>7</v>
      </c>
      <c r="D210" s="2">
        <v>1</v>
      </c>
      <c r="E210" s="2">
        <v>0.79400000000000004</v>
      </c>
    </row>
    <row r="211" spans="1:5" ht="14.25" customHeight="1">
      <c r="A211" s="2">
        <v>21</v>
      </c>
      <c r="B211" s="2">
        <v>210</v>
      </c>
      <c r="C211" s="2">
        <v>4</v>
      </c>
      <c r="D211" s="2">
        <v>1</v>
      </c>
      <c r="E211" s="2">
        <v>1.03</v>
      </c>
    </row>
    <row r="212" spans="1:5" ht="14.25" customHeight="1">
      <c r="A212" s="2">
        <v>21</v>
      </c>
      <c r="B212" s="2">
        <v>211</v>
      </c>
      <c r="C212" s="2">
        <v>3</v>
      </c>
      <c r="D212" s="2">
        <v>1</v>
      </c>
      <c r="E212" s="2">
        <v>0.93799999999999994</v>
      </c>
    </row>
    <row r="213" spans="1:5" ht="14.25" customHeight="1">
      <c r="A213" s="2">
        <v>21</v>
      </c>
      <c r="B213" s="2">
        <v>212</v>
      </c>
      <c r="C213" s="2">
        <v>7</v>
      </c>
      <c r="D213" s="2">
        <v>1</v>
      </c>
      <c r="E213" s="2">
        <v>1.369</v>
      </c>
    </row>
    <row r="214" spans="1:5" ht="14.25" customHeight="1">
      <c r="A214" s="2">
        <v>21</v>
      </c>
      <c r="B214" s="2">
        <v>213</v>
      </c>
      <c r="C214" s="2">
        <v>8</v>
      </c>
      <c r="D214" s="2">
        <v>1</v>
      </c>
      <c r="E214" s="2">
        <v>0.82199999999999995</v>
      </c>
    </row>
    <row r="215" spans="1:5" ht="14.25" customHeight="1">
      <c r="A215" s="2">
        <v>21</v>
      </c>
      <c r="B215" s="2">
        <v>214</v>
      </c>
      <c r="C215" s="2">
        <v>5</v>
      </c>
      <c r="D215" s="2">
        <v>1</v>
      </c>
      <c r="E215" s="2">
        <v>0.69</v>
      </c>
    </row>
    <row r="216" spans="1:5" ht="14.25" customHeight="1">
      <c r="A216" s="2">
        <v>21</v>
      </c>
      <c r="B216" s="2">
        <v>215</v>
      </c>
      <c r="C216" s="2">
        <v>3</v>
      </c>
      <c r="D216" s="2">
        <v>1</v>
      </c>
      <c r="E216" s="2">
        <v>0.79500000000000004</v>
      </c>
    </row>
    <row r="217" spans="1:5" ht="14.25" customHeight="1">
      <c r="A217" s="2">
        <v>21</v>
      </c>
      <c r="B217" s="2">
        <v>216</v>
      </c>
      <c r="C217" s="2">
        <v>5</v>
      </c>
      <c r="D217" s="2">
        <v>1</v>
      </c>
      <c r="E217" s="2">
        <v>0.99099999999999999</v>
      </c>
    </row>
    <row r="218" spans="1:5" ht="14.25" customHeight="1">
      <c r="A218" s="2">
        <v>21</v>
      </c>
      <c r="B218" s="2">
        <v>217</v>
      </c>
      <c r="C218" s="2">
        <v>2</v>
      </c>
      <c r="D218" s="2">
        <v>1</v>
      </c>
      <c r="E218" s="2">
        <v>0.91600000000000004</v>
      </c>
    </row>
    <row r="219" spans="1:5" ht="14.25" customHeight="1">
      <c r="A219" s="2">
        <v>21</v>
      </c>
      <c r="B219" s="2">
        <v>218</v>
      </c>
      <c r="C219" s="2">
        <v>4</v>
      </c>
      <c r="D219" s="2">
        <v>1</v>
      </c>
      <c r="E219" s="2">
        <v>0.73099999999999998</v>
      </c>
    </row>
    <row r="220" spans="1:5" ht="14.25" customHeight="1">
      <c r="A220" s="2">
        <v>21</v>
      </c>
      <c r="B220" s="2">
        <v>219</v>
      </c>
      <c r="C220" s="2">
        <v>8</v>
      </c>
      <c r="D220" s="2">
        <v>1</v>
      </c>
      <c r="E220" s="2">
        <v>0.94699999999999995</v>
      </c>
    </row>
    <row r="221" spans="1:5" ht="14.25" customHeight="1">
      <c r="A221" s="2">
        <v>21</v>
      </c>
      <c r="B221" s="2">
        <v>220</v>
      </c>
      <c r="C221" s="2">
        <v>4</v>
      </c>
      <c r="D221" s="2">
        <v>1</v>
      </c>
      <c r="E221" s="2">
        <v>0.91300000000000003</v>
      </c>
    </row>
    <row r="222" spans="1:5" ht="14.25" customHeight="1">
      <c r="A222" s="2">
        <v>21</v>
      </c>
      <c r="B222" s="2">
        <v>221</v>
      </c>
      <c r="C222" s="2">
        <v>1</v>
      </c>
      <c r="D222" s="2">
        <v>1</v>
      </c>
      <c r="E222" s="2">
        <v>0.73799999999999999</v>
      </c>
    </row>
    <row r="223" spans="1:5" ht="14.25" customHeight="1">
      <c r="A223" s="2">
        <v>21</v>
      </c>
      <c r="B223" s="2">
        <v>222</v>
      </c>
      <c r="C223" s="2">
        <v>6</v>
      </c>
      <c r="D223" s="2">
        <v>1</v>
      </c>
      <c r="E223" s="2">
        <v>0.88900000000000001</v>
      </c>
    </row>
    <row r="224" spans="1:5" ht="14.25" customHeight="1">
      <c r="A224" s="2">
        <v>21</v>
      </c>
      <c r="B224" s="2">
        <v>223</v>
      </c>
      <c r="C224" s="2">
        <v>8</v>
      </c>
      <c r="D224" s="2">
        <v>1</v>
      </c>
      <c r="E224" s="2">
        <v>0.65800000000000003</v>
      </c>
    </row>
    <row r="225" spans="1:5" ht="14.25" customHeight="1">
      <c r="A225" s="2">
        <v>21</v>
      </c>
      <c r="B225" s="2">
        <v>224</v>
      </c>
      <c r="C225" s="2">
        <v>6</v>
      </c>
      <c r="D225" s="2">
        <v>1</v>
      </c>
      <c r="E225" s="2">
        <v>1.0429999999999999</v>
      </c>
    </row>
    <row r="226" spans="1:5" ht="14.25" customHeight="1">
      <c r="A226" s="2">
        <v>21</v>
      </c>
      <c r="B226" s="2">
        <v>225</v>
      </c>
      <c r="C226" s="2">
        <v>3</v>
      </c>
      <c r="D226" s="2">
        <v>1</v>
      </c>
      <c r="E226" s="2">
        <v>1.2609999999999999</v>
      </c>
    </row>
    <row r="227" spans="1:5" ht="14.25" customHeight="1">
      <c r="A227" s="2">
        <v>21</v>
      </c>
      <c r="B227" s="2">
        <v>226</v>
      </c>
      <c r="C227" s="2">
        <v>5</v>
      </c>
      <c r="D227" s="2">
        <v>1</v>
      </c>
      <c r="E227" s="2">
        <v>1.0149999999999999</v>
      </c>
    </row>
    <row r="228" spans="1:5" ht="14.25" customHeight="1">
      <c r="A228" s="2">
        <v>21</v>
      </c>
      <c r="B228" s="2">
        <v>227</v>
      </c>
      <c r="C228" s="2">
        <v>7</v>
      </c>
      <c r="D228" s="2">
        <v>1</v>
      </c>
      <c r="E228" s="2">
        <v>0.79500000000000004</v>
      </c>
    </row>
    <row r="229" spans="1:5" ht="14.25" customHeight="1">
      <c r="A229" s="2">
        <v>21</v>
      </c>
      <c r="B229" s="2">
        <v>228</v>
      </c>
      <c r="C229" s="2">
        <v>3</v>
      </c>
      <c r="D229" s="2">
        <v>1</v>
      </c>
      <c r="E229" s="2">
        <v>0.86499999999999999</v>
      </c>
    </row>
    <row r="230" spans="1:5" ht="14.25" customHeight="1">
      <c r="A230" s="2">
        <v>21</v>
      </c>
      <c r="B230" s="2">
        <v>229</v>
      </c>
      <c r="C230" s="2">
        <v>7</v>
      </c>
      <c r="D230" s="2">
        <v>1</v>
      </c>
      <c r="E230" s="2">
        <v>1.242</v>
      </c>
    </row>
    <row r="231" spans="1:5" ht="14.25" customHeight="1">
      <c r="A231" s="2">
        <v>21</v>
      </c>
      <c r="B231" s="2">
        <v>230</v>
      </c>
      <c r="C231" s="2">
        <v>4</v>
      </c>
      <c r="D231" s="2">
        <v>1</v>
      </c>
      <c r="E231" s="2">
        <v>1.268</v>
      </c>
    </row>
    <row r="232" spans="1:5" ht="14.25" customHeight="1">
      <c r="A232" s="2">
        <v>21</v>
      </c>
      <c r="B232" s="2">
        <v>231</v>
      </c>
      <c r="C232" s="2">
        <v>3</v>
      </c>
      <c r="D232" s="2">
        <v>1</v>
      </c>
      <c r="E232" s="2">
        <v>0.94399999999999995</v>
      </c>
    </row>
    <row r="233" spans="1:5" ht="14.25" customHeight="1">
      <c r="A233" s="2">
        <v>21</v>
      </c>
      <c r="B233" s="2">
        <v>232</v>
      </c>
      <c r="C233" s="2">
        <v>8</v>
      </c>
      <c r="D233" s="2">
        <v>1</v>
      </c>
      <c r="E233" s="2">
        <v>1.157</v>
      </c>
    </row>
    <row r="234" spans="1:5" ht="14.25" customHeight="1">
      <c r="A234" s="2">
        <v>21</v>
      </c>
      <c r="B234" s="2">
        <v>233</v>
      </c>
      <c r="C234" s="2">
        <v>3</v>
      </c>
      <c r="D234" s="2">
        <v>1</v>
      </c>
      <c r="E234" s="2">
        <v>0.98699999999999999</v>
      </c>
    </row>
    <row r="235" spans="1:5" ht="14.25" customHeight="1">
      <c r="A235" s="2">
        <v>21</v>
      </c>
      <c r="B235" s="2">
        <v>234</v>
      </c>
      <c r="C235" s="2">
        <v>6</v>
      </c>
      <c r="D235" s="2">
        <v>1</v>
      </c>
      <c r="E235" s="2">
        <v>1.641</v>
      </c>
    </row>
    <row r="236" spans="1:5" ht="14.25" customHeight="1">
      <c r="A236" s="2">
        <v>21</v>
      </c>
      <c r="B236" s="2">
        <v>235</v>
      </c>
      <c r="C236" s="2">
        <v>2</v>
      </c>
      <c r="D236" s="2">
        <v>1</v>
      </c>
      <c r="E236" s="2">
        <v>1.0429999999999999</v>
      </c>
    </row>
    <row r="237" spans="1:5" ht="14.25" customHeight="1">
      <c r="A237" s="2">
        <v>21</v>
      </c>
      <c r="B237" s="2">
        <v>236</v>
      </c>
      <c r="C237" s="2">
        <v>8</v>
      </c>
      <c r="D237" s="2">
        <v>1</v>
      </c>
      <c r="E237" s="2">
        <v>1.046</v>
      </c>
    </row>
    <row r="238" spans="1:5" ht="14.25" customHeight="1">
      <c r="A238" s="2">
        <v>21</v>
      </c>
      <c r="B238" s="2">
        <v>237</v>
      </c>
      <c r="C238" s="2">
        <v>4</v>
      </c>
      <c r="D238" s="2">
        <v>1</v>
      </c>
      <c r="E238" s="2">
        <v>1.0880000000000001</v>
      </c>
    </row>
    <row r="239" spans="1:5" ht="14.25" customHeight="1">
      <c r="A239" s="2">
        <v>21</v>
      </c>
      <c r="B239" s="2">
        <v>238</v>
      </c>
      <c r="C239" s="2">
        <v>6</v>
      </c>
      <c r="D239" s="2">
        <v>1</v>
      </c>
      <c r="E239" s="2">
        <v>1.002</v>
      </c>
    </row>
    <row r="240" spans="1:5" ht="14.25" customHeight="1">
      <c r="A240" s="2">
        <v>21</v>
      </c>
      <c r="B240" s="2">
        <v>239</v>
      </c>
      <c r="C240" s="2">
        <v>2</v>
      </c>
      <c r="D240" s="2">
        <v>1</v>
      </c>
      <c r="E240" s="2">
        <v>0.74099999999999999</v>
      </c>
    </row>
    <row r="241" spans="1:5" ht="14.25" customHeight="1">
      <c r="A241" s="2">
        <v>21</v>
      </c>
      <c r="B241" s="2">
        <v>240</v>
      </c>
      <c r="C241" s="2">
        <v>5</v>
      </c>
      <c r="D241" s="2">
        <v>1</v>
      </c>
      <c r="E241" s="2">
        <v>0.70799999999999996</v>
      </c>
    </row>
    <row r="242" spans="1:5" ht="14.25" customHeight="1">
      <c r="A242" s="2">
        <v>21</v>
      </c>
      <c r="B242" s="2">
        <v>241</v>
      </c>
      <c r="C242" s="2">
        <v>4</v>
      </c>
      <c r="D242" s="2">
        <v>1</v>
      </c>
      <c r="E242" s="2">
        <v>1.3560000000000001</v>
      </c>
    </row>
    <row r="243" spans="1:5" ht="14.25" customHeight="1">
      <c r="A243" s="2">
        <v>21</v>
      </c>
      <c r="B243" s="2">
        <v>242</v>
      </c>
      <c r="C243" s="2">
        <v>5</v>
      </c>
      <c r="D243" s="2">
        <v>1</v>
      </c>
      <c r="E243" s="2">
        <v>0.97</v>
      </c>
    </row>
    <row r="244" spans="1:5" ht="14.25" customHeight="1">
      <c r="A244" s="2">
        <v>21</v>
      </c>
      <c r="B244" s="2">
        <v>243</v>
      </c>
      <c r="C244" s="2">
        <v>1</v>
      </c>
      <c r="D244" s="2">
        <v>1</v>
      </c>
      <c r="E244" s="2">
        <v>0.94299999999999995</v>
      </c>
    </row>
    <row r="245" spans="1:5" ht="14.25" customHeight="1">
      <c r="A245" s="2">
        <v>21</v>
      </c>
      <c r="B245" s="2">
        <v>244</v>
      </c>
      <c r="C245" s="2">
        <v>7</v>
      </c>
      <c r="D245" s="2">
        <v>1</v>
      </c>
      <c r="E245" s="2">
        <v>0.65400000000000003</v>
      </c>
    </row>
    <row r="246" spans="1:5" ht="14.25" customHeight="1">
      <c r="A246" s="2">
        <v>21</v>
      </c>
      <c r="B246" s="2">
        <v>245</v>
      </c>
      <c r="C246" s="2">
        <v>1</v>
      </c>
      <c r="D246" s="2">
        <v>1</v>
      </c>
      <c r="E246" s="2">
        <v>0.81599999999999995</v>
      </c>
    </row>
    <row r="247" spans="1:5" ht="14.25" customHeight="1">
      <c r="A247" s="2">
        <v>21</v>
      </c>
      <c r="B247" s="2">
        <v>246</v>
      </c>
      <c r="C247" s="2">
        <v>5</v>
      </c>
      <c r="D247" s="2">
        <v>1</v>
      </c>
      <c r="E247" s="2">
        <v>0.96399999999999997</v>
      </c>
    </row>
    <row r="248" spans="1:5" ht="14.25" customHeight="1">
      <c r="A248" s="2">
        <v>21</v>
      </c>
      <c r="B248" s="2">
        <v>247</v>
      </c>
      <c r="C248" s="2">
        <v>2</v>
      </c>
      <c r="D248" s="2">
        <v>1</v>
      </c>
      <c r="E248" s="2">
        <v>1.1859999999999999</v>
      </c>
    </row>
    <row r="249" spans="1:5" ht="14.25" customHeight="1">
      <c r="A249" s="2">
        <v>21</v>
      </c>
      <c r="B249" s="2">
        <v>248</v>
      </c>
      <c r="C249" s="2">
        <v>6</v>
      </c>
      <c r="D249" s="2">
        <v>1</v>
      </c>
      <c r="E249" s="2">
        <v>0.752</v>
      </c>
    </row>
    <row r="250" spans="1:5" ht="14.25" customHeight="1">
      <c r="A250" s="2">
        <v>21</v>
      </c>
      <c r="B250" s="2">
        <v>249</v>
      </c>
      <c r="C250" s="2">
        <v>1</v>
      </c>
      <c r="D250" s="2">
        <v>1</v>
      </c>
      <c r="E250" s="2">
        <v>0.66200000000000003</v>
      </c>
    </row>
    <row r="251" spans="1:5" ht="14.25" customHeight="1">
      <c r="A251" s="2">
        <v>21</v>
      </c>
      <c r="B251" s="2">
        <v>250</v>
      </c>
      <c r="C251" s="2">
        <v>4</v>
      </c>
      <c r="D251" s="2">
        <v>1</v>
      </c>
      <c r="E251" s="2">
        <v>1.0329999999999999</v>
      </c>
    </row>
    <row r="252" spans="1:5" ht="14.25" customHeight="1">
      <c r="A252" s="2">
        <v>21</v>
      </c>
      <c r="B252" s="2">
        <v>251</v>
      </c>
      <c r="C252" s="2">
        <v>7</v>
      </c>
    </row>
    <row r="253" spans="1:5" ht="14.25" customHeight="1">
      <c r="A253" s="2">
        <v>21</v>
      </c>
      <c r="B253" s="2">
        <v>252</v>
      </c>
      <c r="C253" s="2">
        <v>1</v>
      </c>
    </row>
    <row r="254" spans="1:5" ht="14.25" customHeight="1">
      <c r="A254" s="2">
        <v>21</v>
      </c>
      <c r="B254" s="2">
        <v>253</v>
      </c>
      <c r="C254" s="2">
        <v>8</v>
      </c>
    </row>
    <row r="255" spans="1:5" ht="14.25" customHeight="1">
      <c r="A255" s="2">
        <v>21</v>
      </c>
      <c r="B255" s="2">
        <v>254</v>
      </c>
      <c r="C255" s="2">
        <v>2</v>
      </c>
    </row>
    <row r="256" spans="1:5" ht="14.25" customHeight="1">
      <c r="A256" s="2">
        <v>21</v>
      </c>
      <c r="B256" s="2">
        <v>255</v>
      </c>
      <c r="C256" s="2">
        <v>3</v>
      </c>
    </row>
    <row r="257" spans="1:3" ht="14.25" customHeight="1">
      <c r="A257" s="2">
        <v>21</v>
      </c>
      <c r="B257" s="2">
        <v>256</v>
      </c>
      <c r="C257" s="2">
        <v>4</v>
      </c>
    </row>
    <row r="258" spans="1:3" ht="14.25" customHeight="1">
      <c r="A258" s="2">
        <v>21</v>
      </c>
      <c r="B258" s="2">
        <v>257</v>
      </c>
      <c r="C258" s="2">
        <v>5</v>
      </c>
    </row>
    <row r="259" spans="1:3" ht="14.25" customHeight="1">
      <c r="A259" s="2">
        <v>21</v>
      </c>
      <c r="B259" s="2">
        <v>258</v>
      </c>
      <c r="C259" s="2">
        <v>3</v>
      </c>
    </row>
    <row r="260" spans="1:3" ht="14.25" customHeight="1">
      <c r="A260" s="2">
        <v>21</v>
      </c>
      <c r="B260" s="2">
        <v>259</v>
      </c>
      <c r="C260" s="2">
        <v>1</v>
      </c>
    </row>
    <row r="261" spans="1:3" ht="14.25" customHeight="1">
      <c r="A261" s="2">
        <v>21</v>
      </c>
      <c r="B261" s="2">
        <v>260</v>
      </c>
      <c r="C261" s="2">
        <v>8</v>
      </c>
    </row>
    <row r="262" spans="1:3" ht="14.25" customHeight="1">
      <c r="A262" s="2">
        <v>21</v>
      </c>
      <c r="B262" s="2">
        <v>261</v>
      </c>
      <c r="C262" s="2">
        <v>6</v>
      </c>
    </row>
    <row r="263" spans="1:3" ht="14.25" customHeight="1">
      <c r="A263" s="2">
        <v>21</v>
      </c>
      <c r="B263" s="2">
        <v>262</v>
      </c>
      <c r="C263" s="2">
        <v>5</v>
      </c>
    </row>
    <row r="264" spans="1:3" ht="14.25" customHeight="1">
      <c r="A264" s="2">
        <v>21</v>
      </c>
      <c r="B264" s="2">
        <v>263</v>
      </c>
      <c r="C264" s="2">
        <v>1</v>
      </c>
    </row>
    <row r="265" spans="1:3" ht="14.25" customHeight="1">
      <c r="A265" s="2">
        <v>21</v>
      </c>
      <c r="B265" s="2">
        <v>264</v>
      </c>
      <c r="C265" s="2">
        <v>6</v>
      </c>
    </row>
    <row r="266" spans="1:3" ht="14.25" customHeight="1">
      <c r="A266" s="2">
        <v>21</v>
      </c>
      <c r="B266" s="2">
        <v>265</v>
      </c>
      <c r="C266" s="2">
        <v>8</v>
      </c>
    </row>
    <row r="267" spans="1:3" ht="14.25" customHeight="1">
      <c r="A267" s="2">
        <v>21</v>
      </c>
      <c r="B267" s="2">
        <v>266</v>
      </c>
      <c r="C267" s="2">
        <v>5</v>
      </c>
    </row>
    <row r="268" spans="1:3" ht="14.25" customHeight="1">
      <c r="A268" s="2">
        <v>21</v>
      </c>
      <c r="B268" s="2">
        <v>267</v>
      </c>
      <c r="C268" s="2">
        <v>8</v>
      </c>
    </row>
    <row r="269" spans="1:3" ht="14.25" customHeight="1">
      <c r="A269" s="2">
        <v>21</v>
      </c>
      <c r="B269" s="2">
        <v>268</v>
      </c>
      <c r="C269" s="2">
        <v>5</v>
      </c>
    </row>
    <row r="270" spans="1:3" ht="14.25" customHeight="1">
      <c r="A270" s="2">
        <v>21</v>
      </c>
      <c r="B270" s="2">
        <v>269</v>
      </c>
      <c r="C270" s="2">
        <v>2</v>
      </c>
    </row>
    <row r="271" spans="1:3" ht="14.25" customHeight="1">
      <c r="A271" s="2">
        <v>21</v>
      </c>
      <c r="B271" s="2">
        <v>270</v>
      </c>
      <c r="C271" s="2">
        <v>1</v>
      </c>
    </row>
    <row r="272" spans="1:3" ht="14.25" customHeight="1">
      <c r="A272" s="2">
        <v>21</v>
      </c>
      <c r="B272" s="2">
        <v>271</v>
      </c>
      <c r="C272" s="2">
        <v>4</v>
      </c>
    </row>
    <row r="273" spans="1:3" ht="14.25" customHeight="1">
      <c r="A273" s="2">
        <v>21</v>
      </c>
      <c r="B273" s="2">
        <v>272</v>
      </c>
      <c r="C273" s="2">
        <v>7</v>
      </c>
    </row>
    <row r="274" spans="1:3" ht="14.25" customHeight="1">
      <c r="A274" s="2">
        <v>21</v>
      </c>
      <c r="B274" s="2">
        <v>273</v>
      </c>
      <c r="C274" s="2">
        <v>5</v>
      </c>
    </row>
    <row r="275" spans="1:3" ht="14.25" customHeight="1">
      <c r="A275" s="2">
        <v>21</v>
      </c>
      <c r="B275" s="2">
        <v>274</v>
      </c>
      <c r="C275" s="2">
        <v>2</v>
      </c>
    </row>
    <row r="276" spans="1:3" ht="14.25" customHeight="1">
      <c r="A276" s="2">
        <v>21</v>
      </c>
      <c r="B276" s="2">
        <v>275</v>
      </c>
      <c r="C276" s="2">
        <v>3</v>
      </c>
    </row>
    <row r="277" spans="1:3" ht="14.25" customHeight="1">
      <c r="A277" s="2">
        <v>21</v>
      </c>
      <c r="B277" s="2">
        <v>276</v>
      </c>
      <c r="C277" s="2">
        <v>4</v>
      </c>
    </row>
    <row r="278" spans="1:3" ht="14.25" customHeight="1">
      <c r="A278" s="2">
        <v>21</v>
      </c>
      <c r="B278" s="2">
        <v>277</v>
      </c>
      <c r="C278" s="2">
        <v>2</v>
      </c>
    </row>
    <row r="279" spans="1:3" ht="14.25" customHeight="1">
      <c r="A279" s="2">
        <v>21</v>
      </c>
      <c r="B279" s="2">
        <v>278</v>
      </c>
      <c r="C279" s="2">
        <v>3</v>
      </c>
    </row>
    <row r="280" spans="1:3" ht="14.25" customHeight="1">
      <c r="A280" s="2">
        <v>21</v>
      </c>
      <c r="B280" s="2">
        <v>279</v>
      </c>
      <c r="C280" s="2">
        <v>5</v>
      </c>
    </row>
    <row r="281" spans="1:3" ht="14.25" customHeight="1">
      <c r="A281" s="2">
        <v>21</v>
      </c>
      <c r="B281" s="2">
        <v>280</v>
      </c>
      <c r="C281" s="2">
        <v>2</v>
      </c>
    </row>
    <row r="282" spans="1:3" ht="14.25" customHeight="1">
      <c r="A282" s="2">
        <v>21</v>
      </c>
      <c r="B282" s="2">
        <v>281</v>
      </c>
      <c r="C282" s="2">
        <v>8</v>
      </c>
    </row>
    <row r="283" spans="1:3" ht="14.25" customHeight="1">
      <c r="A283" s="2">
        <v>21</v>
      </c>
      <c r="B283" s="2">
        <v>282</v>
      </c>
      <c r="C283" s="2">
        <v>4</v>
      </c>
    </row>
    <row r="284" spans="1:3" ht="14.25" customHeight="1">
      <c r="A284" s="2">
        <v>21</v>
      </c>
      <c r="B284" s="2">
        <v>283</v>
      </c>
      <c r="C284" s="2">
        <v>3</v>
      </c>
    </row>
    <row r="285" spans="1:3" ht="14.25" customHeight="1">
      <c r="A285" s="2">
        <v>21</v>
      </c>
      <c r="B285" s="2">
        <v>284</v>
      </c>
      <c r="C285" s="2">
        <v>6</v>
      </c>
    </row>
    <row r="286" spans="1:3" ht="14.25" customHeight="1">
      <c r="A286" s="2">
        <v>21</v>
      </c>
      <c r="B286" s="2">
        <v>285</v>
      </c>
      <c r="C286" s="2">
        <v>7</v>
      </c>
    </row>
    <row r="287" spans="1:3" ht="14.25" customHeight="1">
      <c r="A287" s="2">
        <v>21</v>
      </c>
      <c r="B287" s="2">
        <v>286</v>
      </c>
      <c r="C287" s="2">
        <v>4</v>
      </c>
    </row>
    <row r="288" spans="1:3" ht="14.25" customHeight="1">
      <c r="A288" s="2">
        <v>21</v>
      </c>
      <c r="B288" s="2">
        <v>287</v>
      </c>
      <c r="C288" s="2">
        <v>2</v>
      </c>
    </row>
    <row r="289" spans="1:4" ht="14.25" customHeight="1">
      <c r="A289" s="2">
        <v>21</v>
      </c>
      <c r="B289" s="2">
        <v>288</v>
      </c>
      <c r="C289" s="2">
        <v>7</v>
      </c>
    </row>
    <row r="290" spans="1:4" ht="14.25" customHeight="1">
      <c r="A290" s="2">
        <v>21</v>
      </c>
      <c r="B290" s="2">
        <v>289</v>
      </c>
      <c r="C290" s="2">
        <v>2</v>
      </c>
    </row>
    <row r="291" spans="1:4" ht="14.25" customHeight="1">
      <c r="A291" s="2">
        <v>21</v>
      </c>
      <c r="B291" s="2">
        <v>290</v>
      </c>
      <c r="C291" s="2">
        <v>8</v>
      </c>
    </row>
    <row r="292" spans="1:4" ht="14.25" customHeight="1">
      <c r="A292" s="2">
        <v>21</v>
      </c>
      <c r="B292" s="2">
        <v>291</v>
      </c>
      <c r="C292" s="2">
        <v>6</v>
      </c>
    </row>
    <row r="293" spans="1:4" ht="14.25" customHeight="1">
      <c r="A293" s="2">
        <v>21</v>
      </c>
      <c r="B293" s="2">
        <v>292</v>
      </c>
      <c r="C293" s="2">
        <v>3</v>
      </c>
    </row>
    <row r="294" spans="1:4" ht="14.25" customHeight="1">
      <c r="A294" s="2">
        <v>21</v>
      </c>
      <c r="B294" s="2">
        <v>293</v>
      </c>
      <c r="C294" s="2">
        <v>7</v>
      </c>
    </row>
    <row r="295" spans="1:4" ht="14.25" customHeight="1">
      <c r="A295" s="2">
        <v>21</v>
      </c>
      <c r="B295" s="2">
        <v>294</v>
      </c>
      <c r="C295" s="2">
        <v>6</v>
      </c>
    </row>
    <row r="296" spans="1:4" ht="14.25" customHeight="1">
      <c r="A296" s="2">
        <v>21</v>
      </c>
      <c r="B296" s="2">
        <v>295</v>
      </c>
      <c r="C296" s="2">
        <v>1</v>
      </c>
    </row>
    <row r="297" spans="1:4" ht="14.25" customHeight="1">
      <c r="A297" s="2">
        <v>21</v>
      </c>
      <c r="B297" s="2">
        <v>296</v>
      </c>
      <c r="C297" s="2">
        <v>4</v>
      </c>
    </row>
    <row r="298" spans="1:4" ht="14.25" customHeight="1">
      <c r="A298" s="2">
        <v>21</v>
      </c>
      <c r="B298" s="2">
        <v>297</v>
      </c>
      <c r="C298" s="2">
        <v>1</v>
      </c>
    </row>
    <row r="299" spans="1:4" ht="14.25" customHeight="1">
      <c r="A299" s="2">
        <v>21</v>
      </c>
      <c r="B299" s="2">
        <v>298</v>
      </c>
      <c r="C299" s="2">
        <v>7</v>
      </c>
    </row>
    <row r="300" spans="1:4" ht="14.25" customHeight="1">
      <c r="A300" s="2">
        <v>21</v>
      </c>
      <c r="B300" s="2">
        <v>299</v>
      </c>
      <c r="C300" s="2">
        <v>4</v>
      </c>
    </row>
    <row r="301" spans="1:4" ht="14.25" customHeight="1">
      <c r="A301" s="2">
        <v>21</v>
      </c>
      <c r="B301" s="2">
        <v>300</v>
      </c>
      <c r="C301" s="2">
        <v>6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22</v>
      </c>
      <c r="I1" s="2">
        <v>100</v>
      </c>
      <c r="J1" s="2">
        <v>1</v>
      </c>
      <c r="K1" s="2">
        <v>0</v>
      </c>
      <c r="L1" s="2">
        <v>0.58199999999999996</v>
      </c>
      <c r="M1" s="2">
        <v>2</v>
      </c>
    </row>
    <row r="2" spans="1:25" ht="14.25" customHeight="1">
      <c r="A2" s="2">
        <v>22</v>
      </c>
      <c r="B2" s="2">
        <v>1</v>
      </c>
      <c r="C2" s="2">
        <v>8</v>
      </c>
      <c r="D2" s="2">
        <v>1</v>
      </c>
      <c r="E2" s="2">
        <v>1.1160000000000001</v>
      </c>
      <c r="F2" s="2">
        <v>2</v>
      </c>
      <c r="H2" s="2">
        <v>22</v>
      </c>
      <c r="I2" s="2">
        <v>101</v>
      </c>
      <c r="J2" s="2">
        <v>8</v>
      </c>
      <c r="K2" s="2">
        <v>1</v>
      </c>
      <c r="L2" s="2">
        <v>0.77</v>
      </c>
      <c r="M2" s="2">
        <v>2</v>
      </c>
    </row>
    <row r="3" spans="1:25" ht="14.25" customHeight="1">
      <c r="A3" s="2">
        <v>22</v>
      </c>
      <c r="B3" s="2">
        <v>2</v>
      </c>
      <c r="C3" s="2">
        <v>1</v>
      </c>
      <c r="D3" s="2">
        <v>1</v>
      </c>
      <c r="E3" s="2">
        <v>1.113</v>
      </c>
      <c r="F3" s="2">
        <v>1</v>
      </c>
      <c r="H3" s="2">
        <v>22</v>
      </c>
      <c r="I3" s="2">
        <v>102</v>
      </c>
      <c r="J3" s="2">
        <v>1</v>
      </c>
      <c r="K3" s="2">
        <v>1</v>
      </c>
      <c r="L3" s="2">
        <v>0.77500000000000002</v>
      </c>
      <c r="M3" s="2">
        <v>1</v>
      </c>
    </row>
    <row r="4" spans="1:25" ht="14.25" customHeight="1">
      <c r="A4" s="2">
        <v>22</v>
      </c>
      <c r="B4" s="2">
        <v>3</v>
      </c>
      <c r="C4" s="2">
        <v>4</v>
      </c>
      <c r="E4" s="2">
        <v>2.0009999999999999</v>
      </c>
      <c r="H4" s="2">
        <v>22</v>
      </c>
      <c r="I4" s="2">
        <v>103</v>
      </c>
      <c r="J4" s="2">
        <v>5</v>
      </c>
      <c r="K4" s="2">
        <v>1</v>
      </c>
      <c r="L4" s="2">
        <v>0.70899999999999996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22</v>
      </c>
      <c r="B5" s="2">
        <v>4</v>
      </c>
      <c r="C5" s="2">
        <v>6</v>
      </c>
      <c r="D5" s="2">
        <v>0</v>
      </c>
      <c r="E5" s="2">
        <v>0.96499999999999997</v>
      </c>
      <c r="F5" s="2">
        <v>2</v>
      </c>
      <c r="H5" s="2">
        <v>22</v>
      </c>
      <c r="I5" s="2">
        <v>104</v>
      </c>
      <c r="J5" s="2">
        <v>6</v>
      </c>
      <c r="K5" s="2">
        <v>1</v>
      </c>
      <c r="L5" s="2">
        <v>1.5249999999999999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22</v>
      </c>
      <c r="B6" s="2">
        <v>5</v>
      </c>
      <c r="C6" s="2">
        <v>3</v>
      </c>
      <c r="E6" s="2">
        <v>2</v>
      </c>
      <c r="H6" s="2">
        <v>22</v>
      </c>
      <c r="I6" s="2">
        <v>105</v>
      </c>
      <c r="J6" s="2">
        <v>5</v>
      </c>
      <c r="K6" s="2">
        <v>1</v>
      </c>
      <c r="L6" s="2">
        <v>1.204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22</v>
      </c>
      <c r="B7" s="2">
        <v>6</v>
      </c>
      <c r="C7" s="2">
        <v>8</v>
      </c>
      <c r="D7" s="2">
        <v>0</v>
      </c>
      <c r="E7" s="2">
        <v>1.7050000000000001</v>
      </c>
      <c r="F7" s="2">
        <v>1</v>
      </c>
      <c r="H7" s="2">
        <v>22</v>
      </c>
      <c r="I7" s="2">
        <v>106</v>
      </c>
      <c r="J7" s="2">
        <v>1</v>
      </c>
      <c r="K7" s="2">
        <v>1</v>
      </c>
      <c r="L7" s="2">
        <v>1.032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22</v>
      </c>
      <c r="B8" s="2">
        <v>7</v>
      </c>
      <c r="C8" s="2">
        <v>3</v>
      </c>
      <c r="E8" s="2">
        <v>2</v>
      </c>
      <c r="H8" s="2">
        <v>22</v>
      </c>
      <c r="I8" s="2">
        <v>107</v>
      </c>
      <c r="J8" s="2">
        <v>5</v>
      </c>
      <c r="K8" s="2">
        <v>1</v>
      </c>
      <c r="L8" s="2">
        <v>1.6679999999999999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22</v>
      </c>
      <c r="B9" s="2">
        <v>8</v>
      </c>
      <c r="C9" s="2">
        <v>8</v>
      </c>
      <c r="D9" s="2">
        <v>1</v>
      </c>
      <c r="E9" s="2">
        <v>0.74199999999999999</v>
      </c>
      <c r="F9" s="2">
        <v>2</v>
      </c>
      <c r="H9" s="2">
        <v>22</v>
      </c>
      <c r="I9" s="2">
        <v>108</v>
      </c>
      <c r="J9" s="2">
        <v>7</v>
      </c>
      <c r="K9" s="2">
        <v>1</v>
      </c>
      <c r="L9" s="2">
        <v>1.1259999999999999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22</v>
      </c>
      <c r="B10" s="2">
        <v>9</v>
      </c>
      <c r="C10" s="2">
        <v>3</v>
      </c>
      <c r="D10" s="2">
        <v>1</v>
      </c>
      <c r="E10" s="2">
        <v>1.4039999999999999</v>
      </c>
      <c r="F10" s="2">
        <v>1</v>
      </c>
      <c r="H10" s="2">
        <v>22</v>
      </c>
      <c r="I10" s="2">
        <v>109</v>
      </c>
      <c r="J10" s="2">
        <v>1</v>
      </c>
      <c r="K10" s="2">
        <v>1</v>
      </c>
      <c r="L10" s="2">
        <v>1.109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22</v>
      </c>
      <c r="B11" s="2">
        <v>10</v>
      </c>
      <c r="C11" s="2">
        <v>1</v>
      </c>
      <c r="D11" s="2">
        <v>1</v>
      </c>
      <c r="E11" s="2">
        <v>0.78400000000000003</v>
      </c>
      <c r="F11" s="2">
        <v>1</v>
      </c>
      <c r="H11" s="2">
        <v>22</v>
      </c>
      <c r="I11" s="2">
        <v>110</v>
      </c>
      <c r="J11" s="2">
        <v>6</v>
      </c>
      <c r="K11" s="2">
        <v>1</v>
      </c>
      <c r="L11" s="2">
        <v>1.069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22</v>
      </c>
      <c r="B12" s="2">
        <v>11</v>
      </c>
      <c r="C12" s="2">
        <v>2</v>
      </c>
      <c r="D12" s="2">
        <v>1</v>
      </c>
      <c r="E12" s="2">
        <v>1.829</v>
      </c>
      <c r="F12" s="2">
        <v>2</v>
      </c>
      <c r="H12" s="2">
        <v>22</v>
      </c>
      <c r="I12" s="2">
        <v>111</v>
      </c>
      <c r="J12" s="2">
        <v>4</v>
      </c>
      <c r="K12" s="2">
        <v>1</v>
      </c>
      <c r="L12" s="2">
        <v>0.65400000000000003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22</v>
      </c>
      <c r="B13" s="2">
        <v>12</v>
      </c>
      <c r="C13" s="2">
        <v>1</v>
      </c>
      <c r="D13" s="2">
        <v>1</v>
      </c>
      <c r="E13" s="2">
        <v>1.3680000000000001</v>
      </c>
      <c r="F13" s="2">
        <v>1</v>
      </c>
      <c r="H13" s="2">
        <v>22</v>
      </c>
      <c r="I13" s="2">
        <v>112</v>
      </c>
      <c r="J13" s="2">
        <v>2</v>
      </c>
      <c r="K13" s="2">
        <v>1</v>
      </c>
      <c r="L13" s="2">
        <v>0.6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22</v>
      </c>
      <c r="B14" s="2">
        <v>13</v>
      </c>
      <c r="C14" s="2">
        <v>2</v>
      </c>
      <c r="D14" s="2">
        <v>1</v>
      </c>
      <c r="E14" s="2">
        <v>0.56599999999999995</v>
      </c>
      <c r="F14" s="2">
        <v>2</v>
      </c>
      <c r="H14" s="2">
        <v>22</v>
      </c>
      <c r="I14" s="2">
        <v>113</v>
      </c>
      <c r="J14" s="2">
        <v>3</v>
      </c>
      <c r="K14" s="2">
        <v>1</v>
      </c>
      <c r="L14" s="2">
        <v>1.5169999999999999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22</v>
      </c>
      <c r="B15" s="2">
        <v>14</v>
      </c>
      <c r="C15" s="2">
        <v>7</v>
      </c>
      <c r="D15" s="2">
        <v>0</v>
      </c>
      <c r="E15" s="2">
        <v>0.69199999999999995</v>
      </c>
      <c r="F15" s="2">
        <v>1</v>
      </c>
      <c r="H15" s="2">
        <v>22</v>
      </c>
      <c r="I15" s="2">
        <v>114</v>
      </c>
      <c r="J15" s="2">
        <v>6</v>
      </c>
      <c r="K15" s="2">
        <v>0</v>
      </c>
      <c r="L15" s="2">
        <v>1.252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22</v>
      </c>
      <c r="B16" s="2">
        <v>15</v>
      </c>
      <c r="C16" s="2">
        <v>6</v>
      </c>
      <c r="D16" s="2">
        <v>0</v>
      </c>
      <c r="E16" s="2">
        <v>0.66900000000000004</v>
      </c>
      <c r="F16" s="2">
        <v>2</v>
      </c>
      <c r="H16" s="2">
        <v>22</v>
      </c>
      <c r="I16" s="2">
        <v>115</v>
      </c>
      <c r="J16" s="2">
        <v>3</v>
      </c>
      <c r="K16" s="2">
        <v>1</v>
      </c>
      <c r="L16" s="2">
        <v>1.343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22</v>
      </c>
      <c r="B17" s="2">
        <v>16</v>
      </c>
      <c r="C17" s="2">
        <v>2</v>
      </c>
      <c r="D17" s="2">
        <v>1</v>
      </c>
      <c r="E17" s="2">
        <v>0.74299999999999999</v>
      </c>
      <c r="F17" s="2">
        <v>2</v>
      </c>
      <c r="H17" s="2">
        <v>22</v>
      </c>
      <c r="I17" s="2">
        <v>116</v>
      </c>
      <c r="J17" s="2">
        <v>2</v>
      </c>
      <c r="K17" s="2">
        <v>1</v>
      </c>
      <c r="L17" s="2">
        <v>0.73399999999999999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2.5600000000000005</v>
      </c>
      <c r="P17" s="3">
        <f t="shared" ref="P17:P22" si="1">(P6*COUNTIF($J$1:$J$101,P$16) - COUNTIFS($J$1:$J$101,P$16,$K$1:$K$101,"=1"))^2</f>
        <v>0.48999999999999899</v>
      </c>
      <c r="Q17" s="3">
        <f t="shared" ref="Q17:Q22" si="2">(Q6*COUNTIF($J$1:$J$101,Q$16) - COUNTIFS($J$1:$J$101,Q$16,$K$1:$K$101,"=0"))^2</f>
        <v>0.3600000000000001</v>
      </c>
      <c r="R17" s="3">
        <f t="shared" ref="R17:R22" si="3">(R6*COUNTIF($J$1:$J$101,R$16) - COUNTIFS($J$1:$J$101,R$16,$K$1:$K$101,"=1"))^2</f>
        <v>13.689999999999994</v>
      </c>
      <c r="S17" s="3">
        <f t="shared" ref="S17:T17" si="4">(S6*COUNTIF($J$1:$J$101,S$16) - COUNTIFS($J$1:$J$101,S$16,$K$1:$K$101,"=0"))^2</f>
        <v>0.48999999999999994</v>
      </c>
      <c r="T17" s="3">
        <f t="shared" si="4"/>
        <v>0.48999999999999994</v>
      </c>
      <c r="U17" s="3">
        <f t="shared" ref="U17:V17" si="5">(U6*COUNTIF($J$1:$J$101,U$16) - COUNTIFS($J$1:$J$101,U$16,$K$1:$K$101,"=1"))^2</f>
        <v>13.322499999999996</v>
      </c>
      <c r="V17" s="3">
        <f t="shared" si="5"/>
        <v>0.48999999999999899</v>
      </c>
      <c r="W17" s="4"/>
      <c r="X17" s="4"/>
      <c r="Y17" s="4"/>
    </row>
    <row r="18" spans="1:25" ht="14.25" customHeight="1">
      <c r="A18" s="2">
        <v>22</v>
      </c>
      <c r="B18" s="2">
        <v>17</v>
      </c>
      <c r="C18" s="2">
        <v>6</v>
      </c>
      <c r="D18" s="2">
        <v>0</v>
      </c>
      <c r="E18" s="2">
        <v>0.89300000000000002</v>
      </c>
      <c r="F18" s="2">
        <v>2</v>
      </c>
      <c r="H18" s="2">
        <v>22</v>
      </c>
      <c r="I18" s="2">
        <v>117</v>
      </c>
      <c r="J18" s="2">
        <v>7</v>
      </c>
      <c r="K18" s="2">
        <v>0</v>
      </c>
      <c r="L18" s="2">
        <v>1.27</v>
      </c>
      <c r="M18" s="2">
        <v>2</v>
      </c>
      <c r="N18" s="3">
        <v>2</v>
      </c>
      <c r="O18" s="3">
        <f t="shared" si="0"/>
        <v>2.5600000000000005</v>
      </c>
      <c r="P18" s="3">
        <f t="shared" si="1"/>
        <v>22.090000000000003</v>
      </c>
      <c r="Q18" s="6">
        <f t="shared" si="2"/>
        <v>36</v>
      </c>
      <c r="R18" s="3">
        <f t="shared" si="3"/>
        <v>13.689999999999994</v>
      </c>
      <c r="S18" s="6">
        <f t="shared" ref="S18:T18" si="6">(S7*COUNTIF($J$1:$J$101,S$16) - COUNTIFS($J$1:$J$101,S$16,$K$1:$K$101,"=0"))^2</f>
        <v>0.48999999999999994</v>
      </c>
      <c r="T18" s="6">
        <f t="shared" si="6"/>
        <v>0.48999999999999994</v>
      </c>
      <c r="U18" s="6">
        <f t="shared" ref="U18:V18" si="7">(U7*COUNTIF($J$1:$J$101,U$16) - COUNTIFS($J$1:$J$101,U$16,$K$1:$K$101,"=1"))^2</f>
        <v>13.322499999999996</v>
      </c>
      <c r="V18" s="6">
        <f t="shared" si="7"/>
        <v>0.48999999999999899</v>
      </c>
      <c r="W18" s="4"/>
      <c r="X18" s="4"/>
      <c r="Y18" s="4"/>
    </row>
    <row r="19" spans="1:25" ht="14.25" customHeight="1">
      <c r="A19" s="2">
        <v>22</v>
      </c>
      <c r="B19" s="2">
        <v>18</v>
      </c>
      <c r="C19" s="2">
        <v>8</v>
      </c>
      <c r="D19" s="2">
        <v>1</v>
      </c>
      <c r="E19" s="2">
        <v>1.31</v>
      </c>
      <c r="F19" s="2">
        <v>2</v>
      </c>
      <c r="H19" s="2">
        <v>22</v>
      </c>
      <c r="I19" s="2">
        <v>118</v>
      </c>
      <c r="J19" s="2">
        <v>4</v>
      </c>
      <c r="K19" s="2">
        <v>1</v>
      </c>
      <c r="L19" s="2">
        <v>0.68700000000000006</v>
      </c>
      <c r="M19" s="2">
        <v>2</v>
      </c>
      <c r="N19" s="3">
        <v>3</v>
      </c>
      <c r="O19" s="3">
        <f t="shared" si="0"/>
        <v>2.5600000000000005</v>
      </c>
      <c r="P19" s="3">
        <f t="shared" si="1"/>
        <v>0.48999999999999899</v>
      </c>
      <c r="Q19" s="3">
        <f t="shared" si="2"/>
        <v>0.3600000000000001</v>
      </c>
      <c r="R19" s="3">
        <f t="shared" si="3"/>
        <v>13.689999999999994</v>
      </c>
      <c r="S19" s="6">
        <f t="shared" ref="S19:T19" si="8">(S8*COUNTIF($J$1:$J$101,S$16) - COUNTIFS($J$1:$J$101,S$16,$K$1:$K$101,"=0"))^2</f>
        <v>0.48999999999999994</v>
      </c>
      <c r="T19" s="6">
        <f t="shared" si="8"/>
        <v>22.089999999999993</v>
      </c>
      <c r="U19" s="3">
        <f t="shared" ref="U19:V19" si="9">(U8*COUNTIF($J$1:$J$101,U$16) - COUNTIFS($J$1:$J$101,U$16,$K$1:$K$101,"=1"))^2</f>
        <v>7.0225</v>
      </c>
      <c r="V19" s="6">
        <f t="shared" si="9"/>
        <v>0.48999999999999899</v>
      </c>
      <c r="W19" s="4"/>
      <c r="X19" s="4"/>
      <c r="Y19" s="4"/>
    </row>
    <row r="20" spans="1:25" ht="14.25" customHeight="1">
      <c r="A20" s="2">
        <v>22</v>
      </c>
      <c r="B20" s="2">
        <v>19</v>
      </c>
      <c r="C20" s="2">
        <v>3</v>
      </c>
      <c r="D20" s="2">
        <v>1</v>
      </c>
      <c r="E20" s="2">
        <v>1.51</v>
      </c>
      <c r="F20" s="2">
        <v>1</v>
      </c>
      <c r="H20" s="2">
        <v>22</v>
      </c>
      <c r="I20" s="2">
        <v>119</v>
      </c>
      <c r="J20" s="2">
        <v>1</v>
      </c>
      <c r="K20" s="2">
        <v>1</v>
      </c>
      <c r="L20" s="2">
        <v>1.0720000000000001</v>
      </c>
      <c r="M20" s="2">
        <v>1</v>
      </c>
      <c r="N20" s="3">
        <v>4</v>
      </c>
      <c r="O20" s="3">
        <f t="shared" si="0"/>
        <v>4</v>
      </c>
      <c r="P20" s="3">
        <f t="shared" si="1"/>
        <v>4</v>
      </c>
      <c r="Q20" s="3">
        <f t="shared" si="2"/>
        <v>9</v>
      </c>
      <c r="R20" s="3">
        <f t="shared" si="3"/>
        <v>1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13.322499999999996</v>
      </c>
      <c r="V20" s="6">
        <f t="shared" si="11"/>
        <v>0.48999999999999899</v>
      </c>
      <c r="W20" s="4"/>
      <c r="X20" s="4"/>
      <c r="Y20" s="4"/>
    </row>
    <row r="21" spans="1:25" ht="14.25" customHeight="1">
      <c r="A21" s="2">
        <v>22</v>
      </c>
      <c r="B21" s="2">
        <v>20</v>
      </c>
      <c r="C21" s="2">
        <v>2</v>
      </c>
      <c r="D21" s="2">
        <v>1</v>
      </c>
      <c r="E21" s="2">
        <v>0.85399999999999998</v>
      </c>
      <c r="F21" s="2">
        <v>2</v>
      </c>
      <c r="H21" s="2">
        <v>22</v>
      </c>
      <c r="I21" s="2">
        <v>120</v>
      </c>
      <c r="J21" s="2">
        <v>2</v>
      </c>
      <c r="K21" s="2">
        <v>1</v>
      </c>
      <c r="L21" s="2">
        <v>0.90500000000000003</v>
      </c>
      <c r="M21" s="2">
        <v>2</v>
      </c>
      <c r="N21" s="3">
        <v>5</v>
      </c>
      <c r="O21" s="3">
        <f t="shared" si="0"/>
        <v>2.5600000000000005</v>
      </c>
      <c r="P21" s="3">
        <f t="shared" si="1"/>
        <v>0.48999999999999899</v>
      </c>
      <c r="Q21" s="3">
        <f t="shared" si="2"/>
        <v>0.3600000000000001</v>
      </c>
      <c r="R21" s="3">
        <f t="shared" si="3"/>
        <v>13.689999999999994</v>
      </c>
      <c r="S21" s="6">
        <f t="shared" ref="S21:T21" si="12">(S10*COUNTIF($J$1:$J$101,S$16) - COUNTIFS($J$1:$J$101,S$16,$K$1:$K$101,"=0"))^2</f>
        <v>4</v>
      </c>
      <c r="T21" s="6">
        <f t="shared" si="12"/>
        <v>4</v>
      </c>
      <c r="U21" s="6">
        <f t="shared" ref="U21:V21" si="13">(U10*COUNTIF($J$1:$J$101,U$16) - COUNTIFS($J$1:$J$101,U$16,$K$1:$K$101,"=1"))^2</f>
        <v>0.25</v>
      </c>
      <c r="V21" s="6">
        <f t="shared" si="13"/>
        <v>4</v>
      </c>
      <c r="W21" s="4"/>
      <c r="X21" s="4"/>
      <c r="Y21" s="4"/>
    </row>
    <row r="22" spans="1:25" ht="14.25" customHeight="1">
      <c r="A22" s="2">
        <v>22</v>
      </c>
      <c r="B22" s="2">
        <v>21</v>
      </c>
      <c r="C22" s="2">
        <v>6</v>
      </c>
      <c r="D22" s="2">
        <v>1</v>
      </c>
      <c r="E22" s="2">
        <v>1.1599999999999999</v>
      </c>
      <c r="F22" s="2">
        <v>1</v>
      </c>
      <c r="H22" s="2">
        <v>22</v>
      </c>
      <c r="I22" s="2">
        <v>121</v>
      </c>
      <c r="J22" s="2">
        <v>4</v>
      </c>
      <c r="K22" s="2">
        <v>0</v>
      </c>
      <c r="L22" s="2">
        <v>1.641</v>
      </c>
      <c r="M22" s="2">
        <v>2</v>
      </c>
      <c r="N22" s="3">
        <v>6</v>
      </c>
      <c r="O22" s="3">
        <f t="shared" si="0"/>
        <v>4</v>
      </c>
      <c r="P22" s="3">
        <f t="shared" si="1"/>
        <v>4</v>
      </c>
      <c r="Q22" s="3">
        <f t="shared" si="2"/>
        <v>9</v>
      </c>
      <c r="R22" s="3">
        <f t="shared" si="3"/>
        <v>1</v>
      </c>
      <c r="S22" s="6">
        <f t="shared" ref="S22:T22" si="14">(S11*COUNTIF($J$1:$J$101,S$16) - COUNTIFS($J$1:$J$101,S$16,$K$1:$K$101,"=0"))^2</f>
        <v>4</v>
      </c>
      <c r="T22" s="6">
        <f t="shared" si="14"/>
        <v>4</v>
      </c>
      <c r="U22" s="6">
        <f t="shared" ref="U22:V22" si="15">(U11*COUNTIF($J$1:$J$101,U$16) - COUNTIFS($J$1:$J$101,U$16,$K$1:$K$101,"=1"))^2</f>
        <v>0.25</v>
      </c>
      <c r="V22" s="6">
        <f t="shared" si="15"/>
        <v>4</v>
      </c>
      <c r="W22" s="4"/>
      <c r="X22" s="4"/>
      <c r="Y22" s="4"/>
    </row>
    <row r="23" spans="1:25" ht="14.25" customHeight="1">
      <c r="A23" s="2">
        <v>22</v>
      </c>
      <c r="B23" s="2">
        <v>22</v>
      </c>
      <c r="C23" s="2">
        <v>1</v>
      </c>
      <c r="D23" s="2">
        <v>1</v>
      </c>
      <c r="E23" s="2">
        <v>0.98199999999999998</v>
      </c>
      <c r="F23" s="2">
        <v>1</v>
      </c>
      <c r="H23" s="2">
        <v>22</v>
      </c>
      <c r="I23" s="2">
        <v>122</v>
      </c>
      <c r="J23" s="2">
        <v>5</v>
      </c>
      <c r="K23" s="2">
        <v>1</v>
      </c>
      <c r="L23" s="2">
        <v>0.92400000000000004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22</v>
      </c>
      <c r="B24" s="2">
        <v>23</v>
      </c>
      <c r="C24" s="2">
        <v>5</v>
      </c>
      <c r="D24" s="2">
        <v>1</v>
      </c>
      <c r="E24" s="2">
        <v>1.587</v>
      </c>
      <c r="F24" s="2">
        <v>1</v>
      </c>
      <c r="H24" s="2">
        <v>22</v>
      </c>
      <c r="I24" s="2">
        <v>123</v>
      </c>
      <c r="J24" s="2">
        <v>2</v>
      </c>
      <c r="K24" s="2">
        <v>1</v>
      </c>
      <c r="L24" s="2">
        <v>1.2589999999999999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22</v>
      </c>
      <c r="B25" s="2">
        <v>24</v>
      </c>
      <c r="C25" s="2">
        <v>7</v>
      </c>
      <c r="D25" s="2">
        <v>0</v>
      </c>
      <c r="E25" s="2">
        <v>1.208</v>
      </c>
      <c r="F25" s="2">
        <v>1</v>
      </c>
      <c r="H25" s="2">
        <v>22</v>
      </c>
      <c r="I25" s="2">
        <v>124</v>
      </c>
      <c r="J25" s="2">
        <v>4</v>
      </c>
      <c r="K25" s="2">
        <v>0</v>
      </c>
      <c r="L25" s="2">
        <v>0.94099999999999995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22</v>
      </c>
      <c r="B26" s="2">
        <v>25</v>
      </c>
      <c r="C26" s="2">
        <v>5</v>
      </c>
      <c r="D26" s="2">
        <v>0</v>
      </c>
      <c r="E26" s="2">
        <v>0.89200000000000002</v>
      </c>
      <c r="F26" s="2">
        <v>2</v>
      </c>
      <c r="H26" s="2">
        <v>22</v>
      </c>
      <c r="I26" s="2">
        <v>125</v>
      </c>
      <c r="J26" s="2">
        <v>8</v>
      </c>
      <c r="K26" s="2">
        <v>1</v>
      </c>
      <c r="L26" s="2">
        <v>0.86799999999999999</v>
      </c>
      <c r="M26" s="2">
        <v>1</v>
      </c>
      <c r="N26" s="4"/>
      <c r="O26" s="3">
        <f t="shared" ref="O26:V26" si="16">COUNTIF($J$1:$J$102,O16)*COUNTIF($J$1:$J$102,O16)</f>
        <v>64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22</v>
      </c>
      <c r="B27" s="2">
        <v>26</v>
      </c>
      <c r="C27" s="2">
        <v>3</v>
      </c>
      <c r="E27" s="2">
        <v>2</v>
      </c>
      <c r="H27" s="2">
        <v>22</v>
      </c>
      <c r="I27" s="2">
        <v>126</v>
      </c>
      <c r="J27" s="2">
        <v>7</v>
      </c>
      <c r="K27" s="2">
        <v>1</v>
      </c>
      <c r="L27" s="2">
        <v>1.6220000000000001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22</v>
      </c>
      <c r="B28" s="2">
        <v>27</v>
      </c>
      <c r="C28" s="2">
        <v>1</v>
      </c>
      <c r="D28" s="2">
        <v>1</v>
      </c>
      <c r="E28" s="2">
        <v>1.113</v>
      </c>
      <c r="F28" s="2">
        <v>1</v>
      </c>
      <c r="H28" s="2">
        <v>22</v>
      </c>
      <c r="I28" s="2">
        <v>127</v>
      </c>
      <c r="J28" s="2">
        <v>3</v>
      </c>
      <c r="K28" s="2">
        <v>1</v>
      </c>
      <c r="L28" s="2">
        <v>1.1040000000000001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22</v>
      </c>
      <c r="B29" s="2">
        <v>28</v>
      </c>
      <c r="C29" s="2">
        <v>3</v>
      </c>
      <c r="D29" s="2">
        <v>0</v>
      </c>
      <c r="E29" s="2">
        <v>1.2729999999999999</v>
      </c>
      <c r="F29" s="2">
        <v>2</v>
      </c>
      <c r="H29" s="2">
        <v>22</v>
      </c>
      <c r="I29" s="2">
        <v>128</v>
      </c>
      <c r="J29" s="2">
        <v>4</v>
      </c>
      <c r="L29" s="2">
        <v>2.0009999999999999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22</v>
      </c>
      <c r="B30" s="2">
        <v>29</v>
      </c>
      <c r="C30" s="2">
        <v>2</v>
      </c>
      <c r="D30" s="2">
        <v>1</v>
      </c>
      <c r="E30" s="2">
        <v>1.0589999999999999</v>
      </c>
      <c r="F30" s="2">
        <v>2</v>
      </c>
      <c r="H30" s="2">
        <v>22</v>
      </c>
      <c r="I30" s="2">
        <v>129</v>
      </c>
      <c r="J30" s="2">
        <v>8</v>
      </c>
      <c r="K30" s="2">
        <v>1</v>
      </c>
      <c r="L30" s="2">
        <v>0.59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22</v>
      </c>
      <c r="B31" s="2">
        <v>30</v>
      </c>
      <c r="C31" s="2">
        <v>7</v>
      </c>
      <c r="D31" s="2">
        <v>0</v>
      </c>
      <c r="E31" s="2">
        <v>1.1970000000000001</v>
      </c>
      <c r="F31" s="2">
        <v>1</v>
      </c>
      <c r="H31" s="2">
        <v>22</v>
      </c>
      <c r="I31" s="2">
        <v>130</v>
      </c>
      <c r="J31" s="2">
        <v>4</v>
      </c>
      <c r="K31" s="2">
        <v>0</v>
      </c>
      <c r="L31" s="2">
        <v>0.874</v>
      </c>
      <c r="M31" s="2">
        <v>1</v>
      </c>
      <c r="N31" s="3">
        <v>1</v>
      </c>
      <c r="O31" s="3">
        <f t="shared" ref="O31:O36" si="17">SUM(O17:V17)/SUM(O$26:V$26)</f>
        <v>9.6937689969604821E-2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22</v>
      </c>
      <c r="B32" s="2">
        <v>31</v>
      </c>
      <c r="C32" s="2">
        <v>8</v>
      </c>
      <c r="D32" s="2">
        <v>0</v>
      </c>
      <c r="E32" s="2">
        <v>1.0660000000000001</v>
      </c>
      <c r="F32" s="2">
        <v>1</v>
      </c>
      <c r="H32" s="2">
        <v>22</v>
      </c>
      <c r="I32" s="2">
        <v>131</v>
      </c>
      <c r="J32" s="2">
        <v>2</v>
      </c>
      <c r="K32" s="2">
        <v>1</v>
      </c>
      <c r="L32" s="2">
        <v>0.61099999999999999</v>
      </c>
      <c r="M32" s="2">
        <v>2</v>
      </c>
      <c r="N32" s="3">
        <v>2</v>
      </c>
      <c r="O32" s="3">
        <f t="shared" si="17"/>
        <v>0.27091945288753794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22</v>
      </c>
      <c r="B33" s="2">
        <v>32</v>
      </c>
      <c r="C33" s="2">
        <v>1</v>
      </c>
      <c r="D33" s="2">
        <v>1</v>
      </c>
      <c r="E33" s="2">
        <v>1.155</v>
      </c>
      <c r="F33" s="2">
        <v>1</v>
      </c>
      <c r="H33" s="2">
        <v>22</v>
      </c>
      <c r="I33" s="2">
        <v>132</v>
      </c>
      <c r="J33" s="2">
        <v>7</v>
      </c>
      <c r="K33" s="2">
        <v>1</v>
      </c>
      <c r="L33" s="2">
        <v>0.59099999999999997</v>
      </c>
      <c r="M33" s="2">
        <v>1</v>
      </c>
      <c r="N33" s="3">
        <v>3</v>
      </c>
      <c r="O33" s="3">
        <f t="shared" si="17"/>
        <v>0.14344224924012156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22</v>
      </c>
      <c r="B34" s="2">
        <v>33</v>
      </c>
      <c r="C34" s="2">
        <v>5</v>
      </c>
      <c r="D34" s="2">
        <v>1</v>
      </c>
      <c r="E34" s="2">
        <v>1.0900000000000001</v>
      </c>
      <c r="F34" s="2">
        <v>1</v>
      </c>
      <c r="H34" s="2">
        <v>22</v>
      </c>
      <c r="I34" s="2">
        <v>133</v>
      </c>
      <c r="J34" s="2">
        <v>1</v>
      </c>
      <c r="K34" s="2">
        <v>1</v>
      </c>
      <c r="L34" s="2">
        <v>0.34799999999999998</v>
      </c>
      <c r="M34" s="2">
        <v>1</v>
      </c>
      <c r="N34" s="3">
        <v>4</v>
      </c>
      <c r="O34" s="3">
        <f t="shared" si="17"/>
        <v>9.9673252279635249E-2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22</v>
      </c>
      <c r="B35" s="2">
        <v>34</v>
      </c>
      <c r="C35" s="2">
        <v>7</v>
      </c>
      <c r="D35" s="2">
        <v>1</v>
      </c>
      <c r="E35" s="2">
        <v>1.1140000000000001</v>
      </c>
      <c r="F35" s="2">
        <v>2</v>
      </c>
      <c r="H35" s="2">
        <v>22</v>
      </c>
      <c r="I35" s="2">
        <v>134</v>
      </c>
      <c r="J35" s="2">
        <v>7</v>
      </c>
      <c r="K35" s="2">
        <v>0</v>
      </c>
      <c r="L35" s="2">
        <v>0.73099999999999998</v>
      </c>
      <c r="M35" s="2">
        <v>1</v>
      </c>
      <c r="N35" s="3">
        <v>5</v>
      </c>
      <c r="O35" s="3">
        <f t="shared" si="17"/>
        <v>8.9209726443768983E-2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22</v>
      </c>
      <c r="B36" s="2">
        <v>35</v>
      </c>
      <c r="C36" s="2">
        <v>4</v>
      </c>
      <c r="D36" s="2">
        <v>1</v>
      </c>
      <c r="E36" s="2">
        <v>1.458</v>
      </c>
      <c r="F36" s="2">
        <v>2</v>
      </c>
      <c r="H36" s="2">
        <v>22</v>
      </c>
      <c r="I36" s="2">
        <v>135</v>
      </c>
      <c r="J36" s="2">
        <v>5</v>
      </c>
      <c r="K36" s="2">
        <v>1</v>
      </c>
      <c r="L36" s="2">
        <v>0.626</v>
      </c>
      <c r="M36" s="2">
        <v>2</v>
      </c>
      <c r="N36" s="3">
        <v>6</v>
      </c>
      <c r="O36" s="3">
        <f t="shared" si="17"/>
        <v>9.1945288753799398E-2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22</v>
      </c>
      <c r="B37" s="2">
        <v>36</v>
      </c>
      <c r="C37" s="2">
        <v>5</v>
      </c>
      <c r="D37" s="2">
        <v>1</v>
      </c>
      <c r="E37" s="2">
        <v>0.996</v>
      </c>
      <c r="F37" s="2">
        <v>1</v>
      </c>
      <c r="H37" s="2">
        <v>22</v>
      </c>
      <c r="I37" s="2">
        <v>136</v>
      </c>
      <c r="J37" s="2">
        <v>6</v>
      </c>
      <c r="K37" s="2">
        <v>1</v>
      </c>
      <c r="L37" s="2">
        <v>0.73399999999999999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22</v>
      </c>
      <c r="B38" s="2">
        <v>37</v>
      </c>
      <c r="C38" s="2">
        <v>4</v>
      </c>
      <c r="D38" s="2">
        <v>1</v>
      </c>
      <c r="E38" s="2">
        <v>0.88900000000000001</v>
      </c>
      <c r="F38" s="2">
        <v>2</v>
      </c>
      <c r="H38" s="2">
        <v>22</v>
      </c>
      <c r="I38" s="2">
        <v>137</v>
      </c>
      <c r="J38" s="2">
        <v>3</v>
      </c>
      <c r="K38" s="2">
        <v>1</v>
      </c>
      <c r="L38" s="2">
        <v>1.181</v>
      </c>
      <c r="M38" s="2">
        <v>2</v>
      </c>
    </row>
    <row r="39" spans="1:25" ht="14.25" customHeight="1">
      <c r="A39" s="2">
        <v>22</v>
      </c>
      <c r="B39" s="2">
        <v>38</v>
      </c>
      <c r="C39" s="2">
        <v>6</v>
      </c>
      <c r="D39" s="2">
        <v>0</v>
      </c>
      <c r="E39" s="2">
        <v>1.1850000000000001</v>
      </c>
      <c r="F39" s="2">
        <v>2</v>
      </c>
      <c r="H39" s="2">
        <v>22</v>
      </c>
      <c r="I39" s="2">
        <v>138</v>
      </c>
      <c r="J39" s="2">
        <v>8</v>
      </c>
      <c r="K39" s="2">
        <v>1</v>
      </c>
      <c r="L39" s="2">
        <v>1.53</v>
      </c>
      <c r="M39" s="2">
        <v>1</v>
      </c>
    </row>
    <row r="40" spans="1:25" ht="14.25" customHeight="1">
      <c r="A40" s="2">
        <v>22</v>
      </c>
      <c r="B40" s="2">
        <v>39</v>
      </c>
      <c r="C40" s="2">
        <v>2</v>
      </c>
      <c r="D40" s="2">
        <v>1</v>
      </c>
      <c r="E40" s="2">
        <v>0.94299999999999995</v>
      </c>
      <c r="F40" s="2">
        <v>2</v>
      </c>
      <c r="H40" s="2">
        <v>22</v>
      </c>
      <c r="I40" s="2">
        <v>139</v>
      </c>
      <c r="J40" s="2">
        <v>7</v>
      </c>
      <c r="K40" s="2">
        <v>0</v>
      </c>
      <c r="L40" s="2">
        <v>1.329</v>
      </c>
      <c r="M40" s="2">
        <v>1</v>
      </c>
    </row>
    <row r="41" spans="1:25" ht="14.25" customHeight="1">
      <c r="A41" s="2">
        <v>22</v>
      </c>
      <c r="B41" s="2">
        <v>40</v>
      </c>
      <c r="C41" s="2">
        <v>4</v>
      </c>
      <c r="D41" s="2">
        <v>1</v>
      </c>
      <c r="E41" s="2">
        <v>0.91</v>
      </c>
      <c r="F41" s="2">
        <v>2</v>
      </c>
      <c r="H41" s="2">
        <v>22</v>
      </c>
      <c r="I41" s="2">
        <v>140</v>
      </c>
      <c r="J41" s="2">
        <v>6</v>
      </c>
      <c r="K41" s="2">
        <v>1</v>
      </c>
      <c r="L41" s="2">
        <v>1.0649999999999999</v>
      </c>
      <c r="M41" s="2">
        <v>2</v>
      </c>
    </row>
    <row r="42" spans="1:25" ht="14.25" customHeight="1">
      <c r="A42" s="2">
        <v>22</v>
      </c>
      <c r="B42" s="2">
        <v>41</v>
      </c>
      <c r="C42" s="2">
        <v>8</v>
      </c>
      <c r="D42" s="2">
        <v>1</v>
      </c>
      <c r="E42" s="2">
        <v>1.766</v>
      </c>
      <c r="F42" s="2">
        <v>2</v>
      </c>
      <c r="H42" s="2">
        <v>22</v>
      </c>
      <c r="I42" s="2">
        <v>141</v>
      </c>
      <c r="J42" s="2">
        <v>7</v>
      </c>
      <c r="K42" s="2">
        <v>0</v>
      </c>
      <c r="L42" s="2">
        <v>1.403</v>
      </c>
      <c r="M42" s="2">
        <v>1</v>
      </c>
    </row>
    <row r="43" spans="1:25" ht="14.25" customHeight="1">
      <c r="A43" s="2">
        <v>22</v>
      </c>
      <c r="B43" s="2">
        <v>42</v>
      </c>
      <c r="C43" s="2">
        <v>7</v>
      </c>
      <c r="D43" s="2">
        <v>0</v>
      </c>
      <c r="E43" s="2">
        <v>0.97199999999999998</v>
      </c>
      <c r="F43" s="2">
        <v>1</v>
      </c>
      <c r="H43" s="2">
        <v>22</v>
      </c>
      <c r="I43" s="2">
        <v>142</v>
      </c>
      <c r="J43" s="2">
        <v>2</v>
      </c>
      <c r="K43" s="2">
        <v>0</v>
      </c>
      <c r="L43" s="2">
        <v>1.72</v>
      </c>
      <c r="M43" s="2">
        <v>1</v>
      </c>
    </row>
    <row r="44" spans="1:25" ht="14.25" customHeight="1">
      <c r="A44" s="2">
        <v>22</v>
      </c>
      <c r="B44" s="2">
        <v>43</v>
      </c>
      <c r="C44" s="2">
        <v>6</v>
      </c>
      <c r="D44" s="2">
        <v>0</v>
      </c>
      <c r="E44" s="2">
        <v>0.96799999999999997</v>
      </c>
      <c r="F44" s="2">
        <v>2</v>
      </c>
      <c r="H44" s="2">
        <v>22</v>
      </c>
      <c r="I44" s="2">
        <v>143</v>
      </c>
      <c r="J44" s="2">
        <v>6</v>
      </c>
      <c r="K44" s="2">
        <v>1</v>
      </c>
      <c r="L44" s="2">
        <v>1.7589999999999999</v>
      </c>
      <c r="M44" s="2">
        <v>1</v>
      </c>
    </row>
    <row r="45" spans="1:25" ht="14.25" customHeight="1">
      <c r="A45" s="2">
        <v>22</v>
      </c>
      <c r="B45" s="2">
        <v>44</v>
      </c>
      <c r="C45" s="2">
        <v>4</v>
      </c>
      <c r="D45" s="2">
        <v>1</v>
      </c>
      <c r="E45" s="2">
        <v>0.878</v>
      </c>
      <c r="F45" s="2">
        <v>2</v>
      </c>
      <c r="H45" s="2">
        <v>22</v>
      </c>
      <c r="I45" s="2">
        <v>144</v>
      </c>
      <c r="J45" s="2">
        <v>3</v>
      </c>
      <c r="K45" s="2">
        <v>1</v>
      </c>
      <c r="L45" s="2">
        <v>0.89300000000000002</v>
      </c>
      <c r="M45" s="2">
        <v>2</v>
      </c>
    </row>
    <row r="46" spans="1:25" ht="14.25" customHeight="1">
      <c r="A46" s="2">
        <v>22</v>
      </c>
      <c r="B46" s="2">
        <v>45</v>
      </c>
      <c r="C46" s="2">
        <v>7</v>
      </c>
      <c r="D46" s="2">
        <v>0</v>
      </c>
      <c r="E46" s="2">
        <v>1.88</v>
      </c>
      <c r="F46" s="2">
        <v>1</v>
      </c>
      <c r="H46" s="2">
        <v>22</v>
      </c>
      <c r="I46" s="2">
        <v>145</v>
      </c>
      <c r="J46" s="2">
        <v>5</v>
      </c>
      <c r="K46" s="2">
        <v>0</v>
      </c>
      <c r="L46" s="2">
        <v>1.0209999999999999</v>
      </c>
      <c r="M46" s="2">
        <v>1</v>
      </c>
    </row>
    <row r="47" spans="1:25" ht="14.25" customHeight="1">
      <c r="A47" s="2">
        <v>22</v>
      </c>
      <c r="B47" s="2">
        <v>46</v>
      </c>
      <c r="C47" s="2">
        <v>5</v>
      </c>
      <c r="D47" s="2">
        <v>1</v>
      </c>
      <c r="E47" s="2">
        <v>1.657</v>
      </c>
      <c r="F47" s="2">
        <v>1</v>
      </c>
      <c r="H47" s="2">
        <v>22</v>
      </c>
      <c r="I47" s="2">
        <v>146</v>
      </c>
      <c r="J47" s="2">
        <v>1</v>
      </c>
      <c r="K47" s="2">
        <v>1</v>
      </c>
      <c r="L47" s="2">
        <v>1.1439999999999999</v>
      </c>
      <c r="M47" s="2">
        <v>1</v>
      </c>
    </row>
    <row r="48" spans="1:25" ht="14.25" customHeight="1">
      <c r="A48" s="2">
        <v>22</v>
      </c>
      <c r="B48" s="2">
        <v>47</v>
      </c>
      <c r="C48" s="2">
        <v>1</v>
      </c>
      <c r="D48" s="2">
        <v>1</v>
      </c>
      <c r="E48" s="2">
        <v>1.0269999999999999</v>
      </c>
      <c r="F48" s="2">
        <v>1</v>
      </c>
      <c r="H48" s="2">
        <v>22</v>
      </c>
      <c r="I48" s="2">
        <v>147</v>
      </c>
      <c r="J48" s="2">
        <v>8</v>
      </c>
      <c r="K48" s="2">
        <v>1</v>
      </c>
      <c r="L48" s="2">
        <v>1.2869999999999999</v>
      </c>
      <c r="M48" s="2">
        <v>1</v>
      </c>
    </row>
    <row r="49" spans="1:13" ht="14.25" customHeight="1">
      <c r="A49" s="2">
        <v>22</v>
      </c>
      <c r="B49" s="2">
        <v>48</v>
      </c>
      <c r="C49" s="2">
        <v>4</v>
      </c>
      <c r="D49" s="2">
        <v>1</v>
      </c>
      <c r="E49" s="2">
        <v>0.871</v>
      </c>
      <c r="F49" s="2">
        <v>2</v>
      </c>
      <c r="H49" s="2">
        <v>22</v>
      </c>
      <c r="I49" s="2">
        <v>148</v>
      </c>
      <c r="J49" s="2">
        <v>3</v>
      </c>
      <c r="K49" s="2">
        <v>1</v>
      </c>
      <c r="L49" s="2">
        <v>0.76</v>
      </c>
      <c r="M49" s="2">
        <v>2</v>
      </c>
    </row>
    <row r="50" spans="1:13" ht="14.25" customHeight="1">
      <c r="A50" s="2">
        <v>22</v>
      </c>
      <c r="B50" s="2">
        <v>49</v>
      </c>
      <c r="C50" s="2">
        <v>7</v>
      </c>
      <c r="D50" s="2">
        <v>1</v>
      </c>
      <c r="E50" s="2">
        <v>0.83199999999999996</v>
      </c>
      <c r="F50" s="2">
        <v>2</v>
      </c>
      <c r="H50" s="2">
        <v>22</v>
      </c>
      <c r="I50" s="2">
        <v>149</v>
      </c>
      <c r="J50" s="2">
        <v>8</v>
      </c>
      <c r="K50" s="2">
        <v>0</v>
      </c>
      <c r="L50" s="2">
        <v>0.87</v>
      </c>
      <c r="M50" s="2">
        <v>1</v>
      </c>
    </row>
    <row r="51" spans="1:13" ht="14.25" customHeight="1">
      <c r="A51" s="2">
        <v>22</v>
      </c>
      <c r="B51" s="2">
        <v>50</v>
      </c>
      <c r="C51" s="2">
        <v>5</v>
      </c>
      <c r="D51" s="2">
        <v>1</v>
      </c>
      <c r="E51" s="2">
        <v>0.45900000000000002</v>
      </c>
      <c r="F51" s="2">
        <v>1</v>
      </c>
      <c r="H51" s="2">
        <v>22</v>
      </c>
      <c r="I51" s="2">
        <v>150</v>
      </c>
      <c r="J51" s="2">
        <v>1</v>
      </c>
      <c r="K51" s="2">
        <v>0</v>
      </c>
      <c r="L51" s="2">
        <v>1.2789999999999999</v>
      </c>
      <c r="M51" s="2">
        <v>2</v>
      </c>
    </row>
    <row r="52" spans="1:13" ht="14.25" customHeight="1">
      <c r="A52" s="2">
        <v>22</v>
      </c>
      <c r="B52" s="2">
        <v>51</v>
      </c>
      <c r="C52" s="2">
        <v>8</v>
      </c>
      <c r="D52" s="2">
        <v>1</v>
      </c>
      <c r="E52" s="2">
        <v>0.82099999999999995</v>
      </c>
      <c r="F52" s="2">
        <v>2</v>
      </c>
    </row>
    <row r="53" spans="1:13" ht="14.25" customHeight="1">
      <c r="A53" s="2">
        <v>22</v>
      </c>
      <c r="B53" s="2">
        <v>52</v>
      </c>
      <c r="C53" s="2">
        <v>4</v>
      </c>
      <c r="D53" s="2">
        <v>1</v>
      </c>
      <c r="E53" s="2">
        <v>0.76800000000000002</v>
      </c>
      <c r="F53" s="2">
        <v>1</v>
      </c>
    </row>
    <row r="54" spans="1:13" ht="14.25" customHeight="1">
      <c r="A54" s="2">
        <v>22</v>
      </c>
      <c r="B54" s="2">
        <v>53</v>
      </c>
      <c r="C54" s="2">
        <v>1</v>
      </c>
      <c r="D54" s="2">
        <v>1</v>
      </c>
      <c r="E54" s="2">
        <v>0.58199999999999996</v>
      </c>
      <c r="F54" s="2">
        <v>2</v>
      </c>
    </row>
    <row r="55" spans="1:13" ht="14.25" customHeight="1">
      <c r="A55" s="2">
        <v>22</v>
      </c>
      <c r="B55" s="2">
        <v>54</v>
      </c>
      <c r="C55" s="2">
        <v>3</v>
      </c>
      <c r="D55" s="2">
        <v>1</v>
      </c>
      <c r="E55" s="2">
        <v>0.627</v>
      </c>
      <c r="F55" s="2">
        <v>1</v>
      </c>
    </row>
    <row r="56" spans="1:13" ht="14.25" customHeight="1">
      <c r="A56" s="2">
        <v>22</v>
      </c>
      <c r="B56" s="2">
        <v>55</v>
      </c>
      <c r="C56" s="2">
        <v>8</v>
      </c>
      <c r="D56" s="2">
        <v>0</v>
      </c>
      <c r="E56" s="2">
        <v>0.64600000000000002</v>
      </c>
      <c r="F56" s="2">
        <v>2</v>
      </c>
    </row>
    <row r="57" spans="1:13" ht="14.25" customHeight="1">
      <c r="A57" s="2">
        <v>22</v>
      </c>
      <c r="B57" s="2">
        <v>56</v>
      </c>
      <c r="C57" s="2">
        <v>6</v>
      </c>
      <c r="D57" s="2">
        <v>1</v>
      </c>
      <c r="E57" s="2">
        <v>0.85699999999999998</v>
      </c>
      <c r="F57" s="2">
        <v>2</v>
      </c>
    </row>
    <row r="58" spans="1:13" ht="14.25" customHeight="1">
      <c r="A58" s="2">
        <v>22</v>
      </c>
      <c r="B58" s="2">
        <v>57</v>
      </c>
      <c r="C58" s="2">
        <v>4</v>
      </c>
      <c r="D58" s="2">
        <v>1</v>
      </c>
      <c r="E58" s="2">
        <v>1.3540000000000001</v>
      </c>
      <c r="F58" s="2">
        <v>1</v>
      </c>
    </row>
    <row r="59" spans="1:13" ht="14.25" customHeight="1">
      <c r="A59" s="2">
        <v>22</v>
      </c>
      <c r="B59" s="2">
        <v>58</v>
      </c>
      <c r="C59" s="2">
        <v>5</v>
      </c>
      <c r="D59" s="2">
        <v>1</v>
      </c>
      <c r="E59" s="2">
        <v>0.58399999999999996</v>
      </c>
      <c r="F59" s="2">
        <v>2</v>
      </c>
    </row>
    <row r="60" spans="1:13" ht="14.25" customHeight="1">
      <c r="A60" s="2">
        <v>22</v>
      </c>
      <c r="B60" s="2">
        <v>59</v>
      </c>
      <c r="C60" s="2">
        <v>2</v>
      </c>
      <c r="D60" s="2">
        <v>1</v>
      </c>
      <c r="E60" s="2">
        <v>1.3660000000000001</v>
      </c>
      <c r="F60" s="2">
        <v>1</v>
      </c>
    </row>
    <row r="61" spans="1:13" ht="14.25" customHeight="1">
      <c r="A61" s="2">
        <v>22</v>
      </c>
      <c r="B61" s="2">
        <v>60</v>
      </c>
      <c r="C61" s="2">
        <v>4</v>
      </c>
      <c r="D61" s="2">
        <v>1</v>
      </c>
      <c r="E61" s="2">
        <v>0.92400000000000004</v>
      </c>
      <c r="F61" s="2">
        <v>1</v>
      </c>
    </row>
    <row r="62" spans="1:13" ht="14.25" customHeight="1">
      <c r="A62" s="2">
        <v>22</v>
      </c>
      <c r="B62" s="2">
        <v>61</v>
      </c>
      <c r="C62" s="2">
        <v>6</v>
      </c>
      <c r="D62" s="2">
        <v>1</v>
      </c>
      <c r="E62" s="2">
        <v>0.82699999999999996</v>
      </c>
      <c r="F62" s="2">
        <v>2</v>
      </c>
    </row>
    <row r="63" spans="1:13" ht="14.25" customHeight="1">
      <c r="A63" s="2">
        <v>22</v>
      </c>
      <c r="B63" s="2">
        <v>62</v>
      </c>
      <c r="C63" s="2">
        <v>1</v>
      </c>
      <c r="D63" s="2">
        <v>1</v>
      </c>
      <c r="E63" s="2">
        <v>0.79</v>
      </c>
      <c r="F63" s="2">
        <v>1</v>
      </c>
    </row>
    <row r="64" spans="1:13" ht="14.25" customHeight="1">
      <c r="A64" s="2">
        <v>22</v>
      </c>
      <c r="B64" s="2">
        <v>63</v>
      </c>
      <c r="C64" s="2">
        <v>8</v>
      </c>
      <c r="D64" s="2">
        <v>1</v>
      </c>
      <c r="E64" s="2">
        <v>0.79500000000000004</v>
      </c>
      <c r="F64" s="2">
        <v>2</v>
      </c>
    </row>
    <row r="65" spans="1:6" ht="14.25" customHeight="1">
      <c r="A65" s="2">
        <v>22</v>
      </c>
      <c r="B65" s="2">
        <v>64</v>
      </c>
      <c r="C65" s="2">
        <v>2</v>
      </c>
      <c r="D65" s="2">
        <v>0</v>
      </c>
      <c r="E65" s="2">
        <v>1.5189999999999999</v>
      </c>
      <c r="F65" s="2">
        <v>1</v>
      </c>
    </row>
    <row r="66" spans="1:6" ht="14.25" customHeight="1">
      <c r="A66" s="2">
        <v>22</v>
      </c>
      <c r="B66" s="2">
        <v>65</v>
      </c>
      <c r="C66" s="2">
        <v>1</v>
      </c>
      <c r="D66" s="2">
        <v>0</v>
      </c>
      <c r="E66" s="2">
        <v>0.86299999999999999</v>
      </c>
      <c r="F66" s="2">
        <v>2</v>
      </c>
    </row>
    <row r="67" spans="1:6" ht="14.25" customHeight="1">
      <c r="A67" s="2">
        <v>22</v>
      </c>
      <c r="B67" s="2">
        <v>66</v>
      </c>
      <c r="C67" s="2">
        <v>2</v>
      </c>
      <c r="D67" s="2">
        <v>1</v>
      </c>
      <c r="E67" s="2">
        <v>0.73699999999999999</v>
      </c>
      <c r="F67" s="2">
        <v>2</v>
      </c>
    </row>
    <row r="68" spans="1:6" ht="14.25" customHeight="1">
      <c r="A68" s="2">
        <v>22</v>
      </c>
      <c r="B68" s="2">
        <v>67</v>
      </c>
      <c r="C68" s="2">
        <v>7</v>
      </c>
      <c r="D68" s="2">
        <v>1</v>
      </c>
      <c r="E68" s="2">
        <v>1.5589999999999999</v>
      </c>
      <c r="F68" s="2">
        <v>1</v>
      </c>
    </row>
    <row r="69" spans="1:6" ht="14.25" customHeight="1">
      <c r="A69" s="2">
        <v>22</v>
      </c>
      <c r="B69" s="2">
        <v>68</v>
      </c>
      <c r="C69" s="2">
        <v>4</v>
      </c>
      <c r="D69" s="2">
        <v>1</v>
      </c>
      <c r="E69" s="2">
        <v>0.59799999999999998</v>
      </c>
      <c r="F69" s="2">
        <v>2</v>
      </c>
    </row>
    <row r="70" spans="1:6" ht="14.25" customHeight="1">
      <c r="A70" s="2">
        <v>22</v>
      </c>
      <c r="B70" s="2">
        <v>69</v>
      </c>
      <c r="C70" s="2">
        <v>7</v>
      </c>
      <c r="D70" s="2">
        <v>1</v>
      </c>
      <c r="E70" s="2">
        <v>1.73</v>
      </c>
      <c r="F70" s="2">
        <v>1</v>
      </c>
    </row>
    <row r="71" spans="1:6" ht="14.25" customHeight="1">
      <c r="A71" s="2">
        <v>22</v>
      </c>
      <c r="B71" s="2">
        <v>70</v>
      </c>
      <c r="C71" s="2">
        <v>6</v>
      </c>
      <c r="D71" s="2">
        <v>1</v>
      </c>
      <c r="E71" s="2">
        <v>0.82599999999999996</v>
      </c>
      <c r="F71" s="2">
        <v>2</v>
      </c>
    </row>
    <row r="72" spans="1:6" ht="14.25" customHeight="1">
      <c r="A72" s="2">
        <v>22</v>
      </c>
      <c r="B72" s="2">
        <v>71</v>
      </c>
      <c r="C72" s="2">
        <v>5</v>
      </c>
      <c r="D72" s="2">
        <v>0</v>
      </c>
      <c r="E72" s="2">
        <v>0.65300000000000002</v>
      </c>
      <c r="F72" s="2">
        <v>2</v>
      </c>
    </row>
    <row r="73" spans="1:6" ht="14.25" customHeight="1">
      <c r="A73" s="2">
        <v>22</v>
      </c>
      <c r="B73" s="2">
        <v>72</v>
      </c>
      <c r="C73" s="2">
        <v>7</v>
      </c>
      <c r="D73" s="2">
        <v>1</v>
      </c>
      <c r="E73" s="2">
        <v>0.93500000000000005</v>
      </c>
      <c r="F73" s="2">
        <v>1</v>
      </c>
    </row>
    <row r="74" spans="1:6" ht="14.25" customHeight="1">
      <c r="A74" s="2">
        <v>22</v>
      </c>
      <c r="B74" s="2">
        <v>73</v>
      </c>
      <c r="C74" s="2">
        <v>1</v>
      </c>
      <c r="D74" s="2">
        <v>0</v>
      </c>
      <c r="E74" s="2">
        <v>1.1819999999999999</v>
      </c>
      <c r="F74" s="2">
        <v>2</v>
      </c>
    </row>
    <row r="75" spans="1:6" ht="14.25" customHeight="1">
      <c r="A75" s="2">
        <v>22</v>
      </c>
      <c r="B75" s="2">
        <v>74</v>
      </c>
      <c r="C75" s="2">
        <v>6</v>
      </c>
      <c r="D75" s="2">
        <v>0</v>
      </c>
      <c r="E75" s="2">
        <v>1.228</v>
      </c>
      <c r="F75" s="2">
        <v>1</v>
      </c>
    </row>
    <row r="76" spans="1:6" ht="14.25" customHeight="1">
      <c r="A76" s="2">
        <v>22</v>
      </c>
      <c r="B76" s="2">
        <v>75</v>
      </c>
      <c r="C76" s="2">
        <v>8</v>
      </c>
      <c r="E76" s="2">
        <v>2</v>
      </c>
    </row>
    <row r="77" spans="1:6" ht="14.25" customHeight="1">
      <c r="A77" s="2">
        <v>22</v>
      </c>
      <c r="B77" s="2">
        <v>76</v>
      </c>
      <c r="C77" s="2">
        <v>2</v>
      </c>
      <c r="D77" s="2">
        <v>1</v>
      </c>
      <c r="E77" s="2">
        <v>0.96399999999999997</v>
      </c>
      <c r="F77" s="2">
        <v>1</v>
      </c>
    </row>
    <row r="78" spans="1:6" ht="14.25" customHeight="1">
      <c r="A78" s="2">
        <v>22</v>
      </c>
      <c r="B78" s="2">
        <v>77</v>
      </c>
      <c r="C78" s="2">
        <v>3</v>
      </c>
      <c r="D78" s="2">
        <v>1</v>
      </c>
      <c r="E78" s="2">
        <v>0.92100000000000004</v>
      </c>
      <c r="F78" s="2">
        <v>1</v>
      </c>
    </row>
    <row r="79" spans="1:6" ht="14.25" customHeight="1">
      <c r="A79" s="2">
        <v>22</v>
      </c>
      <c r="B79" s="2">
        <v>78</v>
      </c>
      <c r="C79" s="2">
        <v>7</v>
      </c>
      <c r="D79" s="2">
        <v>1</v>
      </c>
      <c r="E79" s="2">
        <v>1.0249999999999999</v>
      </c>
      <c r="F79" s="2">
        <v>1</v>
      </c>
    </row>
    <row r="80" spans="1:6" ht="14.25" customHeight="1">
      <c r="A80" s="2">
        <v>22</v>
      </c>
      <c r="B80" s="2">
        <v>79</v>
      </c>
      <c r="C80" s="2">
        <v>6</v>
      </c>
      <c r="D80" s="2">
        <v>1</v>
      </c>
      <c r="E80" s="2">
        <v>0.73199999999999998</v>
      </c>
      <c r="F80" s="2">
        <v>2</v>
      </c>
    </row>
    <row r="81" spans="1:6" ht="14.25" customHeight="1">
      <c r="A81" s="2">
        <v>22</v>
      </c>
      <c r="B81" s="2">
        <v>80</v>
      </c>
      <c r="C81" s="2">
        <v>7</v>
      </c>
      <c r="D81" s="2">
        <v>0</v>
      </c>
      <c r="E81" s="2">
        <v>1.044</v>
      </c>
      <c r="F81" s="2">
        <v>1</v>
      </c>
    </row>
    <row r="82" spans="1:6" ht="14.25" customHeight="1">
      <c r="A82" s="2">
        <v>22</v>
      </c>
      <c r="B82" s="2">
        <v>81</v>
      </c>
      <c r="C82" s="2">
        <v>5</v>
      </c>
      <c r="D82" s="2">
        <v>1</v>
      </c>
      <c r="E82" s="2">
        <v>0.59799999999999998</v>
      </c>
      <c r="F82" s="2">
        <v>2</v>
      </c>
    </row>
    <row r="83" spans="1:6" ht="14.25" customHeight="1">
      <c r="A83" s="2">
        <v>22</v>
      </c>
      <c r="B83" s="2">
        <v>82</v>
      </c>
      <c r="C83" s="2">
        <v>1</v>
      </c>
      <c r="D83" s="2">
        <v>1</v>
      </c>
      <c r="E83" s="2">
        <v>0.93899999999999995</v>
      </c>
      <c r="F83" s="2">
        <v>1</v>
      </c>
    </row>
    <row r="84" spans="1:6" ht="14.25" customHeight="1">
      <c r="A84" s="2">
        <v>22</v>
      </c>
      <c r="B84" s="2">
        <v>83</v>
      </c>
      <c r="C84" s="2">
        <v>2</v>
      </c>
      <c r="D84" s="2">
        <v>1</v>
      </c>
      <c r="E84" s="2">
        <v>0.67300000000000004</v>
      </c>
      <c r="F84" s="2">
        <v>1</v>
      </c>
    </row>
    <row r="85" spans="1:6" ht="14.25" customHeight="1">
      <c r="A85" s="2">
        <v>22</v>
      </c>
      <c r="B85" s="2">
        <v>84</v>
      </c>
      <c r="C85" s="2">
        <v>3</v>
      </c>
      <c r="D85" s="2">
        <v>0</v>
      </c>
      <c r="E85" s="2">
        <v>1.899</v>
      </c>
      <c r="F85" s="2">
        <v>1</v>
      </c>
    </row>
    <row r="86" spans="1:6" ht="14.25" customHeight="1">
      <c r="A86" s="2">
        <v>22</v>
      </c>
      <c r="B86" s="2">
        <v>85</v>
      </c>
      <c r="C86" s="2">
        <v>1</v>
      </c>
      <c r="D86" s="2">
        <v>1</v>
      </c>
      <c r="E86" s="2">
        <v>0.57199999999999995</v>
      </c>
      <c r="F86" s="2">
        <v>2</v>
      </c>
    </row>
    <row r="87" spans="1:6" ht="14.25" customHeight="1">
      <c r="A87" s="2">
        <v>22</v>
      </c>
      <c r="B87" s="2">
        <v>86</v>
      </c>
      <c r="C87" s="2">
        <v>6</v>
      </c>
      <c r="D87" s="2">
        <v>1</v>
      </c>
      <c r="E87" s="2">
        <v>0.84899999999999998</v>
      </c>
      <c r="F87" s="2">
        <v>1</v>
      </c>
    </row>
    <row r="88" spans="1:6" ht="14.25" customHeight="1">
      <c r="A88" s="2">
        <v>22</v>
      </c>
      <c r="B88" s="2">
        <v>87</v>
      </c>
      <c r="C88" s="2">
        <v>3</v>
      </c>
      <c r="D88" s="2">
        <v>1</v>
      </c>
      <c r="E88" s="2">
        <v>0.79500000000000004</v>
      </c>
      <c r="F88" s="2">
        <v>2</v>
      </c>
    </row>
    <row r="89" spans="1:6" ht="14.25" customHeight="1">
      <c r="A89" s="2">
        <v>22</v>
      </c>
      <c r="B89" s="2">
        <v>88</v>
      </c>
      <c r="C89" s="2">
        <v>4</v>
      </c>
      <c r="D89" s="2">
        <v>0</v>
      </c>
      <c r="E89" s="2">
        <v>0.57599999999999996</v>
      </c>
      <c r="F89" s="2">
        <v>2</v>
      </c>
    </row>
    <row r="90" spans="1:6" ht="14.25" customHeight="1">
      <c r="A90" s="2">
        <v>22</v>
      </c>
      <c r="B90" s="2">
        <v>89</v>
      </c>
      <c r="C90" s="2">
        <v>5</v>
      </c>
      <c r="D90" s="2">
        <v>1</v>
      </c>
      <c r="E90" s="2">
        <v>0.621</v>
      </c>
      <c r="F90" s="2">
        <v>2</v>
      </c>
    </row>
    <row r="91" spans="1:6" ht="14.25" customHeight="1">
      <c r="A91" s="2">
        <v>22</v>
      </c>
      <c r="B91" s="2">
        <v>90</v>
      </c>
      <c r="C91" s="2">
        <v>8</v>
      </c>
      <c r="D91" s="2">
        <v>1</v>
      </c>
      <c r="E91" s="2">
        <v>0.71299999999999997</v>
      </c>
      <c r="F91" s="2">
        <v>2</v>
      </c>
    </row>
    <row r="92" spans="1:6" ht="14.25" customHeight="1">
      <c r="A92" s="2">
        <v>22</v>
      </c>
      <c r="B92" s="2">
        <v>91</v>
      </c>
      <c r="C92" s="2">
        <v>7</v>
      </c>
      <c r="D92" s="2">
        <v>0</v>
      </c>
      <c r="E92" s="2">
        <v>1.504</v>
      </c>
      <c r="F92" s="2">
        <v>1</v>
      </c>
    </row>
    <row r="93" spans="1:6" ht="14.25" customHeight="1">
      <c r="A93" s="2">
        <v>22</v>
      </c>
      <c r="B93" s="2">
        <v>92</v>
      </c>
      <c r="C93" s="2">
        <v>2</v>
      </c>
      <c r="D93" s="2">
        <v>0</v>
      </c>
      <c r="E93" s="2">
        <v>1.1919999999999999</v>
      </c>
      <c r="F93" s="2">
        <v>1</v>
      </c>
    </row>
    <row r="94" spans="1:6" ht="14.25" customHeight="1">
      <c r="A94" s="2">
        <v>22</v>
      </c>
      <c r="B94" s="2">
        <v>93</v>
      </c>
      <c r="C94" s="2">
        <v>3</v>
      </c>
      <c r="D94" s="2">
        <v>0</v>
      </c>
      <c r="E94" s="2">
        <v>1.077</v>
      </c>
      <c r="F94" s="2">
        <v>2</v>
      </c>
    </row>
    <row r="95" spans="1:6" ht="14.25" customHeight="1">
      <c r="A95" s="2">
        <v>22</v>
      </c>
      <c r="B95" s="2">
        <v>94</v>
      </c>
      <c r="C95" s="2">
        <v>7</v>
      </c>
      <c r="D95" s="2">
        <v>1</v>
      </c>
      <c r="E95" s="2">
        <v>0.63100000000000001</v>
      </c>
      <c r="F95" s="2">
        <v>2</v>
      </c>
    </row>
    <row r="96" spans="1:6" ht="14.25" customHeight="1">
      <c r="A96" s="2">
        <v>22</v>
      </c>
      <c r="B96" s="2">
        <v>95</v>
      </c>
      <c r="C96" s="2">
        <v>5</v>
      </c>
      <c r="D96" s="2">
        <v>0</v>
      </c>
      <c r="E96" s="2">
        <v>0.97799999999999998</v>
      </c>
      <c r="F96" s="2">
        <v>1</v>
      </c>
    </row>
    <row r="97" spans="1:6" ht="14.25" customHeight="1">
      <c r="A97" s="2">
        <v>22</v>
      </c>
      <c r="B97" s="2">
        <v>96</v>
      </c>
      <c r="C97" s="2">
        <v>3</v>
      </c>
      <c r="D97" s="2">
        <v>1</v>
      </c>
      <c r="E97" s="2">
        <v>1.0229999999999999</v>
      </c>
      <c r="F97" s="2">
        <v>1</v>
      </c>
    </row>
    <row r="98" spans="1:6" ht="14.25" customHeight="1">
      <c r="A98" s="2">
        <v>22</v>
      </c>
      <c r="B98" s="2">
        <v>97</v>
      </c>
      <c r="C98" s="2">
        <v>5</v>
      </c>
      <c r="D98" s="2">
        <v>1</v>
      </c>
      <c r="E98" s="2">
        <v>1.2430000000000001</v>
      </c>
      <c r="F98" s="2">
        <v>1</v>
      </c>
    </row>
    <row r="99" spans="1:6" ht="14.25" customHeight="1">
      <c r="A99" s="2">
        <v>22</v>
      </c>
      <c r="B99" s="2">
        <v>98</v>
      </c>
      <c r="C99" s="2">
        <v>8</v>
      </c>
      <c r="D99" s="2">
        <v>1</v>
      </c>
      <c r="E99" s="2">
        <v>0.82899999999999996</v>
      </c>
      <c r="F99" s="2">
        <v>2</v>
      </c>
    </row>
    <row r="100" spans="1:6" ht="14.25" customHeight="1">
      <c r="A100" s="2">
        <v>22</v>
      </c>
      <c r="B100" s="2">
        <v>99</v>
      </c>
      <c r="C100" s="2">
        <v>4</v>
      </c>
      <c r="E100" s="2">
        <v>2.0009999999999999</v>
      </c>
    </row>
    <row r="101" spans="1:6" ht="14.25" customHeight="1">
      <c r="A101" s="2">
        <v>22</v>
      </c>
      <c r="B101" s="2">
        <v>100</v>
      </c>
      <c r="C101" s="2">
        <v>1</v>
      </c>
      <c r="D101" s="2">
        <v>0</v>
      </c>
      <c r="E101" s="2">
        <v>0.58199999999999996</v>
      </c>
      <c r="F101" s="2">
        <v>2</v>
      </c>
    </row>
    <row r="102" spans="1:6" ht="14.25" customHeight="1">
      <c r="A102" s="2">
        <v>22</v>
      </c>
      <c r="B102" s="2">
        <v>101</v>
      </c>
      <c r="C102" s="2">
        <v>8</v>
      </c>
      <c r="D102" s="2">
        <v>1</v>
      </c>
      <c r="E102" s="2">
        <v>0.77</v>
      </c>
      <c r="F102" s="2">
        <v>2</v>
      </c>
    </row>
    <row r="103" spans="1:6" ht="14.25" customHeight="1">
      <c r="A103" s="2">
        <v>22</v>
      </c>
      <c r="B103" s="2">
        <v>102</v>
      </c>
      <c r="C103" s="2">
        <v>1</v>
      </c>
      <c r="D103" s="2">
        <v>1</v>
      </c>
      <c r="E103" s="2">
        <v>0.77500000000000002</v>
      </c>
      <c r="F103" s="2">
        <v>1</v>
      </c>
    </row>
    <row r="104" spans="1:6" ht="14.25" customHeight="1">
      <c r="A104" s="2">
        <v>22</v>
      </c>
      <c r="B104" s="2">
        <v>103</v>
      </c>
      <c r="C104" s="2">
        <v>5</v>
      </c>
      <c r="D104" s="2">
        <v>1</v>
      </c>
      <c r="E104" s="2">
        <v>0.70899999999999996</v>
      </c>
      <c r="F104" s="2">
        <v>2</v>
      </c>
    </row>
    <row r="105" spans="1:6" ht="14.25" customHeight="1">
      <c r="A105" s="2">
        <v>22</v>
      </c>
      <c r="B105" s="2">
        <v>104</v>
      </c>
      <c r="C105" s="2">
        <v>6</v>
      </c>
      <c r="D105" s="2">
        <v>1</v>
      </c>
      <c r="E105" s="2">
        <v>1.5249999999999999</v>
      </c>
      <c r="F105" s="2">
        <v>1</v>
      </c>
    </row>
    <row r="106" spans="1:6" ht="14.25" customHeight="1">
      <c r="A106" s="2">
        <v>22</v>
      </c>
      <c r="B106" s="2">
        <v>105</v>
      </c>
      <c r="C106" s="2">
        <v>5</v>
      </c>
      <c r="D106" s="2">
        <v>1</v>
      </c>
      <c r="E106" s="2">
        <v>1.204</v>
      </c>
      <c r="F106" s="2">
        <v>1</v>
      </c>
    </row>
    <row r="107" spans="1:6" ht="14.25" customHeight="1">
      <c r="A107" s="2">
        <v>22</v>
      </c>
      <c r="B107" s="2">
        <v>106</v>
      </c>
      <c r="C107" s="2">
        <v>1</v>
      </c>
      <c r="D107" s="2">
        <v>1</v>
      </c>
      <c r="E107" s="2">
        <v>1.032</v>
      </c>
      <c r="F107" s="2">
        <v>2</v>
      </c>
    </row>
    <row r="108" spans="1:6" ht="14.25" customHeight="1">
      <c r="A108" s="2">
        <v>22</v>
      </c>
      <c r="B108" s="2">
        <v>107</v>
      </c>
      <c r="C108" s="2">
        <v>5</v>
      </c>
      <c r="D108" s="2">
        <v>1</v>
      </c>
      <c r="E108" s="2">
        <v>1.6679999999999999</v>
      </c>
      <c r="F108" s="2">
        <v>1</v>
      </c>
    </row>
    <row r="109" spans="1:6" ht="14.25" customHeight="1">
      <c r="A109" s="2">
        <v>22</v>
      </c>
      <c r="B109" s="2">
        <v>108</v>
      </c>
      <c r="C109" s="2">
        <v>7</v>
      </c>
      <c r="D109" s="2">
        <v>1</v>
      </c>
      <c r="E109" s="2">
        <v>1.1259999999999999</v>
      </c>
      <c r="F109" s="2">
        <v>2</v>
      </c>
    </row>
    <row r="110" spans="1:6" ht="14.25" customHeight="1">
      <c r="A110" s="2">
        <v>22</v>
      </c>
      <c r="B110" s="2">
        <v>109</v>
      </c>
      <c r="C110" s="2">
        <v>1</v>
      </c>
      <c r="D110" s="2">
        <v>1</v>
      </c>
      <c r="E110" s="2">
        <v>1.109</v>
      </c>
      <c r="F110" s="2">
        <v>1</v>
      </c>
    </row>
    <row r="111" spans="1:6" ht="14.25" customHeight="1">
      <c r="A111" s="2">
        <v>22</v>
      </c>
      <c r="B111" s="2">
        <v>110</v>
      </c>
      <c r="C111" s="2">
        <v>6</v>
      </c>
      <c r="D111" s="2">
        <v>1</v>
      </c>
      <c r="E111" s="2">
        <v>1.069</v>
      </c>
      <c r="F111" s="2">
        <v>1</v>
      </c>
    </row>
    <row r="112" spans="1:6" ht="14.25" customHeight="1">
      <c r="A112" s="2">
        <v>22</v>
      </c>
      <c r="B112" s="2">
        <v>111</v>
      </c>
      <c r="C112" s="2">
        <v>4</v>
      </c>
      <c r="D112" s="2">
        <v>1</v>
      </c>
      <c r="E112" s="2">
        <v>0.65400000000000003</v>
      </c>
      <c r="F112" s="2">
        <v>2</v>
      </c>
    </row>
    <row r="113" spans="1:6" ht="14.25" customHeight="1">
      <c r="A113" s="2">
        <v>22</v>
      </c>
      <c r="B113" s="2">
        <v>112</v>
      </c>
      <c r="C113" s="2">
        <v>2</v>
      </c>
      <c r="D113" s="2">
        <v>1</v>
      </c>
      <c r="E113" s="2">
        <v>0.6</v>
      </c>
      <c r="F113" s="2">
        <v>1</v>
      </c>
    </row>
    <row r="114" spans="1:6" ht="14.25" customHeight="1">
      <c r="A114" s="2">
        <v>22</v>
      </c>
      <c r="B114" s="2">
        <v>113</v>
      </c>
      <c r="C114" s="2">
        <v>3</v>
      </c>
      <c r="D114" s="2">
        <v>1</v>
      </c>
      <c r="E114" s="2">
        <v>1.5169999999999999</v>
      </c>
      <c r="F114" s="2">
        <v>2</v>
      </c>
    </row>
    <row r="115" spans="1:6" ht="14.25" customHeight="1">
      <c r="A115" s="2">
        <v>22</v>
      </c>
      <c r="B115" s="2">
        <v>114</v>
      </c>
      <c r="C115" s="2">
        <v>6</v>
      </c>
      <c r="D115" s="2">
        <v>0</v>
      </c>
      <c r="E115" s="2">
        <v>1.252</v>
      </c>
      <c r="F115" s="2">
        <v>1</v>
      </c>
    </row>
    <row r="116" spans="1:6" ht="14.25" customHeight="1">
      <c r="A116" s="2">
        <v>22</v>
      </c>
      <c r="B116" s="2">
        <v>115</v>
      </c>
      <c r="C116" s="2">
        <v>3</v>
      </c>
      <c r="D116" s="2">
        <v>1</v>
      </c>
      <c r="E116" s="2">
        <v>1.343</v>
      </c>
      <c r="F116" s="2">
        <v>1</v>
      </c>
    </row>
    <row r="117" spans="1:6" ht="14.25" customHeight="1">
      <c r="A117" s="2">
        <v>22</v>
      </c>
      <c r="B117" s="2">
        <v>116</v>
      </c>
      <c r="C117" s="2">
        <v>2</v>
      </c>
      <c r="D117" s="2">
        <v>1</v>
      </c>
      <c r="E117" s="2">
        <v>0.73399999999999999</v>
      </c>
      <c r="F117" s="2">
        <v>2</v>
      </c>
    </row>
    <row r="118" spans="1:6" ht="14.25" customHeight="1">
      <c r="A118" s="2">
        <v>22</v>
      </c>
      <c r="B118" s="2">
        <v>117</v>
      </c>
      <c r="C118" s="2">
        <v>7</v>
      </c>
      <c r="D118" s="2">
        <v>0</v>
      </c>
      <c r="E118" s="2">
        <v>1.27</v>
      </c>
      <c r="F118" s="2">
        <v>2</v>
      </c>
    </row>
    <row r="119" spans="1:6" ht="14.25" customHeight="1">
      <c r="A119" s="2">
        <v>22</v>
      </c>
      <c r="B119" s="2">
        <v>118</v>
      </c>
      <c r="C119" s="2">
        <v>4</v>
      </c>
      <c r="D119" s="2">
        <v>1</v>
      </c>
      <c r="E119" s="2">
        <v>0.68700000000000006</v>
      </c>
      <c r="F119" s="2">
        <v>2</v>
      </c>
    </row>
    <row r="120" spans="1:6" ht="14.25" customHeight="1">
      <c r="A120" s="2">
        <v>22</v>
      </c>
      <c r="B120" s="2">
        <v>119</v>
      </c>
      <c r="C120" s="2">
        <v>1</v>
      </c>
      <c r="D120" s="2">
        <v>1</v>
      </c>
      <c r="E120" s="2">
        <v>1.0720000000000001</v>
      </c>
      <c r="F120" s="2">
        <v>1</v>
      </c>
    </row>
    <row r="121" spans="1:6" ht="14.25" customHeight="1">
      <c r="A121" s="2">
        <v>22</v>
      </c>
      <c r="B121" s="2">
        <v>120</v>
      </c>
      <c r="C121" s="2">
        <v>2</v>
      </c>
      <c r="D121" s="2">
        <v>1</v>
      </c>
      <c r="E121" s="2">
        <v>0.90500000000000003</v>
      </c>
      <c r="F121" s="2">
        <v>2</v>
      </c>
    </row>
    <row r="122" spans="1:6" ht="14.25" customHeight="1">
      <c r="A122" s="2">
        <v>22</v>
      </c>
      <c r="B122" s="2">
        <v>121</v>
      </c>
      <c r="C122" s="2">
        <v>4</v>
      </c>
      <c r="D122" s="2">
        <v>0</v>
      </c>
      <c r="E122" s="2">
        <v>1.641</v>
      </c>
      <c r="F122" s="2">
        <v>2</v>
      </c>
    </row>
    <row r="123" spans="1:6" ht="14.25" customHeight="1">
      <c r="A123" s="2">
        <v>22</v>
      </c>
      <c r="B123" s="2">
        <v>122</v>
      </c>
      <c r="C123" s="2">
        <v>5</v>
      </c>
      <c r="D123" s="2">
        <v>1</v>
      </c>
      <c r="E123" s="2">
        <v>0.92400000000000004</v>
      </c>
      <c r="F123" s="2">
        <v>1</v>
      </c>
    </row>
    <row r="124" spans="1:6" ht="14.25" customHeight="1">
      <c r="A124" s="2">
        <v>22</v>
      </c>
      <c r="B124" s="2">
        <v>123</v>
      </c>
      <c r="C124" s="2">
        <v>2</v>
      </c>
      <c r="D124" s="2">
        <v>1</v>
      </c>
      <c r="E124" s="2">
        <v>1.2589999999999999</v>
      </c>
      <c r="F124" s="2">
        <v>1</v>
      </c>
    </row>
    <row r="125" spans="1:6" ht="14.25" customHeight="1">
      <c r="A125" s="2">
        <v>22</v>
      </c>
      <c r="B125" s="2">
        <v>124</v>
      </c>
      <c r="C125" s="2">
        <v>4</v>
      </c>
      <c r="D125" s="2">
        <v>0</v>
      </c>
      <c r="E125" s="2">
        <v>0.94099999999999995</v>
      </c>
      <c r="F125" s="2">
        <v>1</v>
      </c>
    </row>
    <row r="126" spans="1:6" ht="14.25" customHeight="1">
      <c r="A126" s="2">
        <v>22</v>
      </c>
      <c r="B126" s="2">
        <v>125</v>
      </c>
      <c r="C126" s="2">
        <v>8</v>
      </c>
      <c r="D126" s="2">
        <v>1</v>
      </c>
      <c r="E126" s="2">
        <v>0.86799999999999999</v>
      </c>
      <c r="F126" s="2">
        <v>1</v>
      </c>
    </row>
    <row r="127" spans="1:6" ht="14.25" customHeight="1">
      <c r="A127" s="2">
        <v>22</v>
      </c>
      <c r="B127" s="2">
        <v>126</v>
      </c>
      <c r="C127" s="2">
        <v>7</v>
      </c>
      <c r="D127" s="2">
        <v>1</v>
      </c>
      <c r="E127" s="2">
        <v>1.6220000000000001</v>
      </c>
      <c r="F127" s="2">
        <v>1</v>
      </c>
    </row>
    <row r="128" spans="1:6" ht="14.25" customHeight="1">
      <c r="A128" s="2">
        <v>22</v>
      </c>
      <c r="B128" s="2">
        <v>127</v>
      </c>
      <c r="C128" s="2">
        <v>3</v>
      </c>
      <c r="D128" s="2">
        <v>1</v>
      </c>
      <c r="E128" s="2">
        <v>1.1040000000000001</v>
      </c>
      <c r="F128" s="2">
        <v>1</v>
      </c>
    </row>
    <row r="129" spans="1:6" ht="14.25" customHeight="1">
      <c r="A129" s="2">
        <v>22</v>
      </c>
      <c r="B129" s="2">
        <v>128</v>
      </c>
      <c r="C129" s="2">
        <v>4</v>
      </c>
      <c r="E129" s="2">
        <v>2.0009999999999999</v>
      </c>
    </row>
    <row r="130" spans="1:6" ht="14.25" customHeight="1">
      <c r="A130" s="2">
        <v>22</v>
      </c>
      <c r="B130" s="2">
        <v>129</v>
      </c>
      <c r="C130" s="2">
        <v>8</v>
      </c>
      <c r="D130" s="2">
        <v>1</v>
      </c>
      <c r="E130" s="2">
        <v>0.59</v>
      </c>
      <c r="F130" s="2">
        <v>2</v>
      </c>
    </row>
    <row r="131" spans="1:6" ht="14.25" customHeight="1">
      <c r="A131" s="2">
        <v>22</v>
      </c>
      <c r="B131" s="2">
        <v>130</v>
      </c>
      <c r="C131" s="2">
        <v>4</v>
      </c>
      <c r="D131" s="2">
        <v>0</v>
      </c>
      <c r="E131" s="2">
        <v>0.874</v>
      </c>
      <c r="F131" s="2">
        <v>1</v>
      </c>
    </row>
    <row r="132" spans="1:6" ht="14.25" customHeight="1">
      <c r="A132" s="2">
        <v>22</v>
      </c>
      <c r="B132" s="2">
        <v>131</v>
      </c>
      <c r="C132" s="2">
        <v>2</v>
      </c>
      <c r="D132" s="2">
        <v>1</v>
      </c>
      <c r="E132" s="2">
        <v>0.61099999999999999</v>
      </c>
      <c r="F132" s="2">
        <v>2</v>
      </c>
    </row>
    <row r="133" spans="1:6" ht="14.25" customHeight="1">
      <c r="A133" s="2">
        <v>22</v>
      </c>
      <c r="B133" s="2">
        <v>132</v>
      </c>
      <c r="C133" s="2">
        <v>7</v>
      </c>
      <c r="D133" s="2">
        <v>1</v>
      </c>
      <c r="E133" s="2">
        <v>0.59099999999999997</v>
      </c>
      <c r="F133" s="2">
        <v>1</v>
      </c>
    </row>
    <row r="134" spans="1:6" ht="14.25" customHeight="1">
      <c r="A134" s="2">
        <v>22</v>
      </c>
      <c r="B134" s="2">
        <v>133</v>
      </c>
      <c r="C134" s="2">
        <v>1</v>
      </c>
      <c r="D134" s="2">
        <v>1</v>
      </c>
      <c r="E134" s="2">
        <v>0.34799999999999998</v>
      </c>
      <c r="F134" s="2">
        <v>1</v>
      </c>
    </row>
    <row r="135" spans="1:6" ht="14.25" customHeight="1">
      <c r="A135" s="2">
        <v>22</v>
      </c>
      <c r="B135" s="2">
        <v>134</v>
      </c>
      <c r="C135" s="2">
        <v>7</v>
      </c>
      <c r="D135" s="2">
        <v>0</v>
      </c>
      <c r="E135" s="2">
        <v>0.73099999999999998</v>
      </c>
      <c r="F135" s="2">
        <v>1</v>
      </c>
    </row>
    <row r="136" spans="1:6" ht="14.25" customHeight="1">
      <c r="A136" s="2">
        <v>22</v>
      </c>
      <c r="B136" s="2">
        <v>135</v>
      </c>
      <c r="C136" s="2">
        <v>5</v>
      </c>
      <c r="D136" s="2">
        <v>1</v>
      </c>
      <c r="E136" s="2">
        <v>0.626</v>
      </c>
      <c r="F136" s="2">
        <v>2</v>
      </c>
    </row>
    <row r="137" spans="1:6" ht="14.25" customHeight="1">
      <c r="A137" s="2">
        <v>22</v>
      </c>
      <c r="B137" s="2">
        <v>136</v>
      </c>
      <c r="C137" s="2">
        <v>6</v>
      </c>
      <c r="D137" s="2">
        <v>1</v>
      </c>
      <c r="E137" s="2">
        <v>0.73399999999999999</v>
      </c>
      <c r="F137" s="2">
        <v>1</v>
      </c>
    </row>
    <row r="138" spans="1:6" ht="14.25" customHeight="1">
      <c r="A138" s="2">
        <v>22</v>
      </c>
      <c r="B138" s="2">
        <v>137</v>
      </c>
      <c r="C138" s="2">
        <v>3</v>
      </c>
      <c r="D138" s="2">
        <v>1</v>
      </c>
      <c r="E138" s="2">
        <v>1.181</v>
      </c>
      <c r="F138" s="2">
        <v>2</v>
      </c>
    </row>
    <row r="139" spans="1:6" ht="14.25" customHeight="1">
      <c r="A139" s="2">
        <v>22</v>
      </c>
      <c r="B139" s="2">
        <v>138</v>
      </c>
      <c r="C139" s="2">
        <v>8</v>
      </c>
      <c r="D139" s="2">
        <v>1</v>
      </c>
      <c r="E139" s="2">
        <v>1.53</v>
      </c>
      <c r="F139" s="2">
        <v>1</v>
      </c>
    </row>
    <row r="140" spans="1:6" ht="14.25" customHeight="1">
      <c r="A140" s="2">
        <v>22</v>
      </c>
      <c r="B140" s="2">
        <v>139</v>
      </c>
      <c r="C140" s="2">
        <v>7</v>
      </c>
      <c r="D140" s="2">
        <v>0</v>
      </c>
      <c r="E140" s="2">
        <v>1.329</v>
      </c>
      <c r="F140" s="2">
        <v>1</v>
      </c>
    </row>
    <row r="141" spans="1:6" ht="14.25" customHeight="1">
      <c r="A141" s="2">
        <v>22</v>
      </c>
      <c r="B141" s="2">
        <v>140</v>
      </c>
      <c r="C141" s="2">
        <v>6</v>
      </c>
      <c r="D141" s="2">
        <v>1</v>
      </c>
      <c r="E141" s="2">
        <v>1.0649999999999999</v>
      </c>
      <c r="F141" s="2">
        <v>2</v>
      </c>
    </row>
    <row r="142" spans="1:6" ht="14.25" customHeight="1">
      <c r="A142" s="2">
        <v>22</v>
      </c>
      <c r="B142" s="2">
        <v>141</v>
      </c>
      <c r="C142" s="2">
        <v>7</v>
      </c>
      <c r="D142" s="2">
        <v>0</v>
      </c>
      <c r="E142" s="2">
        <v>1.403</v>
      </c>
      <c r="F142" s="2">
        <v>1</v>
      </c>
    </row>
    <row r="143" spans="1:6" ht="14.25" customHeight="1">
      <c r="A143" s="2">
        <v>22</v>
      </c>
      <c r="B143" s="2">
        <v>142</v>
      </c>
      <c r="C143" s="2">
        <v>2</v>
      </c>
      <c r="D143" s="2">
        <v>0</v>
      </c>
      <c r="E143" s="2">
        <v>1.72</v>
      </c>
      <c r="F143" s="2">
        <v>1</v>
      </c>
    </row>
    <row r="144" spans="1:6" ht="14.25" customHeight="1">
      <c r="A144" s="2">
        <v>22</v>
      </c>
      <c r="B144" s="2">
        <v>143</v>
      </c>
      <c r="C144" s="2">
        <v>6</v>
      </c>
      <c r="D144" s="2">
        <v>1</v>
      </c>
      <c r="E144" s="2">
        <v>1.7589999999999999</v>
      </c>
      <c r="F144" s="2">
        <v>1</v>
      </c>
    </row>
    <row r="145" spans="1:6" ht="14.25" customHeight="1">
      <c r="A145" s="2">
        <v>22</v>
      </c>
      <c r="B145" s="2">
        <v>144</v>
      </c>
      <c r="C145" s="2">
        <v>3</v>
      </c>
      <c r="D145" s="2">
        <v>1</v>
      </c>
      <c r="E145" s="2">
        <v>0.89300000000000002</v>
      </c>
      <c r="F145" s="2">
        <v>2</v>
      </c>
    </row>
    <row r="146" spans="1:6" ht="14.25" customHeight="1">
      <c r="A146" s="2">
        <v>22</v>
      </c>
      <c r="B146" s="2">
        <v>145</v>
      </c>
      <c r="C146" s="2">
        <v>5</v>
      </c>
      <c r="D146" s="2">
        <v>0</v>
      </c>
      <c r="E146" s="2">
        <v>1.0209999999999999</v>
      </c>
      <c r="F146" s="2">
        <v>1</v>
      </c>
    </row>
    <row r="147" spans="1:6" ht="14.25" customHeight="1">
      <c r="A147" s="2">
        <v>22</v>
      </c>
      <c r="B147" s="2">
        <v>146</v>
      </c>
      <c r="C147" s="2">
        <v>1</v>
      </c>
      <c r="D147" s="2">
        <v>1</v>
      </c>
      <c r="E147" s="2">
        <v>1.1439999999999999</v>
      </c>
      <c r="F147" s="2">
        <v>1</v>
      </c>
    </row>
    <row r="148" spans="1:6" ht="14.25" customHeight="1">
      <c r="A148" s="2">
        <v>22</v>
      </c>
      <c r="B148" s="2">
        <v>147</v>
      </c>
      <c r="C148" s="2">
        <v>8</v>
      </c>
      <c r="D148" s="2">
        <v>1</v>
      </c>
      <c r="E148" s="2">
        <v>1.2869999999999999</v>
      </c>
      <c r="F148" s="2">
        <v>1</v>
      </c>
    </row>
    <row r="149" spans="1:6" ht="14.25" customHeight="1">
      <c r="A149" s="2">
        <v>22</v>
      </c>
      <c r="B149" s="2">
        <v>148</v>
      </c>
      <c r="C149" s="2">
        <v>3</v>
      </c>
      <c r="D149" s="2">
        <v>1</v>
      </c>
      <c r="E149" s="2">
        <v>0.76</v>
      </c>
      <c r="F149" s="2">
        <v>2</v>
      </c>
    </row>
    <row r="150" spans="1:6" ht="14.25" customHeight="1">
      <c r="A150" s="2">
        <v>22</v>
      </c>
      <c r="B150" s="2">
        <v>149</v>
      </c>
      <c r="C150" s="2">
        <v>8</v>
      </c>
      <c r="D150" s="2">
        <v>0</v>
      </c>
      <c r="E150" s="2">
        <v>0.87</v>
      </c>
      <c r="F150" s="2">
        <v>1</v>
      </c>
    </row>
    <row r="151" spans="1:6" ht="14.25" customHeight="1">
      <c r="A151" s="2">
        <v>22</v>
      </c>
      <c r="B151" s="2">
        <v>150</v>
      </c>
      <c r="C151" s="2">
        <v>1</v>
      </c>
      <c r="D151" s="2">
        <v>0</v>
      </c>
      <c r="E151" s="2">
        <v>1.2789999999999999</v>
      </c>
      <c r="F151" s="2">
        <v>2</v>
      </c>
    </row>
    <row r="152" spans="1:6" ht="14.25" customHeight="1">
      <c r="A152" s="2">
        <v>22</v>
      </c>
      <c r="B152" s="2">
        <v>151</v>
      </c>
      <c r="C152" s="2">
        <v>1</v>
      </c>
      <c r="D152" s="2">
        <v>1</v>
      </c>
      <c r="E152" s="2">
        <v>0.88800000000000001</v>
      </c>
      <c r="F152" s="2">
        <v>2</v>
      </c>
    </row>
    <row r="153" spans="1:6" ht="14.25" customHeight="1">
      <c r="A153" s="2">
        <v>22</v>
      </c>
      <c r="B153" s="2">
        <v>152</v>
      </c>
      <c r="C153" s="2">
        <v>4</v>
      </c>
      <c r="D153" s="2">
        <v>1</v>
      </c>
      <c r="E153" s="2">
        <v>0.76</v>
      </c>
      <c r="F153" s="2">
        <v>1</v>
      </c>
    </row>
    <row r="154" spans="1:6" ht="14.25" customHeight="1">
      <c r="A154" s="2">
        <v>22</v>
      </c>
      <c r="B154" s="2">
        <v>153</v>
      </c>
      <c r="C154" s="2">
        <v>6</v>
      </c>
      <c r="D154" s="2">
        <v>1</v>
      </c>
      <c r="E154" s="2">
        <v>0.75</v>
      </c>
      <c r="F154" s="2">
        <v>2</v>
      </c>
    </row>
    <row r="155" spans="1:6" ht="14.25" customHeight="1">
      <c r="A155" s="2">
        <v>22</v>
      </c>
      <c r="B155" s="2">
        <v>154</v>
      </c>
      <c r="C155" s="2">
        <v>2</v>
      </c>
      <c r="D155" s="2">
        <v>0</v>
      </c>
      <c r="E155" s="2">
        <v>1.6839999999999999</v>
      </c>
      <c r="F155" s="2">
        <v>2</v>
      </c>
    </row>
    <row r="156" spans="1:6" ht="14.25" customHeight="1">
      <c r="A156" s="2">
        <v>22</v>
      </c>
      <c r="B156" s="2">
        <v>155</v>
      </c>
      <c r="C156" s="2">
        <v>5</v>
      </c>
      <c r="D156" s="2">
        <v>0</v>
      </c>
      <c r="E156" s="2">
        <v>1.718</v>
      </c>
      <c r="F156" s="2">
        <v>2</v>
      </c>
    </row>
    <row r="157" spans="1:6" ht="14.25" customHeight="1">
      <c r="A157" s="2">
        <v>22</v>
      </c>
      <c r="B157" s="2">
        <v>156</v>
      </c>
      <c r="C157" s="2">
        <v>8</v>
      </c>
      <c r="D157" s="2">
        <v>1</v>
      </c>
      <c r="E157" s="2">
        <v>1.734</v>
      </c>
      <c r="F157" s="2">
        <v>2</v>
      </c>
    </row>
    <row r="158" spans="1:6" ht="14.25" customHeight="1">
      <c r="A158" s="2">
        <v>22</v>
      </c>
      <c r="B158" s="2">
        <v>157</v>
      </c>
      <c r="C158" s="2">
        <v>2</v>
      </c>
      <c r="D158" s="2">
        <v>1</v>
      </c>
      <c r="E158" s="2">
        <v>1.629</v>
      </c>
      <c r="F158" s="2">
        <v>1</v>
      </c>
    </row>
    <row r="159" spans="1:6" ht="14.25" customHeight="1">
      <c r="A159" s="2">
        <v>22</v>
      </c>
      <c r="B159" s="2">
        <v>158</v>
      </c>
      <c r="C159" s="2">
        <v>8</v>
      </c>
      <c r="D159" s="2">
        <v>1</v>
      </c>
      <c r="E159" s="2">
        <v>1.2889999999999999</v>
      </c>
      <c r="F159" s="2">
        <v>2</v>
      </c>
    </row>
    <row r="160" spans="1:6" ht="14.25" customHeight="1">
      <c r="A160" s="2">
        <v>22</v>
      </c>
      <c r="B160" s="2">
        <v>159</v>
      </c>
      <c r="C160" s="2">
        <v>2</v>
      </c>
      <c r="D160" s="2">
        <v>1</v>
      </c>
      <c r="E160" s="2">
        <v>1.57</v>
      </c>
      <c r="F160" s="2">
        <v>1</v>
      </c>
    </row>
    <row r="161" spans="1:6" ht="14.25" customHeight="1">
      <c r="A161" s="2">
        <v>22</v>
      </c>
      <c r="B161" s="2">
        <v>160</v>
      </c>
      <c r="C161" s="2">
        <v>3</v>
      </c>
      <c r="D161" s="2">
        <v>1</v>
      </c>
      <c r="E161" s="2">
        <v>1.1579999999999999</v>
      </c>
      <c r="F161" s="2">
        <v>1</v>
      </c>
    </row>
    <row r="162" spans="1:6" ht="14.25" customHeight="1">
      <c r="A162" s="2">
        <v>22</v>
      </c>
      <c r="B162" s="2">
        <v>161</v>
      </c>
      <c r="C162" s="2">
        <v>4</v>
      </c>
      <c r="D162" s="2">
        <v>1</v>
      </c>
      <c r="E162" s="2">
        <v>1.492</v>
      </c>
      <c r="F162" s="2">
        <v>2</v>
      </c>
    </row>
    <row r="163" spans="1:6" ht="14.25" customHeight="1">
      <c r="A163" s="2">
        <v>22</v>
      </c>
      <c r="B163" s="2">
        <v>162</v>
      </c>
      <c r="C163" s="2">
        <v>5</v>
      </c>
      <c r="D163" s="2">
        <v>1</v>
      </c>
      <c r="E163" s="2">
        <v>0.97299999999999998</v>
      </c>
      <c r="F163" s="2">
        <v>1</v>
      </c>
    </row>
    <row r="164" spans="1:6" ht="14.25" customHeight="1">
      <c r="A164" s="2">
        <v>22</v>
      </c>
      <c r="B164" s="2">
        <v>163</v>
      </c>
      <c r="C164" s="2">
        <v>6</v>
      </c>
      <c r="D164" s="2">
        <v>1</v>
      </c>
      <c r="E164" s="2">
        <v>1.65</v>
      </c>
      <c r="F164" s="2">
        <v>2</v>
      </c>
    </row>
    <row r="165" spans="1:6" ht="14.25" customHeight="1">
      <c r="A165" s="2">
        <v>22</v>
      </c>
      <c r="B165" s="2">
        <v>164</v>
      </c>
      <c r="C165" s="2">
        <v>3</v>
      </c>
      <c r="D165" s="2">
        <v>1</v>
      </c>
      <c r="E165" s="2">
        <v>1.917</v>
      </c>
      <c r="F165" s="2">
        <v>2</v>
      </c>
    </row>
    <row r="166" spans="1:6" ht="14.25" customHeight="1">
      <c r="A166" s="2">
        <v>22</v>
      </c>
      <c r="B166" s="2">
        <v>165</v>
      </c>
      <c r="C166" s="2">
        <v>8</v>
      </c>
      <c r="D166" s="2">
        <v>0</v>
      </c>
      <c r="E166" s="2">
        <v>1.3640000000000001</v>
      </c>
      <c r="F166" s="2">
        <v>2</v>
      </c>
    </row>
    <row r="167" spans="1:6" ht="14.25" customHeight="1">
      <c r="A167" s="2">
        <v>22</v>
      </c>
      <c r="B167" s="2">
        <v>166</v>
      </c>
      <c r="C167" s="2">
        <v>6</v>
      </c>
      <c r="D167" s="2">
        <v>0</v>
      </c>
      <c r="E167" s="2">
        <v>1.4990000000000001</v>
      </c>
      <c r="F167" s="2">
        <v>1</v>
      </c>
    </row>
    <row r="168" spans="1:6" ht="14.25" customHeight="1">
      <c r="A168" s="2">
        <v>22</v>
      </c>
      <c r="B168" s="2">
        <v>167</v>
      </c>
      <c r="C168" s="2">
        <v>5</v>
      </c>
      <c r="D168" s="2">
        <v>1</v>
      </c>
      <c r="E168" s="2">
        <v>1.3149999999999999</v>
      </c>
      <c r="F168" s="2">
        <v>1</v>
      </c>
    </row>
    <row r="169" spans="1:6" ht="14.25" customHeight="1">
      <c r="A169" s="2">
        <v>22</v>
      </c>
      <c r="B169" s="2">
        <v>168</v>
      </c>
      <c r="C169" s="2">
        <v>8</v>
      </c>
      <c r="D169" s="2">
        <v>1</v>
      </c>
      <c r="E169" s="2">
        <v>1.1870000000000001</v>
      </c>
      <c r="F169" s="2">
        <v>2</v>
      </c>
    </row>
    <row r="170" spans="1:6" ht="14.25" customHeight="1">
      <c r="A170" s="2">
        <v>22</v>
      </c>
      <c r="B170" s="2">
        <v>169</v>
      </c>
      <c r="C170" s="2">
        <v>5</v>
      </c>
      <c r="D170" s="2">
        <v>1</v>
      </c>
      <c r="E170" s="2">
        <v>1.464</v>
      </c>
      <c r="F170" s="2">
        <v>1</v>
      </c>
    </row>
    <row r="171" spans="1:6" ht="14.25" customHeight="1">
      <c r="A171" s="2">
        <v>22</v>
      </c>
      <c r="B171" s="2">
        <v>170</v>
      </c>
      <c r="C171" s="2">
        <v>2</v>
      </c>
      <c r="D171" s="2">
        <v>1</v>
      </c>
      <c r="E171" s="2">
        <v>0.97099999999999997</v>
      </c>
      <c r="F171" s="2">
        <v>2</v>
      </c>
    </row>
    <row r="172" spans="1:6" ht="14.25" customHeight="1">
      <c r="A172" s="2">
        <v>22</v>
      </c>
      <c r="B172" s="2">
        <v>171</v>
      </c>
      <c r="C172" s="2">
        <v>4</v>
      </c>
      <c r="D172" s="2">
        <v>0</v>
      </c>
      <c r="E172" s="2">
        <v>0.67900000000000005</v>
      </c>
      <c r="F172" s="2">
        <v>2</v>
      </c>
    </row>
    <row r="173" spans="1:6" ht="14.25" customHeight="1">
      <c r="A173" s="2">
        <v>22</v>
      </c>
      <c r="B173" s="2">
        <v>172</v>
      </c>
      <c r="C173" s="2">
        <v>1</v>
      </c>
      <c r="D173" s="2">
        <v>1</v>
      </c>
      <c r="E173" s="2">
        <v>0.8</v>
      </c>
      <c r="F173" s="2">
        <v>1</v>
      </c>
    </row>
    <row r="174" spans="1:6" ht="14.25" customHeight="1">
      <c r="A174" s="2">
        <v>22</v>
      </c>
      <c r="B174" s="2">
        <v>173</v>
      </c>
      <c r="C174" s="2">
        <v>4</v>
      </c>
      <c r="D174" s="2">
        <v>0</v>
      </c>
      <c r="E174" s="2">
        <v>1.165</v>
      </c>
      <c r="F174" s="2">
        <v>2</v>
      </c>
    </row>
    <row r="175" spans="1:6" ht="14.25" customHeight="1">
      <c r="A175" s="2">
        <v>22</v>
      </c>
      <c r="B175" s="2">
        <v>174</v>
      </c>
      <c r="C175" s="2">
        <v>6</v>
      </c>
      <c r="D175" s="2">
        <v>0</v>
      </c>
      <c r="E175" s="2">
        <v>1.331</v>
      </c>
      <c r="F175" s="2">
        <v>1</v>
      </c>
    </row>
    <row r="176" spans="1:6" ht="14.25" customHeight="1">
      <c r="A176" s="2">
        <v>22</v>
      </c>
      <c r="B176" s="2">
        <v>175</v>
      </c>
      <c r="C176" s="2">
        <v>3</v>
      </c>
      <c r="D176" s="2">
        <v>0</v>
      </c>
      <c r="E176" s="2">
        <v>1.915</v>
      </c>
      <c r="F176" s="2">
        <v>2</v>
      </c>
    </row>
    <row r="177" spans="1:6" ht="14.25" customHeight="1">
      <c r="A177" s="2">
        <v>22</v>
      </c>
      <c r="B177" s="2">
        <v>176</v>
      </c>
      <c r="C177" s="2">
        <v>1</v>
      </c>
      <c r="D177" s="2">
        <v>1</v>
      </c>
      <c r="E177" s="2">
        <v>1.3069999999999999</v>
      </c>
      <c r="F177" s="2">
        <v>1</v>
      </c>
    </row>
    <row r="178" spans="1:6" ht="14.25" customHeight="1">
      <c r="A178" s="2">
        <v>22</v>
      </c>
      <c r="B178" s="2">
        <v>177</v>
      </c>
      <c r="C178" s="2">
        <v>2</v>
      </c>
      <c r="D178" s="2">
        <v>1</v>
      </c>
      <c r="E178" s="2">
        <v>0.91500000000000004</v>
      </c>
      <c r="F178" s="2">
        <v>1</v>
      </c>
    </row>
    <row r="179" spans="1:6" ht="14.25" customHeight="1">
      <c r="A179" s="2">
        <v>22</v>
      </c>
      <c r="B179" s="2">
        <v>178</v>
      </c>
      <c r="C179" s="2">
        <v>8</v>
      </c>
      <c r="D179" s="2">
        <v>1</v>
      </c>
      <c r="E179" s="2">
        <v>1.2749999999999999</v>
      </c>
      <c r="F179" s="2">
        <v>1</v>
      </c>
    </row>
    <row r="180" spans="1:6" ht="14.25" customHeight="1">
      <c r="A180" s="2">
        <v>22</v>
      </c>
      <c r="B180" s="2">
        <v>179</v>
      </c>
      <c r="C180" s="2">
        <v>7</v>
      </c>
      <c r="D180" s="2">
        <v>1</v>
      </c>
      <c r="E180" s="2">
        <v>0.91600000000000004</v>
      </c>
      <c r="F180" s="2">
        <v>2</v>
      </c>
    </row>
    <row r="181" spans="1:6" ht="14.25" customHeight="1">
      <c r="A181" s="2">
        <v>22</v>
      </c>
      <c r="B181" s="2">
        <v>180</v>
      </c>
      <c r="C181" s="2">
        <v>1</v>
      </c>
      <c r="D181" s="2">
        <v>1</v>
      </c>
      <c r="E181" s="2">
        <v>1.46</v>
      </c>
      <c r="F181" s="2">
        <v>2</v>
      </c>
    </row>
    <row r="182" spans="1:6" ht="14.25" customHeight="1">
      <c r="A182" s="2">
        <v>22</v>
      </c>
      <c r="B182" s="2">
        <v>181</v>
      </c>
      <c r="C182" s="2">
        <v>6</v>
      </c>
      <c r="D182" s="2">
        <v>1</v>
      </c>
      <c r="E182" s="2">
        <v>1.43</v>
      </c>
      <c r="F182" s="2">
        <v>2</v>
      </c>
    </row>
    <row r="183" spans="1:6" ht="14.25" customHeight="1">
      <c r="A183" s="2">
        <v>22</v>
      </c>
      <c r="B183" s="2">
        <v>182</v>
      </c>
      <c r="C183" s="2">
        <v>7</v>
      </c>
      <c r="D183" s="2">
        <v>1</v>
      </c>
      <c r="E183" s="2">
        <v>0.873</v>
      </c>
      <c r="F183" s="2">
        <v>1</v>
      </c>
    </row>
    <row r="184" spans="1:6" ht="14.25" customHeight="1">
      <c r="A184" s="2">
        <v>22</v>
      </c>
      <c r="B184" s="2">
        <v>183</v>
      </c>
      <c r="C184" s="2">
        <v>3</v>
      </c>
      <c r="D184" s="2">
        <v>1</v>
      </c>
      <c r="E184" s="2">
        <v>1.3380000000000001</v>
      </c>
      <c r="F184" s="2">
        <v>1</v>
      </c>
    </row>
    <row r="185" spans="1:6" ht="14.25" customHeight="1">
      <c r="A185" s="2">
        <v>22</v>
      </c>
      <c r="B185" s="2">
        <v>184</v>
      </c>
      <c r="C185" s="2">
        <v>8</v>
      </c>
      <c r="D185" s="2">
        <v>1</v>
      </c>
      <c r="E185" s="2">
        <v>1.7210000000000001</v>
      </c>
      <c r="F185" s="2">
        <v>2</v>
      </c>
    </row>
    <row r="186" spans="1:6" ht="14.25" customHeight="1">
      <c r="A186" s="2">
        <v>22</v>
      </c>
      <c r="B186" s="2">
        <v>185</v>
      </c>
      <c r="C186" s="2">
        <v>3</v>
      </c>
      <c r="D186" s="2">
        <v>1</v>
      </c>
      <c r="E186" s="2">
        <v>1.256</v>
      </c>
      <c r="F186" s="2">
        <v>2</v>
      </c>
    </row>
    <row r="187" spans="1:6" ht="14.25" customHeight="1">
      <c r="A187" s="2">
        <v>22</v>
      </c>
      <c r="B187" s="2">
        <v>186</v>
      </c>
      <c r="C187" s="2">
        <v>7</v>
      </c>
      <c r="D187" s="2">
        <v>1</v>
      </c>
      <c r="E187" s="2">
        <v>1.4830000000000001</v>
      </c>
      <c r="F187" s="2">
        <v>1</v>
      </c>
    </row>
    <row r="188" spans="1:6" ht="14.25" customHeight="1">
      <c r="A188" s="2">
        <v>22</v>
      </c>
      <c r="B188" s="2">
        <v>187</v>
      </c>
      <c r="C188" s="2">
        <v>4</v>
      </c>
      <c r="D188" s="2">
        <v>1</v>
      </c>
      <c r="E188" s="2">
        <v>0.97199999999999998</v>
      </c>
      <c r="F188" s="2">
        <v>2</v>
      </c>
    </row>
    <row r="189" spans="1:6" ht="14.25" customHeight="1">
      <c r="A189" s="2">
        <v>22</v>
      </c>
      <c r="B189" s="2">
        <v>188</v>
      </c>
      <c r="C189" s="2">
        <v>1</v>
      </c>
      <c r="D189" s="2">
        <v>0</v>
      </c>
      <c r="E189" s="2">
        <v>1.321</v>
      </c>
      <c r="F189" s="2">
        <v>2</v>
      </c>
    </row>
    <row r="190" spans="1:6" ht="14.25" customHeight="1">
      <c r="A190" s="2">
        <v>22</v>
      </c>
      <c r="B190" s="2">
        <v>189</v>
      </c>
      <c r="C190" s="2">
        <v>7</v>
      </c>
      <c r="D190" s="2">
        <v>1</v>
      </c>
      <c r="E190" s="2">
        <v>1.4</v>
      </c>
      <c r="F190" s="2">
        <v>2</v>
      </c>
    </row>
    <row r="191" spans="1:6" ht="14.25" customHeight="1">
      <c r="A191" s="2">
        <v>22</v>
      </c>
      <c r="B191" s="2">
        <v>190</v>
      </c>
      <c r="C191" s="2">
        <v>5</v>
      </c>
      <c r="D191" s="2">
        <v>1</v>
      </c>
      <c r="E191" s="2">
        <v>1.286</v>
      </c>
      <c r="F191" s="2">
        <v>2</v>
      </c>
    </row>
    <row r="192" spans="1:6" ht="14.25" customHeight="1">
      <c r="A192" s="2">
        <v>22</v>
      </c>
      <c r="B192" s="2">
        <v>191</v>
      </c>
      <c r="C192" s="2">
        <v>4</v>
      </c>
      <c r="D192" s="2">
        <v>1</v>
      </c>
      <c r="E192" s="2">
        <v>1.103</v>
      </c>
      <c r="F192" s="2">
        <v>2</v>
      </c>
    </row>
    <row r="193" spans="1:6" ht="14.25" customHeight="1">
      <c r="A193" s="2">
        <v>22</v>
      </c>
      <c r="B193" s="2">
        <v>192</v>
      </c>
      <c r="C193" s="2">
        <v>7</v>
      </c>
      <c r="D193" s="2">
        <v>1</v>
      </c>
      <c r="E193" s="2">
        <v>0.751</v>
      </c>
      <c r="F193" s="2">
        <v>2</v>
      </c>
    </row>
    <row r="194" spans="1:6" ht="14.25" customHeight="1">
      <c r="A194" s="2">
        <v>22</v>
      </c>
      <c r="B194" s="2">
        <v>193</v>
      </c>
      <c r="C194" s="2">
        <v>1</v>
      </c>
      <c r="D194" s="2">
        <v>1</v>
      </c>
      <c r="E194" s="2">
        <v>1.6619999999999999</v>
      </c>
      <c r="F194" s="2">
        <v>1</v>
      </c>
    </row>
    <row r="195" spans="1:6" ht="14.25" customHeight="1">
      <c r="A195" s="2">
        <v>22</v>
      </c>
      <c r="B195" s="2">
        <v>194</v>
      </c>
      <c r="C195" s="2">
        <v>7</v>
      </c>
      <c r="D195" s="2">
        <v>1</v>
      </c>
      <c r="E195" s="2">
        <v>0.91200000000000003</v>
      </c>
      <c r="F195" s="2">
        <v>2</v>
      </c>
    </row>
    <row r="196" spans="1:6" ht="14.25" customHeight="1">
      <c r="A196" s="2">
        <v>22</v>
      </c>
      <c r="B196" s="2">
        <v>195</v>
      </c>
      <c r="C196" s="2">
        <v>5</v>
      </c>
      <c r="D196" s="2">
        <v>1</v>
      </c>
      <c r="E196" s="2">
        <v>1.4319999999999999</v>
      </c>
      <c r="F196" s="2">
        <v>2</v>
      </c>
    </row>
    <row r="197" spans="1:6" ht="14.25" customHeight="1">
      <c r="A197" s="2">
        <v>22</v>
      </c>
      <c r="B197" s="2">
        <v>196</v>
      </c>
      <c r="C197" s="2">
        <v>6</v>
      </c>
      <c r="D197" s="2">
        <v>1</v>
      </c>
      <c r="E197" s="2">
        <v>0.81100000000000005</v>
      </c>
      <c r="F197" s="2">
        <v>1</v>
      </c>
    </row>
    <row r="198" spans="1:6" ht="14.25" customHeight="1">
      <c r="A198" s="2">
        <v>22</v>
      </c>
      <c r="B198" s="2">
        <v>197</v>
      </c>
      <c r="C198" s="2">
        <v>3</v>
      </c>
      <c r="D198" s="2">
        <v>1</v>
      </c>
      <c r="E198" s="2">
        <v>1.1279999999999999</v>
      </c>
      <c r="F198" s="2">
        <v>1</v>
      </c>
    </row>
    <row r="199" spans="1:6" ht="14.25" customHeight="1">
      <c r="A199" s="2">
        <v>22</v>
      </c>
      <c r="B199" s="2">
        <v>198</v>
      </c>
      <c r="C199" s="2">
        <v>1</v>
      </c>
      <c r="D199" s="2">
        <v>1</v>
      </c>
      <c r="E199" s="2">
        <v>0.90200000000000002</v>
      </c>
      <c r="F199" s="2">
        <v>2</v>
      </c>
    </row>
    <row r="200" spans="1:6" ht="14.25" customHeight="1">
      <c r="A200" s="2">
        <v>22</v>
      </c>
      <c r="B200" s="2">
        <v>199</v>
      </c>
      <c r="C200" s="2">
        <v>2</v>
      </c>
      <c r="D200" s="2">
        <v>1</v>
      </c>
      <c r="E200" s="2">
        <v>0.81499999999999995</v>
      </c>
      <c r="F200" s="2">
        <v>2</v>
      </c>
    </row>
    <row r="201" spans="1:6" ht="14.25" customHeight="1">
      <c r="A201" s="2">
        <v>22</v>
      </c>
      <c r="B201" s="2">
        <v>200</v>
      </c>
      <c r="C201" s="2">
        <v>7</v>
      </c>
      <c r="D201" s="2">
        <v>1</v>
      </c>
      <c r="E201" s="2">
        <v>1.107</v>
      </c>
      <c r="F201" s="2">
        <v>1</v>
      </c>
    </row>
    <row r="202" spans="1:6" ht="14.25" customHeight="1">
      <c r="A202" s="2">
        <v>22</v>
      </c>
      <c r="B202" s="2">
        <v>201</v>
      </c>
      <c r="C202" s="2">
        <v>1</v>
      </c>
      <c r="D202" s="2">
        <v>1</v>
      </c>
      <c r="E202" s="2">
        <v>1.0740000000000001</v>
      </c>
      <c r="F202" s="2">
        <v>2</v>
      </c>
    </row>
    <row r="203" spans="1:6" ht="14.25" customHeight="1">
      <c r="A203" s="2">
        <v>22</v>
      </c>
      <c r="B203" s="2">
        <v>202</v>
      </c>
      <c r="C203" s="2">
        <v>4</v>
      </c>
      <c r="D203" s="2">
        <v>1</v>
      </c>
      <c r="E203" s="2">
        <v>0.66</v>
      </c>
      <c r="F203" s="2">
        <v>1</v>
      </c>
    </row>
    <row r="204" spans="1:6" ht="14.25" customHeight="1">
      <c r="A204" s="2">
        <v>22</v>
      </c>
      <c r="B204" s="2">
        <v>203</v>
      </c>
      <c r="C204" s="2">
        <v>8</v>
      </c>
      <c r="D204" s="2">
        <v>1</v>
      </c>
      <c r="E204" s="2">
        <v>0.89300000000000002</v>
      </c>
      <c r="F204" s="2">
        <v>2</v>
      </c>
    </row>
    <row r="205" spans="1:6" ht="14.25" customHeight="1">
      <c r="A205" s="2">
        <v>22</v>
      </c>
      <c r="B205" s="2">
        <v>204</v>
      </c>
      <c r="C205" s="2">
        <v>5</v>
      </c>
      <c r="D205" s="2">
        <v>1</v>
      </c>
      <c r="E205" s="2">
        <v>1.1659999999999999</v>
      </c>
      <c r="F205" s="2">
        <v>1</v>
      </c>
    </row>
    <row r="206" spans="1:6" ht="14.25" customHeight="1">
      <c r="A206" s="2">
        <v>22</v>
      </c>
      <c r="B206" s="2">
        <v>205</v>
      </c>
      <c r="C206" s="2">
        <v>3</v>
      </c>
      <c r="D206" s="2">
        <v>0</v>
      </c>
      <c r="E206" s="2">
        <v>1.4279999999999999</v>
      </c>
      <c r="F206" s="2">
        <v>2</v>
      </c>
    </row>
    <row r="207" spans="1:6" ht="14.25" customHeight="1">
      <c r="A207" s="2">
        <v>22</v>
      </c>
      <c r="B207" s="2">
        <v>206</v>
      </c>
      <c r="C207" s="2">
        <v>6</v>
      </c>
      <c r="D207" s="2">
        <v>1</v>
      </c>
      <c r="E207" s="2">
        <v>1.0069999999999999</v>
      </c>
      <c r="F207" s="2">
        <v>2</v>
      </c>
    </row>
    <row r="208" spans="1:6" ht="14.25" customHeight="1">
      <c r="A208" s="2">
        <v>22</v>
      </c>
      <c r="B208" s="2">
        <v>207</v>
      </c>
      <c r="C208" s="2">
        <v>2</v>
      </c>
      <c r="D208" s="2">
        <v>1</v>
      </c>
      <c r="E208" s="2">
        <v>1.627</v>
      </c>
      <c r="F208" s="2">
        <v>1</v>
      </c>
    </row>
    <row r="209" spans="1:6" ht="14.25" customHeight="1">
      <c r="A209" s="2">
        <v>22</v>
      </c>
      <c r="B209" s="2">
        <v>208</v>
      </c>
      <c r="C209" s="2">
        <v>3</v>
      </c>
      <c r="D209" s="2">
        <v>1</v>
      </c>
      <c r="E209" s="2">
        <v>0.83</v>
      </c>
      <c r="F209" s="2">
        <v>2</v>
      </c>
    </row>
    <row r="210" spans="1:6" ht="14.25" customHeight="1">
      <c r="A210" s="2">
        <v>22</v>
      </c>
      <c r="B210" s="2">
        <v>209</v>
      </c>
      <c r="C210" s="2">
        <v>6</v>
      </c>
      <c r="D210" s="2">
        <v>1</v>
      </c>
      <c r="E210" s="2">
        <v>1.0740000000000001</v>
      </c>
      <c r="F210" s="2">
        <v>1</v>
      </c>
    </row>
    <row r="211" spans="1:6" ht="14.25" customHeight="1">
      <c r="A211" s="2">
        <v>22</v>
      </c>
      <c r="B211" s="2">
        <v>210</v>
      </c>
      <c r="C211" s="2">
        <v>5</v>
      </c>
      <c r="D211" s="2">
        <v>1</v>
      </c>
      <c r="E211" s="2">
        <v>0.69199999999999995</v>
      </c>
      <c r="F211" s="2">
        <v>1</v>
      </c>
    </row>
    <row r="212" spans="1:6" ht="14.25" customHeight="1">
      <c r="A212" s="2">
        <v>22</v>
      </c>
      <c r="B212" s="2">
        <v>211</v>
      </c>
      <c r="C212" s="2">
        <v>3</v>
      </c>
      <c r="D212" s="2">
        <v>0</v>
      </c>
      <c r="E212" s="2">
        <v>1.1399999999999999</v>
      </c>
      <c r="F212" s="2">
        <v>1</v>
      </c>
    </row>
    <row r="213" spans="1:6" ht="14.25" customHeight="1">
      <c r="A213" s="2">
        <v>22</v>
      </c>
      <c r="B213" s="2">
        <v>212</v>
      </c>
      <c r="C213" s="2">
        <v>8</v>
      </c>
      <c r="D213" s="2">
        <v>1</v>
      </c>
      <c r="E213" s="2">
        <v>0.72199999999999998</v>
      </c>
      <c r="F213" s="2">
        <v>1</v>
      </c>
    </row>
    <row r="214" spans="1:6" ht="14.25" customHeight="1">
      <c r="A214" s="2">
        <v>22</v>
      </c>
      <c r="B214" s="2">
        <v>213</v>
      </c>
      <c r="C214" s="2">
        <v>4</v>
      </c>
      <c r="D214" s="2">
        <v>1</v>
      </c>
      <c r="E214" s="2">
        <v>0.55300000000000005</v>
      </c>
      <c r="F214" s="2">
        <v>2</v>
      </c>
    </row>
    <row r="215" spans="1:6" ht="14.25" customHeight="1">
      <c r="A215" s="2">
        <v>22</v>
      </c>
      <c r="B215" s="2">
        <v>214</v>
      </c>
      <c r="C215" s="2">
        <v>7</v>
      </c>
      <c r="D215" s="2">
        <v>1</v>
      </c>
      <c r="E215" s="2">
        <v>0.93600000000000005</v>
      </c>
      <c r="F215" s="2">
        <v>2</v>
      </c>
    </row>
    <row r="216" spans="1:6" ht="14.25" customHeight="1">
      <c r="A216" s="2">
        <v>22</v>
      </c>
      <c r="B216" s="2">
        <v>215</v>
      </c>
      <c r="C216" s="2">
        <v>4</v>
      </c>
      <c r="D216" s="2">
        <v>1</v>
      </c>
      <c r="E216" s="2">
        <v>1.734</v>
      </c>
      <c r="F216" s="2">
        <v>1</v>
      </c>
    </row>
    <row r="217" spans="1:6" ht="14.25" customHeight="1">
      <c r="A217" s="2">
        <v>22</v>
      </c>
      <c r="B217" s="2">
        <v>216</v>
      </c>
      <c r="C217" s="2">
        <v>2</v>
      </c>
      <c r="D217" s="2">
        <v>1</v>
      </c>
      <c r="E217" s="2">
        <v>1.702</v>
      </c>
      <c r="F217" s="2">
        <v>2</v>
      </c>
    </row>
    <row r="218" spans="1:6" ht="14.25" customHeight="1">
      <c r="A218" s="2">
        <v>22</v>
      </c>
      <c r="B218" s="2">
        <v>217</v>
      </c>
      <c r="C218" s="2">
        <v>5</v>
      </c>
      <c r="D218" s="2">
        <v>1</v>
      </c>
      <c r="E218" s="2">
        <v>1.4059999999999999</v>
      </c>
      <c r="F218" s="2">
        <v>1</v>
      </c>
    </row>
    <row r="219" spans="1:6" ht="14.25" customHeight="1">
      <c r="A219" s="2">
        <v>22</v>
      </c>
      <c r="B219" s="2">
        <v>218</v>
      </c>
      <c r="C219" s="2">
        <v>6</v>
      </c>
      <c r="D219" s="2">
        <v>1</v>
      </c>
      <c r="E219" s="2">
        <v>0.80300000000000005</v>
      </c>
      <c r="F219" s="2">
        <v>2</v>
      </c>
    </row>
    <row r="220" spans="1:6" ht="14.25" customHeight="1">
      <c r="A220" s="2">
        <v>22</v>
      </c>
      <c r="B220" s="2">
        <v>219</v>
      </c>
      <c r="C220" s="2">
        <v>3</v>
      </c>
      <c r="D220" s="2">
        <v>0</v>
      </c>
      <c r="E220" s="2">
        <v>1.127</v>
      </c>
      <c r="F220" s="2">
        <v>2</v>
      </c>
    </row>
    <row r="221" spans="1:6" ht="14.25" customHeight="1">
      <c r="A221" s="2">
        <v>22</v>
      </c>
      <c r="B221" s="2">
        <v>220</v>
      </c>
      <c r="C221" s="2">
        <v>1</v>
      </c>
      <c r="D221" s="2">
        <v>0</v>
      </c>
      <c r="E221" s="2">
        <v>1.9670000000000001</v>
      </c>
      <c r="F221" s="2">
        <v>1</v>
      </c>
    </row>
    <row r="222" spans="1:6" ht="14.25" customHeight="1">
      <c r="A222" s="2">
        <v>22</v>
      </c>
      <c r="B222" s="2">
        <v>221</v>
      </c>
      <c r="C222" s="2">
        <v>7</v>
      </c>
      <c r="D222" s="2">
        <v>1</v>
      </c>
      <c r="E222" s="2">
        <v>1.66</v>
      </c>
      <c r="F222" s="2">
        <v>1</v>
      </c>
    </row>
    <row r="223" spans="1:6" ht="14.25" customHeight="1">
      <c r="A223" s="2">
        <v>22</v>
      </c>
      <c r="B223" s="2">
        <v>222</v>
      </c>
      <c r="C223" s="2">
        <v>2</v>
      </c>
      <c r="D223" s="2">
        <v>1</v>
      </c>
      <c r="E223" s="2">
        <v>1.143</v>
      </c>
      <c r="F223" s="2">
        <v>1</v>
      </c>
    </row>
    <row r="224" spans="1:6" ht="14.25" customHeight="1">
      <c r="A224" s="2">
        <v>22</v>
      </c>
      <c r="B224" s="2">
        <v>223</v>
      </c>
      <c r="C224" s="2">
        <v>4</v>
      </c>
      <c r="D224" s="2">
        <v>1</v>
      </c>
      <c r="E224" s="2">
        <v>1.149</v>
      </c>
      <c r="F224" s="2">
        <v>1</v>
      </c>
    </row>
    <row r="225" spans="1:6" ht="14.25" customHeight="1">
      <c r="A225" s="2">
        <v>22</v>
      </c>
      <c r="B225" s="2">
        <v>224</v>
      </c>
      <c r="C225" s="2">
        <v>5</v>
      </c>
      <c r="D225" s="2">
        <v>1</v>
      </c>
      <c r="E225" s="2">
        <v>0.9</v>
      </c>
      <c r="F225" s="2">
        <v>2</v>
      </c>
    </row>
    <row r="226" spans="1:6" ht="14.25" customHeight="1">
      <c r="A226" s="2">
        <v>22</v>
      </c>
      <c r="B226" s="2">
        <v>225</v>
      </c>
      <c r="C226" s="2">
        <v>2</v>
      </c>
      <c r="D226" s="2">
        <v>1</v>
      </c>
      <c r="E226" s="2">
        <v>1.0289999999999999</v>
      </c>
      <c r="F226" s="2">
        <v>1</v>
      </c>
    </row>
    <row r="227" spans="1:6" ht="14.25" customHeight="1">
      <c r="A227" s="2">
        <v>22</v>
      </c>
      <c r="B227" s="2">
        <v>226</v>
      </c>
      <c r="C227" s="2">
        <v>1</v>
      </c>
      <c r="E227" s="2">
        <v>2</v>
      </c>
    </row>
    <row r="228" spans="1:6" ht="14.25" customHeight="1">
      <c r="A228" s="2">
        <v>22</v>
      </c>
      <c r="B228" s="2">
        <v>227</v>
      </c>
      <c r="C228" s="2">
        <v>2</v>
      </c>
      <c r="D228" s="2">
        <v>1</v>
      </c>
      <c r="E228" s="2">
        <v>1.1970000000000001</v>
      </c>
      <c r="F228" s="2">
        <v>1</v>
      </c>
    </row>
    <row r="229" spans="1:6" ht="14.25" customHeight="1">
      <c r="A229" s="2">
        <v>22</v>
      </c>
      <c r="B229" s="2">
        <v>228</v>
      </c>
      <c r="C229" s="2">
        <v>7</v>
      </c>
      <c r="D229" s="2">
        <v>1</v>
      </c>
      <c r="E229" s="2">
        <v>1.417</v>
      </c>
      <c r="F229" s="2">
        <v>1</v>
      </c>
    </row>
    <row r="230" spans="1:6" ht="14.25" customHeight="1">
      <c r="A230" s="2">
        <v>22</v>
      </c>
      <c r="B230" s="2">
        <v>229</v>
      </c>
      <c r="C230" s="2">
        <v>8</v>
      </c>
      <c r="D230" s="2">
        <v>1</v>
      </c>
      <c r="E230" s="2">
        <v>1.4610000000000001</v>
      </c>
      <c r="F230" s="2">
        <v>2</v>
      </c>
    </row>
    <row r="231" spans="1:6" ht="14.25" customHeight="1">
      <c r="A231" s="2">
        <v>22</v>
      </c>
      <c r="B231" s="2">
        <v>230</v>
      </c>
      <c r="C231" s="2">
        <v>4</v>
      </c>
      <c r="D231" s="2">
        <v>1</v>
      </c>
      <c r="E231" s="2">
        <v>1.127</v>
      </c>
      <c r="F231" s="2">
        <v>2</v>
      </c>
    </row>
    <row r="232" spans="1:6" ht="14.25" customHeight="1">
      <c r="A232" s="2">
        <v>22</v>
      </c>
      <c r="B232" s="2">
        <v>231</v>
      </c>
      <c r="C232" s="2">
        <v>5</v>
      </c>
      <c r="D232" s="2">
        <v>1</v>
      </c>
      <c r="E232" s="2">
        <v>0.71799999999999997</v>
      </c>
      <c r="F232" s="2">
        <v>2</v>
      </c>
    </row>
    <row r="233" spans="1:6" ht="14.25" customHeight="1">
      <c r="A233" s="2">
        <v>22</v>
      </c>
      <c r="B233" s="2">
        <v>232</v>
      </c>
      <c r="C233" s="2">
        <v>3</v>
      </c>
      <c r="D233" s="2">
        <v>1</v>
      </c>
      <c r="E233" s="2">
        <v>0.83799999999999997</v>
      </c>
      <c r="F233" s="2">
        <v>1</v>
      </c>
    </row>
    <row r="234" spans="1:6" ht="14.25" customHeight="1">
      <c r="A234" s="2">
        <v>22</v>
      </c>
      <c r="B234" s="2">
        <v>233</v>
      </c>
      <c r="C234" s="2">
        <v>6</v>
      </c>
      <c r="D234" s="2">
        <v>1</v>
      </c>
      <c r="E234" s="2">
        <v>1.1220000000000001</v>
      </c>
      <c r="F234" s="2">
        <v>1</v>
      </c>
    </row>
    <row r="235" spans="1:6" ht="14.25" customHeight="1">
      <c r="A235" s="2">
        <v>22</v>
      </c>
      <c r="B235" s="2">
        <v>234</v>
      </c>
      <c r="C235" s="2">
        <v>8</v>
      </c>
      <c r="D235" s="2">
        <v>1</v>
      </c>
      <c r="E235" s="2">
        <v>0.79300000000000004</v>
      </c>
      <c r="F235" s="2">
        <v>2</v>
      </c>
    </row>
    <row r="236" spans="1:6" ht="14.25" customHeight="1">
      <c r="A236" s="2">
        <v>22</v>
      </c>
      <c r="B236" s="2">
        <v>235</v>
      </c>
      <c r="C236" s="2">
        <v>6</v>
      </c>
      <c r="D236" s="2">
        <v>1</v>
      </c>
      <c r="E236" s="2">
        <v>0.88500000000000001</v>
      </c>
      <c r="F236" s="2">
        <v>2</v>
      </c>
    </row>
    <row r="237" spans="1:6" ht="14.25" customHeight="1">
      <c r="A237" s="2">
        <v>22</v>
      </c>
      <c r="B237" s="2">
        <v>236</v>
      </c>
      <c r="C237" s="2">
        <v>8</v>
      </c>
      <c r="D237" s="2">
        <v>1</v>
      </c>
      <c r="E237" s="2">
        <v>1.286</v>
      </c>
      <c r="F237" s="2">
        <v>1</v>
      </c>
    </row>
    <row r="238" spans="1:6" ht="14.25" customHeight="1">
      <c r="A238" s="2">
        <v>22</v>
      </c>
      <c r="B238" s="2">
        <v>237</v>
      </c>
      <c r="C238" s="2">
        <v>7</v>
      </c>
      <c r="D238" s="2">
        <v>1</v>
      </c>
      <c r="E238" s="2">
        <v>1.0149999999999999</v>
      </c>
      <c r="F238" s="2">
        <v>2</v>
      </c>
    </row>
    <row r="239" spans="1:6" ht="14.25" customHeight="1">
      <c r="A239" s="2">
        <v>22</v>
      </c>
      <c r="B239" s="2">
        <v>238</v>
      </c>
      <c r="C239" s="2">
        <v>1</v>
      </c>
      <c r="D239" s="2">
        <v>0</v>
      </c>
      <c r="E239" s="2">
        <v>1.107</v>
      </c>
      <c r="F239" s="2">
        <v>2</v>
      </c>
    </row>
    <row r="240" spans="1:6" ht="14.25" customHeight="1">
      <c r="A240" s="2">
        <v>22</v>
      </c>
      <c r="B240" s="2">
        <v>239</v>
      </c>
      <c r="C240" s="2">
        <v>4</v>
      </c>
      <c r="D240" s="2">
        <v>1</v>
      </c>
      <c r="E240" s="2">
        <v>1.212</v>
      </c>
      <c r="F240" s="2">
        <v>2</v>
      </c>
    </row>
    <row r="241" spans="1:6" ht="14.25" customHeight="1">
      <c r="A241" s="2">
        <v>22</v>
      </c>
      <c r="B241" s="2">
        <v>240</v>
      </c>
      <c r="C241" s="2">
        <v>7</v>
      </c>
      <c r="D241" s="2">
        <v>1</v>
      </c>
      <c r="E241" s="2">
        <v>0.623</v>
      </c>
      <c r="F241" s="2">
        <v>2</v>
      </c>
    </row>
    <row r="242" spans="1:6" ht="14.25" customHeight="1">
      <c r="A242" s="2">
        <v>22</v>
      </c>
      <c r="B242" s="2">
        <v>241</v>
      </c>
      <c r="C242" s="2">
        <v>5</v>
      </c>
      <c r="D242" s="2">
        <v>1</v>
      </c>
      <c r="E242" s="2">
        <v>0.69</v>
      </c>
      <c r="F242" s="2">
        <v>2</v>
      </c>
    </row>
    <row r="243" spans="1:6" ht="14.25" customHeight="1">
      <c r="A243" s="2">
        <v>22</v>
      </c>
      <c r="B243" s="2">
        <v>242</v>
      </c>
      <c r="C243" s="2">
        <v>3</v>
      </c>
      <c r="D243" s="2">
        <v>1</v>
      </c>
      <c r="E243" s="2">
        <v>0.55500000000000005</v>
      </c>
      <c r="F243" s="2">
        <v>2</v>
      </c>
    </row>
    <row r="244" spans="1:6" ht="14.25" customHeight="1">
      <c r="A244" s="2">
        <v>22</v>
      </c>
      <c r="B244" s="2">
        <v>243</v>
      </c>
      <c r="C244" s="2">
        <v>2</v>
      </c>
      <c r="D244" s="2">
        <v>1</v>
      </c>
      <c r="E244" s="2">
        <v>1.2010000000000001</v>
      </c>
      <c r="F244" s="2">
        <v>1</v>
      </c>
    </row>
    <row r="245" spans="1:6" ht="14.25" customHeight="1">
      <c r="A245" s="2">
        <v>22</v>
      </c>
      <c r="B245" s="2">
        <v>244</v>
      </c>
      <c r="C245" s="2">
        <v>7</v>
      </c>
      <c r="D245" s="2">
        <v>1</v>
      </c>
      <c r="E245" s="2">
        <v>0.79800000000000004</v>
      </c>
      <c r="F245" s="2">
        <v>2</v>
      </c>
    </row>
    <row r="246" spans="1:6" ht="14.25" customHeight="1">
      <c r="A246" s="2">
        <v>22</v>
      </c>
      <c r="B246" s="2">
        <v>245</v>
      </c>
      <c r="C246" s="2">
        <v>1</v>
      </c>
      <c r="D246" s="2">
        <v>1</v>
      </c>
      <c r="E246" s="2">
        <v>0.77900000000000003</v>
      </c>
      <c r="F246" s="2">
        <v>2</v>
      </c>
    </row>
    <row r="247" spans="1:6" ht="14.25" customHeight="1">
      <c r="A247" s="2">
        <v>22</v>
      </c>
      <c r="B247" s="2">
        <v>246</v>
      </c>
      <c r="C247" s="2">
        <v>6</v>
      </c>
      <c r="D247" s="2">
        <v>1</v>
      </c>
      <c r="E247" s="2">
        <v>0.84</v>
      </c>
      <c r="F247" s="2">
        <v>1</v>
      </c>
    </row>
    <row r="248" spans="1:6" ht="14.25" customHeight="1">
      <c r="A248" s="2">
        <v>22</v>
      </c>
      <c r="B248" s="2">
        <v>247</v>
      </c>
      <c r="C248" s="2">
        <v>8</v>
      </c>
      <c r="D248" s="2">
        <v>1</v>
      </c>
      <c r="E248" s="2">
        <v>0.91500000000000004</v>
      </c>
      <c r="F248" s="2">
        <v>1</v>
      </c>
    </row>
    <row r="249" spans="1:6" ht="14.25" customHeight="1">
      <c r="A249" s="2">
        <v>22</v>
      </c>
      <c r="B249" s="2">
        <v>248</v>
      </c>
      <c r="C249" s="2">
        <v>1</v>
      </c>
      <c r="D249" s="2">
        <v>1</v>
      </c>
      <c r="E249" s="2">
        <v>0.747</v>
      </c>
      <c r="F249" s="2">
        <v>2</v>
      </c>
    </row>
    <row r="250" spans="1:6" ht="14.25" customHeight="1">
      <c r="A250" s="2">
        <v>22</v>
      </c>
      <c r="B250" s="2">
        <v>249</v>
      </c>
      <c r="C250" s="2">
        <v>7</v>
      </c>
      <c r="D250" s="2">
        <v>1</v>
      </c>
      <c r="E250" s="2">
        <v>0.88100000000000001</v>
      </c>
      <c r="F250" s="2">
        <v>2</v>
      </c>
    </row>
    <row r="251" spans="1:6" ht="14.25" customHeight="1">
      <c r="A251" s="2">
        <v>22</v>
      </c>
      <c r="B251" s="2">
        <v>250</v>
      </c>
      <c r="C251" s="2">
        <v>1</v>
      </c>
      <c r="D251" s="2">
        <v>1</v>
      </c>
      <c r="E251" s="2">
        <v>1.083</v>
      </c>
      <c r="F251" s="2">
        <v>1</v>
      </c>
    </row>
    <row r="252" spans="1:6" ht="14.25" customHeight="1">
      <c r="A252" s="2">
        <v>22</v>
      </c>
      <c r="B252" s="2">
        <v>251</v>
      </c>
      <c r="C252" s="2">
        <v>7</v>
      </c>
      <c r="D252" s="2">
        <v>1</v>
      </c>
      <c r="E252" s="2">
        <v>0.69099999999999995</v>
      </c>
    </row>
    <row r="253" spans="1:6" ht="14.25" customHeight="1">
      <c r="A253" s="2">
        <v>22</v>
      </c>
      <c r="B253" s="2">
        <v>252</v>
      </c>
      <c r="C253" s="2">
        <v>2</v>
      </c>
      <c r="D253" s="2">
        <v>1</v>
      </c>
      <c r="E253" s="2">
        <v>0.89900000000000002</v>
      </c>
    </row>
    <row r="254" spans="1:6" ht="14.25" customHeight="1">
      <c r="A254" s="2">
        <v>22</v>
      </c>
      <c r="B254" s="2">
        <v>253</v>
      </c>
      <c r="C254" s="2">
        <v>3</v>
      </c>
      <c r="D254" s="2">
        <v>1</v>
      </c>
      <c r="E254" s="2">
        <v>0.98799999999999999</v>
      </c>
    </row>
    <row r="255" spans="1:6" ht="14.25" customHeight="1">
      <c r="A255" s="2">
        <v>22</v>
      </c>
      <c r="B255" s="2">
        <v>254</v>
      </c>
      <c r="C255" s="2">
        <v>4</v>
      </c>
      <c r="D255" s="2">
        <v>1</v>
      </c>
      <c r="E255" s="2">
        <v>1.0569999999999999</v>
      </c>
    </row>
    <row r="256" spans="1:6" ht="14.25" customHeight="1">
      <c r="A256" s="2">
        <v>22</v>
      </c>
      <c r="B256" s="2">
        <v>255</v>
      </c>
      <c r="C256" s="2">
        <v>6</v>
      </c>
      <c r="D256" s="2">
        <v>0</v>
      </c>
      <c r="E256" s="2">
        <v>0.71499999999999997</v>
      </c>
    </row>
    <row r="257" spans="1:5" ht="14.25" customHeight="1">
      <c r="A257" s="2">
        <v>22</v>
      </c>
      <c r="B257" s="2">
        <v>256</v>
      </c>
      <c r="C257" s="2">
        <v>1</v>
      </c>
      <c r="D257" s="2">
        <v>1</v>
      </c>
      <c r="E257" s="2">
        <v>0.68300000000000005</v>
      </c>
    </row>
    <row r="258" spans="1:5" ht="14.25" customHeight="1">
      <c r="A258" s="2">
        <v>22</v>
      </c>
      <c r="B258" s="2">
        <v>257</v>
      </c>
      <c r="C258" s="2">
        <v>8</v>
      </c>
      <c r="D258" s="2">
        <v>1</v>
      </c>
      <c r="E258" s="2">
        <v>1.212</v>
      </c>
    </row>
    <row r="259" spans="1:5" ht="14.25" customHeight="1">
      <c r="A259" s="2">
        <v>22</v>
      </c>
      <c r="B259" s="2">
        <v>258</v>
      </c>
      <c r="C259" s="2">
        <v>5</v>
      </c>
      <c r="D259" s="2">
        <v>1</v>
      </c>
      <c r="E259" s="2">
        <v>0.73599999999999999</v>
      </c>
    </row>
    <row r="260" spans="1:5" ht="14.25" customHeight="1">
      <c r="A260" s="2">
        <v>22</v>
      </c>
      <c r="B260" s="2">
        <v>259</v>
      </c>
      <c r="C260" s="2">
        <v>2</v>
      </c>
      <c r="D260" s="2">
        <v>1</v>
      </c>
      <c r="E260" s="2">
        <v>1.1419999999999999</v>
      </c>
    </row>
    <row r="261" spans="1:5" ht="14.25" customHeight="1">
      <c r="A261" s="2">
        <v>22</v>
      </c>
      <c r="B261" s="2">
        <v>260</v>
      </c>
      <c r="C261" s="2">
        <v>4</v>
      </c>
      <c r="D261" s="2">
        <v>1</v>
      </c>
      <c r="E261" s="2">
        <v>0.878</v>
      </c>
    </row>
    <row r="262" spans="1:5" ht="14.25" customHeight="1">
      <c r="A262" s="2">
        <v>22</v>
      </c>
      <c r="B262" s="2">
        <v>261</v>
      </c>
      <c r="C262" s="2">
        <v>7</v>
      </c>
      <c r="D262" s="2">
        <v>1</v>
      </c>
      <c r="E262" s="2">
        <v>0.92600000000000005</v>
      </c>
    </row>
    <row r="263" spans="1:5" ht="14.25" customHeight="1">
      <c r="A263" s="2">
        <v>22</v>
      </c>
      <c r="B263" s="2">
        <v>262</v>
      </c>
      <c r="C263" s="2">
        <v>3</v>
      </c>
      <c r="D263" s="2">
        <v>1</v>
      </c>
      <c r="E263" s="2">
        <v>0.69399999999999995</v>
      </c>
    </row>
    <row r="264" spans="1:5" ht="14.25" customHeight="1">
      <c r="A264" s="2">
        <v>22</v>
      </c>
      <c r="B264" s="2">
        <v>263</v>
      </c>
      <c r="C264" s="2">
        <v>7</v>
      </c>
      <c r="D264" s="2">
        <v>1</v>
      </c>
      <c r="E264" s="2">
        <v>1.238</v>
      </c>
    </row>
    <row r="265" spans="1:5" ht="14.25" customHeight="1">
      <c r="A265" s="2">
        <v>22</v>
      </c>
      <c r="B265" s="2">
        <v>264</v>
      </c>
      <c r="C265" s="2">
        <v>8</v>
      </c>
      <c r="D265" s="2">
        <v>1</v>
      </c>
      <c r="E265" s="2">
        <v>0.71199999999999997</v>
      </c>
    </row>
    <row r="266" spans="1:5" ht="14.25" customHeight="1">
      <c r="A266" s="2">
        <v>22</v>
      </c>
      <c r="B266" s="2">
        <v>265</v>
      </c>
      <c r="C266" s="2">
        <v>7</v>
      </c>
      <c r="D266" s="2">
        <v>1</v>
      </c>
      <c r="E266" s="2">
        <v>1.536</v>
      </c>
    </row>
    <row r="267" spans="1:5" ht="14.25" customHeight="1">
      <c r="A267" s="2">
        <v>22</v>
      </c>
      <c r="B267" s="2">
        <v>266</v>
      </c>
      <c r="C267" s="2">
        <v>6</v>
      </c>
      <c r="D267" s="2">
        <v>1</v>
      </c>
      <c r="E267" s="2">
        <v>0.97499999999999998</v>
      </c>
    </row>
    <row r="268" spans="1:5" ht="14.25" customHeight="1">
      <c r="A268" s="2">
        <v>22</v>
      </c>
      <c r="B268" s="2">
        <v>267</v>
      </c>
      <c r="C268" s="2">
        <v>8</v>
      </c>
      <c r="D268" s="2">
        <v>1</v>
      </c>
      <c r="E268" s="2">
        <v>1.181</v>
      </c>
    </row>
    <row r="269" spans="1:5" ht="14.25" customHeight="1">
      <c r="A269" s="2">
        <v>22</v>
      </c>
      <c r="B269" s="2">
        <v>268</v>
      </c>
      <c r="C269" s="2">
        <v>5</v>
      </c>
      <c r="D269" s="2">
        <v>1</v>
      </c>
      <c r="E269" s="2">
        <v>0.63400000000000001</v>
      </c>
    </row>
    <row r="270" spans="1:5" ht="14.25" customHeight="1">
      <c r="A270" s="2">
        <v>22</v>
      </c>
      <c r="B270" s="2">
        <v>269</v>
      </c>
      <c r="C270" s="2">
        <v>3</v>
      </c>
      <c r="D270" s="2">
        <v>1</v>
      </c>
      <c r="E270" s="2">
        <v>1.5489999999999999</v>
      </c>
    </row>
    <row r="271" spans="1:5" ht="14.25" customHeight="1">
      <c r="A271" s="2">
        <v>22</v>
      </c>
      <c r="B271" s="2">
        <v>270</v>
      </c>
      <c r="C271" s="2">
        <v>2</v>
      </c>
      <c r="D271" s="2">
        <v>1</v>
      </c>
      <c r="E271" s="2">
        <v>1.58</v>
      </c>
    </row>
    <row r="272" spans="1:5" ht="14.25" customHeight="1">
      <c r="A272" s="2">
        <v>22</v>
      </c>
      <c r="B272" s="2">
        <v>271</v>
      </c>
      <c r="C272" s="2">
        <v>8</v>
      </c>
      <c r="D272" s="2">
        <v>1</v>
      </c>
      <c r="E272" s="2">
        <v>1.1060000000000001</v>
      </c>
    </row>
    <row r="273" spans="1:5" ht="14.25" customHeight="1">
      <c r="A273" s="2">
        <v>22</v>
      </c>
      <c r="B273" s="2">
        <v>272</v>
      </c>
      <c r="C273" s="2">
        <v>1</v>
      </c>
      <c r="D273" s="2">
        <v>1</v>
      </c>
      <c r="E273" s="2">
        <v>0.84199999999999997</v>
      </c>
    </row>
    <row r="274" spans="1:5" ht="14.25" customHeight="1">
      <c r="A274" s="2">
        <v>22</v>
      </c>
      <c r="B274" s="2">
        <v>273</v>
      </c>
      <c r="C274" s="2">
        <v>7</v>
      </c>
      <c r="D274" s="2">
        <v>0</v>
      </c>
      <c r="E274" s="2">
        <v>1.3</v>
      </c>
    </row>
    <row r="275" spans="1:5" ht="14.25" customHeight="1">
      <c r="A275" s="2">
        <v>22</v>
      </c>
      <c r="B275" s="2">
        <v>274</v>
      </c>
      <c r="C275" s="2">
        <v>3</v>
      </c>
      <c r="D275" s="2">
        <v>1</v>
      </c>
      <c r="E275" s="2">
        <v>0.76500000000000001</v>
      </c>
    </row>
    <row r="276" spans="1:5" ht="14.25" customHeight="1">
      <c r="A276" s="2">
        <v>22</v>
      </c>
      <c r="B276" s="2">
        <v>275</v>
      </c>
      <c r="C276" s="2">
        <v>5</v>
      </c>
      <c r="D276" s="2">
        <v>1</v>
      </c>
      <c r="E276" s="2">
        <v>1.4670000000000001</v>
      </c>
    </row>
    <row r="277" spans="1:5" ht="14.25" customHeight="1">
      <c r="A277" s="2">
        <v>22</v>
      </c>
      <c r="B277" s="2">
        <v>276</v>
      </c>
      <c r="C277" s="2">
        <v>3</v>
      </c>
      <c r="D277" s="2">
        <v>1</v>
      </c>
      <c r="E277" s="2">
        <v>0.70899999999999996</v>
      </c>
    </row>
    <row r="278" spans="1:5" ht="14.25" customHeight="1">
      <c r="A278" s="2">
        <v>22</v>
      </c>
      <c r="B278" s="2">
        <v>277</v>
      </c>
      <c r="C278" s="2">
        <v>4</v>
      </c>
      <c r="D278" s="2">
        <v>1</v>
      </c>
      <c r="E278" s="2">
        <v>0.81299999999999994</v>
      </c>
    </row>
    <row r="279" spans="1:5" ht="14.25" customHeight="1">
      <c r="A279" s="2">
        <v>22</v>
      </c>
      <c r="B279" s="2">
        <v>278</v>
      </c>
      <c r="C279" s="2">
        <v>1</v>
      </c>
      <c r="D279" s="2">
        <v>1</v>
      </c>
      <c r="E279" s="2">
        <v>1.073</v>
      </c>
    </row>
    <row r="280" spans="1:5" ht="14.25" customHeight="1">
      <c r="A280" s="2">
        <v>22</v>
      </c>
      <c r="B280" s="2">
        <v>279</v>
      </c>
      <c r="C280" s="2">
        <v>2</v>
      </c>
      <c r="D280" s="2">
        <v>1</v>
      </c>
      <c r="E280" s="2">
        <v>0.96199999999999997</v>
      </c>
    </row>
    <row r="281" spans="1:5" ht="14.25" customHeight="1">
      <c r="A281" s="2">
        <v>22</v>
      </c>
      <c r="B281" s="2">
        <v>280</v>
      </c>
      <c r="C281" s="2">
        <v>1</v>
      </c>
      <c r="D281" s="2">
        <v>1</v>
      </c>
      <c r="E281" s="2">
        <v>0.85599999999999998</v>
      </c>
    </row>
    <row r="282" spans="1:5" ht="14.25" customHeight="1">
      <c r="A282" s="2">
        <v>22</v>
      </c>
      <c r="B282" s="2">
        <v>281</v>
      </c>
      <c r="C282" s="2">
        <v>6</v>
      </c>
      <c r="D282" s="2">
        <v>1</v>
      </c>
      <c r="E282" s="2">
        <v>0.57799999999999996</v>
      </c>
    </row>
    <row r="283" spans="1:5" ht="14.25" customHeight="1">
      <c r="A283" s="2">
        <v>22</v>
      </c>
      <c r="B283" s="2">
        <v>282</v>
      </c>
      <c r="C283" s="2">
        <v>4</v>
      </c>
      <c r="D283" s="2">
        <v>1</v>
      </c>
      <c r="E283" s="2">
        <v>0.64800000000000002</v>
      </c>
    </row>
    <row r="284" spans="1:5" ht="14.25" customHeight="1">
      <c r="A284" s="2">
        <v>22</v>
      </c>
      <c r="B284" s="2">
        <v>283</v>
      </c>
      <c r="C284" s="2">
        <v>6</v>
      </c>
      <c r="D284" s="2">
        <v>1</v>
      </c>
      <c r="E284" s="2">
        <v>1.0820000000000001</v>
      </c>
    </row>
    <row r="285" spans="1:5" ht="14.25" customHeight="1">
      <c r="A285" s="2">
        <v>22</v>
      </c>
      <c r="B285" s="2">
        <v>284</v>
      </c>
      <c r="C285" s="2">
        <v>8</v>
      </c>
      <c r="D285" s="2">
        <v>1</v>
      </c>
      <c r="E285" s="2">
        <v>0.89100000000000001</v>
      </c>
    </row>
    <row r="286" spans="1:5" ht="14.25" customHeight="1">
      <c r="A286" s="2">
        <v>22</v>
      </c>
      <c r="B286" s="2">
        <v>285</v>
      </c>
      <c r="C286" s="2">
        <v>6</v>
      </c>
      <c r="D286" s="2">
        <v>1</v>
      </c>
      <c r="E286" s="2">
        <v>0.73199999999999998</v>
      </c>
    </row>
    <row r="287" spans="1:5" ht="14.25" customHeight="1">
      <c r="A287" s="2">
        <v>22</v>
      </c>
      <c r="B287" s="2">
        <v>286</v>
      </c>
      <c r="C287" s="2">
        <v>5</v>
      </c>
      <c r="D287" s="2">
        <v>1</v>
      </c>
      <c r="E287" s="2">
        <v>0.98</v>
      </c>
    </row>
    <row r="288" spans="1:5" ht="14.25" customHeight="1">
      <c r="A288" s="2">
        <v>22</v>
      </c>
      <c r="B288" s="2">
        <v>287</v>
      </c>
      <c r="C288" s="2">
        <v>1</v>
      </c>
      <c r="D288" s="2">
        <v>1</v>
      </c>
      <c r="E288" s="2">
        <v>0.68100000000000005</v>
      </c>
    </row>
    <row r="289" spans="1:5" ht="14.25" customHeight="1">
      <c r="A289" s="2">
        <v>22</v>
      </c>
      <c r="B289" s="2">
        <v>288</v>
      </c>
      <c r="C289" s="2">
        <v>7</v>
      </c>
      <c r="D289" s="2">
        <v>1</v>
      </c>
      <c r="E289" s="2">
        <v>1.226</v>
      </c>
    </row>
    <row r="290" spans="1:5" ht="14.25" customHeight="1">
      <c r="A290" s="2">
        <v>22</v>
      </c>
      <c r="B290" s="2">
        <v>289</v>
      </c>
      <c r="C290" s="2">
        <v>8</v>
      </c>
      <c r="D290" s="2">
        <v>1</v>
      </c>
      <c r="E290" s="2">
        <v>1.2769999999999999</v>
      </c>
    </row>
    <row r="291" spans="1:5" ht="14.25" customHeight="1">
      <c r="A291" s="2">
        <v>22</v>
      </c>
      <c r="B291" s="2">
        <v>290</v>
      </c>
      <c r="C291" s="2">
        <v>4</v>
      </c>
      <c r="D291" s="2">
        <v>1</v>
      </c>
      <c r="E291" s="2">
        <v>0.91100000000000003</v>
      </c>
    </row>
    <row r="292" spans="1:5" ht="14.25" customHeight="1">
      <c r="A292" s="2">
        <v>22</v>
      </c>
      <c r="B292" s="2">
        <v>291</v>
      </c>
      <c r="C292" s="2">
        <v>6</v>
      </c>
      <c r="D292" s="2">
        <v>1</v>
      </c>
      <c r="E292" s="2">
        <v>0.58299999999999996</v>
      </c>
    </row>
    <row r="293" spans="1:5" ht="14.25" customHeight="1">
      <c r="A293" s="2">
        <v>22</v>
      </c>
      <c r="B293" s="2">
        <v>292</v>
      </c>
      <c r="C293" s="2">
        <v>4</v>
      </c>
      <c r="D293" s="2">
        <v>1</v>
      </c>
      <c r="E293" s="2">
        <v>0.94799999999999995</v>
      </c>
    </row>
    <row r="294" spans="1:5" ht="14.25" customHeight="1">
      <c r="A294" s="2">
        <v>22</v>
      </c>
      <c r="B294" s="2">
        <v>293</v>
      </c>
      <c r="C294" s="2">
        <v>3</v>
      </c>
      <c r="D294" s="2">
        <v>1</v>
      </c>
      <c r="E294" s="2">
        <v>1.139</v>
      </c>
    </row>
    <row r="295" spans="1:5" ht="14.25" customHeight="1">
      <c r="A295" s="2">
        <v>22</v>
      </c>
      <c r="B295" s="2">
        <v>294</v>
      </c>
      <c r="C295" s="2">
        <v>2</v>
      </c>
      <c r="D295" s="2">
        <v>1</v>
      </c>
      <c r="E295" s="2">
        <v>1.0569999999999999</v>
      </c>
    </row>
    <row r="296" spans="1:5" ht="14.25" customHeight="1">
      <c r="A296" s="2">
        <v>22</v>
      </c>
      <c r="B296" s="2">
        <v>295</v>
      </c>
      <c r="C296" s="2">
        <v>5</v>
      </c>
      <c r="D296" s="2">
        <v>1</v>
      </c>
      <c r="E296" s="2">
        <v>0.89200000000000002</v>
      </c>
    </row>
    <row r="297" spans="1:5" ht="14.25" customHeight="1">
      <c r="A297" s="2">
        <v>22</v>
      </c>
      <c r="B297" s="2">
        <v>296</v>
      </c>
      <c r="C297" s="2">
        <v>7</v>
      </c>
      <c r="D297" s="2">
        <v>1</v>
      </c>
      <c r="E297" s="2">
        <v>1.244</v>
      </c>
    </row>
    <row r="298" spans="1:5" ht="14.25" customHeight="1">
      <c r="A298" s="2">
        <v>22</v>
      </c>
      <c r="B298" s="2">
        <v>297</v>
      </c>
      <c r="C298" s="2">
        <v>1</v>
      </c>
      <c r="D298" s="2">
        <v>1</v>
      </c>
      <c r="E298" s="2">
        <v>0.91900000000000004</v>
      </c>
    </row>
    <row r="299" spans="1:5" ht="14.25" customHeight="1">
      <c r="A299" s="2">
        <v>22</v>
      </c>
      <c r="B299" s="2">
        <v>298</v>
      </c>
      <c r="C299" s="2">
        <v>5</v>
      </c>
      <c r="D299" s="2">
        <v>1</v>
      </c>
      <c r="E299" s="2">
        <v>1.0629999999999999</v>
      </c>
    </row>
    <row r="300" spans="1:5" ht="14.25" customHeight="1">
      <c r="A300" s="2">
        <v>22</v>
      </c>
      <c r="B300" s="2">
        <v>299</v>
      </c>
      <c r="C300" s="2">
        <v>1</v>
      </c>
      <c r="D300" s="2">
        <v>1</v>
      </c>
      <c r="E300" s="2">
        <v>0.60099999999999998</v>
      </c>
    </row>
    <row r="301" spans="1:5" ht="14.25" customHeight="1">
      <c r="A301" s="2">
        <v>22</v>
      </c>
      <c r="B301" s="2">
        <v>300</v>
      </c>
      <c r="C301" s="2">
        <v>2</v>
      </c>
      <c r="D301" s="2">
        <v>1</v>
      </c>
      <c r="E301" s="2">
        <v>0.84499999999999997</v>
      </c>
    </row>
    <row r="302" spans="1:5" ht="14.25" customHeight="1"/>
    <row r="303" spans="1:5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5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23</v>
      </c>
      <c r="I1" s="2">
        <v>101</v>
      </c>
      <c r="J1" s="2">
        <v>6</v>
      </c>
      <c r="K1" s="2">
        <v>1</v>
      </c>
      <c r="L1" s="2">
        <v>1.238</v>
      </c>
      <c r="M1" s="2">
        <v>2</v>
      </c>
    </row>
    <row r="2" spans="1:25" ht="14.25" customHeight="1">
      <c r="A2" s="2">
        <v>23</v>
      </c>
      <c r="B2" s="2">
        <v>1</v>
      </c>
      <c r="C2" s="2">
        <v>8</v>
      </c>
      <c r="E2" s="2">
        <v>2.0009999999999999</v>
      </c>
      <c r="H2" s="2">
        <v>23</v>
      </c>
      <c r="I2" s="2">
        <v>102</v>
      </c>
      <c r="J2" s="2">
        <v>4</v>
      </c>
      <c r="K2" s="2">
        <v>0</v>
      </c>
      <c r="L2" s="2">
        <v>0.77600000000000002</v>
      </c>
      <c r="M2" s="2">
        <v>1</v>
      </c>
    </row>
    <row r="3" spans="1:25" ht="14.25" customHeight="1">
      <c r="A3" s="2">
        <v>23</v>
      </c>
      <c r="B3" s="2">
        <v>2</v>
      </c>
      <c r="C3" s="2">
        <v>4</v>
      </c>
      <c r="E3" s="2">
        <v>2.0009999999999999</v>
      </c>
      <c r="H3" s="2">
        <v>23</v>
      </c>
      <c r="I3" s="2">
        <v>103</v>
      </c>
      <c r="J3" s="2">
        <v>3</v>
      </c>
      <c r="K3" s="2">
        <v>1</v>
      </c>
      <c r="L3" s="2">
        <v>0.79900000000000004</v>
      </c>
      <c r="M3" s="2">
        <v>2</v>
      </c>
    </row>
    <row r="4" spans="1:25" ht="14.25" customHeight="1">
      <c r="A4" s="2">
        <v>23</v>
      </c>
      <c r="B4" s="2">
        <v>3</v>
      </c>
      <c r="C4" s="2">
        <v>8</v>
      </c>
      <c r="E4" s="2">
        <v>2</v>
      </c>
      <c r="H4" s="2">
        <v>23</v>
      </c>
      <c r="I4" s="2">
        <v>104</v>
      </c>
      <c r="J4" s="2">
        <v>6</v>
      </c>
      <c r="K4" s="2">
        <v>1</v>
      </c>
      <c r="L4" s="2">
        <v>0.94699999999999995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23</v>
      </c>
      <c r="B5" s="2">
        <v>4</v>
      </c>
      <c r="C5" s="2">
        <v>7</v>
      </c>
      <c r="E5" s="2">
        <v>2</v>
      </c>
      <c r="H5" s="2">
        <v>23</v>
      </c>
      <c r="I5" s="2">
        <v>105</v>
      </c>
      <c r="J5" s="2">
        <v>7</v>
      </c>
      <c r="K5" s="2">
        <v>0</v>
      </c>
      <c r="L5" s="2">
        <v>0.745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23</v>
      </c>
      <c r="B6" s="2">
        <v>5</v>
      </c>
      <c r="C6" s="2">
        <v>2</v>
      </c>
      <c r="E6" s="2">
        <v>2</v>
      </c>
      <c r="H6" s="2">
        <v>23</v>
      </c>
      <c r="I6" s="2">
        <v>106</v>
      </c>
      <c r="J6" s="2">
        <v>2</v>
      </c>
      <c r="K6" s="2">
        <v>0</v>
      </c>
      <c r="L6" s="2">
        <v>1.264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23</v>
      </c>
      <c r="B7" s="2">
        <v>6</v>
      </c>
      <c r="C7" s="2">
        <v>3</v>
      </c>
      <c r="E7" s="2">
        <v>2</v>
      </c>
      <c r="H7" s="2">
        <v>23</v>
      </c>
      <c r="I7" s="2">
        <v>107</v>
      </c>
      <c r="J7" s="2">
        <v>1</v>
      </c>
      <c r="K7" s="2">
        <v>0</v>
      </c>
      <c r="L7" s="2">
        <v>0.78500000000000003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23</v>
      </c>
      <c r="B8" s="2">
        <v>7</v>
      </c>
      <c r="C8" s="2">
        <v>6</v>
      </c>
      <c r="E8" s="2">
        <v>2</v>
      </c>
      <c r="H8" s="2">
        <v>23</v>
      </c>
      <c r="I8" s="2">
        <v>108</v>
      </c>
      <c r="J8" s="2">
        <v>7</v>
      </c>
      <c r="K8" s="2">
        <v>1</v>
      </c>
      <c r="L8" s="2">
        <v>1.365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23</v>
      </c>
      <c r="B9" s="2">
        <v>8</v>
      </c>
      <c r="C9" s="2">
        <v>4</v>
      </c>
      <c r="E9" s="2">
        <v>2</v>
      </c>
      <c r="H9" s="2">
        <v>23</v>
      </c>
      <c r="I9" s="2">
        <v>109</v>
      </c>
      <c r="J9" s="2">
        <v>1</v>
      </c>
      <c r="K9" s="2">
        <v>1</v>
      </c>
      <c r="L9" s="2">
        <v>1.1950000000000001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23</v>
      </c>
      <c r="B10" s="2">
        <v>9</v>
      </c>
      <c r="C10" s="2">
        <v>1</v>
      </c>
      <c r="E10" s="2">
        <v>2</v>
      </c>
      <c r="H10" s="2">
        <v>23</v>
      </c>
      <c r="I10" s="2">
        <v>110</v>
      </c>
      <c r="J10" s="2">
        <v>4</v>
      </c>
      <c r="K10" s="2">
        <v>0</v>
      </c>
      <c r="L10" s="2">
        <v>1.2070000000000001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23</v>
      </c>
      <c r="B11" s="2">
        <v>10</v>
      </c>
      <c r="C11" s="2">
        <v>6</v>
      </c>
      <c r="E11" s="2">
        <v>2</v>
      </c>
      <c r="H11" s="2">
        <v>23</v>
      </c>
      <c r="I11" s="2">
        <v>111</v>
      </c>
      <c r="J11" s="2">
        <v>2</v>
      </c>
      <c r="K11" s="2">
        <v>1</v>
      </c>
      <c r="L11" s="2">
        <v>1.569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23</v>
      </c>
      <c r="B12" s="2">
        <v>11</v>
      </c>
      <c r="C12" s="2">
        <v>4</v>
      </c>
      <c r="E12" s="2">
        <v>2</v>
      </c>
      <c r="H12" s="2">
        <v>23</v>
      </c>
      <c r="I12" s="2">
        <v>112</v>
      </c>
      <c r="J12" s="2">
        <v>3</v>
      </c>
      <c r="K12" s="2">
        <v>1</v>
      </c>
      <c r="L12" s="2">
        <v>1.367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23</v>
      </c>
      <c r="B13" s="2">
        <v>12</v>
      </c>
      <c r="C13" s="2">
        <v>3</v>
      </c>
      <c r="E13" s="2">
        <v>2.0009999999999999</v>
      </c>
      <c r="H13" s="2">
        <v>23</v>
      </c>
      <c r="I13" s="2">
        <v>113</v>
      </c>
      <c r="J13" s="2">
        <v>5</v>
      </c>
      <c r="K13" s="2">
        <v>1</v>
      </c>
      <c r="L13" s="2">
        <v>1.9470000000000001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23</v>
      </c>
      <c r="B14" s="2">
        <v>13</v>
      </c>
      <c r="C14" s="2">
        <v>1</v>
      </c>
      <c r="E14" s="2">
        <v>2</v>
      </c>
      <c r="H14" s="2">
        <v>23</v>
      </c>
      <c r="I14" s="2">
        <v>114</v>
      </c>
      <c r="J14" s="2">
        <v>8</v>
      </c>
      <c r="L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23</v>
      </c>
      <c r="B15" s="2">
        <v>14</v>
      </c>
      <c r="C15" s="2">
        <v>3</v>
      </c>
      <c r="E15" s="2">
        <v>2</v>
      </c>
      <c r="H15" s="2">
        <v>23</v>
      </c>
      <c r="I15" s="2">
        <v>115</v>
      </c>
      <c r="J15" s="2">
        <v>4</v>
      </c>
      <c r="K15" s="2">
        <v>1</v>
      </c>
      <c r="L15" s="2">
        <v>0.751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23</v>
      </c>
      <c r="B16" s="2">
        <v>15</v>
      </c>
      <c r="C16" s="2">
        <v>7</v>
      </c>
      <c r="E16" s="2">
        <v>2.0009999999999999</v>
      </c>
      <c r="H16" s="2">
        <v>23</v>
      </c>
      <c r="I16" s="2">
        <v>116</v>
      </c>
      <c r="J16" s="2">
        <v>5</v>
      </c>
      <c r="K16" s="2">
        <v>1</v>
      </c>
      <c r="L16" s="2">
        <v>0.80300000000000005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23</v>
      </c>
      <c r="B17" s="2">
        <v>16</v>
      </c>
      <c r="C17" s="2">
        <v>8</v>
      </c>
      <c r="E17" s="2">
        <v>2</v>
      </c>
      <c r="H17" s="2">
        <v>23</v>
      </c>
      <c r="I17" s="2">
        <v>117</v>
      </c>
      <c r="J17" s="2">
        <v>1</v>
      </c>
      <c r="K17" s="2">
        <v>1</v>
      </c>
      <c r="L17" s="2">
        <v>1.121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2.7224999999999984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13.689999999999994</v>
      </c>
      <c r="S17" s="3">
        <f t="shared" ref="S17:T17" si="4">(S6*COUNTIF($J$1:$J$101,S$16) - COUNTIFS($J$1:$J$101,S$16,$K$1:$K$101,"=0"))^2</f>
        <v>2.8899999999999997</v>
      </c>
      <c r="T17" s="3">
        <f t="shared" si="4"/>
        <v>0.48999999999999994</v>
      </c>
      <c r="U17" s="3">
        <f t="shared" ref="U17:V17" si="5">(U6*COUNTIF($J$1:$J$101,U$16) - COUNTIFS($J$1:$J$101,U$16,$K$1:$K$101,"=1"))^2</f>
        <v>0.42249999999999932</v>
      </c>
      <c r="V17" s="3">
        <f t="shared" si="5"/>
        <v>13.689999999999994</v>
      </c>
      <c r="W17" s="4"/>
      <c r="X17" s="4"/>
      <c r="Y17" s="4"/>
    </row>
    <row r="18" spans="1:25" ht="14.25" customHeight="1">
      <c r="A18" s="2">
        <v>23</v>
      </c>
      <c r="B18" s="2">
        <v>17</v>
      </c>
      <c r="C18" s="2">
        <v>6</v>
      </c>
      <c r="E18" s="2">
        <v>2.0009999999999999</v>
      </c>
      <c r="H18" s="2">
        <v>23</v>
      </c>
      <c r="I18" s="2">
        <v>118</v>
      </c>
      <c r="J18" s="2">
        <v>7</v>
      </c>
      <c r="K18" s="2">
        <v>1</v>
      </c>
      <c r="L18" s="2">
        <v>0.67100000000000004</v>
      </c>
      <c r="M18" s="2">
        <v>2</v>
      </c>
      <c r="N18" s="3">
        <v>2</v>
      </c>
      <c r="O18" s="3">
        <f t="shared" si="0"/>
        <v>2.8899999999999997</v>
      </c>
      <c r="P18" s="3">
        <f t="shared" si="1"/>
        <v>21.622500000000002</v>
      </c>
      <c r="Q18" s="6">
        <f t="shared" si="2"/>
        <v>25</v>
      </c>
      <c r="R18" s="3">
        <f t="shared" si="3"/>
        <v>13.689999999999994</v>
      </c>
      <c r="S18" s="6">
        <f t="shared" ref="S18:T18" si="6">(S7*COUNTIF($J$1:$J$101,S$16) - COUNTIFS($J$1:$J$101,S$16,$K$1:$K$101,"=0"))^2</f>
        <v>2.8899999999999997</v>
      </c>
      <c r="T18" s="6">
        <f t="shared" si="6"/>
        <v>0.48999999999999994</v>
      </c>
      <c r="U18" s="6">
        <f t="shared" ref="U18:V18" si="7">(U7*COUNTIF($J$1:$J$101,U$16) - COUNTIFS($J$1:$J$101,U$16,$K$1:$K$101,"=1"))^2</f>
        <v>0.42249999999999932</v>
      </c>
      <c r="V18" s="6">
        <f t="shared" si="7"/>
        <v>13.689999999999994</v>
      </c>
      <c r="W18" s="4"/>
      <c r="X18" s="4"/>
      <c r="Y18" s="4"/>
    </row>
    <row r="19" spans="1:25" ht="14.25" customHeight="1">
      <c r="A19" s="2">
        <v>23</v>
      </c>
      <c r="B19" s="2">
        <v>18</v>
      </c>
      <c r="C19" s="2">
        <v>7</v>
      </c>
      <c r="E19" s="2">
        <v>2</v>
      </c>
      <c r="H19" s="2">
        <v>23</v>
      </c>
      <c r="I19" s="2">
        <v>119</v>
      </c>
      <c r="J19" s="2">
        <v>1</v>
      </c>
      <c r="K19" s="2">
        <v>0</v>
      </c>
      <c r="L19" s="2">
        <v>0.53700000000000003</v>
      </c>
      <c r="M19" s="2">
        <v>1</v>
      </c>
      <c r="N19" s="3">
        <v>3</v>
      </c>
      <c r="O19" s="3">
        <f t="shared" si="0"/>
        <v>2.8899999999999997</v>
      </c>
      <c r="P19" s="3">
        <f t="shared" si="1"/>
        <v>2.7224999999999984</v>
      </c>
      <c r="Q19" s="3">
        <f t="shared" si="2"/>
        <v>0.15999999999999992</v>
      </c>
      <c r="R19" s="3">
        <f t="shared" si="3"/>
        <v>13.689999999999994</v>
      </c>
      <c r="S19" s="6">
        <f t="shared" ref="S19:T19" si="8">(S8*COUNTIF($J$1:$J$101,S$16) - COUNTIFS($J$1:$J$101,S$16,$K$1:$K$101,"=0"))^2</f>
        <v>2.8899999999999997</v>
      </c>
      <c r="T19" s="6">
        <f t="shared" si="8"/>
        <v>22.089999999999993</v>
      </c>
      <c r="U19" s="3">
        <f t="shared" ref="U19:V19" si="9">(U8*COUNTIF($J$1:$J$101,U$16) - COUNTIFS($J$1:$J$101,U$16,$K$1:$K$101,"=1"))^2</f>
        <v>31.922500000000003</v>
      </c>
      <c r="V19" s="6">
        <f t="shared" si="9"/>
        <v>13.689999999999994</v>
      </c>
      <c r="W19" s="4"/>
      <c r="X19" s="4"/>
      <c r="Y19" s="4"/>
    </row>
    <row r="20" spans="1:25" ht="14.25" customHeight="1">
      <c r="A20" s="2">
        <v>23</v>
      </c>
      <c r="B20" s="2">
        <v>19</v>
      </c>
      <c r="C20" s="2">
        <v>2</v>
      </c>
      <c r="E20" s="2">
        <v>2</v>
      </c>
      <c r="H20" s="2">
        <v>23</v>
      </c>
      <c r="I20" s="2">
        <v>120</v>
      </c>
      <c r="J20" s="2">
        <v>3</v>
      </c>
      <c r="K20" s="2">
        <v>1</v>
      </c>
      <c r="L20" s="2">
        <v>0.67300000000000004</v>
      </c>
      <c r="M20" s="2">
        <v>2</v>
      </c>
      <c r="N20" s="3">
        <v>4</v>
      </c>
      <c r="O20" s="3">
        <f t="shared" si="0"/>
        <v>1</v>
      </c>
      <c r="P20" s="3">
        <f t="shared" si="1"/>
        <v>2.25</v>
      </c>
      <c r="Q20" s="3">
        <f t="shared" si="2"/>
        <v>4</v>
      </c>
      <c r="R20" s="3">
        <f t="shared" si="3"/>
        <v>1</v>
      </c>
      <c r="S20" s="6">
        <f t="shared" ref="S20:T20" si="10">(S9*COUNTIF($J$1:$J$101,S$16) - COUNTIFS($J$1:$J$101,S$16,$K$1:$K$101,"=0"))^2</f>
        <v>2.8899999999999997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0.42249999999999932</v>
      </c>
      <c r="V20" s="6">
        <f t="shared" si="11"/>
        <v>13.689999999999994</v>
      </c>
      <c r="W20" s="4"/>
      <c r="X20" s="4"/>
      <c r="Y20" s="4"/>
    </row>
    <row r="21" spans="1:25" ht="14.25" customHeight="1">
      <c r="A21" s="2">
        <v>23</v>
      </c>
      <c r="B21" s="2">
        <v>20</v>
      </c>
      <c r="C21" s="2">
        <v>8</v>
      </c>
      <c r="E21" s="2">
        <v>2</v>
      </c>
      <c r="H21" s="2">
        <v>23</v>
      </c>
      <c r="I21" s="2">
        <v>121</v>
      </c>
      <c r="J21" s="2">
        <v>8</v>
      </c>
      <c r="K21" s="2">
        <v>1</v>
      </c>
      <c r="L21" s="2">
        <v>1.3049999999999999</v>
      </c>
      <c r="M21" s="2">
        <v>2</v>
      </c>
      <c r="N21" s="3">
        <v>5</v>
      </c>
      <c r="O21" s="3">
        <f t="shared" si="0"/>
        <v>2.8899999999999997</v>
      </c>
      <c r="P21" s="3">
        <f t="shared" si="1"/>
        <v>2.7224999999999984</v>
      </c>
      <c r="Q21" s="3">
        <f t="shared" si="2"/>
        <v>0.15999999999999992</v>
      </c>
      <c r="R21" s="3">
        <f t="shared" si="3"/>
        <v>13.689999999999994</v>
      </c>
      <c r="S21" s="6">
        <f t="shared" ref="S21:T21" si="12">(S10*COUNTIF($J$1:$J$101,S$16) - COUNTIFS($J$1:$J$101,S$16,$K$1:$K$101,"=0"))^2</f>
        <v>1</v>
      </c>
      <c r="T21" s="6">
        <f t="shared" si="12"/>
        <v>4</v>
      </c>
      <c r="U21" s="6">
        <f t="shared" ref="U21:V21" si="13">(U10*COUNTIF($J$1:$J$101,U$16) - COUNTIFS($J$1:$J$101,U$16,$K$1:$K$101,"=1"))^2</f>
        <v>6.25</v>
      </c>
      <c r="V21" s="6">
        <f t="shared" si="13"/>
        <v>1</v>
      </c>
      <c r="W21" s="4"/>
      <c r="X21" s="4"/>
      <c r="Y21" s="4"/>
    </row>
    <row r="22" spans="1:25" ht="14.25" customHeight="1">
      <c r="A22" s="2">
        <v>23</v>
      </c>
      <c r="B22" s="2">
        <v>21</v>
      </c>
      <c r="C22" s="2">
        <v>7</v>
      </c>
      <c r="E22" s="2">
        <v>2</v>
      </c>
      <c r="H22" s="2">
        <v>23</v>
      </c>
      <c r="I22" s="2">
        <v>122</v>
      </c>
      <c r="J22" s="2">
        <v>2</v>
      </c>
      <c r="K22" s="2">
        <v>1</v>
      </c>
      <c r="L22" s="2">
        <v>1.242</v>
      </c>
      <c r="M22" s="2">
        <v>1</v>
      </c>
      <c r="N22" s="3">
        <v>6</v>
      </c>
      <c r="O22" s="3">
        <f t="shared" si="0"/>
        <v>1</v>
      </c>
      <c r="P22" s="3">
        <f t="shared" si="1"/>
        <v>2.25</v>
      </c>
      <c r="Q22" s="3">
        <f t="shared" si="2"/>
        <v>4</v>
      </c>
      <c r="R22" s="3">
        <f t="shared" si="3"/>
        <v>1</v>
      </c>
      <c r="S22" s="6">
        <f t="shared" ref="S22:T22" si="14">(S11*COUNTIF($J$1:$J$101,S$16) - COUNTIFS($J$1:$J$101,S$16,$K$1:$K$101,"=0"))^2</f>
        <v>1</v>
      </c>
      <c r="T22" s="6">
        <f t="shared" si="14"/>
        <v>4</v>
      </c>
      <c r="U22" s="6">
        <f t="shared" ref="U22:V22" si="15">(U11*COUNTIF($J$1:$J$101,U$16) - COUNTIFS($J$1:$J$101,U$16,$K$1:$K$101,"=1"))^2</f>
        <v>6.25</v>
      </c>
      <c r="V22" s="6">
        <f t="shared" si="15"/>
        <v>1</v>
      </c>
      <c r="W22" s="4"/>
      <c r="X22" s="4"/>
      <c r="Y22" s="4"/>
    </row>
    <row r="23" spans="1:25" ht="14.25" customHeight="1">
      <c r="A23" s="2">
        <v>23</v>
      </c>
      <c r="B23" s="2">
        <v>22</v>
      </c>
      <c r="C23" s="2">
        <v>1</v>
      </c>
      <c r="E23" s="2">
        <v>2</v>
      </c>
      <c r="H23" s="2">
        <v>23</v>
      </c>
      <c r="I23" s="2">
        <v>123</v>
      </c>
      <c r="J23" s="2">
        <v>3</v>
      </c>
      <c r="K23" s="2">
        <v>0</v>
      </c>
      <c r="L23" s="2">
        <v>0.70799999999999996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23</v>
      </c>
      <c r="B24" s="2">
        <v>23</v>
      </c>
      <c r="C24" s="2">
        <v>3</v>
      </c>
      <c r="E24" s="2">
        <v>2</v>
      </c>
      <c r="H24" s="2">
        <v>23</v>
      </c>
      <c r="I24" s="2">
        <v>124</v>
      </c>
      <c r="J24" s="2">
        <v>5</v>
      </c>
      <c r="K24" s="2">
        <v>1</v>
      </c>
      <c r="L24" s="2">
        <v>1.18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23</v>
      </c>
      <c r="B25" s="2">
        <v>24</v>
      </c>
      <c r="C25" s="2">
        <v>5</v>
      </c>
      <c r="E25" s="2">
        <v>2</v>
      </c>
      <c r="H25" s="2">
        <v>23</v>
      </c>
      <c r="I25" s="2">
        <v>125</v>
      </c>
      <c r="J25" s="2">
        <v>6</v>
      </c>
      <c r="K25" s="2">
        <v>1</v>
      </c>
      <c r="L25" s="2">
        <v>1.5609999999999999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23</v>
      </c>
      <c r="B26" s="2">
        <v>25</v>
      </c>
      <c r="C26" s="2">
        <v>2</v>
      </c>
      <c r="E26" s="2">
        <v>2</v>
      </c>
      <c r="H26" s="2">
        <v>23</v>
      </c>
      <c r="I26" s="2">
        <v>126</v>
      </c>
      <c r="J26" s="2">
        <v>5</v>
      </c>
      <c r="K26" s="2">
        <v>0</v>
      </c>
      <c r="L26" s="2">
        <v>1.583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49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23</v>
      </c>
      <c r="B27" s="2">
        <v>26</v>
      </c>
      <c r="C27" s="2">
        <v>5</v>
      </c>
      <c r="E27" s="2">
        <v>2</v>
      </c>
      <c r="H27" s="2">
        <v>23</v>
      </c>
      <c r="I27" s="2">
        <v>127</v>
      </c>
      <c r="J27" s="2">
        <v>7</v>
      </c>
      <c r="K27" s="2">
        <v>1</v>
      </c>
      <c r="L27" s="2">
        <v>0.86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23</v>
      </c>
      <c r="B28" s="2">
        <v>27</v>
      </c>
      <c r="C28" s="2">
        <v>7</v>
      </c>
      <c r="E28" s="2">
        <v>2</v>
      </c>
      <c r="H28" s="2">
        <v>23</v>
      </c>
      <c r="I28" s="2">
        <v>128</v>
      </c>
      <c r="J28" s="2">
        <v>2</v>
      </c>
      <c r="K28" s="2">
        <v>0</v>
      </c>
      <c r="L28" s="2">
        <v>1.1259999999999999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23</v>
      </c>
      <c r="B29" s="2">
        <v>28</v>
      </c>
      <c r="C29" s="2">
        <v>4</v>
      </c>
      <c r="D29" s="2">
        <v>0</v>
      </c>
      <c r="E29" s="2">
        <v>0.27700000000000002</v>
      </c>
      <c r="F29" s="2">
        <v>1</v>
      </c>
      <c r="H29" s="2">
        <v>23</v>
      </c>
      <c r="I29" s="2">
        <v>129</v>
      </c>
      <c r="J29" s="2">
        <v>8</v>
      </c>
      <c r="K29" s="2">
        <v>0</v>
      </c>
      <c r="L29" s="2">
        <v>1.1240000000000001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23</v>
      </c>
      <c r="B30" s="2">
        <v>29</v>
      </c>
      <c r="C30" s="2">
        <v>2</v>
      </c>
      <c r="D30" s="2">
        <v>1</v>
      </c>
      <c r="E30" s="2">
        <v>0.64300000000000002</v>
      </c>
      <c r="F30" s="2">
        <v>2</v>
      </c>
      <c r="H30" s="2">
        <v>23</v>
      </c>
      <c r="I30" s="2">
        <v>130</v>
      </c>
      <c r="J30" s="2">
        <v>4</v>
      </c>
      <c r="K30" s="2">
        <v>0</v>
      </c>
      <c r="L30" s="2">
        <v>1.645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23</v>
      </c>
      <c r="B31" s="2">
        <v>30</v>
      </c>
      <c r="C31" s="2">
        <v>5</v>
      </c>
      <c r="E31" s="2">
        <v>2</v>
      </c>
      <c r="H31" s="2">
        <v>23</v>
      </c>
      <c r="I31" s="2">
        <v>131</v>
      </c>
      <c r="J31" s="2">
        <v>2</v>
      </c>
      <c r="K31" s="2">
        <v>1</v>
      </c>
      <c r="L31" s="2">
        <v>1.1419999999999999</v>
      </c>
      <c r="M31" s="2">
        <v>2</v>
      </c>
      <c r="N31" s="3">
        <v>1</v>
      </c>
      <c r="O31" s="3">
        <f t="shared" ref="O31:O36" si="17">SUM(O17:V17)/SUM(O$26:V$26)</f>
        <v>0.11769108280254773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23</v>
      </c>
      <c r="B32" s="2">
        <v>31</v>
      </c>
      <c r="C32" s="2">
        <v>2</v>
      </c>
      <c r="E32" s="2">
        <v>2</v>
      </c>
      <c r="H32" s="2">
        <v>23</v>
      </c>
      <c r="I32" s="2">
        <v>132</v>
      </c>
      <c r="J32" s="2">
        <v>6</v>
      </c>
      <c r="K32" s="2">
        <v>1</v>
      </c>
      <c r="L32" s="2">
        <v>1.38</v>
      </c>
      <c r="M32" s="2">
        <v>1</v>
      </c>
      <c r="N32" s="3">
        <v>2</v>
      </c>
      <c r="O32" s="3">
        <f t="shared" si="17"/>
        <v>0.25699044585987257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23</v>
      </c>
      <c r="B33" s="2">
        <v>32</v>
      </c>
      <c r="C33" s="2">
        <v>1</v>
      </c>
      <c r="E33" s="2">
        <v>2</v>
      </c>
      <c r="H33" s="2">
        <v>23</v>
      </c>
      <c r="I33" s="2">
        <v>133</v>
      </c>
      <c r="J33" s="2">
        <v>4</v>
      </c>
      <c r="K33" s="2">
        <v>1</v>
      </c>
      <c r="L33" s="2">
        <v>0.82499999999999996</v>
      </c>
      <c r="M33" s="2">
        <v>2</v>
      </c>
      <c r="N33" s="3">
        <v>3</v>
      </c>
      <c r="O33" s="3">
        <f t="shared" si="17"/>
        <v>0.28679936305732479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23</v>
      </c>
      <c r="B34" s="2">
        <v>33</v>
      </c>
      <c r="C34" s="2">
        <v>8</v>
      </c>
      <c r="E34" s="2">
        <v>2.0009999999999999</v>
      </c>
      <c r="H34" s="2">
        <v>23</v>
      </c>
      <c r="I34" s="2">
        <v>134</v>
      </c>
      <c r="J34" s="2">
        <v>1</v>
      </c>
      <c r="K34" s="2">
        <v>1</v>
      </c>
      <c r="L34" s="2">
        <v>1.7729999999999999</v>
      </c>
      <c r="M34" s="2">
        <v>1</v>
      </c>
      <c r="N34" s="3">
        <v>4</v>
      </c>
      <c r="O34" s="3">
        <f t="shared" si="17"/>
        <v>8.1982484076433104E-2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23</v>
      </c>
      <c r="B35" s="2">
        <v>34</v>
      </c>
      <c r="C35" s="2">
        <v>6</v>
      </c>
      <c r="E35" s="2">
        <v>2</v>
      </c>
      <c r="H35" s="2">
        <v>23</v>
      </c>
      <c r="I35" s="2">
        <v>135</v>
      </c>
      <c r="J35" s="2">
        <v>7</v>
      </c>
      <c r="K35" s="2">
        <v>1</v>
      </c>
      <c r="L35" s="2">
        <v>1.5620000000000001</v>
      </c>
      <c r="M35" s="2">
        <v>2</v>
      </c>
      <c r="N35" s="3">
        <v>5</v>
      </c>
      <c r="O35" s="3">
        <f t="shared" si="17"/>
        <v>0.10099522292993628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23</v>
      </c>
      <c r="B36" s="2">
        <v>35</v>
      </c>
      <c r="C36" s="2">
        <v>4</v>
      </c>
      <c r="E36" s="2">
        <v>2</v>
      </c>
      <c r="H36" s="2">
        <v>23</v>
      </c>
      <c r="I36" s="2">
        <v>136</v>
      </c>
      <c r="J36" s="2">
        <v>6</v>
      </c>
      <c r="K36" s="2">
        <v>1</v>
      </c>
      <c r="L36" s="2">
        <v>1.272</v>
      </c>
      <c r="M36" s="2">
        <v>1</v>
      </c>
      <c r="N36" s="3">
        <v>6</v>
      </c>
      <c r="O36" s="3">
        <f t="shared" si="17"/>
        <v>6.5286624203821655E-2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23</v>
      </c>
      <c r="B37" s="2">
        <v>36</v>
      </c>
      <c r="C37" s="2">
        <v>6</v>
      </c>
      <c r="E37" s="2">
        <v>2.0009999999999999</v>
      </c>
      <c r="H37" s="2">
        <v>23</v>
      </c>
      <c r="I37" s="2">
        <v>137</v>
      </c>
      <c r="J37" s="2">
        <v>5</v>
      </c>
      <c r="K37" s="2">
        <v>0</v>
      </c>
      <c r="L37" s="2">
        <v>1.4570000000000001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23</v>
      </c>
      <c r="B38" s="2">
        <v>37</v>
      </c>
      <c r="C38" s="2">
        <v>3</v>
      </c>
      <c r="E38" s="2">
        <v>2</v>
      </c>
      <c r="H38" s="2">
        <v>23</v>
      </c>
      <c r="I38" s="2">
        <v>138</v>
      </c>
      <c r="J38" s="2">
        <v>3</v>
      </c>
      <c r="K38" s="2">
        <v>1</v>
      </c>
      <c r="L38" s="2">
        <v>1.587</v>
      </c>
      <c r="M38" s="2">
        <v>1</v>
      </c>
    </row>
    <row r="39" spans="1:25" ht="14.25" customHeight="1">
      <c r="A39" s="2">
        <v>23</v>
      </c>
      <c r="B39" s="2">
        <v>38</v>
      </c>
      <c r="C39" s="2">
        <v>1</v>
      </c>
      <c r="E39" s="2">
        <v>2.0009999999999999</v>
      </c>
      <c r="H39" s="2">
        <v>23</v>
      </c>
      <c r="I39" s="2">
        <v>139</v>
      </c>
      <c r="J39" s="2">
        <v>2</v>
      </c>
      <c r="K39" s="2">
        <v>1</v>
      </c>
      <c r="L39" s="2">
        <v>1.4630000000000001</v>
      </c>
      <c r="M39" s="2">
        <v>1</v>
      </c>
    </row>
    <row r="40" spans="1:25" ht="14.25" customHeight="1">
      <c r="A40" s="2">
        <v>23</v>
      </c>
      <c r="B40" s="2">
        <v>39</v>
      </c>
      <c r="C40" s="2">
        <v>6</v>
      </c>
      <c r="E40" s="2">
        <v>2</v>
      </c>
      <c r="H40" s="2">
        <v>23</v>
      </c>
      <c r="I40" s="2">
        <v>140</v>
      </c>
      <c r="J40" s="2">
        <v>7</v>
      </c>
      <c r="K40" s="2">
        <v>1</v>
      </c>
      <c r="L40" s="2">
        <v>1.1359999999999999</v>
      </c>
      <c r="M40" s="2">
        <v>1</v>
      </c>
    </row>
    <row r="41" spans="1:25" ht="14.25" customHeight="1">
      <c r="A41" s="2">
        <v>23</v>
      </c>
      <c r="B41" s="2">
        <v>40</v>
      </c>
      <c r="C41" s="2">
        <v>1</v>
      </c>
      <c r="E41" s="2">
        <v>2</v>
      </c>
      <c r="H41" s="2">
        <v>23</v>
      </c>
      <c r="I41" s="2">
        <v>141</v>
      </c>
      <c r="J41" s="2">
        <v>5</v>
      </c>
      <c r="K41" s="2">
        <v>1</v>
      </c>
      <c r="L41" s="2">
        <v>0.92500000000000004</v>
      </c>
      <c r="M41" s="2">
        <v>2</v>
      </c>
    </row>
    <row r="42" spans="1:25" ht="14.25" customHeight="1">
      <c r="A42" s="2">
        <v>23</v>
      </c>
      <c r="B42" s="2">
        <v>41</v>
      </c>
      <c r="C42" s="2">
        <v>8</v>
      </c>
      <c r="D42" s="2">
        <v>0</v>
      </c>
      <c r="E42" s="2">
        <v>1.3009999999999999</v>
      </c>
      <c r="F42" s="2">
        <v>1</v>
      </c>
      <c r="H42" s="2">
        <v>23</v>
      </c>
      <c r="I42" s="2">
        <v>142</v>
      </c>
      <c r="J42" s="2">
        <v>2</v>
      </c>
      <c r="K42" s="2">
        <v>1</v>
      </c>
      <c r="L42" s="2">
        <v>1.069</v>
      </c>
      <c r="M42" s="2">
        <v>2</v>
      </c>
    </row>
    <row r="43" spans="1:25" ht="14.25" customHeight="1">
      <c r="A43" s="2">
        <v>23</v>
      </c>
      <c r="B43" s="2">
        <v>42</v>
      </c>
      <c r="C43" s="2">
        <v>4</v>
      </c>
      <c r="D43" s="2">
        <v>0</v>
      </c>
      <c r="E43" s="2">
        <v>1.3069999999999999</v>
      </c>
      <c r="F43" s="2">
        <v>1</v>
      </c>
      <c r="H43" s="2">
        <v>23</v>
      </c>
      <c r="I43" s="2">
        <v>143</v>
      </c>
      <c r="J43" s="2">
        <v>1</v>
      </c>
      <c r="K43" s="2">
        <v>1</v>
      </c>
      <c r="L43" s="2">
        <v>1.4930000000000001</v>
      </c>
      <c r="M43" s="2">
        <v>1</v>
      </c>
    </row>
    <row r="44" spans="1:25" ht="14.25" customHeight="1">
      <c r="A44" s="2">
        <v>23</v>
      </c>
      <c r="B44" s="2">
        <v>43</v>
      </c>
      <c r="C44" s="2">
        <v>5</v>
      </c>
      <c r="D44" s="2">
        <v>1</v>
      </c>
      <c r="E44" s="2">
        <v>1.115</v>
      </c>
      <c r="F44" s="2">
        <v>1</v>
      </c>
      <c r="H44" s="2">
        <v>23</v>
      </c>
      <c r="I44" s="2">
        <v>144</v>
      </c>
      <c r="J44" s="2">
        <v>6</v>
      </c>
      <c r="K44" s="2">
        <v>0</v>
      </c>
      <c r="L44" s="2">
        <v>1.4450000000000001</v>
      </c>
      <c r="M44" s="2">
        <v>1</v>
      </c>
    </row>
    <row r="45" spans="1:25" ht="14.25" customHeight="1">
      <c r="A45" s="2">
        <v>23</v>
      </c>
      <c r="B45" s="2">
        <v>44</v>
      </c>
      <c r="C45" s="2">
        <v>2</v>
      </c>
      <c r="D45" s="2">
        <v>1</v>
      </c>
      <c r="E45" s="2">
        <v>0.66</v>
      </c>
      <c r="F45" s="2">
        <v>2</v>
      </c>
      <c r="H45" s="2">
        <v>23</v>
      </c>
      <c r="I45" s="2">
        <v>145</v>
      </c>
      <c r="J45" s="2">
        <v>8</v>
      </c>
      <c r="K45" s="2">
        <v>0</v>
      </c>
      <c r="L45" s="2">
        <v>1.44</v>
      </c>
      <c r="M45" s="2">
        <v>2</v>
      </c>
    </row>
    <row r="46" spans="1:25" ht="14.25" customHeight="1">
      <c r="A46" s="2">
        <v>23</v>
      </c>
      <c r="B46" s="2">
        <v>45</v>
      </c>
      <c r="C46" s="2">
        <v>3</v>
      </c>
      <c r="D46" s="2">
        <v>1</v>
      </c>
      <c r="E46" s="2">
        <v>0.94099999999999995</v>
      </c>
      <c r="F46" s="2">
        <v>1</v>
      </c>
      <c r="H46" s="2">
        <v>23</v>
      </c>
      <c r="I46" s="2">
        <v>146</v>
      </c>
      <c r="J46" s="2">
        <v>3</v>
      </c>
      <c r="K46" s="2">
        <v>1</v>
      </c>
      <c r="L46" s="2">
        <v>0.85099999999999998</v>
      </c>
      <c r="M46" s="2">
        <v>2</v>
      </c>
    </row>
    <row r="47" spans="1:25" ht="14.25" customHeight="1">
      <c r="A47" s="2">
        <v>23</v>
      </c>
      <c r="B47" s="2">
        <v>46</v>
      </c>
      <c r="C47" s="2">
        <v>7</v>
      </c>
      <c r="D47" s="2">
        <v>0</v>
      </c>
      <c r="E47" s="2">
        <v>0.78</v>
      </c>
      <c r="F47" s="2">
        <v>1</v>
      </c>
      <c r="H47" s="2">
        <v>23</v>
      </c>
      <c r="I47" s="2">
        <v>147</v>
      </c>
      <c r="J47" s="2">
        <v>8</v>
      </c>
      <c r="K47" s="2">
        <v>0</v>
      </c>
      <c r="L47" s="2">
        <v>1.3160000000000001</v>
      </c>
      <c r="M47" s="2">
        <v>2</v>
      </c>
    </row>
    <row r="48" spans="1:25" ht="14.25" customHeight="1">
      <c r="A48" s="2">
        <v>23</v>
      </c>
      <c r="B48" s="2">
        <v>47</v>
      </c>
      <c r="C48" s="2">
        <v>5</v>
      </c>
      <c r="D48" s="2">
        <v>1</v>
      </c>
      <c r="E48" s="2">
        <v>1.2250000000000001</v>
      </c>
      <c r="F48" s="2">
        <v>1</v>
      </c>
      <c r="H48" s="2">
        <v>23</v>
      </c>
      <c r="I48" s="2">
        <v>148</v>
      </c>
      <c r="J48" s="2">
        <v>7</v>
      </c>
      <c r="K48" s="2">
        <v>1</v>
      </c>
      <c r="L48" s="2">
        <v>0.77100000000000002</v>
      </c>
      <c r="M48" s="2">
        <v>2</v>
      </c>
    </row>
    <row r="49" spans="1:13" ht="14.25" customHeight="1">
      <c r="A49" s="2">
        <v>23</v>
      </c>
      <c r="B49" s="2">
        <v>48</v>
      </c>
      <c r="C49" s="2">
        <v>7</v>
      </c>
      <c r="D49" s="2">
        <v>1</v>
      </c>
      <c r="E49" s="2">
        <v>1.2270000000000001</v>
      </c>
      <c r="F49" s="2">
        <v>2</v>
      </c>
      <c r="H49" s="2">
        <v>23</v>
      </c>
      <c r="I49" s="2">
        <v>149</v>
      </c>
      <c r="J49" s="2">
        <v>8</v>
      </c>
      <c r="K49" s="2">
        <v>1</v>
      </c>
      <c r="L49" s="2">
        <v>1.256</v>
      </c>
      <c r="M49" s="2">
        <v>1</v>
      </c>
    </row>
    <row r="50" spans="1:13" ht="14.25" customHeight="1">
      <c r="A50" s="2">
        <v>23</v>
      </c>
      <c r="B50" s="2">
        <v>49</v>
      </c>
      <c r="C50" s="2">
        <v>5</v>
      </c>
      <c r="D50" s="2">
        <v>1</v>
      </c>
      <c r="E50" s="2">
        <v>0.54300000000000004</v>
      </c>
      <c r="F50" s="2">
        <v>1</v>
      </c>
      <c r="H50" s="2">
        <v>23</v>
      </c>
      <c r="I50" s="2">
        <v>150</v>
      </c>
      <c r="J50" s="2">
        <v>4</v>
      </c>
      <c r="K50" s="2">
        <v>0</v>
      </c>
      <c r="L50" s="2">
        <v>1.538</v>
      </c>
      <c r="M50" s="2">
        <v>1</v>
      </c>
    </row>
    <row r="51" spans="1:13" ht="14.25" customHeight="1">
      <c r="A51" s="2">
        <v>23</v>
      </c>
      <c r="B51" s="2">
        <v>50</v>
      </c>
      <c r="C51" s="2">
        <v>2</v>
      </c>
      <c r="D51" s="2">
        <v>0</v>
      </c>
      <c r="E51" s="2">
        <v>0.78100000000000003</v>
      </c>
      <c r="F51" s="2">
        <v>1</v>
      </c>
    </row>
    <row r="52" spans="1:13" ht="14.25" customHeight="1">
      <c r="A52" s="2">
        <v>23</v>
      </c>
      <c r="B52" s="2">
        <v>51</v>
      </c>
      <c r="C52" s="2">
        <v>1</v>
      </c>
      <c r="E52" s="2">
        <v>2</v>
      </c>
    </row>
    <row r="53" spans="1:13" ht="14.25" customHeight="1">
      <c r="A53" s="2">
        <v>23</v>
      </c>
      <c r="B53" s="2">
        <v>52</v>
      </c>
      <c r="C53" s="2">
        <v>2</v>
      </c>
      <c r="E53" s="2">
        <v>2.0009999999999999</v>
      </c>
    </row>
    <row r="54" spans="1:13" ht="14.25" customHeight="1">
      <c r="A54" s="2">
        <v>23</v>
      </c>
      <c r="B54" s="2">
        <v>53</v>
      </c>
      <c r="C54" s="2">
        <v>1</v>
      </c>
      <c r="E54" s="2">
        <v>2</v>
      </c>
    </row>
    <row r="55" spans="1:13" ht="14.25" customHeight="1">
      <c r="A55" s="2">
        <v>23</v>
      </c>
      <c r="B55" s="2">
        <v>54</v>
      </c>
      <c r="C55" s="2">
        <v>3</v>
      </c>
      <c r="D55" s="2">
        <v>0</v>
      </c>
      <c r="E55" s="2">
        <v>1.1319999999999999</v>
      </c>
      <c r="F55" s="2">
        <v>1</v>
      </c>
    </row>
    <row r="56" spans="1:13" ht="14.25" customHeight="1">
      <c r="A56" s="2">
        <v>23</v>
      </c>
      <c r="B56" s="2">
        <v>55</v>
      </c>
      <c r="C56" s="2">
        <v>1</v>
      </c>
      <c r="D56" s="2">
        <v>1</v>
      </c>
      <c r="E56" s="2">
        <v>1.1140000000000001</v>
      </c>
      <c r="F56" s="2">
        <v>2</v>
      </c>
    </row>
    <row r="57" spans="1:13" ht="14.25" customHeight="1">
      <c r="A57" s="2">
        <v>23</v>
      </c>
      <c r="B57" s="2">
        <v>56</v>
      </c>
      <c r="C57" s="2">
        <v>5</v>
      </c>
      <c r="E57" s="2">
        <v>2</v>
      </c>
    </row>
    <row r="58" spans="1:13" ht="14.25" customHeight="1">
      <c r="A58" s="2">
        <v>23</v>
      </c>
      <c r="B58" s="2">
        <v>57</v>
      </c>
      <c r="C58" s="2">
        <v>4</v>
      </c>
      <c r="D58" s="2">
        <v>0</v>
      </c>
      <c r="E58" s="2">
        <v>0.68700000000000006</v>
      </c>
      <c r="F58" s="2">
        <v>2</v>
      </c>
    </row>
    <row r="59" spans="1:13" ht="14.25" customHeight="1">
      <c r="A59" s="2">
        <v>23</v>
      </c>
      <c r="B59" s="2">
        <v>58</v>
      </c>
      <c r="C59" s="2">
        <v>2</v>
      </c>
      <c r="D59" s="2">
        <v>0</v>
      </c>
      <c r="E59" s="2">
        <v>1.014</v>
      </c>
      <c r="F59" s="2">
        <v>1</v>
      </c>
    </row>
    <row r="60" spans="1:13" ht="14.25" customHeight="1">
      <c r="A60" s="2">
        <v>23</v>
      </c>
      <c r="B60" s="2">
        <v>59</v>
      </c>
      <c r="C60" s="2">
        <v>5</v>
      </c>
      <c r="D60" s="2">
        <v>1</v>
      </c>
      <c r="E60" s="2">
        <v>0.93</v>
      </c>
      <c r="F60" s="2">
        <v>1</v>
      </c>
    </row>
    <row r="61" spans="1:13" ht="14.25" customHeight="1">
      <c r="A61" s="2">
        <v>23</v>
      </c>
      <c r="B61" s="2">
        <v>60</v>
      </c>
      <c r="C61" s="2">
        <v>7</v>
      </c>
      <c r="D61" s="2">
        <v>1</v>
      </c>
      <c r="E61" s="2">
        <v>1.161</v>
      </c>
      <c r="F61" s="2">
        <v>1</v>
      </c>
    </row>
    <row r="62" spans="1:13" ht="14.25" customHeight="1">
      <c r="A62" s="2">
        <v>23</v>
      </c>
      <c r="B62" s="2">
        <v>61</v>
      </c>
      <c r="C62" s="2">
        <v>1</v>
      </c>
      <c r="D62" s="2">
        <v>1</v>
      </c>
      <c r="E62" s="2">
        <v>0.96399999999999997</v>
      </c>
      <c r="F62" s="2">
        <v>2</v>
      </c>
    </row>
    <row r="63" spans="1:13" ht="14.25" customHeight="1">
      <c r="A63" s="2">
        <v>23</v>
      </c>
      <c r="B63" s="2">
        <v>62</v>
      </c>
      <c r="C63" s="2">
        <v>4</v>
      </c>
      <c r="D63" s="2">
        <v>0</v>
      </c>
      <c r="E63" s="2">
        <v>1.018</v>
      </c>
      <c r="F63" s="2">
        <v>2</v>
      </c>
    </row>
    <row r="64" spans="1:13" ht="14.25" customHeight="1">
      <c r="A64" s="2">
        <v>23</v>
      </c>
      <c r="B64" s="2">
        <v>63</v>
      </c>
      <c r="C64" s="2">
        <v>6</v>
      </c>
      <c r="D64" s="2">
        <v>1</v>
      </c>
      <c r="E64" s="2">
        <v>1.3089999999999999</v>
      </c>
      <c r="F64" s="2">
        <v>1</v>
      </c>
    </row>
    <row r="65" spans="1:6" ht="14.25" customHeight="1">
      <c r="A65" s="2">
        <v>23</v>
      </c>
      <c r="B65" s="2">
        <v>64</v>
      </c>
      <c r="C65" s="2">
        <v>5</v>
      </c>
      <c r="D65" s="2">
        <v>0</v>
      </c>
      <c r="E65" s="2">
        <v>1.1659999999999999</v>
      </c>
      <c r="F65" s="2">
        <v>2</v>
      </c>
    </row>
    <row r="66" spans="1:6" ht="14.25" customHeight="1">
      <c r="A66" s="2">
        <v>23</v>
      </c>
      <c r="B66" s="2">
        <v>65</v>
      </c>
      <c r="C66" s="2">
        <v>7</v>
      </c>
      <c r="D66" s="2">
        <v>1</v>
      </c>
      <c r="E66" s="2">
        <v>1.3149999999999999</v>
      </c>
      <c r="F66" s="2">
        <v>2</v>
      </c>
    </row>
    <row r="67" spans="1:6" ht="14.25" customHeight="1">
      <c r="A67" s="2">
        <v>23</v>
      </c>
      <c r="B67" s="2">
        <v>66</v>
      </c>
      <c r="C67" s="2">
        <v>6</v>
      </c>
      <c r="D67" s="2">
        <v>1</v>
      </c>
      <c r="E67" s="2">
        <v>1.0109999999999999</v>
      </c>
      <c r="F67" s="2">
        <v>2</v>
      </c>
    </row>
    <row r="68" spans="1:6" ht="14.25" customHeight="1">
      <c r="A68" s="2">
        <v>23</v>
      </c>
      <c r="B68" s="2">
        <v>67</v>
      </c>
      <c r="C68" s="2">
        <v>7</v>
      </c>
      <c r="D68" s="2">
        <v>1</v>
      </c>
      <c r="E68" s="2">
        <v>0.76700000000000002</v>
      </c>
      <c r="F68" s="2">
        <v>1</v>
      </c>
    </row>
    <row r="69" spans="1:6" ht="14.25" customHeight="1">
      <c r="A69" s="2">
        <v>23</v>
      </c>
      <c r="B69" s="2">
        <v>68</v>
      </c>
      <c r="C69" s="2">
        <v>8</v>
      </c>
      <c r="D69" s="2">
        <v>1</v>
      </c>
      <c r="E69" s="2">
        <v>0.95599999999999996</v>
      </c>
      <c r="F69" s="2">
        <v>2</v>
      </c>
    </row>
    <row r="70" spans="1:6" ht="14.25" customHeight="1">
      <c r="A70" s="2">
        <v>23</v>
      </c>
      <c r="B70" s="2">
        <v>69</v>
      </c>
      <c r="C70" s="2">
        <v>6</v>
      </c>
      <c r="D70" s="2">
        <v>1</v>
      </c>
      <c r="E70" s="2">
        <v>1.401</v>
      </c>
      <c r="F70" s="2">
        <v>2</v>
      </c>
    </row>
    <row r="71" spans="1:6" ht="14.25" customHeight="1">
      <c r="A71" s="2">
        <v>23</v>
      </c>
      <c r="B71" s="2">
        <v>70</v>
      </c>
      <c r="C71" s="2">
        <v>2</v>
      </c>
      <c r="D71" s="2">
        <v>1</v>
      </c>
      <c r="E71" s="2">
        <v>0.90200000000000002</v>
      </c>
      <c r="F71" s="2">
        <v>2</v>
      </c>
    </row>
    <row r="72" spans="1:6" ht="14.25" customHeight="1">
      <c r="A72" s="2">
        <v>23</v>
      </c>
      <c r="B72" s="2">
        <v>71</v>
      </c>
      <c r="C72" s="2">
        <v>7</v>
      </c>
      <c r="D72" s="2">
        <v>1</v>
      </c>
      <c r="E72" s="2">
        <v>0.80600000000000005</v>
      </c>
      <c r="F72" s="2">
        <v>2</v>
      </c>
    </row>
    <row r="73" spans="1:6" ht="14.25" customHeight="1">
      <c r="A73" s="2">
        <v>23</v>
      </c>
      <c r="B73" s="2">
        <v>72</v>
      </c>
      <c r="C73" s="2">
        <v>3</v>
      </c>
      <c r="D73" s="2">
        <v>1</v>
      </c>
      <c r="E73" s="2">
        <v>1.115</v>
      </c>
      <c r="F73" s="2">
        <v>1</v>
      </c>
    </row>
    <row r="74" spans="1:6" ht="14.25" customHeight="1">
      <c r="A74" s="2">
        <v>23</v>
      </c>
      <c r="B74" s="2">
        <v>73</v>
      </c>
      <c r="C74" s="2">
        <v>7</v>
      </c>
      <c r="D74" s="2">
        <v>0</v>
      </c>
      <c r="E74" s="2">
        <v>1.298</v>
      </c>
      <c r="F74" s="2">
        <v>2</v>
      </c>
    </row>
    <row r="75" spans="1:6" ht="14.25" customHeight="1">
      <c r="A75" s="2">
        <v>23</v>
      </c>
      <c r="B75" s="2">
        <v>74</v>
      </c>
      <c r="C75" s="2">
        <v>4</v>
      </c>
      <c r="D75" s="2">
        <v>0</v>
      </c>
      <c r="E75" s="2">
        <v>1.8720000000000001</v>
      </c>
      <c r="F75" s="2">
        <v>2</v>
      </c>
    </row>
    <row r="76" spans="1:6" ht="14.25" customHeight="1">
      <c r="A76" s="2">
        <v>23</v>
      </c>
      <c r="B76" s="2">
        <v>75</v>
      </c>
      <c r="C76" s="2">
        <v>8</v>
      </c>
      <c r="D76" s="2">
        <v>0</v>
      </c>
      <c r="E76" s="2">
        <v>1.411</v>
      </c>
      <c r="F76" s="2">
        <v>1</v>
      </c>
    </row>
    <row r="77" spans="1:6" ht="14.25" customHeight="1">
      <c r="A77" s="2">
        <v>23</v>
      </c>
      <c r="B77" s="2">
        <v>76</v>
      </c>
      <c r="C77" s="2">
        <v>1</v>
      </c>
      <c r="D77" s="2">
        <v>1</v>
      </c>
      <c r="E77" s="2">
        <v>1.423</v>
      </c>
      <c r="F77" s="2">
        <v>1</v>
      </c>
    </row>
    <row r="78" spans="1:6" ht="14.25" customHeight="1">
      <c r="A78" s="2">
        <v>23</v>
      </c>
      <c r="B78" s="2">
        <v>77</v>
      </c>
      <c r="C78" s="2">
        <v>5</v>
      </c>
      <c r="D78" s="2">
        <v>1</v>
      </c>
      <c r="E78" s="2">
        <v>1.2889999999999999</v>
      </c>
      <c r="F78" s="2">
        <v>2</v>
      </c>
    </row>
    <row r="79" spans="1:6" ht="14.25" customHeight="1">
      <c r="A79" s="2">
        <v>23</v>
      </c>
      <c r="B79" s="2">
        <v>78</v>
      </c>
      <c r="C79" s="2">
        <v>3</v>
      </c>
      <c r="D79" s="2">
        <v>1</v>
      </c>
      <c r="E79" s="2">
        <v>1.371</v>
      </c>
      <c r="F79" s="2">
        <v>2</v>
      </c>
    </row>
    <row r="80" spans="1:6" ht="14.25" customHeight="1">
      <c r="A80" s="2">
        <v>23</v>
      </c>
      <c r="B80" s="2">
        <v>79</v>
      </c>
      <c r="C80" s="2">
        <v>2</v>
      </c>
      <c r="D80" s="2">
        <v>0</v>
      </c>
      <c r="E80" s="2">
        <v>1.744</v>
      </c>
      <c r="F80" s="2">
        <v>1</v>
      </c>
    </row>
    <row r="81" spans="1:6" ht="14.25" customHeight="1">
      <c r="A81" s="2">
        <v>23</v>
      </c>
      <c r="B81" s="2">
        <v>80</v>
      </c>
      <c r="C81" s="2">
        <v>3</v>
      </c>
      <c r="D81" s="2">
        <v>1</v>
      </c>
      <c r="E81" s="2">
        <v>1.4139999999999999</v>
      </c>
      <c r="F81" s="2">
        <v>1</v>
      </c>
    </row>
    <row r="82" spans="1:6" ht="14.25" customHeight="1">
      <c r="A82" s="2">
        <v>23</v>
      </c>
      <c r="B82" s="2">
        <v>81</v>
      </c>
      <c r="C82" s="2">
        <v>6</v>
      </c>
      <c r="D82" s="2">
        <v>1</v>
      </c>
      <c r="E82" s="2">
        <v>0.97</v>
      </c>
      <c r="F82" s="2">
        <v>2</v>
      </c>
    </row>
    <row r="83" spans="1:6" ht="14.25" customHeight="1">
      <c r="A83" s="2">
        <v>23</v>
      </c>
      <c r="B83" s="2">
        <v>82</v>
      </c>
      <c r="C83" s="2">
        <v>7</v>
      </c>
      <c r="D83" s="2">
        <v>1</v>
      </c>
      <c r="E83" s="2">
        <v>1.5029999999999999</v>
      </c>
      <c r="F83" s="2">
        <v>1</v>
      </c>
    </row>
    <row r="84" spans="1:6" ht="14.25" customHeight="1">
      <c r="A84" s="2">
        <v>23</v>
      </c>
      <c r="B84" s="2">
        <v>83</v>
      </c>
      <c r="C84" s="2">
        <v>2</v>
      </c>
      <c r="D84" s="2">
        <v>1</v>
      </c>
      <c r="E84" s="2">
        <v>0.81499999999999995</v>
      </c>
      <c r="F84" s="2">
        <v>2</v>
      </c>
    </row>
    <row r="85" spans="1:6" ht="14.25" customHeight="1">
      <c r="A85" s="2">
        <v>23</v>
      </c>
      <c r="B85" s="2">
        <v>84</v>
      </c>
      <c r="C85" s="2">
        <v>1</v>
      </c>
      <c r="D85" s="2">
        <v>1</v>
      </c>
      <c r="E85" s="2">
        <v>1.587</v>
      </c>
      <c r="F85" s="2">
        <v>1</v>
      </c>
    </row>
    <row r="86" spans="1:6" ht="14.25" customHeight="1">
      <c r="A86" s="2">
        <v>23</v>
      </c>
      <c r="B86" s="2">
        <v>85</v>
      </c>
      <c r="C86" s="2">
        <v>7</v>
      </c>
      <c r="D86" s="2">
        <v>1</v>
      </c>
      <c r="E86" s="2">
        <v>1.127</v>
      </c>
      <c r="F86" s="2">
        <v>2</v>
      </c>
    </row>
    <row r="87" spans="1:6" ht="14.25" customHeight="1">
      <c r="A87" s="2">
        <v>23</v>
      </c>
      <c r="B87" s="2">
        <v>86</v>
      </c>
      <c r="C87" s="2">
        <v>2</v>
      </c>
      <c r="D87" s="2">
        <v>1</v>
      </c>
      <c r="E87" s="2">
        <v>1.2789999999999999</v>
      </c>
      <c r="F87" s="2">
        <v>1</v>
      </c>
    </row>
    <row r="88" spans="1:6" ht="14.25" customHeight="1">
      <c r="A88" s="2">
        <v>23</v>
      </c>
      <c r="B88" s="2">
        <v>87</v>
      </c>
      <c r="C88" s="2">
        <v>6</v>
      </c>
      <c r="D88" s="2">
        <v>0</v>
      </c>
      <c r="E88" s="2">
        <v>1.607</v>
      </c>
      <c r="F88" s="2">
        <v>2</v>
      </c>
    </row>
    <row r="89" spans="1:6" ht="14.25" customHeight="1">
      <c r="A89" s="2">
        <v>23</v>
      </c>
      <c r="B89" s="2">
        <v>88</v>
      </c>
      <c r="C89" s="2">
        <v>4</v>
      </c>
      <c r="E89" s="2">
        <v>2</v>
      </c>
    </row>
    <row r="90" spans="1:6" ht="14.25" customHeight="1">
      <c r="A90" s="2">
        <v>23</v>
      </c>
      <c r="B90" s="2">
        <v>89</v>
      </c>
      <c r="C90" s="2">
        <v>5</v>
      </c>
      <c r="D90" s="2">
        <v>1</v>
      </c>
      <c r="E90" s="2">
        <v>1.1439999999999999</v>
      </c>
      <c r="F90" s="2">
        <v>1</v>
      </c>
    </row>
    <row r="91" spans="1:6" ht="14.25" customHeight="1">
      <c r="A91" s="2">
        <v>23</v>
      </c>
      <c r="B91" s="2">
        <v>90</v>
      </c>
      <c r="C91" s="2">
        <v>6</v>
      </c>
      <c r="D91" s="2">
        <v>1</v>
      </c>
      <c r="E91" s="2">
        <v>1.109</v>
      </c>
      <c r="F91" s="2">
        <v>1</v>
      </c>
    </row>
    <row r="92" spans="1:6" ht="14.25" customHeight="1">
      <c r="A92" s="2">
        <v>23</v>
      </c>
      <c r="B92" s="2">
        <v>91</v>
      </c>
      <c r="C92" s="2">
        <v>8</v>
      </c>
      <c r="D92" s="2">
        <v>1</v>
      </c>
      <c r="E92" s="2">
        <v>0.47</v>
      </c>
      <c r="F92" s="2">
        <v>2</v>
      </c>
    </row>
    <row r="93" spans="1:6" ht="14.25" customHeight="1">
      <c r="A93" s="2">
        <v>23</v>
      </c>
      <c r="B93" s="2">
        <v>92</v>
      </c>
      <c r="C93" s="2">
        <v>3</v>
      </c>
      <c r="D93" s="2">
        <v>1</v>
      </c>
      <c r="E93" s="2">
        <v>0.63900000000000001</v>
      </c>
      <c r="F93" s="2">
        <v>2</v>
      </c>
    </row>
    <row r="94" spans="1:6" ht="14.25" customHeight="1">
      <c r="A94" s="2">
        <v>23</v>
      </c>
      <c r="B94" s="2">
        <v>93</v>
      </c>
      <c r="C94" s="2">
        <v>8</v>
      </c>
      <c r="D94" s="2">
        <v>0</v>
      </c>
      <c r="E94" s="2">
        <v>1.32</v>
      </c>
      <c r="F94" s="2">
        <v>2</v>
      </c>
    </row>
    <row r="95" spans="1:6" ht="14.25" customHeight="1">
      <c r="A95" s="2">
        <v>23</v>
      </c>
      <c r="B95" s="2">
        <v>94</v>
      </c>
      <c r="C95" s="2">
        <v>4</v>
      </c>
      <c r="D95" s="2">
        <v>0</v>
      </c>
      <c r="E95" s="2">
        <v>1.5509999999999999</v>
      </c>
      <c r="F95" s="2">
        <v>1</v>
      </c>
    </row>
    <row r="96" spans="1:6" ht="14.25" customHeight="1">
      <c r="A96" s="2">
        <v>23</v>
      </c>
      <c r="B96" s="2">
        <v>95</v>
      </c>
      <c r="C96" s="2">
        <v>5</v>
      </c>
      <c r="D96" s="2">
        <v>0</v>
      </c>
      <c r="E96" s="2">
        <v>1.175</v>
      </c>
      <c r="F96" s="2">
        <v>2</v>
      </c>
    </row>
    <row r="97" spans="1:6" ht="14.25" customHeight="1">
      <c r="A97" s="2">
        <v>23</v>
      </c>
      <c r="B97" s="2">
        <v>96</v>
      </c>
      <c r="C97" s="2">
        <v>8</v>
      </c>
      <c r="E97" s="2">
        <v>2</v>
      </c>
    </row>
    <row r="98" spans="1:6" ht="14.25" customHeight="1">
      <c r="A98" s="2">
        <v>23</v>
      </c>
      <c r="B98" s="2">
        <v>97</v>
      </c>
      <c r="C98" s="2">
        <v>4</v>
      </c>
      <c r="D98" s="2">
        <v>1</v>
      </c>
      <c r="E98" s="2">
        <v>0.91100000000000003</v>
      </c>
      <c r="F98" s="2">
        <v>1</v>
      </c>
    </row>
    <row r="99" spans="1:6" ht="14.25" customHeight="1">
      <c r="A99" s="2">
        <v>23</v>
      </c>
      <c r="B99" s="2">
        <v>98</v>
      </c>
      <c r="C99" s="2">
        <v>8</v>
      </c>
      <c r="D99" s="2">
        <v>1</v>
      </c>
      <c r="E99" s="2">
        <v>0.79</v>
      </c>
      <c r="F99" s="2">
        <v>2</v>
      </c>
    </row>
    <row r="100" spans="1:6" ht="14.25" customHeight="1">
      <c r="A100" s="2">
        <v>23</v>
      </c>
      <c r="B100" s="2">
        <v>99</v>
      </c>
      <c r="C100" s="2">
        <v>2</v>
      </c>
      <c r="D100" s="2">
        <v>0</v>
      </c>
      <c r="E100" s="2">
        <v>0.85099999999999998</v>
      </c>
      <c r="F100" s="2">
        <v>2</v>
      </c>
    </row>
    <row r="101" spans="1:6" ht="14.25" customHeight="1">
      <c r="A101" s="2">
        <v>23</v>
      </c>
      <c r="B101" s="2">
        <v>100</v>
      </c>
      <c r="C101" s="2">
        <v>3</v>
      </c>
      <c r="E101" s="2">
        <v>2.0009999999999999</v>
      </c>
    </row>
    <row r="102" spans="1:6" ht="14.25" customHeight="1">
      <c r="A102" s="2">
        <v>23</v>
      </c>
      <c r="B102" s="2">
        <v>101</v>
      </c>
      <c r="C102" s="2">
        <v>6</v>
      </c>
      <c r="D102" s="2">
        <v>1</v>
      </c>
      <c r="E102" s="2">
        <v>1.238</v>
      </c>
      <c r="F102" s="2">
        <v>2</v>
      </c>
    </row>
    <row r="103" spans="1:6" ht="14.25" customHeight="1">
      <c r="A103" s="2">
        <v>23</v>
      </c>
      <c r="B103" s="2">
        <v>102</v>
      </c>
      <c r="C103" s="2">
        <v>4</v>
      </c>
      <c r="D103" s="2">
        <v>0</v>
      </c>
      <c r="E103" s="2">
        <v>0.77600000000000002</v>
      </c>
      <c r="F103" s="2">
        <v>1</v>
      </c>
    </row>
    <row r="104" spans="1:6" ht="14.25" customHeight="1">
      <c r="A104" s="2">
        <v>23</v>
      </c>
      <c r="B104" s="2">
        <v>103</v>
      </c>
      <c r="C104" s="2">
        <v>3</v>
      </c>
      <c r="D104" s="2">
        <v>1</v>
      </c>
      <c r="E104" s="2">
        <v>0.79900000000000004</v>
      </c>
      <c r="F104" s="2">
        <v>2</v>
      </c>
    </row>
    <row r="105" spans="1:6" ht="14.25" customHeight="1">
      <c r="A105" s="2">
        <v>23</v>
      </c>
      <c r="B105" s="2">
        <v>104</v>
      </c>
      <c r="C105" s="2">
        <v>6</v>
      </c>
      <c r="D105" s="2">
        <v>1</v>
      </c>
      <c r="E105" s="2">
        <v>0.94699999999999995</v>
      </c>
      <c r="F105" s="2">
        <v>2</v>
      </c>
    </row>
    <row r="106" spans="1:6" ht="14.25" customHeight="1">
      <c r="A106" s="2">
        <v>23</v>
      </c>
      <c r="B106" s="2">
        <v>105</v>
      </c>
      <c r="C106" s="2">
        <v>7</v>
      </c>
      <c r="D106" s="2">
        <v>0</v>
      </c>
      <c r="E106" s="2">
        <v>0.745</v>
      </c>
      <c r="F106" s="2">
        <v>1</v>
      </c>
    </row>
    <row r="107" spans="1:6" ht="14.25" customHeight="1">
      <c r="A107" s="2">
        <v>23</v>
      </c>
      <c r="B107" s="2">
        <v>106</v>
      </c>
      <c r="C107" s="2">
        <v>2</v>
      </c>
      <c r="D107" s="2">
        <v>0</v>
      </c>
      <c r="E107" s="2">
        <v>1.264</v>
      </c>
      <c r="F107" s="2">
        <v>2</v>
      </c>
    </row>
    <row r="108" spans="1:6" ht="14.25" customHeight="1">
      <c r="A108" s="2">
        <v>23</v>
      </c>
      <c r="B108" s="2">
        <v>107</v>
      </c>
      <c r="C108" s="2">
        <v>1</v>
      </c>
      <c r="D108" s="2">
        <v>0</v>
      </c>
      <c r="E108" s="2">
        <v>0.78500000000000003</v>
      </c>
      <c r="F108" s="2">
        <v>2</v>
      </c>
    </row>
    <row r="109" spans="1:6" ht="14.25" customHeight="1">
      <c r="A109" s="2">
        <v>23</v>
      </c>
      <c r="B109" s="2">
        <v>108</v>
      </c>
      <c r="C109" s="2">
        <v>7</v>
      </c>
      <c r="D109" s="2">
        <v>1</v>
      </c>
      <c r="E109" s="2">
        <v>1.365</v>
      </c>
      <c r="F109" s="2">
        <v>2</v>
      </c>
    </row>
    <row r="110" spans="1:6" ht="14.25" customHeight="1">
      <c r="A110" s="2">
        <v>23</v>
      </c>
      <c r="B110" s="2">
        <v>109</v>
      </c>
      <c r="C110" s="2">
        <v>1</v>
      </c>
      <c r="D110" s="2">
        <v>1</v>
      </c>
      <c r="E110" s="2">
        <v>1.1950000000000001</v>
      </c>
      <c r="F110" s="2">
        <v>1</v>
      </c>
    </row>
    <row r="111" spans="1:6" ht="14.25" customHeight="1">
      <c r="A111" s="2">
        <v>23</v>
      </c>
      <c r="B111" s="2">
        <v>110</v>
      </c>
      <c r="C111" s="2">
        <v>4</v>
      </c>
      <c r="D111" s="2">
        <v>0</v>
      </c>
      <c r="E111" s="2">
        <v>1.2070000000000001</v>
      </c>
      <c r="F111" s="2">
        <v>2</v>
      </c>
    </row>
    <row r="112" spans="1:6" ht="14.25" customHeight="1">
      <c r="A112" s="2">
        <v>23</v>
      </c>
      <c r="B112" s="2">
        <v>111</v>
      </c>
      <c r="C112" s="2">
        <v>2</v>
      </c>
      <c r="D112" s="2">
        <v>1</v>
      </c>
      <c r="E112" s="2">
        <v>1.569</v>
      </c>
      <c r="F112" s="2">
        <v>2</v>
      </c>
    </row>
    <row r="113" spans="1:6" ht="14.25" customHeight="1">
      <c r="A113" s="2">
        <v>23</v>
      </c>
      <c r="B113" s="2">
        <v>112</v>
      </c>
      <c r="C113" s="2">
        <v>3</v>
      </c>
      <c r="D113" s="2">
        <v>1</v>
      </c>
      <c r="E113" s="2">
        <v>1.367</v>
      </c>
      <c r="F113" s="2">
        <v>1</v>
      </c>
    </row>
    <row r="114" spans="1:6" ht="14.25" customHeight="1">
      <c r="A114" s="2">
        <v>23</v>
      </c>
      <c r="B114" s="2">
        <v>113</v>
      </c>
      <c r="C114" s="2">
        <v>5</v>
      </c>
      <c r="D114" s="2">
        <v>1</v>
      </c>
      <c r="E114" s="2">
        <v>1.9470000000000001</v>
      </c>
      <c r="F114" s="2">
        <v>1</v>
      </c>
    </row>
    <row r="115" spans="1:6" ht="14.25" customHeight="1">
      <c r="A115" s="2">
        <v>23</v>
      </c>
      <c r="B115" s="2">
        <v>114</v>
      </c>
      <c r="C115" s="2">
        <v>8</v>
      </c>
      <c r="E115" s="2">
        <v>2</v>
      </c>
    </row>
    <row r="116" spans="1:6" ht="14.25" customHeight="1">
      <c r="A116" s="2">
        <v>23</v>
      </c>
      <c r="B116" s="2">
        <v>115</v>
      </c>
      <c r="C116" s="2">
        <v>4</v>
      </c>
      <c r="D116" s="2">
        <v>1</v>
      </c>
      <c r="E116" s="2">
        <v>0.751</v>
      </c>
      <c r="F116" s="2">
        <v>2</v>
      </c>
    </row>
    <row r="117" spans="1:6" ht="14.25" customHeight="1">
      <c r="A117" s="2">
        <v>23</v>
      </c>
      <c r="B117" s="2">
        <v>116</v>
      </c>
      <c r="C117" s="2">
        <v>5</v>
      </c>
      <c r="D117" s="2">
        <v>1</v>
      </c>
      <c r="E117" s="2">
        <v>0.80300000000000005</v>
      </c>
      <c r="F117" s="2">
        <v>2</v>
      </c>
    </row>
    <row r="118" spans="1:6" ht="14.25" customHeight="1">
      <c r="A118" s="2">
        <v>23</v>
      </c>
      <c r="B118" s="2">
        <v>117</v>
      </c>
      <c r="C118" s="2">
        <v>1</v>
      </c>
      <c r="D118" s="2">
        <v>1</v>
      </c>
      <c r="E118" s="2">
        <v>1.121</v>
      </c>
      <c r="F118" s="2">
        <v>1</v>
      </c>
    </row>
    <row r="119" spans="1:6" ht="14.25" customHeight="1">
      <c r="A119" s="2">
        <v>23</v>
      </c>
      <c r="B119" s="2">
        <v>118</v>
      </c>
      <c r="C119" s="2">
        <v>7</v>
      </c>
      <c r="D119" s="2">
        <v>1</v>
      </c>
      <c r="E119" s="2">
        <v>0.67100000000000004</v>
      </c>
      <c r="F119" s="2">
        <v>2</v>
      </c>
    </row>
    <row r="120" spans="1:6" ht="14.25" customHeight="1">
      <c r="A120" s="2">
        <v>23</v>
      </c>
      <c r="B120" s="2">
        <v>119</v>
      </c>
      <c r="C120" s="2">
        <v>1</v>
      </c>
      <c r="D120" s="2">
        <v>0</v>
      </c>
      <c r="E120" s="2">
        <v>0.53700000000000003</v>
      </c>
      <c r="F120" s="2">
        <v>1</v>
      </c>
    </row>
    <row r="121" spans="1:6" ht="14.25" customHeight="1">
      <c r="A121" s="2">
        <v>23</v>
      </c>
      <c r="B121" s="2">
        <v>120</v>
      </c>
      <c r="C121" s="2">
        <v>3</v>
      </c>
      <c r="D121" s="2">
        <v>1</v>
      </c>
      <c r="E121" s="2">
        <v>0.67300000000000004</v>
      </c>
      <c r="F121" s="2">
        <v>2</v>
      </c>
    </row>
    <row r="122" spans="1:6" ht="14.25" customHeight="1">
      <c r="A122" s="2">
        <v>23</v>
      </c>
      <c r="B122" s="2">
        <v>121</v>
      </c>
      <c r="C122" s="2">
        <v>8</v>
      </c>
      <c r="D122" s="2">
        <v>1</v>
      </c>
      <c r="E122" s="2">
        <v>1.3049999999999999</v>
      </c>
      <c r="F122" s="2">
        <v>2</v>
      </c>
    </row>
    <row r="123" spans="1:6" ht="14.25" customHeight="1">
      <c r="A123" s="2">
        <v>23</v>
      </c>
      <c r="B123" s="2">
        <v>122</v>
      </c>
      <c r="C123" s="2">
        <v>2</v>
      </c>
      <c r="D123" s="2">
        <v>1</v>
      </c>
      <c r="E123" s="2">
        <v>1.242</v>
      </c>
      <c r="F123" s="2">
        <v>1</v>
      </c>
    </row>
    <row r="124" spans="1:6" ht="14.25" customHeight="1">
      <c r="A124" s="2">
        <v>23</v>
      </c>
      <c r="B124" s="2">
        <v>123</v>
      </c>
      <c r="C124" s="2">
        <v>3</v>
      </c>
      <c r="D124" s="2">
        <v>0</v>
      </c>
      <c r="E124" s="2">
        <v>0.70799999999999996</v>
      </c>
      <c r="F124" s="2">
        <v>2</v>
      </c>
    </row>
    <row r="125" spans="1:6" ht="14.25" customHeight="1">
      <c r="A125" s="2">
        <v>23</v>
      </c>
      <c r="B125" s="2">
        <v>124</v>
      </c>
      <c r="C125" s="2">
        <v>5</v>
      </c>
      <c r="D125" s="2">
        <v>1</v>
      </c>
      <c r="E125" s="2">
        <v>1.18</v>
      </c>
      <c r="F125" s="2">
        <v>1</v>
      </c>
    </row>
    <row r="126" spans="1:6" ht="14.25" customHeight="1">
      <c r="A126" s="2">
        <v>23</v>
      </c>
      <c r="B126" s="2">
        <v>125</v>
      </c>
      <c r="C126" s="2">
        <v>6</v>
      </c>
      <c r="D126" s="2">
        <v>1</v>
      </c>
      <c r="E126" s="2">
        <v>1.5609999999999999</v>
      </c>
      <c r="F126" s="2">
        <v>2</v>
      </c>
    </row>
    <row r="127" spans="1:6" ht="14.25" customHeight="1">
      <c r="A127" s="2">
        <v>23</v>
      </c>
      <c r="B127" s="2">
        <v>126</v>
      </c>
      <c r="C127" s="2">
        <v>5</v>
      </c>
      <c r="D127" s="2">
        <v>0</v>
      </c>
      <c r="E127" s="2">
        <v>1.583</v>
      </c>
      <c r="F127" s="2">
        <v>2</v>
      </c>
    </row>
    <row r="128" spans="1:6" ht="14.25" customHeight="1">
      <c r="A128" s="2">
        <v>23</v>
      </c>
      <c r="B128" s="2">
        <v>127</v>
      </c>
      <c r="C128" s="2">
        <v>7</v>
      </c>
      <c r="D128" s="2">
        <v>1</v>
      </c>
      <c r="E128" s="2">
        <v>0.86</v>
      </c>
      <c r="F128" s="2">
        <v>2</v>
      </c>
    </row>
    <row r="129" spans="1:6" ht="14.25" customHeight="1">
      <c r="A129" s="2">
        <v>23</v>
      </c>
      <c r="B129" s="2">
        <v>128</v>
      </c>
      <c r="C129" s="2">
        <v>2</v>
      </c>
      <c r="D129" s="2">
        <v>0</v>
      </c>
      <c r="E129" s="2">
        <v>1.1259999999999999</v>
      </c>
      <c r="F129" s="2">
        <v>1</v>
      </c>
    </row>
    <row r="130" spans="1:6" ht="14.25" customHeight="1">
      <c r="A130" s="2">
        <v>23</v>
      </c>
      <c r="B130" s="2">
        <v>129</v>
      </c>
      <c r="C130" s="2">
        <v>8</v>
      </c>
      <c r="D130" s="2">
        <v>0</v>
      </c>
      <c r="E130" s="2">
        <v>1.1240000000000001</v>
      </c>
      <c r="F130" s="2">
        <v>1</v>
      </c>
    </row>
    <row r="131" spans="1:6" ht="14.25" customHeight="1">
      <c r="A131" s="2">
        <v>23</v>
      </c>
      <c r="B131" s="2">
        <v>130</v>
      </c>
      <c r="C131" s="2">
        <v>4</v>
      </c>
      <c r="D131" s="2">
        <v>0</v>
      </c>
      <c r="E131" s="2">
        <v>1.645</v>
      </c>
      <c r="F131" s="2">
        <v>2</v>
      </c>
    </row>
    <row r="132" spans="1:6" ht="14.25" customHeight="1">
      <c r="A132" s="2">
        <v>23</v>
      </c>
      <c r="B132" s="2">
        <v>131</v>
      </c>
      <c r="C132" s="2">
        <v>2</v>
      </c>
      <c r="D132" s="2">
        <v>1</v>
      </c>
      <c r="E132" s="2">
        <v>1.1419999999999999</v>
      </c>
      <c r="F132" s="2">
        <v>2</v>
      </c>
    </row>
    <row r="133" spans="1:6" ht="14.25" customHeight="1">
      <c r="A133" s="2">
        <v>23</v>
      </c>
      <c r="B133" s="2">
        <v>132</v>
      </c>
      <c r="C133" s="2">
        <v>6</v>
      </c>
      <c r="D133" s="2">
        <v>1</v>
      </c>
      <c r="E133" s="2">
        <v>1.38</v>
      </c>
      <c r="F133" s="2">
        <v>1</v>
      </c>
    </row>
    <row r="134" spans="1:6" ht="14.25" customHeight="1">
      <c r="A134" s="2">
        <v>23</v>
      </c>
      <c r="B134" s="2">
        <v>133</v>
      </c>
      <c r="C134" s="2">
        <v>4</v>
      </c>
      <c r="D134" s="2">
        <v>1</v>
      </c>
      <c r="E134" s="2">
        <v>0.82499999999999996</v>
      </c>
      <c r="F134" s="2">
        <v>2</v>
      </c>
    </row>
    <row r="135" spans="1:6" ht="14.25" customHeight="1">
      <c r="A135" s="2">
        <v>23</v>
      </c>
      <c r="B135" s="2">
        <v>134</v>
      </c>
      <c r="C135" s="2">
        <v>1</v>
      </c>
      <c r="D135" s="2">
        <v>1</v>
      </c>
      <c r="E135" s="2">
        <v>1.7729999999999999</v>
      </c>
      <c r="F135" s="2">
        <v>1</v>
      </c>
    </row>
    <row r="136" spans="1:6" ht="14.25" customHeight="1">
      <c r="A136" s="2">
        <v>23</v>
      </c>
      <c r="B136" s="2">
        <v>135</v>
      </c>
      <c r="C136" s="2">
        <v>7</v>
      </c>
      <c r="D136" s="2">
        <v>1</v>
      </c>
      <c r="E136" s="2">
        <v>1.5620000000000001</v>
      </c>
      <c r="F136" s="2">
        <v>2</v>
      </c>
    </row>
    <row r="137" spans="1:6" ht="14.25" customHeight="1">
      <c r="A137" s="2">
        <v>23</v>
      </c>
      <c r="B137" s="2">
        <v>136</v>
      </c>
      <c r="C137" s="2">
        <v>6</v>
      </c>
      <c r="D137" s="2">
        <v>1</v>
      </c>
      <c r="E137" s="2">
        <v>1.272</v>
      </c>
      <c r="F137" s="2">
        <v>1</v>
      </c>
    </row>
    <row r="138" spans="1:6" ht="14.25" customHeight="1">
      <c r="A138" s="2">
        <v>23</v>
      </c>
      <c r="B138" s="2">
        <v>137</v>
      </c>
      <c r="C138" s="2">
        <v>5</v>
      </c>
      <c r="D138" s="2">
        <v>0</v>
      </c>
      <c r="E138" s="2">
        <v>1.4570000000000001</v>
      </c>
      <c r="F138" s="2">
        <v>2</v>
      </c>
    </row>
    <row r="139" spans="1:6" ht="14.25" customHeight="1">
      <c r="A139" s="2">
        <v>23</v>
      </c>
      <c r="B139" s="2">
        <v>138</v>
      </c>
      <c r="C139" s="2">
        <v>3</v>
      </c>
      <c r="D139" s="2">
        <v>1</v>
      </c>
      <c r="E139" s="2">
        <v>1.587</v>
      </c>
      <c r="F139" s="2">
        <v>1</v>
      </c>
    </row>
    <row r="140" spans="1:6" ht="14.25" customHeight="1">
      <c r="A140" s="2">
        <v>23</v>
      </c>
      <c r="B140" s="2">
        <v>139</v>
      </c>
      <c r="C140" s="2">
        <v>2</v>
      </c>
      <c r="D140" s="2">
        <v>1</v>
      </c>
      <c r="E140" s="2">
        <v>1.4630000000000001</v>
      </c>
      <c r="F140" s="2">
        <v>1</v>
      </c>
    </row>
    <row r="141" spans="1:6" ht="14.25" customHeight="1">
      <c r="A141" s="2">
        <v>23</v>
      </c>
      <c r="B141" s="2">
        <v>140</v>
      </c>
      <c r="C141" s="2">
        <v>7</v>
      </c>
      <c r="D141" s="2">
        <v>1</v>
      </c>
      <c r="E141" s="2">
        <v>1.1359999999999999</v>
      </c>
      <c r="F141" s="2">
        <v>1</v>
      </c>
    </row>
    <row r="142" spans="1:6" ht="14.25" customHeight="1">
      <c r="A142" s="2">
        <v>23</v>
      </c>
      <c r="B142" s="2">
        <v>141</v>
      </c>
      <c r="C142" s="2">
        <v>5</v>
      </c>
      <c r="D142" s="2">
        <v>1</v>
      </c>
      <c r="E142" s="2">
        <v>0.92500000000000004</v>
      </c>
      <c r="F142" s="2">
        <v>2</v>
      </c>
    </row>
    <row r="143" spans="1:6" ht="14.25" customHeight="1">
      <c r="A143" s="2">
        <v>23</v>
      </c>
      <c r="B143" s="2">
        <v>142</v>
      </c>
      <c r="C143" s="2">
        <v>2</v>
      </c>
      <c r="D143" s="2">
        <v>1</v>
      </c>
      <c r="E143" s="2">
        <v>1.069</v>
      </c>
      <c r="F143" s="2">
        <v>2</v>
      </c>
    </row>
    <row r="144" spans="1:6" ht="14.25" customHeight="1">
      <c r="A144" s="2">
        <v>23</v>
      </c>
      <c r="B144" s="2">
        <v>143</v>
      </c>
      <c r="C144" s="2">
        <v>1</v>
      </c>
      <c r="D144" s="2">
        <v>1</v>
      </c>
      <c r="E144" s="2">
        <v>1.4930000000000001</v>
      </c>
      <c r="F144" s="2">
        <v>1</v>
      </c>
    </row>
    <row r="145" spans="1:6" ht="14.25" customHeight="1">
      <c r="A145" s="2">
        <v>23</v>
      </c>
      <c r="B145" s="2">
        <v>144</v>
      </c>
      <c r="C145" s="2">
        <v>6</v>
      </c>
      <c r="D145" s="2">
        <v>0</v>
      </c>
      <c r="E145" s="2">
        <v>1.4450000000000001</v>
      </c>
      <c r="F145" s="2">
        <v>1</v>
      </c>
    </row>
    <row r="146" spans="1:6" ht="14.25" customHeight="1">
      <c r="A146" s="2">
        <v>23</v>
      </c>
      <c r="B146" s="2">
        <v>145</v>
      </c>
      <c r="C146" s="2">
        <v>8</v>
      </c>
      <c r="D146" s="2">
        <v>0</v>
      </c>
      <c r="E146" s="2">
        <v>1.44</v>
      </c>
      <c r="F146" s="2">
        <v>2</v>
      </c>
    </row>
    <row r="147" spans="1:6" ht="14.25" customHeight="1">
      <c r="A147" s="2">
        <v>23</v>
      </c>
      <c r="B147" s="2">
        <v>146</v>
      </c>
      <c r="C147" s="2">
        <v>3</v>
      </c>
      <c r="D147" s="2">
        <v>1</v>
      </c>
      <c r="E147" s="2">
        <v>0.85099999999999998</v>
      </c>
      <c r="F147" s="2">
        <v>2</v>
      </c>
    </row>
    <row r="148" spans="1:6" ht="14.25" customHeight="1">
      <c r="A148" s="2">
        <v>23</v>
      </c>
      <c r="B148" s="2">
        <v>147</v>
      </c>
      <c r="C148" s="2">
        <v>8</v>
      </c>
      <c r="D148" s="2">
        <v>0</v>
      </c>
      <c r="E148" s="2">
        <v>1.3160000000000001</v>
      </c>
      <c r="F148" s="2">
        <v>2</v>
      </c>
    </row>
    <row r="149" spans="1:6" ht="14.25" customHeight="1">
      <c r="A149" s="2">
        <v>23</v>
      </c>
      <c r="B149" s="2">
        <v>148</v>
      </c>
      <c r="C149" s="2">
        <v>7</v>
      </c>
      <c r="D149" s="2">
        <v>1</v>
      </c>
      <c r="E149" s="2">
        <v>0.77100000000000002</v>
      </c>
      <c r="F149" s="2">
        <v>2</v>
      </c>
    </row>
    <row r="150" spans="1:6" ht="14.25" customHeight="1">
      <c r="A150" s="2">
        <v>23</v>
      </c>
      <c r="B150" s="2">
        <v>149</v>
      </c>
      <c r="C150" s="2">
        <v>8</v>
      </c>
      <c r="D150" s="2">
        <v>1</v>
      </c>
      <c r="E150" s="2">
        <v>1.256</v>
      </c>
      <c r="F150" s="2">
        <v>1</v>
      </c>
    </row>
    <row r="151" spans="1:6" ht="14.25" customHeight="1">
      <c r="A151" s="2">
        <v>23</v>
      </c>
      <c r="B151" s="2">
        <v>150</v>
      </c>
      <c r="C151" s="2">
        <v>4</v>
      </c>
      <c r="D151" s="2">
        <v>0</v>
      </c>
      <c r="E151" s="2">
        <v>1.538</v>
      </c>
      <c r="F151" s="2">
        <v>1</v>
      </c>
    </row>
    <row r="152" spans="1:6" ht="14.25" customHeight="1">
      <c r="A152" s="2">
        <v>23</v>
      </c>
      <c r="B152" s="2">
        <v>151</v>
      </c>
      <c r="C152" s="2">
        <v>2</v>
      </c>
      <c r="D152" s="2">
        <v>1</v>
      </c>
      <c r="E152" s="2">
        <v>1.1579999999999999</v>
      </c>
      <c r="F152" s="2">
        <v>2</v>
      </c>
    </row>
    <row r="153" spans="1:6" ht="14.25" customHeight="1">
      <c r="A153" s="2">
        <v>23</v>
      </c>
      <c r="B153" s="2">
        <v>152</v>
      </c>
      <c r="C153" s="2">
        <v>6</v>
      </c>
      <c r="D153" s="2">
        <v>0</v>
      </c>
      <c r="E153" s="2">
        <v>1.524</v>
      </c>
      <c r="F153" s="2">
        <v>1</v>
      </c>
    </row>
    <row r="154" spans="1:6" ht="14.25" customHeight="1">
      <c r="A154" s="2">
        <v>23</v>
      </c>
      <c r="B154" s="2">
        <v>153</v>
      </c>
      <c r="C154" s="2">
        <v>1</v>
      </c>
      <c r="D154" s="2">
        <v>1</v>
      </c>
      <c r="E154" s="2">
        <v>1.0009999999999999</v>
      </c>
      <c r="F154" s="2">
        <v>2</v>
      </c>
    </row>
    <row r="155" spans="1:6" ht="14.25" customHeight="1">
      <c r="A155" s="2">
        <v>23</v>
      </c>
      <c r="B155" s="2">
        <v>154</v>
      </c>
      <c r="C155" s="2">
        <v>8</v>
      </c>
      <c r="D155" s="2">
        <v>1</v>
      </c>
      <c r="E155" s="2">
        <v>1.046</v>
      </c>
      <c r="F155" s="2">
        <v>2</v>
      </c>
    </row>
    <row r="156" spans="1:6" ht="14.25" customHeight="1">
      <c r="A156" s="2">
        <v>23</v>
      </c>
      <c r="B156" s="2">
        <v>155</v>
      </c>
      <c r="C156" s="2">
        <v>3</v>
      </c>
      <c r="D156" s="2">
        <v>0</v>
      </c>
      <c r="E156" s="2">
        <v>1.0009999999999999</v>
      </c>
      <c r="F156" s="2">
        <v>1</v>
      </c>
    </row>
    <row r="157" spans="1:6" ht="14.25" customHeight="1">
      <c r="A157" s="2">
        <v>23</v>
      </c>
      <c r="B157" s="2">
        <v>156</v>
      </c>
      <c r="C157" s="2">
        <v>7</v>
      </c>
      <c r="D157" s="2">
        <v>1</v>
      </c>
      <c r="E157" s="2">
        <v>1.58</v>
      </c>
      <c r="F157" s="2">
        <v>1</v>
      </c>
    </row>
    <row r="158" spans="1:6" ht="14.25" customHeight="1">
      <c r="A158" s="2">
        <v>23</v>
      </c>
      <c r="B158" s="2">
        <v>157</v>
      </c>
      <c r="C158" s="2">
        <v>5</v>
      </c>
      <c r="D158" s="2">
        <v>1</v>
      </c>
      <c r="E158" s="2">
        <v>1.208</v>
      </c>
      <c r="F158" s="2">
        <v>1</v>
      </c>
    </row>
    <row r="159" spans="1:6" ht="14.25" customHeight="1">
      <c r="A159" s="2">
        <v>23</v>
      </c>
      <c r="B159" s="2">
        <v>158</v>
      </c>
      <c r="C159" s="2">
        <v>6</v>
      </c>
      <c r="D159" s="2">
        <v>0</v>
      </c>
      <c r="E159" s="2">
        <v>1.605</v>
      </c>
      <c r="F159" s="2">
        <v>1</v>
      </c>
    </row>
    <row r="160" spans="1:6" ht="14.25" customHeight="1">
      <c r="A160" s="2">
        <v>23</v>
      </c>
      <c r="B160" s="2">
        <v>159</v>
      </c>
      <c r="C160" s="2">
        <v>2</v>
      </c>
      <c r="D160" s="2">
        <v>1</v>
      </c>
      <c r="E160" s="2">
        <v>1.3280000000000001</v>
      </c>
      <c r="F160" s="2">
        <v>1</v>
      </c>
    </row>
    <row r="161" spans="1:6" ht="14.25" customHeight="1">
      <c r="A161" s="2">
        <v>23</v>
      </c>
      <c r="B161" s="2">
        <v>160</v>
      </c>
      <c r="C161" s="2">
        <v>3</v>
      </c>
      <c r="D161" s="2">
        <v>1</v>
      </c>
      <c r="E161" s="2">
        <v>1.399</v>
      </c>
      <c r="F161" s="2">
        <v>1</v>
      </c>
    </row>
    <row r="162" spans="1:6" ht="14.25" customHeight="1">
      <c r="A162" s="2">
        <v>23</v>
      </c>
      <c r="B162" s="2">
        <v>161</v>
      </c>
      <c r="C162" s="2">
        <v>7</v>
      </c>
      <c r="D162" s="2">
        <v>1</v>
      </c>
      <c r="E162" s="2">
        <v>1.498</v>
      </c>
      <c r="F162" s="2">
        <v>2</v>
      </c>
    </row>
    <row r="163" spans="1:6" ht="14.25" customHeight="1">
      <c r="A163" s="2">
        <v>23</v>
      </c>
      <c r="B163" s="2">
        <v>162</v>
      </c>
      <c r="C163" s="2">
        <v>1</v>
      </c>
      <c r="D163" s="2">
        <v>1</v>
      </c>
      <c r="E163" s="2">
        <v>1.7470000000000001</v>
      </c>
      <c r="F163" s="2">
        <v>1</v>
      </c>
    </row>
    <row r="164" spans="1:6" ht="14.25" customHeight="1">
      <c r="A164" s="2">
        <v>23</v>
      </c>
      <c r="B164" s="2">
        <v>163</v>
      </c>
      <c r="C164" s="2">
        <v>4</v>
      </c>
      <c r="D164" s="2">
        <v>1</v>
      </c>
      <c r="E164" s="2">
        <v>1.8009999999999999</v>
      </c>
      <c r="F164" s="2">
        <v>1</v>
      </c>
    </row>
    <row r="165" spans="1:6" ht="14.25" customHeight="1">
      <c r="A165" s="2">
        <v>23</v>
      </c>
      <c r="B165" s="2">
        <v>164</v>
      </c>
      <c r="C165" s="2">
        <v>2</v>
      </c>
      <c r="D165" s="2">
        <v>1</v>
      </c>
      <c r="E165" s="2">
        <v>1.6040000000000001</v>
      </c>
      <c r="F165" s="2">
        <v>1</v>
      </c>
    </row>
    <row r="166" spans="1:6" ht="14.25" customHeight="1">
      <c r="A166" s="2">
        <v>23</v>
      </c>
      <c r="B166" s="2">
        <v>165</v>
      </c>
      <c r="C166" s="2">
        <v>4</v>
      </c>
      <c r="D166" s="2">
        <v>1</v>
      </c>
      <c r="E166" s="2">
        <v>0.76</v>
      </c>
      <c r="F166" s="2">
        <v>2</v>
      </c>
    </row>
    <row r="167" spans="1:6" ht="14.25" customHeight="1">
      <c r="A167" s="2">
        <v>23</v>
      </c>
      <c r="B167" s="2">
        <v>166</v>
      </c>
      <c r="C167" s="2">
        <v>6</v>
      </c>
      <c r="D167" s="2">
        <v>1</v>
      </c>
      <c r="E167" s="2">
        <v>1.1100000000000001</v>
      </c>
      <c r="F167" s="2">
        <v>2</v>
      </c>
    </row>
    <row r="168" spans="1:6" ht="14.25" customHeight="1">
      <c r="A168" s="2">
        <v>23</v>
      </c>
      <c r="B168" s="2">
        <v>167</v>
      </c>
      <c r="C168" s="2">
        <v>4</v>
      </c>
      <c r="D168" s="2">
        <v>1</v>
      </c>
      <c r="E168" s="2">
        <v>1.1339999999999999</v>
      </c>
      <c r="F168" s="2">
        <v>1</v>
      </c>
    </row>
    <row r="169" spans="1:6" ht="14.25" customHeight="1">
      <c r="A169" s="2">
        <v>23</v>
      </c>
      <c r="B169" s="2">
        <v>168</v>
      </c>
      <c r="C169" s="2">
        <v>1</v>
      </c>
      <c r="D169" s="2">
        <v>1</v>
      </c>
      <c r="E169" s="2">
        <v>0.86799999999999999</v>
      </c>
      <c r="F169" s="2">
        <v>2</v>
      </c>
    </row>
    <row r="170" spans="1:6" ht="14.25" customHeight="1">
      <c r="A170" s="2">
        <v>23</v>
      </c>
      <c r="B170" s="2">
        <v>169</v>
      </c>
      <c r="C170" s="2">
        <v>3</v>
      </c>
      <c r="D170" s="2">
        <v>1</v>
      </c>
      <c r="E170" s="2">
        <v>1.468</v>
      </c>
      <c r="F170" s="2">
        <v>2</v>
      </c>
    </row>
    <row r="171" spans="1:6" ht="14.25" customHeight="1">
      <c r="A171" s="2">
        <v>23</v>
      </c>
      <c r="B171" s="2">
        <v>170</v>
      </c>
      <c r="C171" s="2">
        <v>1</v>
      </c>
      <c r="D171" s="2">
        <v>1</v>
      </c>
      <c r="E171" s="2">
        <v>0.94899999999999995</v>
      </c>
      <c r="F171" s="2">
        <v>2</v>
      </c>
    </row>
    <row r="172" spans="1:6" ht="14.25" customHeight="1">
      <c r="A172" s="2">
        <v>23</v>
      </c>
      <c r="B172" s="2">
        <v>171</v>
      </c>
      <c r="C172" s="2">
        <v>5</v>
      </c>
      <c r="D172" s="2">
        <v>1</v>
      </c>
      <c r="E172" s="2">
        <v>0.86599999999999999</v>
      </c>
      <c r="F172" s="2">
        <v>2</v>
      </c>
    </row>
    <row r="173" spans="1:6" ht="14.25" customHeight="1">
      <c r="A173" s="2">
        <v>23</v>
      </c>
      <c r="B173" s="2">
        <v>172</v>
      </c>
      <c r="C173" s="2">
        <v>7</v>
      </c>
      <c r="D173" s="2">
        <v>1</v>
      </c>
      <c r="E173" s="2">
        <v>1.788</v>
      </c>
      <c r="F173" s="2">
        <v>1</v>
      </c>
    </row>
    <row r="174" spans="1:6" ht="14.25" customHeight="1">
      <c r="A174" s="2">
        <v>23</v>
      </c>
      <c r="B174" s="2">
        <v>173</v>
      </c>
      <c r="C174" s="2">
        <v>5</v>
      </c>
      <c r="D174" s="2">
        <v>1</v>
      </c>
      <c r="E174" s="2">
        <v>1.6080000000000001</v>
      </c>
      <c r="F174" s="2">
        <v>1</v>
      </c>
    </row>
    <row r="175" spans="1:6" ht="14.25" customHeight="1">
      <c r="A175" s="2">
        <v>23</v>
      </c>
      <c r="B175" s="2">
        <v>174</v>
      </c>
      <c r="C175" s="2">
        <v>8</v>
      </c>
      <c r="D175" s="2">
        <v>1</v>
      </c>
      <c r="E175" s="2">
        <v>1.1639999999999999</v>
      </c>
      <c r="F175" s="2">
        <v>1</v>
      </c>
    </row>
    <row r="176" spans="1:6" ht="14.25" customHeight="1">
      <c r="A176" s="2">
        <v>23</v>
      </c>
      <c r="B176" s="2">
        <v>175</v>
      </c>
      <c r="C176" s="2">
        <v>2</v>
      </c>
      <c r="D176" s="2">
        <v>1</v>
      </c>
      <c r="E176" s="2">
        <v>1.4890000000000001</v>
      </c>
      <c r="F176" s="2">
        <v>2</v>
      </c>
    </row>
    <row r="177" spans="1:6" ht="14.25" customHeight="1">
      <c r="A177" s="2">
        <v>23</v>
      </c>
      <c r="B177" s="2">
        <v>176</v>
      </c>
      <c r="C177" s="2">
        <v>7</v>
      </c>
      <c r="D177" s="2">
        <v>1</v>
      </c>
      <c r="E177" s="2">
        <v>1.2250000000000001</v>
      </c>
      <c r="F177" s="2">
        <v>1</v>
      </c>
    </row>
    <row r="178" spans="1:6" ht="14.25" customHeight="1">
      <c r="A178" s="2">
        <v>23</v>
      </c>
      <c r="B178" s="2">
        <v>177</v>
      </c>
      <c r="C178" s="2">
        <v>2</v>
      </c>
      <c r="D178" s="2">
        <v>1</v>
      </c>
      <c r="E178" s="2">
        <v>0.86</v>
      </c>
      <c r="F178" s="2">
        <v>2</v>
      </c>
    </row>
    <row r="179" spans="1:6" ht="14.25" customHeight="1">
      <c r="A179" s="2">
        <v>23</v>
      </c>
      <c r="B179" s="2">
        <v>178</v>
      </c>
      <c r="C179" s="2">
        <v>5</v>
      </c>
      <c r="D179" s="2">
        <v>1</v>
      </c>
      <c r="E179" s="2">
        <v>1.526</v>
      </c>
      <c r="F179" s="2">
        <v>2</v>
      </c>
    </row>
    <row r="180" spans="1:6" ht="14.25" customHeight="1">
      <c r="A180" s="2">
        <v>23</v>
      </c>
      <c r="B180" s="2">
        <v>179</v>
      </c>
      <c r="C180" s="2">
        <v>8</v>
      </c>
      <c r="D180" s="2">
        <v>1</v>
      </c>
      <c r="E180" s="2">
        <v>1.1499999999999999</v>
      </c>
      <c r="F180" s="2">
        <v>2</v>
      </c>
    </row>
    <row r="181" spans="1:6" ht="14.25" customHeight="1">
      <c r="A181" s="2">
        <v>23</v>
      </c>
      <c r="B181" s="2">
        <v>180</v>
      </c>
      <c r="C181" s="2">
        <v>3</v>
      </c>
      <c r="D181" s="2">
        <v>1</v>
      </c>
      <c r="E181" s="2">
        <v>1.236</v>
      </c>
      <c r="F181" s="2">
        <v>1</v>
      </c>
    </row>
    <row r="182" spans="1:6" ht="14.25" customHeight="1">
      <c r="A182" s="2">
        <v>23</v>
      </c>
      <c r="B182" s="2">
        <v>181</v>
      </c>
      <c r="C182" s="2">
        <v>5</v>
      </c>
      <c r="D182" s="2">
        <v>1</v>
      </c>
      <c r="E182" s="2">
        <v>1.2849999999999999</v>
      </c>
      <c r="F182" s="2">
        <v>2</v>
      </c>
    </row>
    <row r="183" spans="1:6" ht="14.25" customHeight="1">
      <c r="A183" s="2">
        <v>23</v>
      </c>
      <c r="B183" s="2">
        <v>182</v>
      </c>
      <c r="C183" s="2">
        <v>7</v>
      </c>
      <c r="D183" s="2">
        <v>1</v>
      </c>
      <c r="E183" s="2">
        <v>0.84599999999999997</v>
      </c>
      <c r="F183" s="2">
        <v>1</v>
      </c>
    </row>
    <row r="184" spans="1:6" ht="14.25" customHeight="1">
      <c r="A184" s="2">
        <v>23</v>
      </c>
      <c r="B184" s="2">
        <v>183</v>
      </c>
      <c r="C184" s="2">
        <v>1</v>
      </c>
      <c r="D184" s="2">
        <v>1</v>
      </c>
      <c r="E184" s="2">
        <v>0.85599999999999998</v>
      </c>
      <c r="F184" s="2">
        <v>2</v>
      </c>
    </row>
    <row r="185" spans="1:6" ht="14.25" customHeight="1">
      <c r="A185" s="2">
        <v>23</v>
      </c>
      <c r="B185" s="2">
        <v>184</v>
      </c>
      <c r="C185" s="2">
        <v>7</v>
      </c>
      <c r="D185" s="2">
        <v>1</v>
      </c>
      <c r="E185" s="2">
        <v>1.194</v>
      </c>
      <c r="F185" s="2">
        <v>1</v>
      </c>
    </row>
    <row r="186" spans="1:6" ht="14.25" customHeight="1">
      <c r="A186" s="2">
        <v>23</v>
      </c>
      <c r="B186" s="2">
        <v>185</v>
      </c>
      <c r="C186" s="2">
        <v>4</v>
      </c>
      <c r="D186" s="2">
        <v>1</v>
      </c>
      <c r="E186" s="2">
        <v>1.4930000000000001</v>
      </c>
      <c r="F186" s="2">
        <v>2</v>
      </c>
    </row>
    <row r="187" spans="1:6" ht="14.25" customHeight="1">
      <c r="A187" s="2">
        <v>23</v>
      </c>
      <c r="B187" s="2">
        <v>186</v>
      </c>
      <c r="C187" s="2">
        <v>6</v>
      </c>
      <c r="D187" s="2">
        <v>1</v>
      </c>
      <c r="E187" s="2">
        <v>1.3420000000000001</v>
      </c>
      <c r="F187" s="2">
        <v>1</v>
      </c>
    </row>
    <row r="188" spans="1:6" ht="14.25" customHeight="1">
      <c r="A188" s="2">
        <v>23</v>
      </c>
      <c r="B188" s="2">
        <v>187</v>
      </c>
      <c r="C188" s="2">
        <v>5</v>
      </c>
      <c r="D188" s="2">
        <v>1</v>
      </c>
      <c r="E188" s="2">
        <v>1.365</v>
      </c>
      <c r="F188" s="2">
        <v>1</v>
      </c>
    </row>
    <row r="189" spans="1:6" ht="14.25" customHeight="1">
      <c r="A189" s="2">
        <v>23</v>
      </c>
      <c r="B189" s="2">
        <v>188</v>
      </c>
      <c r="C189" s="2">
        <v>8</v>
      </c>
      <c r="D189" s="2">
        <v>1</v>
      </c>
      <c r="E189" s="2">
        <v>0.94499999999999995</v>
      </c>
      <c r="F189" s="2">
        <v>1</v>
      </c>
    </row>
    <row r="190" spans="1:6" ht="14.25" customHeight="1">
      <c r="A190" s="2">
        <v>23</v>
      </c>
      <c r="B190" s="2">
        <v>189</v>
      </c>
      <c r="C190" s="2">
        <v>2</v>
      </c>
      <c r="D190" s="2">
        <v>1</v>
      </c>
      <c r="E190" s="2">
        <v>1.1120000000000001</v>
      </c>
      <c r="F190" s="2">
        <v>1</v>
      </c>
    </row>
    <row r="191" spans="1:6" ht="14.25" customHeight="1">
      <c r="A191" s="2">
        <v>23</v>
      </c>
      <c r="B191" s="2">
        <v>190</v>
      </c>
      <c r="C191" s="2">
        <v>4</v>
      </c>
      <c r="D191" s="2">
        <v>0</v>
      </c>
      <c r="E191" s="2">
        <v>1.8080000000000001</v>
      </c>
      <c r="F191" s="2">
        <v>2</v>
      </c>
    </row>
    <row r="192" spans="1:6" ht="14.25" customHeight="1">
      <c r="A192" s="2">
        <v>23</v>
      </c>
      <c r="B192" s="2">
        <v>191</v>
      </c>
      <c r="C192" s="2">
        <v>3</v>
      </c>
      <c r="D192" s="2">
        <v>1</v>
      </c>
      <c r="E192" s="2">
        <v>0.93100000000000005</v>
      </c>
      <c r="F192" s="2">
        <v>2</v>
      </c>
    </row>
    <row r="193" spans="1:6" ht="14.25" customHeight="1">
      <c r="A193" s="2">
        <v>23</v>
      </c>
      <c r="B193" s="2">
        <v>192</v>
      </c>
      <c r="C193" s="2">
        <v>8</v>
      </c>
      <c r="D193" s="2">
        <v>1</v>
      </c>
      <c r="E193" s="2">
        <v>1.45</v>
      </c>
      <c r="F193" s="2">
        <v>2</v>
      </c>
    </row>
    <row r="194" spans="1:6" ht="14.25" customHeight="1">
      <c r="A194" s="2">
        <v>23</v>
      </c>
      <c r="B194" s="2">
        <v>193</v>
      </c>
      <c r="C194" s="2">
        <v>7</v>
      </c>
      <c r="D194" s="2">
        <v>1</v>
      </c>
      <c r="E194" s="2">
        <v>1.131</v>
      </c>
      <c r="F194" s="2">
        <v>1</v>
      </c>
    </row>
    <row r="195" spans="1:6" ht="14.25" customHeight="1">
      <c r="A195" s="2">
        <v>23</v>
      </c>
      <c r="B195" s="2">
        <v>194</v>
      </c>
      <c r="C195" s="2">
        <v>1</v>
      </c>
      <c r="D195" s="2">
        <v>0</v>
      </c>
      <c r="E195" s="2">
        <v>1.954</v>
      </c>
      <c r="F195" s="2">
        <v>1</v>
      </c>
    </row>
    <row r="196" spans="1:6" ht="14.25" customHeight="1">
      <c r="A196" s="2">
        <v>23</v>
      </c>
      <c r="B196" s="2">
        <v>195</v>
      </c>
      <c r="C196" s="2">
        <v>8</v>
      </c>
      <c r="E196" s="2">
        <v>2</v>
      </c>
    </row>
    <row r="197" spans="1:6" ht="14.25" customHeight="1">
      <c r="A197" s="2">
        <v>23</v>
      </c>
      <c r="B197" s="2">
        <v>196</v>
      </c>
      <c r="C197" s="2">
        <v>2</v>
      </c>
      <c r="D197" s="2">
        <v>1</v>
      </c>
      <c r="E197" s="2">
        <v>0.81100000000000005</v>
      </c>
      <c r="F197" s="2">
        <v>2</v>
      </c>
    </row>
    <row r="198" spans="1:6" ht="14.25" customHeight="1">
      <c r="A198" s="2">
        <v>23</v>
      </c>
      <c r="B198" s="2">
        <v>197</v>
      </c>
      <c r="C198" s="2">
        <v>6</v>
      </c>
      <c r="D198" s="2">
        <v>1</v>
      </c>
      <c r="E198" s="2">
        <v>0.95099999999999996</v>
      </c>
      <c r="F198" s="2">
        <v>1</v>
      </c>
    </row>
    <row r="199" spans="1:6" ht="14.25" customHeight="1">
      <c r="A199" s="2">
        <v>23</v>
      </c>
      <c r="B199" s="2">
        <v>198</v>
      </c>
      <c r="C199" s="2">
        <v>4</v>
      </c>
      <c r="D199" s="2">
        <v>1</v>
      </c>
      <c r="E199" s="2">
        <v>0.85199999999999998</v>
      </c>
      <c r="F199" s="2">
        <v>2</v>
      </c>
    </row>
    <row r="200" spans="1:6" ht="14.25" customHeight="1">
      <c r="A200" s="2">
        <v>23</v>
      </c>
      <c r="B200" s="2">
        <v>199</v>
      </c>
      <c r="C200" s="2">
        <v>3</v>
      </c>
      <c r="D200" s="2">
        <v>1</v>
      </c>
      <c r="E200" s="2">
        <v>1.214</v>
      </c>
      <c r="F200" s="2">
        <v>1</v>
      </c>
    </row>
    <row r="201" spans="1:6" ht="14.25" customHeight="1">
      <c r="A201" s="2">
        <v>23</v>
      </c>
      <c r="B201" s="2">
        <v>200</v>
      </c>
      <c r="C201" s="2">
        <v>6</v>
      </c>
      <c r="E201" s="2">
        <v>2.0009999999999999</v>
      </c>
    </row>
    <row r="202" spans="1:6" ht="14.25" customHeight="1">
      <c r="A202" s="2">
        <v>23</v>
      </c>
      <c r="B202" s="2">
        <v>201</v>
      </c>
      <c r="C202" s="2">
        <v>1</v>
      </c>
      <c r="D202" s="2">
        <v>1</v>
      </c>
      <c r="E202" s="2">
        <v>1.7789999999999999</v>
      </c>
      <c r="F202" s="2">
        <v>2</v>
      </c>
    </row>
    <row r="203" spans="1:6" ht="14.25" customHeight="1">
      <c r="A203" s="2">
        <v>23</v>
      </c>
      <c r="B203" s="2">
        <v>202</v>
      </c>
      <c r="C203" s="2">
        <v>3</v>
      </c>
      <c r="D203" s="2">
        <v>1</v>
      </c>
      <c r="E203" s="2">
        <v>1.288</v>
      </c>
      <c r="F203" s="2">
        <v>2</v>
      </c>
    </row>
    <row r="204" spans="1:6" ht="14.25" customHeight="1">
      <c r="A204" s="2">
        <v>23</v>
      </c>
      <c r="B204" s="2">
        <v>203</v>
      </c>
      <c r="C204" s="2">
        <v>8</v>
      </c>
      <c r="D204" s="2">
        <v>1</v>
      </c>
      <c r="E204" s="2">
        <v>0.68700000000000006</v>
      </c>
      <c r="F204" s="2">
        <v>2</v>
      </c>
    </row>
    <row r="205" spans="1:6" ht="14.25" customHeight="1">
      <c r="A205" s="2">
        <v>23</v>
      </c>
      <c r="B205" s="2">
        <v>204</v>
      </c>
      <c r="C205" s="2">
        <v>1</v>
      </c>
      <c r="D205" s="2">
        <v>1</v>
      </c>
      <c r="E205" s="2">
        <v>1.1910000000000001</v>
      </c>
      <c r="F205" s="2">
        <v>2</v>
      </c>
    </row>
    <row r="206" spans="1:6" ht="14.25" customHeight="1">
      <c r="A206" s="2">
        <v>23</v>
      </c>
      <c r="B206" s="2">
        <v>205</v>
      </c>
      <c r="C206" s="2">
        <v>2</v>
      </c>
      <c r="D206" s="2">
        <v>1</v>
      </c>
      <c r="E206" s="2">
        <v>1.5960000000000001</v>
      </c>
      <c r="F206" s="2">
        <v>2</v>
      </c>
    </row>
    <row r="207" spans="1:6" ht="14.25" customHeight="1">
      <c r="A207" s="2">
        <v>23</v>
      </c>
      <c r="B207" s="2">
        <v>206</v>
      </c>
      <c r="C207" s="2">
        <v>7</v>
      </c>
      <c r="D207" s="2">
        <v>1</v>
      </c>
      <c r="E207" s="2">
        <v>1.5840000000000001</v>
      </c>
      <c r="F207" s="2">
        <v>1</v>
      </c>
    </row>
    <row r="208" spans="1:6" ht="14.25" customHeight="1">
      <c r="A208" s="2">
        <v>23</v>
      </c>
      <c r="B208" s="2">
        <v>207</v>
      </c>
      <c r="C208" s="2">
        <v>3</v>
      </c>
      <c r="D208" s="2">
        <v>1</v>
      </c>
      <c r="E208" s="2">
        <v>1.381</v>
      </c>
      <c r="F208" s="2">
        <v>1</v>
      </c>
    </row>
    <row r="209" spans="1:6" ht="14.25" customHeight="1">
      <c r="A209" s="2">
        <v>23</v>
      </c>
      <c r="B209" s="2">
        <v>208</v>
      </c>
      <c r="C209" s="2">
        <v>2</v>
      </c>
      <c r="D209" s="2">
        <v>1</v>
      </c>
      <c r="E209" s="2">
        <v>1.881</v>
      </c>
      <c r="F209" s="2">
        <v>2</v>
      </c>
    </row>
    <row r="210" spans="1:6" ht="14.25" customHeight="1">
      <c r="A210" s="2">
        <v>23</v>
      </c>
      <c r="B210" s="2">
        <v>209</v>
      </c>
      <c r="C210" s="2">
        <v>6</v>
      </c>
      <c r="D210" s="2">
        <v>0</v>
      </c>
      <c r="E210" s="2">
        <v>1.7609999999999999</v>
      </c>
      <c r="F210" s="2">
        <v>2</v>
      </c>
    </row>
    <row r="211" spans="1:6" ht="14.25" customHeight="1">
      <c r="A211" s="2">
        <v>23</v>
      </c>
      <c r="B211" s="2">
        <v>210</v>
      </c>
      <c r="C211" s="2">
        <v>2</v>
      </c>
      <c r="D211" s="2">
        <v>1</v>
      </c>
      <c r="E211" s="2">
        <v>1.056</v>
      </c>
      <c r="F211" s="2">
        <v>1</v>
      </c>
    </row>
    <row r="212" spans="1:6" ht="14.25" customHeight="1">
      <c r="A212" s="2">
        <v>23</v>
      </c>
      <c r="B212" s="2">
        <v>211</v>
      </c>
      <c r="C212" s="2">
        <v>7</v>
      </c>
      <c r="D212" s="2">
        <v>0</v>
      </c>
      <c r="E212" s="2">
        <v>1.8009999999999999</v>
      </c>
      <c r="F212" s="2">
        <v>1</v>
      </c>
    </row>
    <row r="213" spans="1:6" ht="14.25" customHeight="1">
      <c r="A213" s="2">
        <v>23</v>
      </c>
      <c r="B213" s="2">
        <v>212</v>
      </c>
      <c r="C213" s="2">
        <v>5</v>
      </c>
      <c r="D213" s="2">
        <v>1</v>
      </c>
      <c r="E213" s="2">
        <v>1.2929999999999999</v>
      </c>
      <c r="F213" s="2">
        <v>1</v>
      </c>
    </row>
    <row r="214" spans="1:6" ht="14.25" customHeight="1">
      <c r="A214" s="2">
        <v>23</v>
      </c>
      <c r="B214" s="2">
        <v>213</v>
      </c>
      <c r="C214" s="2">
        <v>4</v>
      </c>
      <c r="E214" s="2">
        <v>2</v>
      </c>
    </row>
    <row r="215" spans="1:6" ht="14.25" customHeight="1">
      <c r="A215" s="2">
        <v>23</v>
      </c>
      <c r="B215" s="2">
        <v>214</v>
      </c>
      <c r="C215" s="2">
        <v>3</v>
      </c>
      <c r="E215" s="2">
        <v>2</v>
      </c>
    </row>
    <row r="216" spans="1:6" ht="14.25" customHeight="1">
      <c r="A216" s="2">
        <v>23</v>
      </c>
      <c r="B216" s="2">
        <v>215</v>
      </c>
      <c r="C216" s="2">
        <v>4</v>
      </c>
      <c r="D216" s="2">
        <v>1</v>
      </c>
      <c r="E216" s="2">
        <v>0.71699999999999997</v>
      </c>
      <c r="F216" s="2">
        <v>2</v>
      </c>
    </row>
    <row r="217" spans="1:6" ht="14.25" customHeight="1">
      <c r="A217" s="2">
        <v>23</v>
      </c>
      <c r="B217" s="2">
        <v>216</v>
      </c>
      <c r="C217" s="2">
        <v>6</v>
      </c>
      <c r="D217" s="2">
        <v>1</v>
      </c>
      <c r="E217" s="2">
        <v>0.76500000000000001</v>
      </c>
      <c r="F217" s="2">
        <v>2</v>
      </c>
    </row>
    <row r="218" spans="1:6" ht="14.25" customHeight="1">
      <c r="A218" s="2">
        <v>23</v>
      </c>
      <c r="B218" s="2">
        <v>217</v>
      </c>
      <c r="C218" s="2">
        <v>2</v>
      </c>
      <c r="D218" s="2">
        <v>1</v>
      </c>
      <c r="E218" s="2">
        <v>0.97699999999999998</v>
      </c>
      <c r="F218" s="2">
        <v>1</v>
      </c>
    </row>
    <row r="219" spans="1:6" ht="14.25" customHeight="1">
      <c r="A219" s="2">
        <v>23</v>
      </c>
      <c r="B219" s="2">
        <v>218</v>
      </c>
      <c r="C219" s="2">
        <v>4</v>
      </c>
      <c r="D219" s="2">
        <v>1</v>
      </c>
      <c r="E219" s="2">
        <v>0.97399999999999998</v>
      </c>
      <c r="F219" s="2">
        <v>2</v>
      </c>
    </row>
    <row r="220" spans="1:6" ht="14.25" customHeight="1">
      <c r="A220" s="2">
        <v>23</v>
      </c>
      <c r="B220" s="2">
        <v>219</v>
      </c>
      <c r="C220" s="2">
        <v>6</v>
      </c>
      <c r="D220" s="2">
        <v>0</v>
      </c>
      <c r="E220" s="2">
        <v>1.042</v>
      </c>
      <c r="F220" s="2">
        <v>1</v>
      </c>
    </row>
    <row r="221" spans="1:6" ht="14.25" customHeight="1">
      <c r="A221" s="2">
        <v>23</v>
      </c>
      <c r="B221" s="2">
        <v>220</v>
      </c>
      <c r="C221" s="2">
        <v>1</v>
      </c>
      <c r="D221" s="2">
        <v>1</v>
      </c>
      <c r="E221" s="2">
        <v>0.75800000000000001</v>
      </c>
      <c r="F221" s="2">
        <v>2</v>
      </c>
    </row>
    <row r="222" spans="1:6" ht="14.25" customHeight="1">
      <c r="A222" s="2">
        <v>23</v>
      </c>
      <c r="B222" s="2">
        <v>221</v>
      </c>
      <c r="C222" s="2">
        <v>8</v>
      </c>
      <c r="D222" s="2">
        <v>1</v>
      </c>
      <c r="E222" s="2">
        <v>0.747</v>
      </c>
      <c r="F222" s="2">
        <v>2</v>
      </c>
    </row>
    <row r="223" spans="1:6" ht="14.25" customHeight="1">
      <c r="A223" s="2">
        <v>23</v>
      </c>
      <c r="B223" s="2">
        <v>222</v>
      </c>
      <c r="C223" s="2">
        <v>7</v>
      </c>
      <c r="D223" s="2">
        <v>1</v>
      </c>
      <c r="E223" s="2">
        <v>0.94499999999999995</v>
      </c>
      <c r="F223" s="2">
        <v>1</v>
      </c>
    </row>
    <row r="224" spans="1:6" ht="14.25" customHeight="1">
      <c r="A224" s="2">
        <v>23</v>
      </c>
      <c r="B224" s="2">
        <v>223</v>
      </c>
      <c r="C224" s="2">
        <v>5</v>
      </c>
      <c r="D224" s="2">
        <v>1</v>
      </c>
      <c r="E224" s="2">
        <v>1.5920000000000001</v>
      </c>
      <c r="F224" s="2">
        <v>1</v>
      </c>
    </row>
    <row r="225" spans="1:6" ht="14.25" customHeight="1">
      <c r="A225" s="2">
        <v>23</v>
      </c>
      <c r="B225" s="2">
        <v>224</v>
      </c>
      <c r="C225" s="2">
        <v>3</v>
      </c>
      <c r="D225" s="2">
        <v>1</v>
      </c>
      <c r="E225" s="2">
        <v>1.3160000000000001</v>
      </c>
      <c r="F225" s="2">
        <v>1</v>
      </c>
    </row>
    <row r="226" spans="1:6" ht="14.25" customHeight="1">
      <c r="A226" s="2">
        <v>23</v>
      </c>
      <c r="B226" s="2">
        <v>225</v>
      </c>
      <c r="C226" s="2">
        <v>5</v>
      </c>
      <c r="D226" s="2">
        <v>0</v>
      </c>
      <c r="E226" s="2">
        <v>1.355</v>
      </c>
      <c r="F226" s="2">
        <v>1</v>
      </c>
    </row>
    <row r="227" spans="1:6" ht="14.25" customHeight="1">
      <c r="A227" s="2">
        <v>23</v>
      </c>
      <c r="B227" s="2">
        <v>226</v>
      </c>
      <c r="C227" s="2">
        <v>6</v>
      </c>
      <c r="D227" s="2">
        <v>1</v>
      </c>
      <c r="E227" s="2">
        <v>1.0329999999999999</v>
      </c>
      <c r="F227" s="2">
        <v>1</v>
      </c>
    </row>
    <row r="228" spans="1:6" ht="14.25" customHeight="1">
      <c r="A228" s="2">
        <v>23</v>
      </c>
      <c r="B228" s="2">
        <v>227</v>
      </c>
      <c r="C228" s="2">
        <v>4</v>
      </c>
      <c r="D228" s="2">
        <v>1</v>
      </c>
      <c r="E228" s="2">
        <v>1.6120000000000001</v>
      </c>
      <c r="F228" s="2">
        <v>2</v>
      </c>
    </row>
    <row r="229" spans="1:6" ht="14.25" customHeight="1">
      <c r="A229" s="2">
        <v>23</v>
      </c>
      <c r="B229" s="2">
        <v>228</v>
      </c>
      <c r="C229" s="2">
        <v>8</v>
      </c>
      <c r="D229" s="2">
        <v>1</v>
      </c>
      <c r="E229" s="2">
        <v>1.639</v>
      </c>
      <c r="F229" s="2">
        <v>2</v>
      </c>
    </row>
    <row r="230" spans="1:6" ht="14.25" customHeight="1">
      <c r="A230" s="2">
        <v>23</v>
      </c>
      <c r="B230" s="2">
        <v>229</v>
      </c>
      <c r="C230" s="2">
        <v>7</v>
      </c>
      <c r="D230" s="2">
        <v>1</v>
      </c>
      <c r="E230" s="2">
        <v>1.379</v>
      </c>
      <c r="F230" s="2">
        <v>2</v>
      </c>
    </row>
    <row r="231" spans="1:6" ht="14.25" customHeight="1">
      <c r="A231" s="2">
        <v>23</v>
      </c>
      <c r="B231" s="2">
        <v>230</v>
      </c>
      <c r="C231" s="2">
        <v>2</v>
      </c>
      <c r="D231" s="2">
        <v>0</v>
      </c>
      <c r="E231" s="2">
        <v>0.95899999999999996</v>
      </c>
      <c r="F231" s="2">
        <v>2</v>
      </c>
    </row>
    <row r="232" spans="1:6" ht="14.25" customHeight="1">
      <c r="A232" s="2">
        <v>23</v>
      </c>
      <c r="B232" s="2">
        <v>231</v>
      </c>
      <c r="C232" s="2">
        <v>5</v>
      </c>
      <c r="D232" s="2">
        <v>0</v>
      </c>
      <c r="E232" s="2">
        <v>1.3879999999999999</v>
      </c>
      <c r="F232" s="2">
        <v>1</v>
      </c>
    </row>
    <row r="233" spans="1:6" ht="14.25" customHeight="1">
      <c r="A233" s="2">
        <v>23</v>
      </c>
      <c r="B233" s="2">
        <v>232</v>
      </c>
      <c r="C233" s="2">
        <v>6</v>
      </c>
      <c r="D233" s="2">
        <v>1</v>
      </c>
      <c r="E233" s="2">
        <v>1.5449999999999999</v>
      </c>
      <c r="F233" s="2">
        <v>1</v>
      </c>
    </row>
    <row r="234" spans="1:6" ht="14.25" customHeight="1">
      <c r="A234" s="2">
        <v>23</v>
      </c>
      <c r="B234" s="2">
        <v>233</v>
      </c>
      <c r="C234" s="2">
        <v>7</v>
      </c>
      <c r="D234" s="2">
        <v>1</v>
      </c>
      <c r="E234" s="2">
        <v>1.599</v>
      </c>
      <c r="F234" s="2">
        <v>2</v>
      </c>
    </row>
    <row r="235" spans="1:6" ht="14.25" customHeight="1">
      <c r="A235" s="2">
        <v>23</v>
      </c>
      <c r="B235" s="2">
        <v>234</v>
      </c>
      <c r="C235" s="2">
        <v>4</v>
      </c>
      <c r="D235" s="2">
        <v>1</v>
      </c>
      <c r="E235" s="2">
        <v>1.611</v>
      </c>
      <c r="F235" s="2">
        <v>1</v>
      </c>
    </row>
    <row r="236" spans="1:6" ht="14.25" customHeight="1">
      <c r="A236" s="2">
        <v>23</v>
      </c>
      <c r="B236" s="2">
        <v>235</v>
      </c>
      <c r="C236" s="2">
        <v>2</v>
      </c>
      <c r="D236" s="2">
        <v>0</v>
      </c>
      <c r="E236" s="2">
        <v>1.84</v>
      </c>
      <c r="F236" s="2">
        <v>1</v>
      </c>
    </row>
    <row r="237" spans="1:6" ht="14.25" customHeight="1">
      <c r="A237" s="2">
        <v>23</v>
      </c>
      <c r="B237" s="2">
        <v>236</v>
      </c>
      <c r="C237" s="2">
        <v>8</v>
      </c>
      <c r="D237" s="2">
        <v>1</v>
      </c>
      <c r="E237" s="2">
        <v>1.377</v>
      </c>
      <c r="F237" s="2">
        <v>1</v>
      </c>
    </row>
    <row r="238" spans="1:6" ht="14.25" customHeight="1">
      <c r="A238" s="2">
        <v>23</v>
      </c>
      <c r="B238" s="2">
        <v>237</v>
      </c>
      <c r="C238" s="2">
        <v>1</v>
      </c>
      <c r="D238" s="2">
        <v>1</v>
      </c>
      <c r="E238" s="2">
        <v>1.766</v>
      </c>
      <c r="F238" s="2">
        <v>1</v>
      </c>
    </row>
    <row r="239" spans="1:6" ht="14.25" customHeight="1">
      <c r="A239" s="2">
        <v>23</v>
      </c>
      <c r="B239" s="2">
        <v>238</v>
      </c>
      <c r="C239" s="2">
        <v>4</v>
      </c>
      <c r="D239" s="2">
        <v>1</v>
      </c>
      <c r="E239" s="2">
        <v>1.8360000000000001</v>
      </c>
      <c r="F239" s="2">
        <v>1</v>
      </c>
    </row>
    <row r="240" spans="1:6" ht="14.25" customHeight="1">
      <c r="A240" s="2">
        <v>23</v>
      </c>
      <c r="B240" s="2">
        <v>239</v>
      </c>
      <c r="C240" s="2">
        <v>5</v>
      </c>
      <c r="D240" s="2">
        <v>1</v>
      </c>
      <c r="E240" s="2">
        <v>1.51</v>
      </c>
      <c r="F240" s="2">
        <v>1</v>
      </c>
    </row>
    <row r="241" spans="1:6" ht="14.25" customHeight="1">
      <c r="A241" s="2">
        <v>23</v>
      </c>
      <c r="B241" s="2">
        <v>240</v>
      </c>
      <c r="C241" s="2">
        <v>7</v>
      </c>
      <c r="D241" s="2">
        <v>1</v>
      </c>
      <c r="E241" s="2">
        <v>1.1910000000000001</v>
      </c>
      <c r="F241" s="2">
        <v>1</v>
      </c>
    </row>
    <row r="242" spans="1:6" ht="14.25" customHeight="1">
      <c r="A242" s="2">
        <v>23</v>
      </c>
      <c r="B242" s="2">
        <v>241</v>
      </c>
      <c r="C242" s="2">
        <v>3</v>
      </c>
      <c r="D242" s="2">
        <v>1</v>
      </c>
      <c r="E242" s="2">
        <v>0.86699999999999999</v>
      </c>
      <c r="F242" s="2">
        <v>2</v>
      </c>
    </row>
    <row r="243" spans="1:6" ht="14.25" customHeight="1">
      <c r="A243" s="2">
        <v>23</v>
      </c>
      <c r="B243" s="2">
        <v>242</v>
      </c>
      <c r="C243" s="2">
        <v>1</v>
      </c>
      <c r="D243" s="2">
        <v>1</v>
      </c>
      <c r="E243" s="2">
        <v>0.97299999999999998</v>
      </c>
      <c r="F243" s="2">
        <v>2</v>
      </c>
    </row>
    <row r="244" spans="1:6" ht="14.25" customHeight="1">
      <c r="A244" s="2">
        <v>23</v>
      </c>
      <c r="B244" s="2">
        <v>243</v>
      </c>
      <c r="C244" s="2">
        <v>6</v>
      </c>
      <c r="D244" s="2">
        <v>0</v>
      </c>
      <c r="E244" s="2">
        <v>1.266</v>
      </c>
      <c r="F244" s="2">
        <v>2</v>
      </c>
    </row>
    <row r="245" spans="1:6" ht="14.25" customHeight="1">
      <c r="A245" s="2">
        <v>23</v>
      </c>
      <c r="B245" s="2">
        <v>244</v>
      </c>
      <c r="C245" s="2">
        <v>8</v>
      </c>
      <c r="E245" s="2">
        <v>2.0009999999999999</v>
      </c>
    </row>
    <row r="246" spans="1:6" ht="14.25" customHeight="1">
      <c r="A246" s="2">
        <v>23</v>
      </c>
      <c r="B246" s="2">
        <v>245</v>
      </c>
      <c r="C246" s="2">
        <v>7</v>
      </c>
      <c r="D246" s="2">
        <v>1</v>
      </c>
      <c r="E246" s="2">
        <v>1.0880000000000001</v>
      </c>
      <c r="F246" s="2">
        <v>1</v>
      </c>
    </row>
    <row r="247" spans="1:6" ht="14.25" customHeight="1">
      <c r="A247" s="2">
        <v>23</v>
      </c>
      <c r="B247" s="2">
        <v>246</v>
      </c>
      <c r="C247" s="2">
        <v>2</v>
      </c>
      <c r="D247" s="2">
        <v>1</v>
      </c>
      <c r="E247" s="2">
        <v>1.24</v>
      </c>
      <c r="F247" s="2">
        <v>2</v>
      </c>
    </row>
    <row r="248" spans="1:6" ht="14.25" customHeight="1">
      <c r="A248" s="2">
        <v>23</v>
      </c>
      <c r="B248" s="2">
        <v>247</v>
      </c>
      <c r="C248" s="2">
        <v>1</v>
      </c>
      <c r="D248" s="2">
        <v>0</v>
      </c>
      <c r="E248" s="2">
        <v>1.77</v>
      </c>
      <c r="F248" s="2">
        <v>2</v>
      </c>
    </row>
    <row r="249" spans="1:6" ht="14.25" customHeight="1">
      <c r="A249" s="2">
        <v>23</v>
      </c>
      <c r="B249" s="2">
        <v>248</v>
      </c>
      <c r="C249" s="2">
        <v>5</v>
      </c>
      <c r="D249" s="2">
        <v>1</v>
      </c>
      <c r="E249" s="2">
        <v>0.74299999999999999</v>
      </c>
      <c r="F249" s="2">
        <v>2</v>
      </c>
    </row>
    <row r="250" spans="1:6" ht="14.25" customHeight="1">
      <c r="A250" s="2">
        <v>23</v>
      </c>
      <c r="B250" s="2">
        <v>249</v>
      </c>
      <c r="C250" s="2">
        <v>8</v>
      </c>
      <c r="D250" s="2">
        <v>1</v>
      </c>
      <c r="E250" s="2">
        <v>1.1180000000000001</v>
      </c>
      <c r="F250" s="2">
        <v>1</v>
      </c>
    </row>
    <row r="251" spans="1:6" ht="14.25" customHeight="1">
      <c r="A251" s="2">
        <v>23</v>
      </c>
      <c r="B251" s="2">
        <v>250</v>
      </c>
      <c r="C251" s="2">
        <v>3</v>
      </c>
      <c r="D251" s="2">
        <v>1</v>
      </c>
      <c r="E251" s="2">
        <v>1.5649999999999999</v>
      </c>
      <c r="F251" s="2">
        <v>2</v>
      </c>
    </row>
    <row r="252" spans="1:6" ht="14.25" customHeight="1">
      <c r="A252" s="2">
        <v>23</v>
      </c>
      <c r="B252" s="2">
        <v>251</v>
      </c>
      <c r="C252" s="2">
        <v>4</v>
      </c>
      <c r="D252" s="2">
        <v>1</v>
      </c>
      <c r="E252" s="2">
        <v>1.1040000000000001</v>
      </c>
      <c r="F252" s="2">
        <v>2</v>
      </c>
    </row>
    <row r="253" spans="1:6" ht="14.25" customHeight="1">
      <c r="A253" s="2">
        <v>23</v>
      </c>
      <c r="B253" s="2">
        <v>252</v>
      </c>
      <c r="C253" s="2">
        <v>2</v>
      </c>
      <c r="D253" s="2">
        <v>0</v>
      </c>
      <c r="E253" s="2">
        <v>1.44</v>
      </c>
      <c r="F253" s="2">
        <v>1</v>
      </c>
    </row>
    <row r="254" spans="1:6" ht="14.25" customHeight="1">
      <c r="A254" s="2">
        <v>23</v>
      </c>
      <c r="B254" s="2">
        <v>253</v>
      </c>
      <c r="C254" s="2">
        <v>7</v>
      </c>
      <c r="D254" s="2">
        <v>1</v>
      </c>
      <c r="E254" s="2">
        <v>0.69899999999999995</v>
      </c>
      <c r="F254" s="2">
        <v>2</v>
      </c>
    </row>
    <row r="255" spans="1:6" ht="14.25" customHeight="1">
      <c r="A255" s="2">
        <v>23</v>
      </c>
      <c r="B255" s="2">
        <v>254</v>
      </c>
      <c r="C255" s="2">
        <v>3</v>
      </c>
      <c r="D255" s="2">
        <v>1</v>
      </c>
      <c r="E255" s="2">
        <v>1.0249999999999999</v>
      </c>
      <c r="F255" s="2">
        <v>2</v>
      </c>
    </row>
    <row r="256" spans="1:6" ht="14.25" customHeight="1">
      <c r="A256" s="2">
        <v>23</v>
      </c>
      <c r="B256" s="2">
        <v>255</v>
      </c>
      <c r="C256" s="2">
        <v>7</v>
      </c>
      <c r="D256" s="2">
        <v>1</v>
      </c>
      <c r="E256" s="2">
        <v>1.4530000000000001</v>
      </c>
      <c r="F256" s="2">
        <v>2</v>
      </c>
    </row>
    <row r="257" spans="1:6" ht="14.25" customHeight="1">
      <c r="A257" s="2">
        <v>23</v>
      </c>
      <c r="B257" s="2">
        <v>256</v>
      </c>
      <c r="C257" s="2">
        <v>1</v>
      </c>
      <c r="D257" s="2">
        <v>1</v>
      </c>
      <c r="E257" s="2">
        <v>1.8149999999999999</v>
      </c>
      <c r="F257" s="2">
        <v>1</v>
      </c>
    </row>
    <row r="258" spans="1:6" ht="14.25" customHeight="1">
      <c r="A258" s="2">
        <v>23</v>
      </c>
      <c r="B258" s="2">
        <v>257</v>
      </c>
      <c r="C258" s="2">
        <v>3</v>
      </c>
      <c r="D258" s="2">
        <v>1</v>
      </c>
      <c r="E258" s="2">
        <v>1.05</v>
      </c>
      <c r="F258" s="2">
        <v>1</v>
      </c>
    </row>
    <row r="259" spans="1:6" ht="14.25" customHeight="1">
      <c r="A259" s="2">
        <v>23</v>
      </c>
      <c r="B259" s="2">
        <v>258</v>
      </c>
      <c r="C259" s="2">
        <v>5</v>
      </c>
      <c r="D259" s="2">
        <v>1</v>
      </c>
      <c r="E259" s="2">
        <v>1.853</v>
      </c>
      <c r="F259" s="2">
        <v>2</v>
      </c>
    </row>
    <row r="260" spans="1:6" ht="14.25" customHeight="1">
      <c r="A260" s="2">
        <v>23</v>
      </c>
      <c r="B260" s="2">
        <v>259</v>
      </c>
      <c r="C260" s="2">
        <v>3</v>
      </c>
      <c r="D260" s="2">
        <v>1</v>
      </c>
      <c r="E260" s="2">
        <v>1.0620000000000001</v>
      </c>
      <c r="F260" s="2">
        <v>1</v>
      </c>
    </row>
    <row r="261" spans="1:6" ht="14.25" customHeight="1">
      <c r="A261" s="2">
        <v>23</v>
      </c>
      <c r="B261" s="2">
        <v>260</v>
      </c>
      <c r="C261" s="2">
        <v>8</v>
      </c>
      <c r="D261" s="2">
        <v>1</v>
      </c>
      <c r="E261" s="2">
        <v>1.008</v>
      </c>
      <c r="F261" s="2">
        <v>1</v>
      </c>
    </row>
    <row r="262" spans="1:6" ht="14.25" customHeight="1">
      <c r="A262" s="2">
        <v>23</v>
      </c>
      <c r="B262" s="2">
        <v>261</v>
      </c>
      <c r="C262" s="2">
        <v>1</v>
      </c>
      <c r="E262" s="2">
        <v>2.0009999999999999</v>
      </c>
    </row>
    <row r="263" spans="1:6" ht="14.25" customHeight="1">
      <c r="A263" s="2">
        <v>23</v>
      </c>
      <c r="B263" s="2">
        <v>262</v>
      </c>
      <c r="C263" s="2">
        <v>6</v>
      </c>
      <c r="D263" s="2">
        <v>0</v>
      </c>
      <c r="E263" s="2">
        <v>1.1439999999999999</v>
      </c>
      <c r="F263" s="2">
        <v>2</v>
      </c>
    </row>
    <row r="264" spans="1:6" ht="14.25" customHeight="1">
      <c r="A264" s="2">
        <v>23</v>
      </c>
      <c r="B264" s="2">
        <v>263</v>
      </c>
      <c r="C264" s="2">
        <v>4</v>
      </c>
      <c r="D264" s="2">
        <v>1</v>
      </c>
      <c r="E264" s="2">
        <v>1.365</v>
      </c>
      <c r="F264" s="2">
        <v>1</v>
      </c>
    </row>
    <row r="265" spans="1:6" ht="14.25" customHeight="1">
      <c r="A265" s="2">
        <v>23</v>
      </c>
      <c r="B265" s="2">
        <v>264</v>
      </c>
      <c r="C265" s="2">
        <v>1</v>
      </c>
      <c r="D265" s="2">
        <v>1</v>
      </c>
      <c r="E265" s="2">
        <v>1.627</v>
      </c>
      <c r="F265" s="2">
        <v>1</v>
      </c>
    </row>
    <row r="266" spans="1:6" ht="14.25" customHeight="1">
      <c r="A266" s="2">
        <v>23</v>
      </c>
      <c r="B266" s="2">
        <v>265</v>
      </c>
      <c r="C266" s="2">
        <v>2</v>
      </c>
      <c r="D266" s="2">
        <v>1</v>
      </c>
      <c r="E266" s="2">
        <v>0.86899999999999999</v>
      </c>
      <c r="F266" s="2">
        <v>2</v>
      </c>
    </row>
    <row r="267" spans="1:6" ht="14.25" customHeight="1">
      <c r="A267" s="2">
        <v>23</v>
      </c>
      <c r="B267" s="2">
        <v>266</v>
      </c>
      <c r="C267" s="2">
        <v>4</v>
      </c>
      <c r="D267" s="2">
        <v>1</v>
      </c>
      <c r="E267" s="2">
        <v>0.97499999999999998</v>
      </c>
      <c r="F267" s="2">
        <v>2</v>
      </c>
    </row>
    <row r="268" spans="1:6" ht="14.25" customHeight="1">
      <c r="A268" s="2">
        <v>23</v>
      </c>
      <c r="B268" s="2">
        <v>267</v>
      </c>
      <c r="C268" s="2">
        <v>8</v>
      </c>
      <c r="D268" s="2">
        <v>1</v>
      </c>
      <c r="E268" s="2">
        <v>1.1319999999999999</v>
      </c>
      <c r="F268" s="2">
        <v>1</v>
      </c>
    </row>
    <row r="269" spans="1:6" ht="14.25" customHeight="1">
      <c r="A269" s="2">
        <v>23</v>
      </c>
      <c r="B269" s="2">
        <v>268</v>
      </c>
      <c r="C269" s="2">
        <v>7</v>
      </c>
      <c r="D269" s="2">
        <v>1</v>
      </c>
      <c r="E269" s="2">
        <v>0.79600000000000004</v>
      </c>
      <c r="F269" s="2">
        <v>2</v>
      </c>
    </row>
    <row r="270" spans="1:6" ht="14.25" customHeight="1">
      <c r="A270" s="2">
        <v>23</v>
      </c>
      <c r="B270" s="2">
        <v>269</v>
      </c>
      <c r="C270" s="2">
        <v>8</v>
      </c>
      <c r="D270" s="2">
        <v>1</v>
      </c>
      <c r="E270" s="2">
        <v>1.36</v>
      </c>
      <c r="F270" s="2">
        <v>2</v>
      </c>
    </row>
    <row r="271" spans="1:6" ht="14.25" customHeight="1">
      <c r="A271" s="2">
        <v>23</v>
      </c>
      <c r="B271" s="2">
        <v>270</v>
      </c>
      <c r="C271" s="2">
        <v>7</v>
      </c>
      <c r="D271" s="2">
        <v>1</v>
      </c>
      <c r="E271" s="2">
        <v>1.149</v>
      </c>
      <c r="F271" s="2">
        <v>2</v>
      </c>
    </row>
    <row r="272" spans="1:6" ht="14.25" customHeight="1">
      <c r="A272" s="2">
        <v>23</v>
      </c>
      <c r="B272" s="2">
        <v>271</v>
      </c>
      <c r="C272" s="2">
        <v>2</v>
      </c>
      <c r="D272" s="2">
        <v>1</v>
      </c>
      <c r="E272" s="2">
        <v>1.036</v>
      </c>
      <c r="F272" s="2">
        <v>2</v>
      </c>
    </row>
    <row r="273" spans="1:6" ht="14.25" customHeight="1">
      <c r="A273" s="2">
        <v>23</v>
      </c>
      <c r="B273" s="2">
        <v>272</v>
      </c>
      <c r="C273" s="2">
        <v>6</v>
      </c>
      <c r="D273" s="2">
        <v>0</v>
      </c>
      <c r="E273" s="2">
        <v>1.6859999999999999</v>
      </c>
      <c r="F273" s="2">
        <v>2</v>
      </c>
    </row>
    <row r="274" spans="1:6" ht="14.25" customHeight="1">
      <c r="A274" s="2">
        <v>23</v>
      </c>
      <c r="B274" s="2">
        <v>273</v>
      </c>
      <c r="C274" s="2">
        <v>8</v>
      </c>
      <c r="D274" s="2">
        <v>1</v>
      </c>
      <c r="E274" s="2">
        <v>1.9179999999999999</v>
      </c>
      <c r="F274" s="2">
        <v>1</v>
      </c>
    </row>
    <row r="275" spans="1:6" ht="14.25" customHeight="1">
      <c r="A275" s="2">
        <v>23</v>
      </c>
      <c r="B275" s="2">
        <v>274</v>
      </c>
      <c r="C275" s="2">
        <v>4</v>
      </c>
      <c r="D275" s="2">
        <v>1</v>
      </c>
      <c r="E275" s="2">
        <v>1.0629999999999999</v>
      </c>
      <c r="F275" s="2">
        <v>1</v>
      </c>
    </row>
    <row r="276" spans="1:6" ht="14.25" customHeight="1">
      <c r="A276" s="2">
        <v>23</v>
      </c>
      <c r="B276" s="2">
        <v>275</v>
      </c>
      <c r="C276" s="2">
        <v>7</v>
      </c>
      <c r="D276" s="2">
        <v>1</v>
      </c>
      <c r="E276" s="2">
        <v>1.375</v>
      </c>
      <c r="F276" s="2">
        <v>2</v>
      </c>
    </row>
    <row r="277" spans="1:6" ht="14.25" customHeight="1">
      <c r="A277" s="2">
        <v>23</v>
      </c>
      <c r="B277" s="2">
        <v>276</v>
      </c>
      <c r="C277" s="2">
        <v>6</v>
      </c>
      <c r="D277" s="2">
        <v>1</v>
      </c>
      <c r="E277" s="2">
        <v>1.1579999999999999</v>
      </c>
      <c r="F277" s="2">
        <v>1</v>
      </c>
    </row>
    <row r="278" spans="1:6" ht="14.25" customHeight="1">
      <c r="A278" s="2">
        <v>23</v>
      </c>
      <c r="B278" s="2">
        <v>277</v>
      </c>
      <c r="C278" s="2">
        <v>5</v>
      </c>
      <c r="D278" s="2">
        <v>1</v>
      </c>
      <c r="E278" s="2">
        <v>1.252</v>
      </c>
      <c r="F278" s="2">
        <v>2</v>
      </c>
    </row>
    <row r="279" spans="1:6" ht="14.25" customHeight="1">
      <c r="A279" s="2">
        <v>23</v>
      </c>
      <c r="B279" s="2">
        <v>278</v>
      </c>
      <c r="C279" s="2">
        <v>3</v>
      </c>
      <c r="D279" s="2">
        <v>1</v>
      </c>
      <c r="E279" s="2">
        <v>1.9570000000000001</v>
      </c>
      <c r="F279" s="2">
        <v>2</v>
      </c>
    </row>
    <row r="280" spans="1:6" ht="14.25" customHeight="1">
      <c r="A280" s="2">
        <v>23</v>
      </c>
      <c r="B280" s="2">
        <v>279</v>
      </c>
      <c r="C280" s="2">
        <v>2</v>
      </c>
      <c r="D280" s="2">
        <v>1</v>
      </c>
      <c r="E280" s="2">
        <v>1.179</v>
      </c>
      <c r="F280" s="2">
        <v>2</v>
      </c>
    </row>
    <row r="281" spans="1:6" ht="14.25" customHeight="1">
      <c r="A281" s="2">
        <v>23</v>
      </c>
      <c r="B281" s="2">
        <v>280</v>
      </c>
      <c r="C281" s="2">
        <v>5</v>
      </c>
      <c r="D281" s="2">
        <v>1</v>
      </c>
      <c r="E281" s="2">
        <v>1.048</v>
      </c>
      <c r="F281" s="2">
        <v>1</v>
      </c>
    </row>
    <row r="282" spans="1:6" ht="14.25" customHeight="1">
      <c r="A282" s="2">
        <v>23</v>
      </c>
      <c r="B282" s="2">
        <v>281</v>
      </c>
      <c r="C282" s="2">
        <v>1</v>
      </c>
      <c r="D282" s="2">
        <v>1</v>
      </c>
      <c r="E282" s="2">
        <v>1.339</v>
      </c>
      <c r="F282" s="2">
        <v>2</v>
      </c>
    </row>
    <row r="283" spans="1:6" ht="14.25" customHeight="1">
      <c r="A283" s="2">
        <v>23</v>
      </c>
      <c r="B283" s="2">
        <v>282</v>
      </c>
      <c r="C283" s="2">
        <v>3</v>
      </c>
      <c r="D283" s="2">
        <v>1</v>
      </c>
      <c r="E283" s="2">
        <v>0.96199999999999997</v>
      </c>
      <c r="F283" s="2">
        <v>1</v>
      </c>
    </row>
    <row r="284" spans="1:6" ht="14.25" customHeight="1">
      <c r="A284" s="2">
        <v>23</v>
      </c>
      <c r="B284" s="2">
        <v>283</v>
      </c>
      <c r="C284" s="2">
        <v>6</v>
      </c>
      <c r="D284" s="2">
        <v>1</v>
      </c>
      <c r="E284" s="2">
        <v>1.5269999999999999</v>
      </c>
      <c r="F284" s="2">
        <v>2</v>
      </c>
    </row>
    <row r="285" spans="1:6" ht="14.25" customHeight="1">
      <c r="A285" s="2">
        <v>23</v>
      </c>
      <c r="B285" s="2">
        <v>284</v>
      </c>
      <c r="C285" s="2">
        <v>4</v>
      </c>
      <c r="D285" s="2">
        <v>1</v>
      </c>
      <c r="E285" s="2">
        <v>1.4850000000000001</v>
      </c>
      <c r="F285" s="2">
        <v>1</v>
      </c>
    </row>
    <row r="286" spans="1:6" ht="14.25" customHeight="1">
      <c r="A286" s="2">
        <v>23</v>
      </c>
      <c r="B286" s="2">
        <v>285</v>
      </c>
      <c r="C286" s="2">
        <v>6</v>
      </c>
      <c r="E286" s="2">
        <v>2</v>
      </c>
    </row>
    <row r="287" spans="1:6" ht="14.25" customHeight="1">
      <c r="A287" s="2">
        <v>23</v>
      </c>
      <c r="B287" s="2">
        <v>286</v>
      </c>
      <c r="C287" s="2">
        <v>1</v>
      </c>
      <c r="D287" s="2">
        <v>1</v>
      </c>
      <c r="E287" s="2">
        <v>0.90700000000000003</v>
      </c>
      <c r="F287" s="2">
        <v>1</v>
      </c>
    </row>
    <row r="288" spans="1:6" ht="14.25" customHeight="1">
      <c r="A288" s="2">
        <v>23</v>
      </c>
      <c r="B288" s="2">
        <v>287</v>
      </c>
      <c r="C288" s="2">
        <v>5</v>
      </c>
      <c r="D288" s="2">
        <v>1</v>
      </c>
      <c r="E288" s="2">
        <v>1.57</v>
      </c>
      <c r="F288" s="2">
        <v>1</v>
      </c>
    </row>
    <row r="289" spans="1:6" ht="14.25" customHeight="1">
      <c r="A289" s="2">
        <v>23</v>
      </c>
      <c r="B289" s="2">
        <v>288</v>
      </c>
      <c r="C289" s="2">
        <v>7</v>
      </c>
      <c r="D289" s="2">
        <v>0</v>
      </c>
      <c r="E289" s="2">
        <v>1.44</v>
      </c>
      <c r="F289" s="2">
        <v>2</v>
      </c>
    </row>
    <row r="290" spans="1:6" ht="14.25" customHeight="1">
      <c r="A290" s="2">
        <v>23</v>
      </c>
      <c r="B290" s="2">
        <v>289</v>
      </c>
      <c r="C290" s="2">
        <v>2</v>
      </c>
      <c r="D290" s="2">
        <v>1</v>
      </c>
      <c r="E290" s="2">
        <v>1.05</v>
      </c>
      <c r="F290" s="2">
        <v>1</v>
      </c>
    </row>
    <row r="291" spans="1:6" ht="14.25" customHeight="1">
      <c r="A291" s="2">
        <v>23</v>
      </c>
      <c r="B291" s="2">
        <v>290</v>
      </c>
      <c r="C291" s="2">
        <v>8</v>
      </c>
      <c r="E291" s="2">
        <v>2</v>
      </c>
    </row>
    <row r="292" spans="1:6" ht="14.25" customHeight="1">
      <c r="A292" s="2">
        <v>23</v>
      </c>
      <c r="B292" s="2">
        <v>291</v>
      </c>
      <c r="C292" s="2">
        <v>2</v>
      </c>
      <c r="E292" s="2">
        <v>2</v>
      </c>
    </row>
    <row r="293" spans="1:6" ht="14.25" customHeight="1">
      <c r="A293" s="2">
        <v>23</v>
      </c>
      <c r="B293" s="2">
        <v>292</v>
      </c>
      <c r="C293" s="2">
        <v>5</v>
      </c>
      <c r="E293" s="2">
        <v>2.0009999999999999</v>
      </c>
    </row>
    <row r="294" spans="1:6" ht="14.25" customHeight="1">
      <c r="A294" s="2">
        <v>23</v>
      </c>
      <c r="B294" s="2">
        <v>293</v>
      </c>
      <c r="C294" s="2">
        <v>4</v>
      </c>
      <c r="D294" s="2">
        <v>0</v>
      </c>
      <c r="E294" s="2">
        <v>0.95299999999999996</v>
      </c>
      <c r="F294" s="2">
        <v>2</v>
      </c>
    </row>
    <row r="295" spans="1:6" ht="14.25" customHeight="1">
      <c r="A295" s="2">
        <v>23</v>
      </c>
      <c r="B295" s="2">
        <v>294</v>
      </c>
      <c r="C295" s="2">
        <v>5</v>
      </c>
      <c r="D295" s="2">
        <v>1</v>
      </c>
      <c r="E295" s="2">
        <v>1.63</v>
      </c>
      <c r="F295" s="2">
        <v>2</v>
      </c>
    </row>
    <row r="296" spans="1:6" ht="14.25" customHeight="1">
      <c r="A296" s="2">
        <v>23</v>
      </c>
      <c r="B296" s="2">
        <v>295</v>
      </c>
      <c r="C296" s="2">
        <v>6</v>
      </c>
      <c r="D296" s="2">
        <v>1</v>
      </c>
      <c r="E296" s="2">
        <v>1.369</v>
      </c>
      <c r="F296" s="2">
        <v>1</v>
      </c>
    </row>
    <row r="297" spans="1:6" ht="14.25" customHeight="1">
      <c r="A297" s="2">
        <v>23</v>
      </c>
      <c r="B297" s="2">
        <v>296</v>
      </c>
      <c r="C297" s="2">
        <v>2</v>
      </c>
      <c r="D297" s="2">
        <v>1</v>
      </c>
      <c r="E297" s="2">
        <v>0.78900000000000003</v>
      </c>
      <c r="F297" s="2">
        <v>2</v>
      </c>
    </row>
    <row r="298" spans="1:6" ht="14.25" customHeight="1">
      <c r="A298" s="2">
        <v>23</v>
      </c>
      <c r="B298" s="2">
        <v>297</v>
      </c>
      <c r="C298" s="2">
        <v>7</v>
      </c>
      <c r="D298" s="2">
        <v>1</v>
      </c>
      <c r="E298" s="2">
        <v>1.395</v>
      </c>
      <c r="F298" s="2">
        <v>1</v>
      </c>
    </row>
    <row r="299" spans="1:6" ht="14.25" customHeight="1">
      <c r="A299" s="2">
        <v>23</v>
      </c>
      <c r="B299" s="2">
        <v>298</v>
      </c>
      <c r="C299" s="2">
        <v>1</v>
      </c>
      <c r="D299" s="2">
        <v>1</v>
      </c>
      <c r="E299" s="2">
        <v>0.83099999999999996</v>
      </c>
      <c r="F299" s="2">
        <v>2</v>
      </c>
    </row>
    <row r="300" spans="1:6" ht="14.25" customHeight="1">
      <c r="A300" s="2">
        <v>23</v>
      </c>
      <c r="B300" s="2">
        <v>299</v>
      </c>
      <c r="C300" s="2">
        <v>3</v>
      </c>
      <c r="D300" s="2">
        <v>1</v>
      </c>
      <c r="E300" s="2">
        <v>0.85899999999999999</v>
      </c>
      <c r="F300" s="2">
        <v>1</v>
      </c>
    </row>
    <row r="301" spans="1:6" ht="14.25" customHeight="1">
      <c r="A301" s="2">
        <v>23</v>
      </c>
      <c r="B301" s="2">
        <v>300</v>
      </c>
      <c r="C301" s="2">
        <v>8</v>
      </c>
      <c r="D301" s="2">
        <v>1</v>
      </c>
      <c r="E301" s="2">
        <v>1.4830000000000001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24</v>
      </c>
      <c r="I1" s="2">
        <v>201</v>
      </c>
      <c r="J1" s="2">
        <v>3</v>
      </c>
      <c r="K1" s="2">
        <v>1</v>
      </c>
      <c r="L1" s="2">
        <v>1.4950000000000001</v>
      </c>
      <c r="M1" s="2">
        <v>1</v>
      </c>
    </row>
    <row r="2" spans="1:22" ht="14.25" customHeight="1">
      <c r="A2" s="2">
        <v>24</v>
      </c>
      <c r="B2" s="2">
        <v>1</v>
      </c>
      <c r="C2" s="2">
        <v>2</v>
      </c>
      <c r="E2" s="2">
        <v>2.0009999999999999</v>
      </c>
      <c r="H2" s="2">
        <v>24</v>
      </c>
      <c r="I2" s="2">
        <v>202</v>
      </c>
      <c r="J2" s="2">
        <v>8</v>
      </c>
      <c r="K2" s="2">
        <v>1</v>
      </c>
      <c r="L2" s="2">
        <v>1.0589999999999999</v>
      </c>
      <c r="M2" s="2">
        <v>2</v>
      </c>
    </row>
    <row r="3" spans="1:22" ht="14.25" customHeight="1">
      <c r="A3" s="2">
        <v>24</v>
      </c>
      <c r="B3" s="2">
        <v>2</v>
      </c>
      <c r="C3" s="2">
        <v>1</v>
      </c>
      <c r="D3" s="2">
        <v>1</v>
      </c>
      <c r="E3" s="2">
        <v>0.58499999999999996</v>
      </c>
      <c r="F3" s="2">
        <v>2</v>
      </c>
      <c r="H3" s="2">
        <v>24</v>
      </c>
      <c r="I3" s="2">
        <v>203</v>
      </c>
      <c r="J3" s="2">
        <v>1</v>
      </c>
      <c r="K3" s="2">
        <v>1</v>
      </c>
      <c r="L3" s="2">
        <v>1.835</v>
      </c>
      <c r="M3" s="2">
        <v>2</v>
      </c>
    </row>
    <row r="4" spans="1:22" ht="14.25" customHeight="1">
      <c r="A4" s="2">
        <v>24</v>
      </c>
      <c r="B4" s="2">
        <v>3</v>
      </c>
      <c r="C4" s="2">
        <v>3</v>
      </c>
      <c r="D4" s="2">
        <v>0</v>
      </c>
      <c r="E4" s="2">
        <v>0.95299999999999996</v>
      </c>
      <c r="F4" s="2">
        <v>1</v>
      </c>
      <c r="H4" s="2">
        <v>24</v>
      </c>
      <c r="I4" s="2">
        <v>204</v>
      </c>
      <c r="J4" s="2">
        <v>8</v>
      </c>
      <c r="K4" s="2">
        <v>1</v>
      </c>
      <c r="L4" s="2">
        <v>0.73399999999999999</v>
      </c>
      <c r="M4" s="2">
        <v>1</v>
      </c>
      <c r="O4" s="2" t="s">
        <v>6</v>
      </c>
    </row>
    <row r="5" spans="1:22" ht="14.25" customHeight="1">
      <c r="A5" s="2">
        <v>24</v>
      </c>
      <c r="B5" s="2">
        <v>4</v>
      </c>
      <c r="C5" s="2">
        <v>4</v>
      </c>
      <c r="D5" s="2">
        <v>1</v>
      </c>
      <c r="E5" s="2">
        <v>1.39</v>
      </c>
      <c r="F5" s="2">
        <v>1</v>
      </c>
      <c r="H5" s="2">
        <v>24</v>
      </c>
      <c r="I5" s="2">
        <v>205</v>
      </c>
      <c r="J5" s="2">
        <v>6</v>
      </c>
      <c r="K5" s="2">
        <v>1</v>
      </c>
      <c r="L5" s="2">
        <v>0.82599999999999996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24</v>
      </c>
      <c r="B6" s="2">
        <v>5</v>
      </c>
      <c r="C6" s="2">
        <v>7</v>
      </c>
      <c r="D6" s="2">
        <v>1</v>
      </c>
      <c r="E6" s="2">
        <v>1.0249999999999999</v>
      </c>
      <c r="F6" s="2">
        <v>1</v>
      </c>
      <c r="H6" s="2">
        <v>24</v>
      </c>
      <c r="I6" s="2">
        <v>206</v>
      </c>
      <c r="J6" s="2">
        <v>3</v>
      </c>
      <c r="K6" s="2">
        <v>1</v>
      </c>
      <c r="L6" s="2">
        <v>1.677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24</v>
      </c>
      <c r="B7" s="2">
        <v>6</v>
      </c>
      <c r="C7" s="2">
        <v>4</v>
      </c>
      <c r="D7" s="2">
        <v>1</v>
      </c>
      <c r="E7" s="2">
        <v>1.1140000000000001</v>
      </c>
      <c r="F7" s="2">
        <v>1</v>
      </c>
      <c r="H7" s="2">
        <v>24</v>
      </c>
      <c r="I7" s="2">
        <v>207</v>
      </c>
      <c r="J7" s="2">
        <v>5</v>
      </c>
      <c r="K7" s="2">
        <v>1</v>
      </c>
      <c r="L7" s="2">
        <v>1.597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24</v>
      </c>
      <c r="B8" s="2">
        <v>7</v>
      </c>
      <c r="C8" s="2">
        <v>8</v>
      </c>
      <c r="D8" s="2">
        <v>1</v>
      </c>
      <c r="E8" s="2">
        <v>1.1519999999999999</v>
      </c>
      <c r="F8" s="2">
        <v>1</v>
      </c>
      <c r="H8" s="2">
        <v>24</v>
      </c>
      <c r="I8" s="2">
        <v>208</v>
      </c>
      <c r="J8" s="2">
        <v>6</v>
      </c>
      <c r="K8" s="2">
        <v>1</v>
      </c>
      <c r="L8" s="2">
        <v>1.024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24</v>
      </c>
      <c r="B9" s="2">
        <v>8</v>
      </c>
      <c r="C9" s="2">
        <v>3</v>
      </c>
      <c r="D9" s="2">
        <v>0</v>
      </c>
      <c r="E9" s="2">
        <v>1.2849999999999999</v>
      </c>
      <c r="F9" s="2">
        <v>1</v>
      </c>
      <c r="H9" s="2">
        <v>24</v>
      </c>
      <c r="I9" s="2">
        <v>209</v>
      </c>
      <c r="J9" s="2">
        <v>7</v>
      </c>
      <c r="K9" s="2">
        <v>1</v>
      </c>
      <c r="L9" s="2">
        <v>1.337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24</v>
      </c>
      <c r="B10" s="2">
        <v>9</v>
      </c>
      <c r="C10" s="2">
        <v>6</v>
      </c>
      <c r="D10" s="2">
        <v>1</v>
      </c>
      <c r="E10" s="2">
        <v>1.1870000000000001</v>
      </c>
      <c r="F10" s="2">
        <v>2</v>
      </c>
      <c r="H10" s="2">
        <v>24</v>
      </c>
      <c r="I10" s="2">
        <v>210</v>
      </c>
      <c r="J10" s="2">
        <v>8</v>
      </c>
      <c r="K10" s="2">
        <v>1</v>
      </c>
      <c r="L10" s="2">
        <v>0.95099999999999996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24</v>
      </c>
      <c r="B11" s="2">
        <v>10</v>
      </c>
      <c r="C11" s="2">
        <v>5</v>
      </c>
      <c r="D11" s="2">
        <v>1</v>
      </c>
      <c r="E11" s="2">
        <v>0.91</v>
      </c>
      <c r="F11" s="2">
        <v>2</v>
      </c>
      <c r="H11" s="2">
        <v>24</v>
      </c>
      <c r="I11" s="2">
        <v>211</v>
      </c>
      <c r="J11" s="2">
        <v>2</v>
      </c>
      <c r="K11" s="2">
        <v>1</v>
      </c>
      <c r="L11" s="2">
        <v>1.4990000000000001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24</v>
      </c>
      <c r="B12" s="2">
        <v>11</v>
      </c>
      <c r="C12" s="2">
        <v>4</v>
      </c>
      <c r="D12" s="2">
        <v>1</v>
      </c>
      <c r="E12" s="2">
        <v>1.038</v>
      </c>
      <c r="F12" s="2">
        <v>1</v>
      </c>
      <c r="H12" s="2">
        <v>24</v>
      </c>
      <c r="I12" s="2">
        <v>212</v>
      </c>
      <c r="J12" s="2">
        <v>4</v>
      </c>
      <c r="K12" s="2">
        <v>1</v>
      </c>
      <c r="L12" s="2">
        <v>1.1619999999999999</v>
      </c>
      <c r="M12" s="2">
        <v>1</v>
      </c>
    </row>
    <row r="13" spans="1:22" ht="14.25" customHeight="1">
      <c r="A13" s="2">
        <v>24</v>
      </c>
      <c r="B13" s="2">
        <v>12</v>
      </c>
      <c r="C13" s="2">
        <v>7</v>
      </c>
      <c r="D13" s="2">
        <v>1</v>
      </c>
      <c r="E13" s="2">
        <v>1.1990000000000001</v>
      </c>
      <c r="F13" s="2">
        <v>1</v>
      </c>
      <c r="H13" s="2">
        <v>24</v>
      </c>
      <c r="I13" s="2">
        <v>213</v>
      </c>
      <c r="J13" s="2">
        <v>5</v>
      </c>
      <c r="K13" s="2">
        <v>1</v>
      </c>
      <c r="L13" s="2">
        <v>0.73399999999999999</v>
      </c>
      <c r="M13" s="2">
        <v>1</v>
      </c>
    </row>
    <row r="14" spans="1:22" ht="14.25" customHeight="1">
      <c r="A14" s="2">
        <v>24</v>
      </c>
      <c r="B14" s="2">
        <v>13</v>
      </c>
      <c r="C14" s="2">
        <v>8</v>
      </c>
      <c r="D14" s="2">
        <v>0</v>
      </c>
      <c r="E14" s="2">
        <v>1.1619999999999999</v>
      </c>
      <c r="F14" s="2">
        <v>2</v>
      </c>
      <c r="H14" s="2">
        <v>24</v>
      </c>
      <c r="I14" s="2">
        <v>214</v>
      </c>
      <c r="J14" s="2">
        <v>1</v>
      </c>
      <c r="K14" s="2">
        <v>1</v>
      </c>
      <c r="L14" s="2">
        <v>1.3720000000000001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24</v>
      </c>
      <c r="B15" s="2">
        <v>14</v>
      </c>
      <c r="C15" s="2">
        <v>1</v>
      </c>
      <c r="D15" s="2">
        <v>1</v>
      </c>
      <c r="E15" s="2">
        <v>1.07</v>
      </c>
      <c r="F15" s="2">
        <v>2</v>
      </c>
      <c r="H15" s="2">
        <v>24</v>
      </c>
      <c r="I15" s="2">
        <v>215</v>
      </c>
      <c r="J15" s="2">
        <v>7</v>
      </c>
      <c r="K15" s="2">
        <v>1</v>
      </c>
      <c r="L15" s="2">
        <v>1.3220000000000001</v>
      </c>
      <c r="M15" s="2">
        <v>1</v>
      </c>
      <c r="O15" s="2" t="s">
        <v>9</v>
      </c>
    </row>
    <row r="16" spans="1:22" ht="14.25" customHeight="1">
      <c r="A16" s="2">
        <v>24</v>
      </c>
      <c r="B16" s="2">
        <v>15</v>
      </c>
      <c r="C16" s="2">
        <v>4</v>
      </c>
      <c r="D16" s="2">
        <v>1</v>
      </c>
      <c r="E16" s="2">
        <v>1.31</v>
      </c>
      <c r="F16" s="2">
        <v>1</v>
      </c>
      <c r="H16" s="2">
        <v>24</v>
      </c>
      <c r="I16" s="2">
        <v>216</v>
      </c>
      <c r="J16" s="2">
        <v>3</v>
      </c>
      <c r="K16" s="2">
        <v>1</v>
      </c>
      <c r="L16" s="2">
        <v>0.89700000000000002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24</v>
      </c>
      <c r="B17" s="2">
        <v>16</v>
      </c>
      <c r="C17" s="2">
        <v>6</v>
      </c>
      <c r="D17" s="2">
        <v>1</v>
      </c>
      <c r="E17" s="2">
        <v>0.78</v>
      </c>
      <c r="F17" s="2">
        <v>2</v>
      </c>
      <c r="H17" s="2">
        <v>24</v>
      </c>
      <c r="I17" s="2">
        <v>217</v>
      </c>
      <c r="J17" s="2">
        <v>1</v>
      </c>
      <c r="K17" s="2">
        <v>1</v>
      </c>
      <c r="L17" s="2">
        <v>0.92700000000000005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0.36000000000000171</v>
      </c>
      <c r="P17" s="2">
        <f t="shared" ref="P17:P22" si="1">(P6*COUNTIF($J$1:$J$100,P$16) - COUNTIFS($J$1:$J$100,P$16,$K$1:$K$100,"=0"))^2</f>
        <v>0.3600000000000001</v>
      </c>
      <c r="Q17" s="2">
        <f t="shared" ref="Q17:Q22" si="2">(Q6*COUNTIF($J$1:$J$100,Q$16) - COUNTIFS($J$1:$J$100,Q$16,$K$1:$K$100,"=1"))^2</f>
        <v>0.49000000000000149</v>
      </c>
      <c r="R17" s="2">
        <f t="shared" ref="R17:R22" si="3">(R6*COUNTIF($J$1:$J$100,R$16) - COUNTIFS($J$1:$J$100,R$16,$K$1:$K$100,"=0"))^2</f>
        <v>0.3600000000000001</v>
      </c>
      <c r="S17" s="2">
        <f t="shared" ref="S17:T17" si="4">(S6*COUNTIF($J$1:$J$100,S$16) - COUNTIFS($J$1:$J$100,S$16,$K$1:$K$100,"=1"))^2</f>
        <v>0.36000000000000171</v>
      </c>
      <c r="T17" s="2">
        <f t="shared" si="4"/>
        <v>0.36000000000000171</v>
      </c>
      <c r="U17" s="2">
        <f t="shared" ref="U17:V17" si="5">(U6*COUNTIF($J$1:$J$100,U$16) - COUNTIFS($J$1:$J$100,U$16,$K$1:$K$100,"=0"))^2</f>
        <v>0.3600000000000001</v>
      </c>
      <c r="V17" s="2">
        <f t="shared" si="5"/>
        <v>8.9999999999999955E-2</v>
      </c>
    </row>
    <row r="18" spans="1:22" ht="14.25" customHeight="1">
      <c r="A18" s="2">
        <v>24</v>
      </c>
      <c r="B18" s="2">
        <v>17</v>
      </c>
      <c r="C18" s="2">
        <v>5</v>
      </c>
      <c r="D18" s="2">
        <v>1</v>
      </c>
      <c r="E18" s="2">
        <v>0.81499999999999995</v>
      </c>
      <c r="F18" s="2">
        <v>2</v>
      </c>
      <c r="H18" s="2">
        <v>24</v>
      </c>
      <c r="I18" s="2">
        <v>218</v>
      </c>
      <c r="J18" s="2">
        <v>4</v>
      </c>
      <c r="K18" s="2">
        <v>1</v>
      </c>
      <c r="L18" s="2">
        <v>0.73</v>
      </c>
      <c r="M18" s="2">
        <v>2</v>
      </c>
      <c r="N18" s="2">
        <v>2</v>
      </c>
      <c r="O18" s="2">
        <f t="shared" si="0"/>
        <v>0.36000000000000171</v>
      </c>
      <c r="P18" s="2">
        <f t="shared" si="1"/>
        <v>129.95999999999998</v>
      </c>
      <c r="Q18" s="2">
        <f t="shared" si="2"/>
        <v>176.89000000000001</v>
      </c>
      <c r="R18" s="2">
        <f t="shared" si="3"/>
        <v>0.3600000000000001</v>
      </c>
      <c r="S18" s="2">
        <f t="shared" ref="S18:T18" si="6">(S7*COUNTIF($J$1:$J$100,S$16) - COUNTIFS($J$1:$J$100,S$16,$K$1:$K$100,"=1"))^2</f>
        <v>0.36000000000000171</v>
      </c>
      <c r="T18" s="2">
        <f t="shared" si="6"/>
        <v>0.36000000000000171</v>
      </c>
      <c r="U18" s="2">
        <f t="shared" ref="U18:V18" si="7">(U7*COUNTIF($J$1:$J$100,U$16) - COUNTIFS($J$1:$J$100,U$16,$K$1:$K$100,"=0"))^2</f>
        <v>0.3600000000000001</v>
      </c>
      <c r="V18" s="2">
        <f t="shared" si="7"/>
        <v>8.9999999999999955E-2</v>
      </c>
    </row>
    <row r="19" spans="1:22" ht="14.25" customHeight="1">
      <c r="A19" s="2">
        <v>24</v>
      </c>
      <c r="B19" s="2">
        <v>18</v>
      </c>
      <c r="C19" s="2">
        <v>6</v>
      </c>
      <c r="D19" s="2">
        <v>1</v>
      </c>
      <c r="E19" s="2">
        <v>0.67300000000000004</v>
      </c>
      <c r="F19" s="2">
        <v>2</v>
      </c>
      <c r="H19" s="2">
        <v>24</v>
      </c>
      <c r="I19" s="2">
        <v>219</v>
      </c>
      <c r="J19" s="2">
        <v>6</v>
      </c>
      <c r="K19" s="2">
        <v>1</v>
      </c>
      <c r="L19" s="2">
        <v>1.504</v>
      </c>
      <c r="M19" s="2">
        <v>1</v>
      </c>
      <c r="N19" s="2">
        <v>3</v>
      </c>
      <c r="O19" s="2">
        <f t="shared" si="0"/>
        <v>0.36000000000000171</v>
      </c>
      <c r="P19" s="2">
        <f t="shared" si="1"/>
        <v>0.3600000000000001</v>
      </c>
      <c r="Q19" s="2">
        <f t="shared" si="2"/>
        <v>0.49000000000000149</v>
      </c>
      <c r="R19" s="2">
        <f t="shared" si="3"/>
        <v>0.3600000000000001</v>
      </c>
      <c r="S19" s="2">
        <f t="shared" ref="S19:T19" si="8">(S8*COUNTIF($J$1:$J$100,S$16) - COUNTIFS($J$1:$J$100,S$16,$K$1:$K$100,"=1"))^2</f>
        <v>0.36000000000000171</v>
      </c>
      <c r="T19" s="2">
        <f t="shared" si="8"/>
        <v>129.96</v>
      </c>
      <c r="U19" s="2">
        <f t="shared" ref="U19:V19" si="9">(U8*COUNTIF($J$1:$J$100,U$16) - COUNTIFS($J$1:$J$100,U$16,$K$1:$K$100,"=0"))^2</f>
        <v>129.95999999999998</v>
      </c>
      <c r="V19" s="2">
        <f t="shared" si="9"/>
        <v>8.9999999999999955E-2</v>
      </c>
    </row>
    <row r="20" spans="1:22" ht="14.25" customHeight="1">
      <c r="A20" s="2">
        <v>24</v>
      </c>
      <c r="B20" s="2">
        <v>19</v>
      </c>
      <c r="C20" s="2">
        <v>2</v>
      </c>
      <c r="D20" s="2">
        <v>0</v>
      </c>
      <c r="E20" s="2">
        <v>0.91300000000000003</v>
      </c>
      <c r="F20" s="2">
        <v>2</v>
      </c>
      <c r="H20" s="2">
        <v>24</v>
      </c>
      <c r="I20" s="2">
        <v>220</v>
      </c>
      <c r="J20" s="2">
        <v>3</v>
      </c>
      <c r="K20" s="2">
        <v>1</v>
      </c>
      <c r="L20" s="2">
        <v>1.782</v>
      </c>
      <c r="M20" s="2">
        <v>2</v>
      </c>
      <c r="N20" s="2">
        <v>4</v>
      </c>
      <c r="O20" s="2">
        <f t="shared" si="0"/>
        <v>36</v>
      </c>
      <c r="P20" s="2">
        <f t="shared" si="1"/>
        <v>36</v>
      </c>
      <c r="Q20" s="2">
        <f t="shared" si="2"/>
        <v>49</v>
      </c>
      <c r="R20" s="2">
        <f t="shared" si="3"/>
        <v>36</v>
      </c>
      <c r="S20" s="2">
        <f t="shared" ref="S20:T20" si="10">(S9*COUNTIF($J$1:$J$100,S$16) - COUNTIFS($J$1:$J$100,S$16,$K$1:$K$100,"=1"))^2</f>
        <v>0.36000000000000171</v>
      </c>
      <c r="T20" s="2">
        <f t="shared" si="10"/>
        <v>0.36000000000000171</v>
      </c>
      <c r="U20" s="2">
        <f t="shared" ref="U20:V20" si="11">(U9*COUNTIF($J$1:$J$100,U$16) - COUNTIFS($J$1:$J$100,U$16,$K$1:$K$100,"=0"))^2</f>
        <v>0.3600000000000001</v>
      </c>
      <c r="V20" s="2">
        <f t="shared" si="11"/>
        <v>8.9999999999999955E-2</v>
      </c>
    </row>
    <row r="21" spans="1:22" ht="14.25" customHeight="1">
      <c r="A21" s="2">
        <v>24</v>
      </c>
      <c r="B21" s="2">
        <v>20</v>
      </c>
      <c r="C21" s="2">
        <v>6</v>
      </c>
      <c r="D21" s="2">
        <v>1</v>
      </c>
      <c r="E21" s="2">
        <v>1.454</v>
      </c>
      <c r="F21" s="2">
        <v>2</v>
      </c>
      <c r="H21" s="2">
        <v>24</v>
      </c>
      <c r="I21" s="2">
        <v>221</v>
      </c>
      <c r="J21" s="2">
        <v>7</v>
      </c>
      <c r="L21" s="2">
        <v>2</v>
      </c>
      <c r="N21" s="2">
        <v>5</v>
      </c>
      <c r="O21" s="2">
        <f t="shared" si="0"/>
        <v>0.36000000000000171</v>
      </c>
      <c r="P21" s="2">
        <f t="shared" si="1"/>
        <v>0.3600000000000001</v>
      </c>
      <c r="Q21" s="2">
        <f t="shared" si="2"/>
        <v>0.49000000000000149</v>
      </c>
      <c r="R21" s="2">
        <f t="shared" si="3"/>
        <v>0.3600000000000001</v>
      </c>
      <c r="S21" s="2">
        <f t="shared" ref="S21:T21" si="12">(S10*COUNTIF($J$1:$J$100,S$16) - COUNTIFS($J$1:$J$100,S$16,$K$1:$K$100,"=1"))^2</f>
        <v>36</v>
      </c>
      <c r="T21" s="2">
        <f t="shared" si="12"/>
        <v>36</v>
      </c>
      <c r="U21" s="2">
        <f t="shared" ref="U21:V21" si="13">(U10*COUNTIF($J$1:$J$100,U$16) - COUNTIFS($J$1:$J$100,U$16,$K$1:$K$100,"=0"))^2</f>
        <v>36</v>
      </c>
      <c r="V21" s="2">
        <f t="shared" si="13"/>
        <v>36</v>
      </c>
    </row>
    <row r="22" spans="1:22" ht="14.25" customHeight="1">
      <c r="A22" s="2">
        <v>24</v>
      </c>
      <c r="B22" s="2">
        <v>21</v>
      </c>
      <c r="C22" s="2">
        <v>4</v>
      </c>
      <c r="D22" s="2">
        <v>1</v>
      </c>
      <c r="E22" s="2">
        <v>1.127</v>
      </c>
      <c r="F22" s="2">
        <v>1</v>
      </c>
      <c r="H22" s="2">
        <v>24</v>
      </c>
      <c r="I22" s="2">
        <v>222</v>
      </c>
      <c r="J22" s="2">
        <v>2</v>
      </c>
      <c r="K22" s="2">
        <v>1</v>
      </c>
      <c r="L22" s="2">
        <v>0.56599999999999995</v>
      </c>
      <c r="M22" s="2">
        <v>1</v>
      </c>
      <c r="N22" s="2">
        <v>6</v>
      </c>
      <c r="O22" s="2">
        <f t="shared" si="0"/>
        <v>36</v>
      </c>
      <c r="P22" s="2">
        <f t="shared" si="1"/>
        <v>36</v>
      </c>
      <c r="Q22" s="2">
        <f t="shared" si="2"/>
        <v>49</v>
      </c>
      <c r="R22" s="2">
        <f t="shared" si="3"/>
        <v>36</v>
      </c>
      <c r="S22" s="2">
        <f t="shared" ref="S22:T22" si="14">(S11*COUNTIF($J$1:$J$100,S$16) - COUNTIFS($J$1:$J$100,S$16,$K$1:$K$100,"=1"))^2</f>
        <v>36</v>
      </c>
      <c r="T22" s="2">
        <f t="shared" si="14"/>
        <v>36</v>
      </c>
      <c r="U22" s="2">
        <f t="shared" ref="U22:V22" si="15">(U11*COUNTIF($J$1:$J$100,U$16) - COUNTIFS($J$1:$J$100,U$16,$K$1:$K$100,"=0"))^2</f>
        <v>36</v>
      </c>
      <c r="V22" s="2">
        <f t="shared" si="15"/>
        <v>36</v>
      </c>
    </row>
    <row r="23" spans="1:22" ht="14.25" customHeight="1">
      <c r="A23" s="2">
        <v>24</v>
      </c>
      <c r="B23" s="2">
        <v>22</v>
      </c>
      <c r="C23" s="2">
        <v>8</v>
      </c>
      <c r="D23" s="2">
        <v>1</v>
      </c>
      <c r="E23" s="2">
        <v>1.204</v>
      </c>
      <c r="F23" s="2">
        <v>1</v>
      </c>
      <c r="H23" s="2">
        <v>24</v>
      </c>
      <c r="I23" s="2">
        <v>223</v>
      </c>
      <c r="J23" s="2">
        <v>3</v>
      </c>
      <c r="K23" s="2">
        <v>1</v>
      </c>
      <c r="L23" s="2">
        <v>1.194</v>
      </c>
      <c r="M23" s="2">
        <v>2</v>
      </c>
    </row>
    <row r="24" spans="1:22" ht="14.25" customHeight="1">
      <c r="A24" s="2">
        <v>24</v>
      </c>
      <c r="B24" s="2">
        <v>23</v>
      </c>
      <c r="C24" s="2">
        <v>3</v>
      </c>
      <c r="D24" s="2">
        <v>1</v>
      </c>
      <c r="E24" s="2">
        <v>1.383</v>
      </c>
      <c r="F24" s="2">
        <v>2</v>
      </c>
      <c r="H24" s="2">
        <v>24</v>
      </c>
      <c r="I24" s="2">
        <v>224</v>
      </c>
      <c r="J24" s="2">
        <v>7</v>
      </c>
      <c r="K24" s="2">
        <v>1</v>
      </c>
      <c r="L24" s="2">
        <v>1.3089999999999999</v>
      </c>
      <c r="M24" s="2">
        <v>1</v>
      </c>
    </row>
    <row r="25" spans="1:22" ht="14.25" customHeight="1">
      <c r="A25" s="2">
        <v>24</v>
      </c>
      <c r="B25" s="2">
        <v>24</v>
      </c>
      <c r="C25" s="2">
        <v>2</v>
      </c>
      <c r="D25" s="2">
        <v>0</v>
      </c>
      <c r="E25" s="2">
        <v>1.3779999999999999</v>
      </c>
      <c r="F25" s="2">
        <v>2</v>
      </c>
      <c r="H25" s="2">
        <v>24</v>
      </c>
      <c r="I25" s="2">
        <v>225</v>
      </c>
      <c r="J25" s="2">
        <v>5</v>
      </c>
      <c r="K25" s="2">
        <v>1</v>
      </c>
      <c r="L25" s="2">
        <v>1.323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24</v>
      </c>
      <c r="B26" s="2">
        <v>25</v>
      </c>
      <c r="C26" s="2">
        <v>8</v>
      </c>
      <c r="D26" s="2">
        <v>0</v>
      </c>
      <c r="E26" s="2">
        <v>1.413</v>
      </c>
      <c r="F26" s="2">
        <v>2</v>
      </c>
      <c r="H26" s="2">
        <v>24</v>
      </c>
      <c r="I26" s="2">
        <v>226</v>
      </c>
      <c r="J26" s="2">
        <v>1</v>
      </c>
      <c r="K26" s="2">
        <v>1</v>
      </c>
      <c r="L26" s="2">
        <v>1.169</v>
      </c>
      <c r="M26" s="2">
        <v>1</v>
      </c>
      <c r="O26" s="2">
        <f t="shared" ref="O26:V26" si="16">COUNTIF($J$1:$J$100,O$16)^2</f>
        <v>144</v>
      </c>
      <c r="P26" s="2">
        <f t="shared" si="16"/>
        <v>144</v>
      </c>
      <c r="Q26" s="2">
        <f t="shared" si="16"/>
        <v>196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144</v>
      </c>
      <c r="V26" s="2">
        <f t="shared" si="16"/>
        <v>196</v>
      </c>
    </row>
    <row r="27" spans="1:22" ht="14.25" customHeight="1">
      <c r="A27" s="2">
        <v>24</v>
      </c>
      <c r="B27" s="2">
        <v>26</v>
      </c>
      <c r="C27" s="2">
        <v>2</v>
      </c>
      <c r="D27" s="2">
        <v>0</v>
      </c>
      <c r="E27" s="2">
        <v>0.67100000000000004</v>
      </c>
      <c r="F27" s="2">
        <v>2</v>
      </c>
      <c r="H27" s="2">
        <v>24</v>
      </c>
      <c r="I27" s="2">
        <v>227</v>
      </c>
      <c r="J27" s="2">
        <v>7</v>
      </c>
      <c r="K27" s="2">
        <v>1</v>
      </c>
      <c r="L27" s="2">
        <v>0.92600000000000005</v>
      </c>
      <c r="M27" s="2">
        <v>2</v>
      </c>
    </row>
    <row r="28" spans="1:22" ht="14.25" customHeight="1">
      <c r="A28" s="2">
        <v>24</v>
      </c>
      <c r="B28" s="2">
        <v>27</v>
      </c>
      <c r="C28" s="2">
        <v>1</v>
      </c>
      <c r="D28" s="2">
        <v>1</v>
      </c>
      <c r="E28" s="2">
        <v>1.103</v>
      </c>
      <c r="F28" s="2">
        <v>2</v>
      </c>
      <c r="H28" s="2">
        <v>24</v>
      </c>
      <c r="I28" s="2">
        <v>228</v>
      </c>
      <c r="J28" s="2">
        <v>4</v>
      </c>
      <c r="K28" s="2">
        <v>1</v>
      </c>
      <c r="L28" s="2">
        <v>0.83499999999999996</v>
      </c>
      <c r="M28" s="2">
        <v>1</v>
      </c>
    </row>
    <row r="29" spans="1:22" ht="14.25" customHeight="1">
      <c r="A29" s="2">
        <v>24</v>
      </c>
      <c r="B29" s="2">
        <v>28</v>
      </c>
      <c r="C29" s="2">
        <v>2</v>
      </c>
      <c r="D29" s="2">
        <v>1</v>
      </c>
      <c r="E29" s="2">
        <v>1.1579999999999999</v>
      </c>
      <c r="F29" s="2">
        <v>1</v>
      </c>
      <c r="H29" s="2">
        <v>24</v>
      </c>
      <c r="I29" s="2">
        <v>229</v>
      </c>
      <c r="J29" s="2">
        <v>7</v>
      </c>
      <c r="K29" s="2">
        <v>1</v>
      </c>
      <c r="L29" s="2">
        <v>0.97699999999999998</v>
      </c>
      <c r="M29" s="2">
        <v>2</v>
      </c>
    </row>
    <row r="30" spans="1:22" ht="14.25" customHeight="1">
      <c r="A30" s="2">
        <v>24</v>
      </c>
      <c r="B30" s="2">
        <v>29</v>
      </c>
      <c r="C30" s="2">
        <v>5</v>
      </c>
      <c r="D30" s="2">
        <v>1</v>
      </c>
      <c r="E30" s="2">
        <v>1.282</v>
      </c>
      <c r="F30" s="2">
        <v>2</v>
      </c>
      <c r="H30" s="2">
        <v>24</v>
      </c>
      <c r="I30" s="2">
        <v>230</v>
      </c>
      <c r="J30" s="2">
        <v>3</v>
      </c>
      <c r="K30" s="2">
        <v>1</v>
      </c>
      <c r="L30" s="2">
        <v>0.90500000000000003</v>
      </c>
      <c r="M30" s="2">
        <v>1</v>
      </c>
    </row>
    <row r="31" spans="1:22" ht="14.25" customHeight="1">
      <c r="A31" s="2">
        <v>24</v>
      </c>
      <c r="B31" s="2">
        <v>30</v>
      </c>
      <c r="C31" s="2">
        <v>8</v>
      </c>
      <c r="D31" s="2">
        <v>1</v>
      </c>
      <c r="E31" s="2">
        <v>1.056</v>
      </c>
      <c r="F31" s="2">
        <v>1</v>
      </c>
      <c r="H31" s="2">
        <v>24</v>
      </c>
      <c r="I31" s="2">
        <v>231</v>
      </c>
      <c r="J31" s="2">
        <v>6</v>
      </c>
      <c r="K31" s="2">
        <v>1</v>
      </c>
      <c r="L31" s="2">
        <v>1.2869999999999999</v>
      </c>
      <c r="M31" s="2">
        <v>2</v>
      </c>
      <c r="N31" s="2">
        <v>1</v>
      </c>
      <c r="O31" s="2">
        <f t="shared" ref="O31:O36" si="17">SUM(O17:V17)/(SUM($O$26:$V$26))</f>
        <v>2.1815286624203875E-3</v>
      </c>
    </row>
    <row r="32" spans="1:22" ht="14.25" customHeight="1">
      <c r="A32" s="2">
        <v>24</v>
      </c>
      <c r="B32" s="2">
        <v>31</v>
      </c>
      <c r="C32" s="2">
        <v>6</v>
      </c>
      <c r="D32" s="2">
        <v>1</v>
      </c>
      <c r="E32" s="2">
        <v>1.4650000000000001</v>
      </c>
      <c r="F32" s="2">
        <v>2</v>
      </c>
      <c r="H32" s="2">
        <v>24</v>
      </c>
      <c r="I32" s="2">
        <v>232</v>
      </c>
      <c r="J32" s="2">
        <v>8</v>
      </c>
      <c r="K32" s="2">
        <v>1</v>
      </c>
      <c r="L32" s="2">
        <v>1.4870000000000001</v>
      </c>
      <c r="M32" s="2">
        <v>2</v>
      </c>
      <c r="N32" s="2">
        <v>2</v>
      </c>
      <c r="O32" s="2">
        <f t="shared" si="17"/>
        <v>0.24581210191082808</v>
      </c>
    </row>
    <row r="33" spans="1:16" ht="14.25" customHeight="1">
      <c r="A33" s="2">
        <v>24</v>
      </c>
      <c r="B33" s="2">
        <v>32</v>
      </c>
      <c r="C33" s="2">
        <v>3</v>
      </c>
      <c r="D33" s="2">
        <v>0</v>
      </c>
      <c r="E33" s="2">
        <v>1.113</v>
      </c>
      <c r="F33" s="2">
        <v>1</v>
      </c>
      <c r="H33" s="2">
        <v>24</v>
      </c>
      <c r="I33" s="2">
        <v>233</v>
      </c>
      <c r="J33" s="2">
        <v>6</v>
      </c>
      <c r="K33" s="2">
        <v>1</v>
      </c>
      <c r="L33" s="2">
        <v>0.90200000000000002</v>
      </c>
      <c r="M33" s="2">
        <v>1</v>
      </c>
      <c r="N33" s="2">
        <v>3</v>
      </c>
      <c r="O33" s="2">
        <f t="shared" si="17"/>
        <v>0.20855095541401275</v>
      </c>
    </row>
    <row r="34" spans="1:16" ht="14.25" customHeight="1">
      <c r="A34" s="2">
        <v>24</v>
      </c>
      <c r="B34" s="2">
        <v>33</v>
      </c>
      <c r="C34" s="2">
        <v>7</v>
      </c>
      <c r="D34" s="2">
        <v>1</v>
      </c>
      <c r="E34" s="2">
        <v>1.631</v>
      </c>
      <c r="F34" s="2">
        <v>1</v>
      </c>
      <c r="H34" s="2">
        <v>24</v>
      </c>
      <c r="I34" s="2">
        <v>234</v>
      </c>
      <c r="J34" s="2">
        <v>5</v>
      </c>
      <c r="K34" s="2">
        <v>1</v>
      </c>
      <c r="L34" s="2">
        <v>0.78500000000000003</v>
      </c>
      <c r="M34" s="2">
        <v>2</v>
      </c>
      <c r="N34" s="2">
        <v>4</v>
      </c>
      <c r="O34" s="2">
        <f t="shared" si="17"/>
        <v>0.12593152866242041</v>
      </c>
    </row>
    <row r="35" spans="1:16" ht="14.25" customHeight="1">
      <c r="A35" s="2">
        <v>24</v>
      </c>
      <c r="B35" s="2">
        <v>34</v>
      </c>
      <c r="C35" s="2">
        <v>5</v>
      </c>
      <c r="D35" s="2">
        <v>1</v>
      </c>
      <c r="E35" s="2">
        <v>1.841</v>
      </c>
      <c r="F35" s="2">
        <v>2</v>
      </c>
      <c r="H35" s="2">
        <v>24</v>
      </c>
      <c r="I35" s="2">
        <v>235</v>
      </c>
      <c r="J35" s="2">
        <v>4</v>
      </c>
      <c r="L35" s="2">
        <v>2</v>
      </c>
      <c r="N35" s="2">
        <v>5</v>
      </c>
      <c r="O35" s="2">
        <f t="shared" si="17"/>
        <v>0.11589968152866241</v>
      </c>
    </row>
    <row r="36" spans="1:16" ht="14.25" customHeight="1">
      <c r="A36" s="2">
        <v>24</v>
      </c>
      <c r="B36" s="2">
        <v>35</v>
      </c>
      <c r="C36" s="2">
        <v>1</v>
      </c>
      <c r="D36" s="2">
        <v>0</v>
      </c>
      <c r="E36" s="2">
        <v>1.7450000000000001</v>
      </c>
      <c r="F36" s="2">
        <v>1</v>
      </c>
      <c r="H36" s="2">
        <v>24</v>
      </c>
      <c r="I36" s="2">
        <v>236</v>
      </c>
      <c r="J36" s="2">
        <v>6</v>
      </c>
      <c r="K36" s="2">
        <v>1</v>
      </c>
      <c r="L36" s="2">
        <v>0.73199999999999998</v>
      </c>
      <c r="M36" s="2">
        <v>1</v>
      </c>
      <c r="N36" s="2">
        <v>6</v>
      </c>
      <c r="O36" s="2">
        <f t="shared" si="17"/>
        <v>0.23964968152866242</v>
      </c>
    </row>
    <row r="37" spans="1:16" ht="14.25" customHeight="1">
      <c r="A37" s="2">
        <v>24</v>
      </c>
      <c r="B37" s="2">
        <v>36</v>
      </c>
      <c r="C37" s="2">
        <v>7</v>
      </c>
      <c r="D37" s="2">
        <v>1</v>
      </c>
      <c r="E37" s="2">
        <v>1.75</v>
      </c>
      <c r="F37" s="2">
        <v>1</v>
      </c>
      <c r="H37" s="2">
        <v>24</v>
      </c>
      <c r="I37" s="2">
        <v>237</v>
      </c>
      <c r="J37" s="2">
        <v>1</v>
      </c>
      <c r="K37" s="2">
        <v>1</v>
      </c>
      <c r="L37" s="2">
        <v>1.4490000000000001</v>
      </c>
      <c r="M37" s="2">
        <v>2</v>
      </c>
    </row>
    <row r="38" spans="1:16" ht="14.25" customHeight="1">
      <c r="A38" s="2">
        <v>24</v>
      </c>
      <c r="B38" s="2">
        <v>37</v>
      </c>
      <c r="C38" s="2">
        <v>3</v>
      </c>
      <c r="E38" s="2">
        <v>2.0009999999999999</v>
      </c>
      <c r="H38" s="2">
        <v>24</v>
      </c>
      <c r="I38" s="2">
        <v>238</v>
      </c>
      <c r="J38" s="2">
        <v>2</v>
      </c>
      <c r="K38" s="2">
        <v>1</v>
      </c>
      <c r="L38" s="2">
        <v>0.81</v>
      </c>
      <c r="M38" s="2">
        <v>1</v>
      </c>
    </row>
    <row r="39" spans="1:16" ht="14.25" customHeight="1">
      <c r="A39" s="2">
        <v>24</v>
      </c>
      <c r="B39" s="2">
        <v>38</v>
      </c>
      <c r="C39" s="2">
        <v>8</v>
      </c>
      <c r="D39" s="2">
        <v>1</v>
      </c>
      <c r="E39" s="2">
        <v>1.3819999999999999</v>
      </c>
      <c r="F39" s="2">
        <v>1</v>
      </c>
      <c r="H39" s="2">
        <v>24</v>
      </c>
      <c r="I39" s="2">
        <v>239</v>
      </c>
      <c r="J39" s="2">
        <v>8</v>
      </c>
      <c r="K39" s="2">
        <v>1</v>
      </c>
      <c r="L39" s="2">
        <v>1.0449999999999999</v>
      </c>
      <c r="M39" s="2">
        <v>2</v>
      </c>
    </row>
    <row r="40" spans="1:16" ht="14.25" customHeight="1">
      <c r="A40" s="2">
        <v>24</v>
      </c>
      <c r="B40" s="2">
        <v>39</v>
      </c>
      <c r="C40" s="2">
        <v>3</v>
      </c>
      <c r="D40" s="2">
        <v>1</v>
      </c>
      <c r="E40" s="2">
        <v>1.2250000000000001</v>
      </c>
      <c r="F40" s="2">
        <v>2</v>
      </c>
      <c r="H40" s="2">
        <v>24</v>
      </c>
      <c r="I40" s="2">
        <v>240</v>
      </c>
      <c r="J40" s="2">
        <v>2</v>
      </c>
      <c r="K40" s="2">
        <v>1</v>
      </c>
      <c r="L40" s="2">
        <v>1.4419999999999999</v>
      </c>
      <c r="M40" s="2">
        <v>2</v>
      </c>
    </row>
    <row r="41" spans="1:16" ht="14.25" customHeight="1">
      <c r="A41" s="2">
        <v>24</v>
      </c>
      <c r="B41" s="2">
        <v>40</v>
      </c>
      <c r="C41" s="2">
        <v>6</v>
      </c>
      <c r="D41" s="2">
        <v>1</v>
      </c>
      <c r="E41" s="2">
        <v>1.569</v>
      </c>
      <c r="F41" s="2">
        <v>2</v>
      </c>
      <c r="H41" s="2">
        <v>24</v>
      </c>
      <c r="I41" s="2">
        <v>241</v>
      </c>
      <c r="J41" s="2">
        <v>5</v>
      </c>
      <c r="K41" s="2">
        <v>1</v>
      </c>
      <c r="L41" s="2">
        <v>1.0740000000000001</v>
      </c>
      <c r="M41" s="2">
        <v>1</v>
      </c>
      <c r="P41" s="2">
        <v>4.7245222929936277E-2</v>
      </c>
    </row>
    <row r="42" spans="1:16" ht="14.25" customHeight="1">
      <c r="A42" s="2">
        <v>24</v>
      </c>
      <c r="B42" s="2">
        <v>41</v>
      </c>
      <c r="C42" s="2">
        <v>7</v>
      </c>
      <c r="D42" s="2">
        <v>1</v>
      </c>
      <c r="E42" s="2">
        <v>1.446</v>
      </c>
      <c r="F42" s="2">
        <v>1</v>
      </c>
      <c r="H42" s="2">
        <v>24</v>
      </c>
      <c r="I42" s="2">
        <v>242</v>
      </c>
      <c r="J42" s="2">
        <v>4</v>
      </c>
      <c r="K42" s="2">
        <v>1</v>
      </c>
      <c r="L42" s="2">
        <v>0.89400000000000002</v>
      </c>
      <c r="M42" s="2">
        <v>2</v>
      </c>
      <c r="P42" s="2">
        <v>8.1640127388535003E-2</v>
      </c>
    </row>
    <row r="43" spans="1:16" ht="14.25" customHeight="1">
      <c r="A43" s="2">
        <v>24</v>
      </c>
      <c r="B43" s="2">
        <v>42</v>
      </c>
      <c r="C43" s="2">
        <v>5</v>
      </c>
      <c r="D43" s="2">
        <v>1</v>
      </c>
      <c r="E43" s="2">
        <v>1.2310000000000001</v>
      </c>
      <c r="F43" s="2">
        <v>2</v>
      </c>
      <c r="H43" s="2">
        <v>24</v>
      </c>
      <c r="I43" s="2">
        <v>243</v>
      </c>
      <c r="J43" s="2">
        <v>1</v>
      </c>
      <c r="K43" s="2">
        <v>1</v>
      </c>
      <c r="L43" s="2">
        <v>1.214</v>
      </c>
      <c r="M43" s="2">
        <v>1</v>
      </c>
      <c r="P43" s="2">
        <v>0.21921974522292992</v>
      </c>
    </row>
    <row r="44" spans="1:16" ht="14.25" customHeight="1">
      <c r="A44" s="2">
        <v>24</v>
      </c>
      <c r="B44" s="2">
        <v>43</v>
      </c>
      <c r="C44" s="2">
        <v>8</v>
      </c>
      <c r="D44" s="2">
        <v>1</v>
      </c>
      <c r="E44" s="2">
        <v>1.175</v>
      </c>
      <c r="F44" s="2">
        <v>1</v>
      </c>
      <c r="H44" s="2">
        <v>24</v>
      </c>
      <c r="I44" s="2">
        <v>244</v>
      </c>
      <c r="J44" s="2">
        <v>4</v>
      </c>
      <c r="K44" s="2">
        <v>1</v>
      </c>
      <c r="L44" s="2">
        <v>1.492</v>
      </c>
      <c r="M44" s="2">
        <v>2</v>
      </c>
      <c r="P44" s="2">
        <v>4.9179936305732475E-2</v>
      </c>
    </row>
    <row r="45" spans="1:16" ht="14.25" customHeight="1">
      <c r="A45" s="2">
        <v>24</v>
      </c>
      <c r="B45" s="2">
        <v>44</v>
      </c>
      <c r="C45" s="2">
        <v>5</v>
      </c>
      <c r="D45" s="2">
        <v>1</v>
      </c>
      <c r="E45" s="2">
        <v>1.155</v>
      </c>
      <c r="F45" s="2">
        <v>2</v>
      </c>
      <c r="H45" s="2">
        <v>24</v>
      </c>
      <c r="I45" s="2">
        <v>245</v>
      </c>
      <c r="J45" s="2">
        <v>2</v>
      </c>
      <c r="K45" s="2">
        <v>1</v>
      </c>
      <c r="L45" s="2">
        <v>1.2390000000000001</v>
      </c>
      <c r="M45" s="2">
        <v>1</v>
      </c>
      <c r="P45" s="2">
        <v>0.11510350318471337</v>
      </c>
    </row>
    <row r="46" spans="1:16" ht="14.25" customHeight="1">
      <c r="A46" s="2">
        <v>24</v>
      </c>
      <c r="B46" s="2">
        <v>45</v>
      </c>
      <c r="C46" s="2">
        <v>4</v>
      </c>
      <c r="D46" s="2">
        <v>1</v>
      </c>
      <c r="E46" s="2">
        <v>1.8720000000000001</v>
      </c>
      <c r="F46" s="2">
        <v>1</v>
      </c>
      <c r="H46" s="2">
        <v>24</v>
      </c>
      <c r="I46" s="2">
        <v>246</v>
      </c>
      <c r="J46" s="2">
        <v>8</v>
      </c>
      <c r="K46" s="2">
        <v>0</v>
      </c>
      <c r="L46" s="2">
        <v>1.5349999999999999</v>
      </c>
      <c r="M46" s="2">
        <v>1</v>
      </c>
      <c r="P46" s="2">
        <v>0.11703821656050956</v>
      </c>
    </row>
    <row r="47" spans="1:16" ht="14.25" customHeight="1">
      <c r="A47" s="2">
        <v>24</v>
      </c>
      <c r="B47" s="2">
        <v>46</v>
      </c>
      <c r="C47" s="2">
        <v>1</v>
      </c>
      <c r="E47" s="2">
        <v>2.0009999999999999</v>
      </c>
      <c r="H47" s="2">
        <v>24</v>
      </c>
      <c r="I47" s="2">
        <v>247</v>
      </c>
      <c r="J47" s="2">
        <v>3</v>
      </c>
      <c r="K47" s="2">
        <v>1</v>
      </c>
      <c r="L47" s="2">
        <v>0.72699999999999998</v>
      </c>
      <c r="M47" s="2">
        <v>1</v>
      </c>
    </row>
    <row r="48" spans="1:16" ht="14.25" customHeight="1">
      <c r="A48" s="2">
        <v>24</v>
      </c>
      <c r="B48" s="2">
        <v>47</v>
      </c>
      <c r="C48" s="2">
        <v>7</v>
      </c>
      <c r="D48" s="2">
        <v>1</v>
      </c>
      <c r="E48" s="2">
        <v>0.95399999999999996</v>
      </c>
      <c r="F48" s="2">
        <v>1</v>
      </c>
      <c r="H48" s="2">
        <v>24</v>
      </c>
      <c r="I48" s="2">
        <v>248</v>
      </c>
      <c r="J48" s="2">
        <v>2</v>
      </c>
      <c r="K48" s="2">
        <v>1</v>
      </c>
      <c r="L48" s="2">
        <v>1.246</v>
      </c>
      <c r="M48" s="2">
        <v>2</v>
      </c>
    </row>
    <row r="49" spans="1:21" ht="14.25" customHeight="1">
      <c r="A49" s="2">
        <v>24</v>
      </c>
      <c r="B49" s="2">
        <v>48</v>
      </c>
      <c r="C49" s="2">
        <v>1</v>
      </c>
      <c r="D49" s="2">
        <v>1</v>
      </c>
      <c r="E49" s="2">
        <v>0.75900000000000001</v>
      </c>
      <c r="F49" s="2">
        <v>2</v>
      </c>
      <c r="H49" s="2">
        <v>24</v>
      </c>
      <c r="I49" s="2">
        <v>249</v>
      </c>
      <c r="J49" s="2">
        <v>8</v>
      </c>
      <c r="K49" s="2">
        <v>1</v>
      </c>
      <c r="L49" s="2">
        <v>0.85899999999999999</v>
      </c>
      <c r="M49" s="2">
        <v>1</v>
      </c>
      <c r="P49" s="2">
        <v>0.11109872611464967</v>
      </c>
      <c r="Q49" s="2">
        <v>1.6831210191082791E-2</v>
      </c>
      <c r="R49" s="2">
        <v>3.7738853503184724E-3</v>
      </c>
      <c r="S49" s="2">
        <v>6.0031847133757968E-3</v>
      </c>
      <c r="T49" s="2">
        <v>3.4554140127388585E-3</v>
      </c>
      <c r="U49" s="2">
        <v>2.5000000000000053E-3</v>
      </c>
    </row>
    <row r="50" spans="1:21" ht="14.25" customHeight="1">
      <c r="A50" s="2">
        <v>24</v>
      </c>
      <c r="B50" s="2">
        <v>49</v>
      </c>
      <c r="C50" s="2">
        <v>2</v>
      </c>
      <c r="D50" s="2">
        <v>1</v>
      </c>
      <c r="E50" s="2">
        <v>1.8280000000000001</v>
      </c>
      <c r="F50" s="2">
        <v>1</v>
      </c>
      <c r="H50" s="2">
        <v>24</v>
      </c>
      <c r="I50" s="2">
        <v>250</v>
      </c>
      <c r="J50" s="2">
        <v>5</v>
      </c>
      <c r="K50" s="2">
        <v>1</v>
      </c>
      <c r="L50" s="2">
        <v>1.571</v>
      </c>
      <c r="M50" s="2">
        <v>2</v>
      </c>
      <c r="P50" s="2">
        <v>5.0907643312101895E-2</v>
      </c>
      <c r="Q50" s="2">
        <v>0.14581210191082802</v>
      </c>
      <c r="R50" s="2">
        <v>0.24740445859872617</v>
      </c>
      <c r="S50" s="2">
        <v>0.24963375796178344</v>
      </c>
      <c r="T50" s="2">
        <v>0.24708598726114656</v>
      </c>
      <c r="U50" s="2">
        <v>0.24613057324840773</v>
      </c>
    </row>
    <row r="51" spans="1:21" ht="14.25" customHeight="1">
      <c r="A51" s="2">
        <v>24</v>
      </c>
      <c r="B51" s="2">
        <v>50</v>
      </c>
      <c r="C51" s="2">
        <v>3</v>
      </c>
      <c r="D51" s="2">
        <v>0</v>
      </c>
      <c r="E51" s="2">
        <v>1.381</v>
      </c>
      <c r="F51" s="2">
        <v>1</v>
      </c>
      <c r="H51" s="2">
        <v>24</v>
      </c>
      <c r="I51" s="2">
        <v>251</v>
      </c>
      <c r="J51" s="2">
        <v>3</v>
      </c>
      <c r="K51" s="2">
        <v>1</v>
      </c>
      <c r="L51" s="2">
        <v>1.3440000000000001</v>
      </c>
      <c r="M51" s="2">
        <v>1</v>
      </c>
      <c r="P51" s="2">
        <v>0.31746815286624203</v>
      </c>
      <c r="Q51" s="2">
        <v>0.15441082802547768</v>
      </c>
      <c r="R51" s="2">
        <v>0.21014331210191084</v>
      </c>
      <c r="S51" s="2">
        <v>0.21237261146496811</v>
      </c>
      <c r="T51" s="2">
        <v>0.20982484076433122</v>
      </c>
      <c r="U51" s="2">
        <v>0.20886942675159237</v>
      </c>
    </row>
    <row r="52" spans="1:21" ht="14.25" customHeight="1">
      <c r="A52" s="2">
        <v>24</v>
      </c>
      <c r="B52" s="2">
        <v>51</v>
      </c>
      <c r="C52" s="2">
        <v>7</v>
      </c>
      <c r="D52" s="2">
        <v>0</v>
      </c>
      <c r="E52" s="2">
        <v>0.97199999999999998</v>
      </c>
      <c r="F52" s="2">
        <v>2</v>
      </c>
      <c r="H52" s="2">
        <v>24</v>
      </c>
      <c r="I52" s="2">
        <v>252</v>
      </c>
      <c r="J52" s="2">
        <v>4</v>
      </c>
      <c r="K52" s="2">
        <v>1</v>
      </c>
      <c r="L52" s="2">
        <v>0.89800000000000002</v>
      </c>
      <c r="M52" s="2">
        <v>2</v>
      </c>
      <c r="P52" s="2">
        <v>4.8542993630573246E-2</v>
      </c>
      <c r="Q52" s="2">
        <v>8.3256369426751575E-2</v>
      </c>
      <c r="R52" s="2">
        <v>0.1275238853503185</v>
      </c>
      <c r="S52" s="2">
        <v>0.11255573248407647</v>
      </c>
      <c r="T52" s="2">
        <v>0.12720541401273888</v>
      </c>
      <c r="U52" s="2">
        <v>0.12625000000000003</v>
      </c>
    </row>
    <row r="53" spans="1:21" ht="14.25" customHeight="1">
      <c r="A53" s="2">
        <v>24</v>
      </c>
      <c r="B53" s="2">
        <v>52</v>
      </c>
      <c r="C53" s="2">
        <v>1</v>
      </c>
      <c r="D53" s="2">
        <v>1</v>
      </c>
      <c r="E53" s="2">
        <v>1.1359999999999999</v>
      </c>
      <c r="F53" s="2">
        <v>2</v>
      </c>
      <c r="H53" s="2">
        <v>24</v>
      </c>
      <c r="I53" s="2">
        <v>253</v>
      </c>
      <c r="J53" s="2">
        <v>3</v>
      </c>
      <c r="K53" s="2">
        <v>1</v>
      </c>
      <c r="L53" s="2">
        <v>0.79700000000000004</v>
      </c>
      <c r="M53" s="2">
        <v>2</v>
      </c>
      <c r="P53" s="2">
        <v>0.19472133757961782</v>
      </c>
      <c r="Q53" s="2">
        <v>6.892515923566879E-2</v>
      </c>
      <c r="R53" s="2">
        <v>0.1103264331210191</v>
      </c>
      <c r="S53" s="2">
        <v>9.2492038216560504E-2</v>
      </c>
      <c r="T53" s="2">
        <v>0.10714171974522292</v>
      </c>
      <c r="U53" s="2">
        <v>0.12625</v>
      </c>
    </row>
    <row r="54" spans="1:21" ht="14.25" customHeight="1">
      <c r="A54" s="2">
        <v>24</v>
      </c>
      <c r="B54" s="2">
        <v>53</v>
      </c>
      <c r="C54" s="2">
        <v>3</v>
      </c>
      <c r="D54" s="2">
        <v>0</v>
      </c>
      <c r="E54" s="2">
        <v>1.1479999999999999</v>
      </c>
      <c r="F54" s="2">
        <v>1</v>
      </c>
      <c r="H54" s="2">
        <v>24</v>
      </c>
      <c r="I54" s="2">
        <v>254</v>
      </c>
      <c r="J54" s="2">
        <v>2</v>
      </c>
      <c r="K54" s="2">
        <v>1</v>
      </c>
      <c r="L54" s="2">
        <v>0.58799999999999997</v>
      </c>
      <c r="M54" s="2">
        <v>1</v>
      </c>
      <c r="P54" s="2">
        <v>0.1321656050955414</v>
      </c>
      <c r="Q54" s="2">
        <v>0.13535031847133758</v>
      </c>
      <c r="R54" s="2">
        <v>0.23407643312101911</v>
      </c>
      <c r="S54" s="2">
        <v>0.19904458598726116</v>
      </c>
      <c r="T54" s="2">
        <v>0.23089171974522293</v>
      </c>
      <c r="U54" s="2">
        <v>0.25</v>
      </c>
    </row>
    <row r="55" spans="1:21" ht="14.25" customHeight="1">
      <c r="A55" s="2">
        <v>24</v>
      </c>
      <c r="B55" s="2">
        <v>54</v>
      </c>
      <c r="C55" s="2">
        <v>1</v>
      </c>
      <c r="D55" s="2">
        <v>1</v>
      </c>
      <c r="E55" s="2">
        <v>0.80200000000000005</v>
      </c>
      <c r="F55" s="2">
        <v>1</v>
      </c>
      <c r="H55" s="2">
        <v>24</v>
      </c>
      <c r="I55" s="2">
        <v>255</v>
      </c>
      <c r="J55" s="2">
        <v>4</v>
      </c>
      <c r="K55" s="2">
        <v>1</v>
      </c>
      <c r="L55" s="2">
        <v>0.81499999999999995</v>
      </c>
      <c r="M55" s="2">
        <v>1</v>
      </c>
    </row>
    <row r="56" spans="1:21" ht="14.25" customHeight="1">
      <c r="A56" s="2">
        <v>24</v>
      </c>
      <c r="B56" s="2">
        <v>55</v>
      </c>
      <c r="C56" s="2">
        <v>5</v>
      </c>
      <c r="D56" s="2">
        <v>1</v>
      </c>
      <c r="E56" s="2">
        <v>0.98799999999999999</v>
      </c>
      <c r="F56" s="2">
        <v>1</v>
      </c>
      <c r="H56" s="2">
        <v>24</v>
      </c>
      <c r="I56" s="2">
        <v>256</v>
      </c>
      <c r="J56" s="2">
        <v>7</v>
      </c>
      <c r="K56" s="2">
        <v>1</v>
      </c>
      <c r="L56" s="2">
        <v>1.522</v>
      </c>
      <c r="M56" s="2">
        <v>1</v>
      </c>
    </row>
    <row r="57" spans="1:21" ht="14.25" customHeight="1">
      <c r="A57" s="2">
        <v>24</v>
      </c>
      <c r="B57" s="2">
        <v>56</v>
      </c>
      <c r="C57" s="2">
        <v>4</v>
      </c>
      <c r="D57" s="2">
        <v>1</v>
      </c>
      <c r="E57" s="2">
        <v>1.391</v>
      </c>
      <c r="F57" s="2">
        <v>1</v>
      </c>
      <c r="H57" s="2">
        <v>24</v>
      </c>
      <c r="I57" s="2">
        <v>257</v>
      </c>
      <c r="J57" s="2">
        <v>5</v>
      </c>
      <c r="K57" s="2">
        <v>1</v>
      </c>
      <c r="L57" s="2">
        <v>0.73599999999999999</v>
      </c>
      <c r="M57" s="2">
        <v>1</v>
      </c>
    </row>
    <row r="58" spans="1:21" ht="14.25" customHeight="1">
      <c r="A58" s="2">
        <v>24</v>
      </c>
      <c r="B58" s="2">
        <v>57</v>
      </c>
      <c r="C58" s="2">
        <v>8</v>
      </c>
      <c r="D58" s="2">
        <v>1</v>
      </c>
      <c r="E58" s="2">
        <v>0.96199999999999997</v>
      </c>
      <c r="F58" s="2">
        <v>1</v>
      </c>
      <c r="H58" s="2">
        <v>24</v>
      </c>
      <c r="I58" s="2">
        <v>258</v>
      </c>
      <c r="J58" s="2">
        <v>8</v>
      </c>
      <c r="K58" s="2">
        <v>1</v>
      </c>
      <c r="L58" s="2">
        <v>0.88</v>
      </c>
      <c r="M58" s="2">
        <v>2</v>
      </c>
    </row>
    <row r="59" spans="1:21" ht="14.25" customHeight="1">
      <c r="A59" s="2">
        <v>24</v>
      </c>
      <c r="B59" s="2">
        <v>58</v>
      </c>
      <c r="C59" s="2">
        <v>3</v>
      </c>
      <c r="D59" s="2">
        <v>1</v>
      </c>
      <c r="E59" s="2">
        <v>1.111</v>
      </c>
      <c r="F59" s="2">
        <v>2</v>
      </c>
      <c r="H59" s="2">
        <v>24</v>
      </c>
      <c r="I59" s="2">
        <v>259</v>
      </c>
      <c r="J59" s="2">
        <v>6</v>
      </c>
      <c r="K59" s="2">
        <v>1</v>
      </c>
      <c r="L59" s="2">
        <v>0.81299999999999994</v>
      </c>
      <c r="M59" s="2">
        <v>2</v>
      </c>
    </row>
    <row r="60" spans="1:21" ht="14.25" customHeight="1">
      <c r="A60" s="2">
        <v>24</v>
      </c>
      <c r="B60" s="2">
        <v>59</v>
      </c>
      <c r="C60" s="2">
        <v>2</v>
      </c>
      <c r="D60" s="2">
        <v>1</v>
      </c>
      <c r="E60" s="2">
        <v>1.4359999999999999</v>
      </c>
      <c r="F60" s="2">
        <v>2</v>
      </c>
      <c r="H60" s="2">
        <v>24</v>
      </c>
      <c r="I60" s="2">
        <v>260</v>
      </c>
      <c r="J60" s="2">
        <v>2</v>
      </c>
      <c r="K60" s="2">
        <v>1</v>
      </c>
      <c r="L60" s="2">
        <v>0.93899999999999995</v>
      </c>
      <c r="M60" s="2">
        <v>2</v>
      </c>
    </row>
    <row r="61" spans="1:21" ht="14.25" customHeight="1">
      <c r="A61" s="2">
        <v>24</v>
      </c>
      <c r="B61" s="2">
        <v>60</v>
      </c>
      <c r="C61" s="2">
        <v>8</v>
      </c>
      <c r="D61" s="2">
        <v>1</v>
      </c>
      <c r="E61" s="2">
        <v>1.1259999999999999</v>
      </c>
      <c r="F61" s="2">
        <v>2</v>
      </c>
      <c r="H61" s="2">
        <v>24</v>
      </c>
      <c r="I61" s="2">
        <v>261</v>
      </c>
      <c r="J61" s="2">
        <v>4</v>
      </c>
      <c r="L61" s="2">
        <v>2</v>
      </c>
    </row>
    <row r="62" spans="1:21" ht="14.25" customHeight="1">
      <c r="A62" s="2">
        <v>24</v>
      </c>
      <c r="B62" s="2">
        <v>61</v>
      </c>
      <c r="C62" s="2">
        <v>2</v>
      </c>
      <c r="D62" s="2">
        <v>1</v>
      </c>
      <c r="E62" s="2">
        <v>1.359</v>
      </c>
      <c r="F62" s="2">
        <v>1</v>
      </c>
      <c r="H62" s="2">
        <v>24</v>
      </c>
      <c r="I62" s="2">
        <v>262</v>
      </c>
      <c r="J62" s="2">
        <v>2</v>
      </c>
      <c r="K62" s="2">
        <v>1</v>
      </c>
      <c r="L62" s="2">
        <v>0.76600000000000001</v>
      </c>
      <c r="M62" s="2">
        <v>1</v>
      </c>
    </row>
    <row r="63" spans="1:21" ht="14.25" customHeight="1">
      <c r="A63" s="2">
        <v>24</v>
      </c>
      <c r="B63" s="2">
        <v>62</v>
      </c>
      <c r="C63" s="2">
        <v>6</v>
      </c>
      <c r="D63" s="2">
        <v>0</v>
      </c>
      <c r="E63" s="2">
        <v>1.6519999999999999</v>
      </c>
      <c r="F63" s="2">
        <v>2</v>
      </c>
      <c r="H63" s="2">
        <v>24</v>
      </c>
      <c r="I63" s="2">
        <v>263</v>
      </c>
      <c r="J63" s="2">
        <v>8</v>
      </c>
      <c r="K63" s="2">
        <v>1</v>
      </c>
      <c r="L63" s="2">
        <v>0.69299999999999995</v>
      </c>
      <c r="M63" s="2">
        <v>1</v>
      </c>
    </row>
    <row r="64" spans="1:21" ht="14.25" customHeight="1">
      <c r="A64" s="2">
        <v>24</v>
      </c>
      <c r="B64" s="2">
        <v>63</v>
      </c>
      <c r="C64" s="2">
        <v>1</v>
      </c>
      <c r="D64" s="2">
        <v>1</v>
      </c>
      <c r="E64" s="2">
        <v>0.90300000000000002</v>
      </c>
      <c r="F64" s="2">
        <v>1</v>
      </c>
      <c r="H64" s="2">
        <v>24</v>
      </c>
      <c r="I64" s="2">
        <v>264</v>
      </c>
      <c r="J64" s="2">
        <v>7</v>
      </c>
      <c r="K64" s="2">
        <v>1</v>
      </c>
      <c r="L64" s="2">
        <v>1.6</v>
      </c>
      <c r="M64" s="2">
        <v>2</v>
      </c>
    </row>
    <row r="65" spans="1:13" ht="14.25" customHeight="1">
      <c r="A65" s="2">
        <v>24</v>
      </c>
      <c r="B65" s="2">
        <v>64</v>
      </c>
      <c r="C65" s="2">
        <v>3</v>
      </c>
      <c r="D65" s="2">
        <v>1</v>
      </c>
      <c r="E65" s="2">
        <v>1.444</v>
      </c>
      <c r="F65" s="2">
        <v>2</v>
      </c>
      <c r="H65" s="2">
        <v>24</v>
      </c>
      <c r="I65" s="2">
        <v>265</v>
      </c>
      <c r="J65" s="2">
        <v>8</v>
      </c>
      <c r="K65" s="2">
        <v>1</v>
      </c>
      <c r="L65" s="2">
        <v>0.97899999999999998</v>
      </c>
      <c r="M65" s="2">
        <v>1</v>
      </c>
    </row>
    <row r="66" spans="1:13" ht="14.25" customHeight="1">
      <c r="A66" s="2">
        <v>24</v>
      </c>
      <c r="B66" s="2">
        <v>65</v>
      </c>
      <c r="C66" s="2">
        <v>5</v>
      </c>
      <c r="D66" s="2">
        <v>0</v>
      </c>
      <c r="E66" s="2">
        <v>1.774</v>
      </c>
      <c r="F66" s="2">
        <v>2</v>
      </c>
      <c r="H66" s="2">
        <v>24</v>
      </c>
      <c r="I66" s="2">
        <v>266</v>
      </c>
      <c r="J66" s="2">
        <v>3</v>
      </c>
      <c r="K66" s="2">
        <v>1</v>
      </c>
      <c r="L66" s="2">
        <v>1.1220000000000001</v>
      </c>
      <c r="M66" s="2">
        <v>2</v>
      </c>
    </row>
    <row r="67" spans="1:13" ht="14.25" customHeight="1">
      <c r="A67" s="2">
        <v>24</v>
      </c>
      <c r="B67" s="2">
        <v>66</v>
      </c>
      <c r="C67" s="2">
        <v>4</v>
      </c>
      <c r="D67" s="2">
        <v>1</v>
      </c>
      <c r="E67" s="2">
        <v>0.94399999999999995</v>
      </c>
      <c r="F67" s="2">
        <v>2</v>
      </c>
      <c r="H67" s="2">
        <v>24</v>
      </c>
      <c r="I67" s="2">
        <v>267</v>
      </c>
      <c r="J67" s="2">
        <v>1</v>
      </c>
      <c r="K67" s="2">
        <v>1</v>
      </c>
      <c r="L67" s="2">
        <v>1.1399999999999999</v>
      </c>
      <c r="M67" s="2">
        <v>2</v>
      </c>
    </row>
    <row r="68" spans="1:13" ht="14.25" customHeight="1">
      <c r="A68" s="2">
        <v>24</v>
      </c>
      <c r="B68" s="2">
        <v>67</v>
      </c>
      <c r="C68" s="2">
        <v>3</v>
      </c>
      <c r="D68" s="2">
        <v>1</v>
      </c>
      <c r="E68" s="2">
        <v>1.131</v>
      </c>
      <c r="F68" s="2">
        <v>2</v>
      </c>
      <c r="H68" s="2">
        <v>24</v>
      </c>
      <c r="I68" s="2">
        <v>268</v>
      </c>
      <c r="J68" s="2">
        <v>7</v>
      </c>
      <c r="K68" s="2">
        <v>1</v>
      </c>
      <c r="L68" s="2">
        <v>0.63700000000000001</v>
      </c>
      <c r="M68" s="2">
        <v>2</v>
      </c>
    </row>
    <row r="69" spans="1:13" ht="14.25" customHeight="1">
      <c r="A69" s="2">
        <v>24</v>
      </c>
      <c r="B69" s="2">
        <v>68</v>
      </c>
      <c r="C69" s="2">
        <v>1</v>
      </c>
      <c r="D69" s="2">
        <v>1</v>
      </c>
      <c r="E69" s="2">
        <v>0.82599999999999996</v>
      </c>
      <c r="F69" s="2">
        <v>2</v>
      </c>
      <c r="H69" s="2">
        <v>24</v>
      </c>
      <c r="I69" s="2">
        <v>269</v>
      </c>
      <c r="J69" s="2">
        <v>3</v>
      </c>
      <c r="K69" s="2">
        <v>1</v>
      </c>
      <c r="L69" s="2">
        <v>1.6259999999999999</v>
      </c>
      <c r="M69" s="2">
        <v>1</v>
      </c>
    </row>
    <row r="70" spans="1:13" ht="14.25" customHeight="1">
      <c r="A70" s="2">
        <v>24</v>
      </c>
      <c r="B70" s="2">
        <v>69</v>
      </c>
      <c r="C70" s="2">
        <v>2</v>
      </c>
      <c r="D70" s="2">
        <v>0</v>
      </c>
      <c r="E70" s="2">
        <v>0.77100000000000002</v>
      </c>
      <c r="F70" s="2">
        <v>2</v>
      </c>
      <c r="H70" s="2">
        <v>24</v>
      </c>
      <c r="I70" s="2">
        <v>270</v>
      </c>
      <c r="J70" s="2">
        <v>5</v>
      </c>
      <c r="K70" s="2">
        <v>1</v>
      </c>
      <c r="L70" s="2">
        <v>0.75600000000000001</v>
      </c>
      <c r="M70" s="2">
        <v>2</v>
      </c>
    </row>
    <row r="71" spans="1:13" ht="14.25" customHeight="1">
      <c r="A71" s="2">
        <v>24</v>
      </c>
      <c r="B71" s="2">
        <v>70</v>
      </c>
      <c r="C71" s="2">
        <v>7</v>
      </c>
      <c r="D71" s="2">
        <v>1</v>
      </c>
      <c r="E71" s="2">
        <v>0.752</v>
      </c>
      <c r="F71" s="2">
        <v>2</v>
      </c>
      <c r="H71" s="2">
        <v>24</v>
      </c>
      <c r="I71" s="2">
        <v>271</v>
      </c>
      <c r="J71" s="2">
        <v>8</v>
      </c>
      <c r="K71" s="2">
        <v>1</v>
      </c>
      <c r="L71" s="2">
        <v>1.48</v>
      </c>
      <c r="M71" s="2">
        <v>1</v>
      </c>
    </row>
    <row r="72" spans="1:13" ht="14.25" customHeight="1">
      <c r="A72" s="2">
        <v>24</v>
      </c>
      <c r="B72" s="2">
        <v>71</v>
      </c>
      <c r="C72" s="2">
        <v>1</v>
      </c>
      <c r="D72" s="2">
        <v>1</v>
      </c>
      <c r="E72" s="2">
        <v>1.4119999999999999</v>
      </c>
      <c r="F72" s="2">
        <v>1</v>
      </c>
      <c r="H72" s="2">
        <v>24</v>
      </c>
      <c r="I72" s="2">
        <v>272</v>
      </c>
      <c r="J72" s="2">
        <v>4</v>
      </c>
      <c r="K72" s="2">
        <v>1</v>
      </c>
      <c r="L72" s="2">
        <v>0.72699999999999998</v>
      </c>
      <c r="M72" s="2">
        <v>1</v>
      </c>
    </row>
    <row r="73" spans="1:13" ht="14.25" customHeight="1">
      <c r="A73" s="2">
        <v>24</v>
      </c>
      <c r="B73" s="2">
        <v>72</v>
      </c>
      <c r="C73" s="2">
        <v>6</v>
      </c>
      <c r="D73" s="2">
        <v>1</v>
      </c>
      <c r="E73" s="2">
        <v>1.0549999999999999</v>
      </c>
      <c r="F73" s="2">
        <v>1</v>
      </c>
      <c r="H73" s="2">
        <v>24</v>
      </c>
      <c r="I73" s="2">
        <v>273</v>
      </c>
      <c r="J73" s="2">
        <v>6</v>
      </c>
      <c r="K73" s="2">
        <v>1</v>
      </c>
      <c r="L73" s="2">
        <v>0.93799999999999994</v>
      </c>
      <c r="M73" s="2">
        <v>2</v>
      </c>
    </row>
    <row r="74" spans="1:13" ht="14.25" customHeight="1">
      <c r="A74" s="2">
        <v>24</v>
      </c>
      <c r="B74" s="2">
        <v>73</v>
      </c>
      <c r="C74" s="2">
        <v>8</v>
      </c>
      <c r="D74" s="2">
        <v>1</v>
      </c>
      <c r="E74" s="2">
        <v>1.1339999999999999</v>
      </c>
      <c r="F74" s="2">
        <v>2</v>
      </c>
      <c r="H74" s="2">
        <v>24</v>
      </c>
      <c r="I74" s="2">
        <v>274</v>
      </c>
      <c r="J74" s="2">
        <v>5</v>
      </c>
      <c r="K74" s="2">
        <v>1</v>
      </c>
      <c r="L74" s="2">
        <v>1.6180000000000001</v>
      </c>
      <c r="M74" s="2">
        <v>1</v>
      </c>
    </row>
    <row r="75" spans="1:13" ht="14.25" customHeight="1">
      <c r="A75" s="2">
        <v>24</v>
      </c>
      <c r="B75" s="2">
        <v>74</v>
      </c>
      <c r="C75" s="2">
        <v>6</v>
      </c>
      <c r="D75" s="2">
        <v>1</v>
      </c>
      <c r="E75" s="2">
        <v>1.8360000000000001</v>
      </c>
      <c r="F75" s="2">
        <v>1</v>
      </c>
      <c r="H75" s="2">
        <v>24</v>
      </c>
      <c r="I75" s="2">
        <v>275</v>
      </c>
      <c r="J75" s="2">
        <v>7</v>
      </c>
      <c r="K75" s="2">
        <v>1</v>
      </c>
      <c r="L75" s="2">
        <v>0.74399999999999999</v>
      </c>
      <c r="M75" s="2">
        <v>1</v>
      </c>
    </row>
    <row r="76" spans="1:13" ht="14.25" customHeight="1">
      <c r="A76" s="2">
        <v>24</v>
      </c>
      <c r="B76" s="2">
        <v>75</v>
      </c>
      <c r="C76" s="2">
        <v>4</v>
      </c>
      <c r="D76" s="2">
        <v>1</v>
      </c>
      <c r="E76" s="2">
        <v>1.1319999999999999</v>
      </c>
      <c r="F76" s="2">
        <v>1</v>
      </c>
      <c r="H76" s="2">
        <v>24</v>
      </c>
      <c r="I76" s="2">
        <v>276</v>
      </c>
      <c r="J76" s="2">
        <v>5</v>
      </c>
      <c r="K76" s="2">
        <v>1</v>
      </c>
      <c r="L76" s="2">
        <v>1.153</v>
      </c>
      <c r="M76" s="2">
        <v>1</v>
      </c>
    </row>
    <row r="77" spans="1:13" ht="14.25" customHeight="1">
      <c r="A77" s="2">
        <v>24</v>
      </c>
      <c r="B77" s="2">
        <v>76</v>
      </c>
      <c r="C77" s="2">
        <v>7</v>
      </c>
      <c r="D77" s="2">
        <v>1</v>
      </c>
      <c r="E77" s="2">
        <v>1.3380000000000001</v>
      </c>
      <c r="F77" s="2">
        <v>1</v>
      </c>
      <c r="H77" s="2">
        <v>24</v>
      </c>
      <c r="I77" s="2">
        <v>277</v>
      </c>
      <c r="J77" s="2">
        <v>7</v>
      </c>
      <c r="K77" s="2">
        <v>1</v>
      </c>
      <c r="L77" s="2">
        <v>1.089</v>
      </c>
      <c r="M77" s="2">
        <v>2</v>
      </c>
    </row>
    <row r="78" spans="1:13" ht="14.25" customHeight="1">
      <c r="A78" s="2">
        <v>24</v>
      </c>
      <c r="B78" s="2">
        <v>77</v>
      </c>
      <c r="C78" s="2">
        <v>4</v>
      </c>
      <c r="D78" s="2">
        <v>1</v>
      </c>
      <c r="E78" s="2">
        <v>1.4550000000000001</v>
      </c>
      <c r="F78" s="2">
        <v>2</v>
      </c>
      <c r="H78" s="2">
        <v>24</v>
      </c>
      <c r="I78" s="2">
        <v>278</v>
      </c>
      <c r="J78" s="2">
        <v>4</v>
      </c>
      <c r="K78" s="2">
        <v>1</v>
      </c>
      <c r="L78" s="2">
        <v>1.4910000000000001</v>
      </c>
      <c r="M78" s="2">
        <v>1</v>
      </c>
    </row>
    <row r="79" spans="1:13" ht="14.25" customHeight="1">
      <c r="A79" s="2">
        <v>24</v>
      </c>
      <c r="B79" s="2">
        <v>78</v>
      </c>
      <c r="C79" s="2">
        <v>5</v>
      </c>
      <c r="D79" s="2">
        <v>1</v>
      </c>
      <c r="E79" s="2">
        <v>1.208</v>
      </c>
      <c r="F79" s="2">
        <v>1</v>
      </c>
      <c r="H79" s="2">
        <v>24</v>
      </c>
      <c r="I79" s="2">
        <v>279</v>
      </c>
      <c r="J79" s="2">
        <v>8</v>
      </c>
      <c r="K79" s="2">
        <v>1</v>
      </c>
      <c r="L79" s="2">
        <v>1.0620000000000001</v>
      </c>
      <c r="M79" s="2">
        <v>2</v>
      </c>
    </row>
    <row r="80" spans="1:13" ht="14.25" customHeight="1">
      <c r="A80" s="2">
        <v>24</v>
      </c>
      <c r="B80" s="2">
        <v>79</v>
      </c>
      <c r="C80" s="2">
        <v>8</v>
      </c>
      <c r="D80" s="2">
        <v>1</v>
      </c>
      <c r="E80" s="2">
        <v>1.234</v>
      </c>
      <c r="F80" s="2">
        <v>2</v>
      </c>
      <c r="H80" s="2">
        <v>24</v>
      </c>
      <c r="I80" s="2">
        <v>280</v>
      </c>
      <c r="J80" s="2">
        <v>1</v>
      </c>
      <c r="K80" s="2">
        <v>1</v>
      </c>
      <c r="L80" s="2">
        <v>1.919</v>
      </c>
      <c r="M80" s="2">
        <v>1</v>
      </c>
    </row>
    <row r="81" spans="1:13" ht="14.25" customHeight="1">
      <c r="A81" s="2">
        <v>24</v>
      </c>
      <c r="B81" s="2">
        <v>80</v>
      </c>
      <c r="C81" s="2">
        <v>4</v>
      </c>
      <c r="D81" s="2">
        <v>1</v>
      </c>
      <c r="E81" s="2">
        <v>0.97099999999999997</v>
      </c>
      <c r="F81" s="2">
        <v>1</v>
      </c>
      <c r="H81" s="2">
        <v>24</v>
      </c>
      <c r="I81" s="2">
        <v>281</v>
      </c>
      <c r="J81" s="2">
        <v>6</v>
      </c>
      <c r="K81" s="2">
        <v>1</v>
      </c>
      <c r="L81" s="2">
        <v>1.1599999999999999</v>
      </c>
      <c r="M81" s="2">
        <v>2</v>
      </c>
    </row>
    <row r="82" spans="1:13" ht="14.25" customHeight="1">
      <c r="A82" s="2">
        <v>24</v>
      </c>
      <c r="B82" s="2">
        <v>81</v>
      </c>
      <c r="C82" s="2">
        <v>8</v>
      </c>
      <c r="D82" s="2">
        <v>0</v>
      </c>
      <c r="E82" s="2">
        <v>0.94299999999999995</v>
      </c>
      <c r="F82" s="2">
        <v>1</v>
      </c>
      <c r="H82" s="2">
        <v>24</v>
      </c>
      <c r="I82" s="2">
        <v>282</v>
      </c>
      <c r="J82" s="2">
        <v>5</v>
      </c>
      <c r="K82" s="2">
        <v>1</v>
      </c>
      <c r="L82" s="2">
        <v>1.196</v>
      </c>
      <c r="M82" s="2">
        <v>2</v>
      </c>
    </row>
    <row r="83" spans="1:13" ht="14.25" customHeight="1">
      <c r="A83" s="2">
        <v>24</v>
      </c>
      <c r="B83" s="2">
        <v>82</v>
      </c>
      <c r="C83" s="2">
        <v>1</v>
      </c>
      <c r="D83" s="2">
        <v>1</v>
      </c>
      <c r="E83" s="2">
        <v>1.996</v>
      </c>
      <c r="F83" s="2">
        <v>2</v>
      </c>
      <c r="H83" s="2">
        <v>24</v>
      </c>
      <c r="I83" s="2">
        <v>283</v>
      </c>
      <c r="J83" s="2">
        <v>7</v>
      </c>
      <c r="K83" s="2">
        <v>1</v>
      </c>
      <c r="L83" s="2">
        <v>1.0489999999999999</v>
      </c>
      <c r="M83" s="2">
        <v>1</v>
      </c>
    </row>
    <row r="84" spans="1:13" ht="14.25" customHeight="1">
      <c r="A84" s="2">
        <v>24</v>
      </c>
      <c r="B84" s="2">
        <v>83</v>
      </c>
      <c r="C84" s="2">
        <v>7</v>
      </c>
      <c r="D84" s="2">
        <v>1</v>
      </c>
      <c r="E84" s="2">
        <v>1.35</v>
      </c>
      <c r="F84" s="2">
        <v>1</v>
      </c>
      <c r="H84" s="2">
        <v>24</v>
      </c>
      <c r="I84" s="2">
        <v>284</v>
      </c>
      <c r="J84" s="2">
        <v>2</v>
      </c>
      <c r="K84" s="2">
        <v>1</v>
      </c>
      <c r="L84" s="2">
        <v>1.161</v>
      </c>
      <c r="M84" s="2">
        <v>2</v>
      </c>
    </row>
    <row r="85" spans="1:13" ht="14.25" customHeight="1">
      <c r="A85" s="2">
        <v>24</v>
      </c>
      <c r="B85" s="2">
        <v>84</v>
      </c>
      <c r="C85" s="2">
        <v>2</v>
      </c>
      <c r="D85" s="2">
        <v>1</v>
      </c>
      <c r="E85" s="2">
        <v>1.7549999999999999</v>
      </c>
      <c r="F85" s="2">
        <v>2</v>
      </c>
      <c r="H85" s="2">
        <v>24</v>
      </c>
      <c r="I85" s="2">
        <v>285</v>
      </c>
      <c r="J85" s="2">
        <v>6</v>
      </c>
      <c r="K85" s="2">
        <v>1</v>
      </c>
      <c r="L85" s="2">
        <v>0.84899999999999998</v>
      </c>
      <c r="M85" s="2">
        <v>2</v>
      </c>
    </row>
    <row r="86" spans="1:13" ht="14.25" customHeight="1">
      <c r="A86" s="2">
        <v>24</v>
      </c>
      <c r="B86" s="2">
        <v>85</v>
      </c>
      <c r="C86" s="2">
        <v>3</v>
      </c>
      <c r="D86" s="2">
        <v>1</v>
      </c>
      <c r="E86" s="2">
        <v>1.4079999999999999</v>
      </c>
      <c r="F86" s="2">
        <v>2</v>
      </c>
      <c r="H86" s="2">
        <v>24</v>
      </c>
      <c r="I86" s="2">
        <v>286</v>
      </c>
      <c r="J86" s="2">
        <v>3</v>
      </c>
      <c r="K86" s="2">
        <v>1</v>
      </c>
      <c r="L86" s="2">
        <v>0.86499999999999999</v>
      </c>
      <c r="M86" s="2">
        <v>1</v>
      </c>
    </row>
    <row r="87" spans="1:13" ht="14.25" customHeight="1">
      <c r="A87" s="2">
        <v>24</v>
      </c>
      <c r="B87" s="2">
        <v>86</v>
      </c>
      <c r="C87" s="2">
        <v>7</v>
      </c>
      <c r="D87" s="2">
        <v>1</v>
      </c>
      <c r="E87" s="2">
        <v>0.85799999999999998</v>
      </c>
      <c r="F87" s="2">
        <v>1</v>
      </c>
      <c r="H87" s="2">
        <v>24</v>
      </c>
      <c r="I87" s="2">
        <v>287</v>
      </c>
      <c r="J87" s="2">
        <v>1</v>
      </c>
      <c r="K87" s="2">
        <v>1</v>
      </c>
      <c r="L87" s="2">
        <v>0.82599999999999996</v>
      </c>
      <c r="M87" s="2">
        <v>2</v>
      </c>
    </row>
    <row r="88" spans="1:13" ht="14.25" customHeight="1">
      <c r="A88" s="2">
        <v>24</v>
      </c>
      <c r="B88" s="2">
        <v>87</v>
      </c>
      <c r="C88" s="2">
        <v>4</v>
      </c>
      <c r="D88" s="2">
        <v>1</v>
      </c>
      <c r="E88" s="2">
        <v>1.1459999999999999</v>
      </c>
      <c r="F88" s="2">
        <v>2</v>
      </c>
      <c r="H88" s="2">
        <v>24</v>
      </c>
      <c r="I88" s="2">
        <v>288</v>
      </c>
      <c r="J88" s="2">
        <v>6</v>
      </c>
      <c r="K88" s="2">
        <v>1</v>
      </c>
      <c r="L88" s="2">
        <v>0.875</v>
      </c>
      <c r="M88" s="2">
        <v>1</v>
      </c>
    </row>
    <row r="89" spans="1:13" ht="14.25" customHeight="1">
      <c r="A89" s="2">
        <v>24</v>
      </c>
      <c r="B89" s="2">
        <v>88</v>
      </c>
      <c r="C89" s="2">
        <v>8</v>
      </c>
      <c r="D89" s="2">
        <v>1</v>
      </c>
      <c r="E89" s="2">
        <v>0.81399999999999995</v>
      </c>
      <c r="F89" s="2">
        <v>1</v>
      </c>
      <c r="H89" s="2">
        <v>24</v>
      </c>
      <c r="I89" s="2">
        <v>289</v>
      </c>
      <c r="J89" s="2">
        <v>1</v>
      </c>
      <c r="K89" s="2">
        <v>1</v>
      </c>
      <c r="L89" s="2">
        <v>1.018</v>
      </c>
      <c r="M89" s="2">
        <v>2</v>
      </c>
    </row>
    <row r="90" spans="1:13" ht="14.25" customHeight="1">
      <c r="A90" s="2">
        <v>24</v>
      </c>
      <c r="B90" s="2">
        <v>89</v>
      </c>
      <c r="C90" s="2">
        <v>6</v>
      </c>
      <c r="D90" s="2">
        <v>1</v>
      </c>
      <c r="E90" s="2">
        <v>1.1819999999999999</v>
      </c>
      <c r="F90" s="2">
        <v>2</v>
      </c>
      <c r="H90" s="2">
        <v>24</v>
      </c>
      <c r="I90" s="2">
        <v>290</v>
      </c>
      <c r="J90" s="2">
        <v>5</v>
      </c>
      <c r="K90" s="2">
        <v>1</v>
      </c>
      <c r="L90" s="2">
        <v>1.181</v>
      </c>
      <c r="M90" s="2">
        <v>2</v>
      </c>
    </row>
    <row r="91" spans="1:13" ht="14.25" customHeight="1">
      <c r="A91" s="2">
        <v>24</v>
      </c>
      <c r="B91" s="2">
        <v>90</v>
      </c>
      <c r="C91" s="2">
        <v>5</v>
      </c>
      <c r="D91" s="2">
        <v>1</v>
      </c>
      <c r="E91" s="2">
        <v>1.548</v>
      </c>
      <c r="F91" s="2">
        <v>2</v>
      </c>
      <c r="H91" s="2">
        <v>24</v>
      </c>
      <c r="I91" s="2">
        <v>291</v>
      </c>
      <c r="J91" s="2">
        <v>6</v>
      </c>
      <c r="K91" s="2">
        <v>1</v>
      </c>
      <c r="L91" s="2">
        <v>0.72</v>
      </c>
      <c r="M91" s="2">
        <v>1</v>
      </c>
    </row>
    <row r="92" spans="1:13" ht="14.25" customHeight="1">
      <c r="A92" s="2">
        <v>24</v>
      </c>
      <c r="B92" s="2">
        <v>91</v>
      </c>
      <c r="C92" s="2">
        <v>6</v>
      </c>
      <c r="D92" s="2">
        <v>1</v>
      </c>
      <c r="E92" s="2">
        <v>1.488</v>
      </c>
      <c r="F92" s="2">
        <v>1</v>
      </c>
      <c r="H92" s="2">
        <v>24</v>
      </c>
      <c r="I92" s="2">
        <v>292</v>
      </c>
      <c r="J92" s="2">
        <v>1</v>
      </c>
      <c r="K92" s="2">
        <v>1</v>
      </c>
      <c r="L92" s="2">
        <v>0.99</v>
      </c>
      <c r="M92" s="2">
        <v>2</v>
      </c>
    </row>
    <row r="93" spans="1:13" ht="14.25" customHeight="1">
      <c r="A93" s="2">
        <v>24</v>
      </c>
      <c r="B93" s="2">
        <v>92</v>
      </c>
      <c r="C93" s="2">
        <v>7</v>
      </c>
      <c r="D93" s="2">
        <v>1</v>
      </c>
      <c r="E93" s="2">
        <v>1.097</v>
      </c>
      <c r="F93" s="2">
        <v>2</v>
      </c>
      <c r="H93" s="2">
        <v>24</v>
      </c>
      <c r="I93" s="2">
        <v>293</v>
      </c>
      <c r="J93" s="2">
        <v>8</v>
      </c>
      <c r="K93" s="2">
        <v>1</v>
      </c>
      <c r="L93" s="2">
        <v>0.77600000000000002</v>
      </c>
      <c r="M93" s="2">
        <v>1</v>
      </c>
    </row>
    <row r="94" spans="1:13" ht="14.25" customHeight="1">
      <c r="A94" s="2">
        <v>24</v>
      </c>
      <c r="B94" s="2">
        <v>93</v>
      </c>
      <c r="C94" s="2">
        <v>8</v>
      </c>
      <c r="D94" s="2">
        <v>1</v>
      </c>
      <c r="E94" s="2">
        <v>1.0469999999999999</v>
      </c>
      <c r="F94" s="2">
        <v>1</v>
      </c>
      <c r="H94" s="2">
        <v>24</v>
      </c>
      <c r="I94" s="2">
        <v>294</v>
      </c>
      <c r="J94" s="2">
        <v>3</v>
      </c>
      <c r="K94" s="2">
        <v>1</v>
      </c>
      <c r="L94" s="2">
        <v>0.93600000000000005</v>
      </c>
      <c r="M94" s="2">
        <v>2</v>
      </c>
    </row>
    <row r="95" spans="1:13" ht="14.25" customHeight="1">
      <c r="A95" s="2">
        <v>24</v>
      </c>
      <c r="B95" s="2">
        <v>94</v>
      </c>
      <c r="C95" s="2">
        <v>6</v>
      </c>
      <c r="D95" s="2">
        <v>1</v>
      </c>
      <c r="E95" s="2">
        <v>0.98299999999999998</v>
      </c>
      <c r="F95" s="2">
        <v>2</v>
      </c>
      <c r="H95" s="2">
        <v>24</v>
      </c>
      <c r="I95" s="2">
        <v>295</v>
      </c>
      <c r="J95" s="2">
        <v>2</v>
      </c>
      <c r="K95" s="2">
        <v>1</v>
      </c>
      <c r="L95" s="2">
        <v>1.633</v>
      </c>
      <c r="M95" s="2">
        <v>1</v>
      </c>
    </row>
    <row r="96" spans="1:13" ht="14.25" customHeight="1">
      <c r="A96" s="2">
        <v>24</v>
      </c>
      <c r="B96" s="2">
        <v>95</v>
      </c>
      <c r="C96" s="2">
        <v>2</v>
      </c>
      <c r="D96" s="2">
        <v>1</v>
      </c>
      <c r="E96" s="2">
        <v>1.4510000000000001</v>
      </c>
      <c r="F96" s="2">
        <v>1</v>
      </c>
      <c r="H96" s="2">
        <v>24</v>
      </c>
      <c r="I96" s="2">
        <v>296</v>
      </c>
      <c r="J96" s="2">
        <v>4</v>
      </c>
      <c r="K96" s="2">
        <v>1</v>
      </c>
      <c r="L96" s="2">
        <v>0.91400000000000003</v>
      </c>
      <c r="M96" s="2">
        <v>2</v>
      </c>
    </row>
    <row r="97" spans="1:13" ht="14.25" customHeight="1">
      <c r="A97" s="2">
        <v>24</v>
      </c>
      <c r="B97" s="2">
        <v>96</v>
      </c>
      <c r="C97" s="2">
        <v>3</v>
      </c>
      <c r="D97" s="2">
        <v>1</v>
      </c>
      <c r="E97" s="2">
        <v>1.147</v>
      </c>
      <c r="F97" s="2">
        <v>2</v>
      </c>
      <c r="H97" s="2">
        <v>24</v>
      </c>
      <c r="I97" s="2">
        <v>297</v>
      </c>
      <c r="J97" s="2">
        <v>3</v>
      </c>
      <c r="K97" s="2">
        <v>1</v>
      </c>
      <c r="L97" s="2">
        <v>0.85199999999999998</v>
      </c>
      <c r="M97" s="2">
        <v>1</v>
      </c>
    </row>
    <row r="98" spans="1:13" ht="14.25" customHeight="1">
      <c r="A98" s="2">
        <v>24</v>
      </c>
      <c r="B98" s="2">
        <v>97</v>
      </c>
      <c r="C98" s="2">
        <v>5</v>
      </c>
      <c r="D98" s="2">
        <v>1</v>
      </c>
      <c r="E98" s="2">
        <v>0.97599999999999998</v>
      </c>
      <c r="F98" s="2">
        <v>1</v>
      </c>
      <c r="H98" s="2">
        <v>24</v>
      </c>
      <c r="I98" s="2">
        <v>298</v>
      </c>
      <c r="J98" s="2">
        <v>2</v>
      </c>
      <c r="K98" s="2">
        <v>1</v>
      </c>
      <c r="L98" s="2">
        <v>0.873</v>
      </c>
      <c r="M98" s="2">
        <v>2</v>
      </c>
    </row>
    <row r="99" spans="1:13" ht="14.25" customHeight="1">
      <c r="A99" s="2">
        <v>24</v>
      </c>
      <c r="B99" s="2">
        <v>98</v>
      </c>
      <c r="C99" s="2">
        <v>3</v>
      </c>
      <c r="E99" s="2">
        <v>2.0009999999999999</v>
      </c>
      <c r="H99" s="2">
        <v>24</v>
      </c>
      <c r="I99" s="2">
        <v>299</v>
      </c>
      <c r="J99" s="2">
        <v>8</v>
      </c>
      <c r="K99" s="2">
        <v>1</v>
      </c>
      <c r="L99" s="2">
        <v>0.88500000000000001</v>
      </c>
      <c r="M99" s="2">
        <v>1</v>
      </c>
    </row>
    <row r="100" spans="1:13" ht="14.25" customHeight="1">
      <c r="A100" s="2">
        <v>24</v>
      </c>
      <c r="B100" s="2">
        <v>99</v>
      </c>
      <c r="C100" s="2">
        <v>2</v>
      </c>
      <c r="D100" s="2">
        <v>1</v>
      </c>
      <c r="E100" s="2">
        <v>1.702</v>
      </c>
      <c r="F100" s="2">
        <v>1</v>
      </c>
      <c r="H100" s="2">
        <v>24</v>
      </c>
      <c r="I100" s="2">
        <v>300</v>
      </c>
      <c r="J100" s="2">
        <v>1</v>
      </c>
      <c r="K100" s="2">
        <v>1</v>
      </c>
      <c r="L100" s="2">
        <v>0.82799999999999996</v>
      </c>
      <c r="M100" s="2">
        <v>2</v>
      </c>
    </row>
    <row r="101" spans="1:13" ht="14.25" customHeight="1">
      <c r="A101" s="2">
        <v>24</v>
      </c>
      <c r="B101" s="2">
        <v>100</v>
      </c>
      <c r="C101" s="2">
        <v>5</v>
      </c>
      <c r="D101" s="2">
        <v>1</v>
      </c>
      <c r="E101" s="2">
        <v>1.6359999999999999</v>
      </c>
      <c r="F101" s="2">
        <v>2</v>
      </c>
    </row>
    <row r="102" spans="1:13" ht="14.25" customHeight="1">
      <c r="A102" s="2">
        <v>24</v>
      </c>
      <c r="B102" s="2">
        <v>101</v>
      </c>
      <c r="C102" s="2">
        <v>5</v>
      </c>
      <c r="D102" s="2">
        <v>1</v>
      </c>
      <c r="E102" s="2">
        <v>1.385</v>
      </c>
      <c r="F102" s="2">
        <v>1</v>
      </c>
    </row>
    <row r="103" spans="1:13" ht="14.25" customHeight="1">
      <c r="A103" s="2">
        <v>24</v>
      </c>
      <c r="B103" s="2">
        <v>102</v>
      </c>
      <c r="C103" s="2">
        <v>3</v>
      </c>
      <c r="D103" s="2">
        <v>1</v>
      </c>
      <c r="E103" s="2">
        <v>1.095</v>
      </c>
      <c r="F103" s="2">
        <v>2</v>
      </c>
    </row>
    <row r="104" spans="1:13" ht="14.25" customHeight="1">
      <c r="A104" s="2">
        <v>24</v>
      </c>
      <c r="B104" s="2">
        <v>103</v>
      </c>
      <c r="C104" s="2">
        <v>1</v>
      </c>
      <c r="D104" s="2">
        <v>1</v>
      </c>
      <c r="E104" s="2">
        <v>1.9410000000000001</v>
      </c>
      <c r="F104" s="2">
        <v>2</v>
      </c>
    </row>
    <row r="105" spans="1:13" ht="14.25" customHeight="1">
      <c r="A105" s="2">
        <v>24</v>
      </c>
      <c r="B105" s="2">
        <v>104</v>
      </c>
      <c r="C105" s="2">
        <v>7</v>
      </c>
      <c r="D105" s="2">
        <v>1</v>
      </c>
      <c r="E105" s="2">
        <v>0.89700000000000002</v>
      </c>
      <c r="F105" s="2">
        <v>1</v>
      </c>
    </row>
    <row r="106" spans="1:13" ht="14.25" customHeight="1">
      <c r="A106" s="2">
        <v>24</v>
      </c>
      <c r="B106" s="2">
        <v>105</v>
      </c>
      <c r="C106" s="2">
        <v>6</v>
      </c>
      <c r="D106" s="2">
        <v>1</v>
      </c>
      <c r="E106" s="2">
        <v>1.0580000000000001</v>
      </c>
      <c r="F106" s="2">
        <v>1</v>
      </c>
    </row>
    <row r="107" spans="1:13" ht="14.25" customHeight="1">
      <c r="A107" s="2">
        <v>24</v>
      </c>
      <c r="B107" s="2">
        <v>106</v>
      </c>
      <c r="C107" s="2">
        <v>1</v>
      </c>
      <c r="D107" s="2">
        <v>1</v>
      </c>
      <c r="E107" s="2">
        <v>1.0329999999999999</v>
      </c>
      <c r="F107" s="2">
        <v>1</v>
      </c>
    </row>
    <row r="108" spans="1:13" ht="14.25" customHeight="1">
      <c r="A108" s="2">
        <v>24</v>
      </c>
      <c r="B108" s="2">
        <v>107</v>
      </c>
      <c r="C108" s="2">
        <v>8</v>
      </c>
      <c r="D108" s="2">
        <v>1</v>
      </c>
      <c r="E108" s="2">
        <v>0.754</v>
      </c>
      <c r="F108" s="2">
        <v>1</v>
      </c>
    </row>
    <row r="109" spans="1:13" ht="14.25" customHeight="1">
      <c r="A109" s="2">
        <v>24</v>
      </c>
      <c r="B109" s="2">
        <v>108</v>
      </c>
      <c r="C109" s="2">
        <v>7</v>
      </c>
      <c r="D109" s="2">
        <v>1</v>
      </c>
      <c r="E109" s="2">
        <v>1.224</v>
      </c>
      <c r="F109" s="2">
        <v>2</v>
      </c>
    </row>
    <row r="110" spans="1:13" ht="14.25" customHeight="1">
      <c r="A110" s="2">
        <v>24</v>
      </c>
      <c r="B110" s="2">
        <v>109</v>
      </c>
      <c r="C110" s="2">
        <v>1</v>
      </c>
      <c r="D110" s="2">
        <v>1</v>
      </c>
      <c r="E110" s="2">
        <v>1.145</v>
      </c>
      <c r="F110" s="2">
        <v>2</v>
      </c>
    </row>
    <row r="111" spans="1:13" ht="14.25" customHeight="1">
      <c r="A111" s="2">
        <v>24</v>
      </c>
      <c r="B111" s="2">
        <v>110</v>
      </c>
      <c r="C111" s="2">
        <v>8</v>
      </c>
      <c r="D111" s="2">
        <v>1</v>
      </c>
      <c r="E111" s="2">
        <v>0.97099999999999997</v>
      </c>
      <c r="F111" s="2">
        <v>2</v>
      </c>
    </row>
    <row r="112" spans="1:13" ht="14.25" customHeight="1">
      <c r="A112" s="2">
        <v>24</v>
      </c>
      <c r="B112" s="2">
        <v>111</v>
      </c>
      <c r="C112" s="2">
        <v>7</v>
      </c>
      <c r="D112" s="2">
        <v>1</v>
      </c>
      <c r="E112" s="2">
        <v>1.5429999999999999</v>
      </c>
      <c r="F112" s="2">
        <v>1</v>
      </c>
    </row>
    <row r="113" spans="1:6" ht="14.25" customHeight="1">
      <c r="A113" s="2">
        <v>24</v>
      </c>
      <c r="B113" s="2">
        <v>112</v>
      </c>
      <c r="C113" s="2">
        <v>4</v>
      </c>
      <c r="D113" s="2">
        <v>1</v>
      </c>
      <c r="E113" s="2">
        <v>1.645</v>
      </c>
      <c r="F113" s="2">
        <v>1</v>
      </c>
    </row>
    <row r="114" spans="1:6" ht="14.25" customHeight="1">
      <c r="A114" s="2">
        <v>24</v>
      </c>
      <c r="B114" s="2">
        <v>113</v>
      </c>
      <c r="C114" s="2">
        <v>5</v>
      </c>
      <c r="D114" s="2">
        <v>1</v>
      </c>
      <c r="E114" s="2">
        <v>0.88500000000000001</v>
      </c>
      <c r="F114" s="2">
        <v>1</v>
      </c>
    </row>
    <row r="115" spans="1:6" ht="14.25" customHeight="1">
      <c r="A115" s="2">
        <v>24</v>
      </c>
      <c r="B115" s="2">
        <v>114</v>
      </c>
      <c r="C115" s="2">
        <v>8</v>
      </c>
      <c r="D115" s="2">
        <v>1</v>
      </c>
      <c r="E115" s="2">
        <v>1.3540000000000001</v>
      </c>
      <c r="F115" s="2">
        <v>2</v>
      </c>
    </row>
    <row r="116" spans="1:6" ht="14.25" customHeight="1">
      <c r="A116" s="2">
        <v>24</v>
      </c>
      <c r="B116" s="2">
        <v>115</v>
      </c>
      <c r="C116" s="2">
        <v>7</v>
      </c>
      <c r="D116" s="2">
        <v>1</v>
      </c>
      <c r="E116" s="2">
        <v>1.175</v>
      </c>
      <c r="F116" s="2">
        <v>1</v>
      </c>
    </row>
    <row r="117" spans="1:6" ht="14.25" customHeight="1">
      <c r="A117" s="2">
        <v>24</v>
      </c>
      <c r="B117" s="2">
        <v>116</v>
      </c>
      <c r="C117" s="2">
        <v>2</v>
      </c>
      <c r="D117" s="2">
        <v>1</v>
      </c>
      <c r="E117" s="2">
        <v>1.147</v>
      </c>
      <c r="F117" s="2">
        <v>2</v>
      </c>
    </row>
    <row r="118" spans="1:6" ht="14.25" customHeight="1">
      <c r="A118" s="2">
        <v>24</v>
      </c>
      <c r="B118" s="2">
        <v>117</v>
      </c>
      <c r="C118" s="2">
        <v>5</v>
      </c>
      <c r="D118" s="2">
        <v>1</v>
      </c>
      <c r="E118" s="2">
        <v>1.619</v>
      </c>
      <c r="F118" s="2">
        <v>2</v>
      </c>
    </row>
    <row r="119" spans="1:6" ht="14.25" customHeight="1">
      <c r="A119" s="2">
        <v>24</v>
      </c>
      <c r="B119" s="2">
        <v>118</v>
      </c>
      <c r="C119" s="2">
        <v>3</v>
      </c>
      <c r="D119" s="2">
        <v>1</v>
      </c>
      <c r="E119" s="2">
        <v>0.80400000000000005</v>
      </c>
      <c r="F119" s="2">
        <v>2</v>
      </c>
    </row>
    <row r="120" spans="1:6" ht="14.25" customHeight="1">
      <c r="A120" s="2">
        <v>24</v>
      </c>
      <c r="B120" s="2">
        <v>119</v>
      </c>
      <c r="C120" s="2">
        <v>8</v>
      </c>
      <c r="D120" s="2">
        <v>1</v>
      </c>
      <c r="E120" s="2">
        <v>1.2150000000000001</v>
      </c>
      <c r="F120" s="2">
        <v>1</v>
      </c>
    </row>
    <row r="121" spans="1:6" ht="14.25" customHeight="1">
      <c r="A121" s="2">
        <v>24</v>
      </c>
      <c r="B121" s="2">
        <v>120</v>
      </c>
      <c r="C121" s="2">
        <v>4</v>
      </c>
      <c r="D121" s="2">
        <v>1</v>
      </c>
      <c r="E121" s="2">
        <v>0.68600000000000005</v>
      </c>
      <c r="F121" s="2">
        <v>2</v>
      </c>
    </row>
    <row r="122" spans="1:6" ht="14.25" customHeight="1">
      <c r="A122" s="2">
        <v>24</v>
      </c>
      <c r="B122" s="2">
        <v>121</v>
      </c>
      <c r="C122" s="2">
        <v>1</v>
      </c>
      <c r="D122" s="2">
        <v>1</v>
      </c>
      <c r="E122" s="2">
        <v>1.3620000000000001</v>
      </c>
      <c r="F122" s="2">
        <v>1</v>
      </c>
    </row>
    <row r="123" spans="1:6" ht="14.25" customHeight="1">
      <c r="A123" s="2">
        <v>24</v>
      </c>
      <c r="B123" s="2">
        <v>122</v>
      </c>
      <c r="C123" s="2">
        <v>8</v>
      </c>
      <c r="D123" s="2">
        <v>1</v>
      </c>
      <c r="E123" s="2">
        <v>0.89300000000000002</v>
      </c>
      <c r="F123" s="2">
        <v>1</v>
      </c>
    </row>
    <row r="124" spans="1:6" ht="14.25" customHeight="1">
      <c r="A124" s="2">
        <v>24</v>
      </c>
      <c r="B124" s="2">
        <v>123</v>
      </c>
      <c r="C124" s="2">
        <v>2</v>
      </c>
      <c r="D124" s="2">
        <v>1</v>
      </c>
      <c r="E124" s="2">
        <v>1.788</v>
      </c>
      <c r="F124" s="2">
        <v>2</v>
      </c>
    </row>
    <row r="125" spans="1:6" ht="14.25" customHeight="1">
      <c r="A125" s="2">
        <v>24</v>
      </c>
      <c r="B125" s="2">
        <v>124</v>
      </c>
      <c r="C125" s="2">
        <v>7</v>
      </c>
      <c r="D125" s="2">
        <v>1</v>
      </c>
      <c r="E125" s="2">
        <v>1.83</v>
      </c>
      <c r="F125" s="2">
        <v>1</v>
      </c>
    </row>
    <row r="126" spans="1:6" ht="14.25" customHeight="1">
      <c r="A126" s="2">
        <v>24</v>
      </c>
      <c r="B126" s="2">
        <v>125</v>
      </c>
      <c r="C126" s="2">
        <v>2</v>
      </c>
      <c r="D126" s="2">
        <v>1</v>
      </c>
      <c r="E126" s="2">
        <v>1.016</v>
      </c>
      <c r="F126" s="2">
        <v>1</v>
      </c>
    </row>
    <row r="127" spans="1:6" ht="14.25" customHeight="1">
      <c r="A127" s="2">
        <v>24</v>
      </c>
      <c r="B127" s="2">
        <v>126</v>
      </c>
      <c r="C127" s="2">
        <v>6</v>
      </c>
      <c r="D127" s="2">
        <v>1</v>
      </c>
      <c r="E127" s="2">
        <v>1.274</v>
      </c>
      <c r="F127" s="2">
        <v>1</v>
      </c>
    </row>
    <row r="128" spans="1:6" ht="14.25" customHeight="1">
      <c r="A128" s="2">
        <v>24</v>
      </c>
      <c r="B128" s="2">
        <v>127</v>
      </c>
      <c r="C128" s="2">
        <v>4</v>
      </c>
      <c r="D128" s="2">
        <v>1</v>
      </c>
      <c r="E128" s="2">
        <v>1.319</v>
      </c>
      <c r="F128" s="2">
        <v>2</v>
      </c>
    </row>
    <row r="129" spans="1:6" ht="14.25" customHeight="1">
      <c r="A129" s="2">
        <v>24</v>
      </c>
      <c r="B129" s="2">
        <v>128</v>
      </c>
      <c r="C129" s="2">
        <v>8</v>
      </c>
      <c r="D129" s="2">
        <v>1</v>
      </c>
      <c r="E129" s="2">
        <v>1.5089999999999999</v>
      </c>
      <c r="F129" s="2">
        <v>1</v>
      </c>
    </row>
    <row r="130" spans="1:6" ht="14.25" customHeight="1">
      <c r="A130" s="2">
        <v>24</v>
      </c>
      <c r="B130" s="2">
        <v>129</v>
      </c>
      <c r="C130" s="2">
        <v>6</v>
      </c>
      <c r="D130" s="2">
        <v>1</v>
      </c>
      <c r="E130" s="2">
        <v>0.94799999999999995</v>
      </c>
      <c r="F130" s="2">
        <v>2</v>
      </c>
    </row>
    <row r="131" spans="1:6" ht="14.25" customHeight="1">
      <c r="A131" s="2">
        <v>24</v>
      </c>
      <c r="B131" s="2">
        <v>130</v>
      </c>
      <c r="C131" s="2">
        <v>5</v>
      </c>
      <c r="D131" s="2">
        <v>1</v>
      </c>
      <c r="E131" s="2">
        <v>0.83499999999999996</v>
      </c>
      <c r="F131" s="2">
        <v>1</v>
      </c>
    </row>
    <row r="132" spans="1:6" ht="14.25" customHeight="1">
      <c r="A132" s="2">
        <v>24</v>
      </c>
      <c r="B132" s="2">
        <v>131</v>
      </c>
      <c r="C132" s="2">
        <v>6</v>
      </c>
      <c r="D132" s="2">
        <v>1</v>
      </c>
      <c r="E132" s="2">
        <v>0.84499999999999997</v>
      </c>
      <c r="F132" s="2">
        <v>2</v>
      </c>
    </row>
    <row r="133" spans="1:6" ht="14.25" customHeight="1">
      <c r="A133" s="2">
        <v>24</v>
      </c>
      <c r="B133" s="2">
        <v>132</v>
      </c>
      <c r="C133" s="2">
        <v>5</v>
      </c>
      <c r="E133" s="2">
        <v>2</v>
      </c>
    </row>
    <row r="134" spans="1:6" ht="14.25" customHeight="1">
      <c r="A134" s="2">
        <v>24</v>
      </c>
      <c r="B134" s="2">
        <v>133</v>
      </c>
      <c r="C134" s="2">
        <v>3</v>
      </c>
      <c r="D134" s="2">
        <v>1</v>
      </c>
      <c r="E134" s="2">
        <v>1.026</v>
      </c>
      <c r="F134" s="2">
        <v>1</v>
      </c>
    </row>
    <row r="135" spans="1:6" ht="14.25" customHeight="1">
      <c r="A135" s="2">
        <v>24</v>
      </c>
      <c r="B135" s="2">
        <v>134</v>
      </c>
      <c r="C135" s="2">
        <v>4</v>
      </c>
      <c r="D135" s="2">
        <v>1</v>
      </c>
      <c r="E135" s="2">
        <v>0.91500000000000004</v>
      </c>
      <c r="F135" s="2">
        <v>2</v>
      </c>
    </row>
    <row r="136" spans="1:6" ht="14.25" customHeight="1">
      <c r="A136" s="2">
        <v>24</v>
      </c>
      <c r="B136" s="2">
        <v>135</v>
      </c>
      <c r="C136" s="2">
        <v>3</v>
      </c>
      <c r="D136" s="2">
        <v>1</v>
      </c>
      <c r="E136" s="2">
        <v>1.2709999999999999</v>
      </c>
      <c r="F136" s="2">
        <v>2</v>
      </c>
    </row>
    <row r="137" spans="1:6" ht="14.25" customHeight="1">
      <c r="A137" s="2">
        <v>24</v>
      </c>
      <c r="B137" s="2">
        <v>136</v>
      </c>
      <c r="C137" s="2">
        <v>2</v>
      </c>
      <c r="D137" s="2">
        <v>1</v>
      </c>
      <c r="E137" s="2">
        <v>1.1819999999999999</v>
      </c>
      <c r="F137" s="2">
        <v>1</v>
      </c>
    </row>
    <row r="138" spans="1:6" ht="14.25" customHeight="1">
      <c r="A138" s="2">
        <v>24</v>
      </c>
      <c r="B138" s="2">
        <v>137</v>
      </c>
      <c r="C138" s="2">
        <v>3</v>
      </c>
      <c r="D138" s="2">
        <v>1</v>
      </c>
      <c r="E138" s="2">
        <v>1.597</v>
      </c>
      <c r="F138" s="2">
        <v>2</v>
      </c>
    </row>
    <row r="139" spans="1:6" ht="14.25" customHeight="1">
      <c r="A139" s="2">
        <v>24</v>
      </c>
      <c r="B139" s="2">
        <v>138</v>
      </c>
      <c r="C139" s="2">
        <v>7</v>
      </c>
      <c r="D139" s="2">
        <v>1</v>
      </c>
      <c r="E139" s="2">
        <v>0.92</v>
      </c>
      <c r="F139" s="2">
        <v>1</v>
      </c>
    </row>
    <row r="140" spans="1:6" ht="14.25" customHeight="1">
      <c r="A140" s="2">
        <v>24</v>
      </c>
      <c r="B140" s="2">
        <v>139</v>
      </c>
      <c r="C140" s="2">
        <v>2</v>
      </c>
      <c r="D140" s="2">
        <v>1</v>
      </c>
      <c r="E140" s="2">
        <v>1.5389999999999999</v>
      </c>
      <c r="F140" s="2">
        <v>2</v>
      </c>
    </row>
    <row r="141" spans="1:6" ht="14.25" customHeight="1">
      <c r="A141" s="2">
        <v>24</v>
      </c>
      <c r="B141" s="2">
        <v>140</v>
      </c>
      <c r="C141" s="2">
        <v>1</v>
      </c>
      <c r="D141" s="2">
        <v>1</v>
      </c>
      <c r="E141" s="2">
        <v>1.5940000000000001</v>
      </c>
      <c r="F141" s="2">
        <v>2</v>
      </c>
    </row>
    <row r="142" spans="1:6" ht="14.25" customHeight="1">
      <c r="A142" s="2">
        <v>24</v>
      </c>
      <c r="B142" s="2">
        <v>141</v>
      </c>
      <c r="C142" s="2">
        <v>6</v>
      </c>
      <c r="D142" s="2">
        <v>1</v>
      </c>
      <c r="E142" s="2">
        <v>1.22</v>
      </c>
      <c r="F142" s="2">
        <v>1</v>
      </c>
    </row>
    <row r="143" spans="1:6" ht="14.25" customHeight="1">
      <c r="A143" s="2">
        <v>24</v>
      </c>
      <c r="B143" s="2">
        <v>142</v>
      </c>
      <c r="C143" s="2">
        <v>5</v>
      </c>
      <c r="D143" s="2">
        <v>1</v>
      </c>
      <c r="E143" s="2">
        <v>0.999</v>
      </c>
      <c r="F143" s="2">
        <v>2</v>
      </c>
    </row>
    <row r="144" spans="1:6" ht="14.25" customHeight="1">
      <c r="A144" s="2">
        <v>24</v>
      </c>
      <c r="B144" s="2">
        <v>143</v>
      </c>
      <c r="C144" s="2">
        <v>2</v>
      </c>
      <c r="D144" s="2">
        <v>1</v>
      </c>
      <c r="E144" s="2">
        <v>1.208</v>
      </c>
      <c r="F144" s="2">
        <v>1</v>
      </c>
    </row>
    <row r="145" spans="1:6" ht="14.25" customHeight="1">
      <c r="A145" s="2">
        <v>24</v>
      </c>
      <c r="B145" s="2">
        <v>144</v>
      </c>
      <c r="C145" s="2">
        <v>3</v>
      </c>
      <c r="D145" s="2">
        <v>1</v>
      </c>
      <c r="E145" s="2">
        <v>1.244</v>
      </c>
      <c r="F145" s="2">
        <v>2</v>
      </c>
    </row>
    <row r="146" spans="1:6" ht="14.25" customHeight="1">
      <c r="A146" s="2">
        <v>24</v>
      </c>
      <c r="B146" s="2">
        <v>145</v>
      </c>
      <c r="C146" s="2">
        <v>1</v>
      </c>
      <c r="D146" s="2">
        <v>1</v>
      </c>
      <c r="E146" s="2">
        <v>1.548</v>
      </c>
      <c r="F146" s="2">
        <v>1</v>
      </c>
    </row>
    <row r="147" spans="1:6" ht="14.25" customHeight="1">
      <c r="A147" s="2">
        <v>24</v>
      </c>
      <c r="B147" s="2">
        <v>146</v>
      </c>
      <c r="C147" s="2">
        <v>4</v>
      </c>
      <c r="D147" s="2">
        <v>1</v>
      </c>
      <c r="E147" s="2">
        <v>1.7769999999999999</v>
      </c>
      <c r="F147" s="2">
        <v>2</v>
      </c>
    </row>
    <row r="148" spans="1:6" ht="14.25" customHeight="1">
      <c r="A148" s="2">
        <v>24</v>
      </c>
      <c r="B148" s="2">
        <v>147</v>
      </c>
      <c r="C148" s="2">
        <v>6</v>
      </c>
      <c r="D148" s="2">
        <v>1</v>
      </c>
      <c r="E148" s="2">
        <v>0.98599999999999999</v>
      </c>
      <c r="F148" s="2">
        <v>1</v>
      </c>
    </row>
    <row r="149" spans="1:6" ht="14.25" customHeight="1">
      <c r="A149" s="2">
        <v>24</v>
      </c>
      <c r="B149" s="2">
        <v>148</v>
      </c>
      <c r="C149" s="2">
        <v>4</v>
      </c>
      <c r="D149" s="2">
        <v>1</v>
      </c>
      <c r="E149" s="2">
        <v>0.94099999999999995</v>
      </c>
      <c r="F149" s="2">
        <v>2</v>
      </c>
    </row>
    <row r="150" spans="1:6" ht="14.25" customHeight="1">
      <c r="A150" s="2">
        <v>24</v>
      </c>
      <c r="B150" s="2">
        <v>149</v>
      </c>
      <c r="C150" s="2">
        <v>8</v>
      </c>
      <c r="D150" s="2">
        <v>1</v>
      </c>
      <c r="E150" s="2">
        <v>1.5649999999999999</v>
      </c>
      <c r="F150" s="2">
        <v>1</v>
      </c>
    </row>
    <row r="151" spans="1:6" ht="14.25" customHeight="1">
      <c r="A151" s="2">
        <v>24</v>
      </c>
      <c r="B151" s="2">
        <v>150</v>
      </c>
      <c r="C151" s="2">
        <v>3</v>
      </c>
      <c r="D151" s="2">
        <v>1</v>
      </c>
      <c r="E151" s="2">
        <v>1.4490000000000001</v>
      </c>
      <c r="F151" s="2">
        <v>2</v>
      </c>
    </row>
    <row r="152" spans="1:6" ht="14.25" customHeight="1">
      <c r="A152" s="2">
        <v>24</v>
      </c>
      <c r="B152" s="2">
        <v>151</v>
      </c>
      <c r="C152" s="2">
        <v>8</v>
      </c>
      <c r="D152" s="2">
        <v>0</v>
      </c>
      <c r="E152" s="2">
        <v>1.502</v>
      </c>
      <c r="F152" s="2">
        <v>2</v>
      </c>
    </row>
    <row r="153" spans="1:6" ht="14.25" customHeight="1">
      <c r="A153" s="2">
        <v>24</v>
      </c>
      <c r="B153" s="2">
        <v>152</v>
      </c>
      <c r="C153" s="2">
        <v>6</v>
      </c>
      <c r="D153" s="2">
        <v>1</v>
      </c>
      <c r="E153" s="2">
        <v>0.90900000000000003</v>
      </c>
      <c r="F153" s="2">
        <v>2</v>
      </c>
    </row>
    <row r="154" spans="1:6" ht="14.25" customHeight="1">
      <c r="A154" s="2">
        <v>24</v>
      </c>
      <c r="B154" s="2">
        <v>153</v>
      </c>
      <c r="C154" s="2">
        <v>1</v>
      </c>
      <c r="D154" s="2">
        <v>1</v>
      </c>
      <c r="E154" s="2">
        <v>1.9790000000000001</v>
      </c>
      <c r="F154" s="2">
        <v>2</v>
      </c>
    </row>
    <row r="155" spans="1:6" ht="14.25" customHeight="1">
      <c r="A155" s="2">
        <v>24</v>
      </c>
      <c r="B155" s="2">
        <v>154</v>
      </c>
      <c r="C155" s="2">
        <v>6</v>
      </c>
      <c r="D155" s="2">
        <v>1</v>
      </c>
      <c r="E155" s="2">
        <v>0.85299999999999998</v>
      </c>
      <c r="F155" s="2">
        <v>1</v>
      </c>
    </row>
    <row r="156" spans="1:6" ht="14.25" customHeight="1">
      <c r="A156" s="2">
        <v>24</v>
      </c>
      <c r="B156" s="2">
        <v>155</v>
      </c>
      <c r="C156" s="2">
        <v>3</v>
      </c>
      <c r="D156" s="2">
        <v>1</v>
      </c>
      <c r="E156" s="2">
        <v>0.89400000000000002</v>
      </c>
      <c r="F156" s="2">
        <v>1</v>
      </c>
    </row>
    <row r="157" spans="1:6" ht="14.25" customHeight="1">
      <c r="A157" s="2">
        <v>24</v>
      </c>
      <c r="B157" s="2">
        <v>156</v>
      </c>
      <c r="C157" s="2">
        <v>7</v>
      </c>
      <c r="E157" s="2">
        <v>2.0009999999999999</v>
      </c>
    </row>
    <row r="158" spans="1:6" ht="14.25" customHeight="1">
      <c r="A158" s="2">
        <v>24</v>
      </c>
      <c r="B158" s="2">
        <v>157</v>
      </c>
      <c r="C158" s="2">
        <v>6</v>
      </c>
      <c r="D158" s="2">
        <v>1</v>
      </c>
      <c r="E158" s="2">
        <v>0.65500000000000003</v>
      </c>
      <c r="F158" s="2">
        <v>1</v>
      </c>
    </row>
    <row r="159" spans="1:6" ht="14.25" customHeight="1">
      <c r="A159" s="2">
        <v>24</v>
      </c>
      <c r="B159" s="2">
        <v>158</v>
      </c>
      <c r="C159" s="2">
        <v>1</v>
      </c>
      <c r="D159" s="2">
        <v>1</v>
      </c>
      <c r="E159" s="2">
        <v>1.232</v>
      </c>
      <c r="F159" s="2">
        <v>2</v>
      </c>
    </row>
    <row r="160" spans="1:6" ht="14.25" customHeight="1">
      <c r="A160" s="2">
        <v>24</v>
      </c>
      <c r="B160" s="2">
        <v>159</v>
      </c>
      <c r="C160" s="2">
        <v>7</v>
      </c>
      <c r="D160" s="2">
        <v>1</v>
      </c>
      <c r="E160" s="2">
        <v>1.048</v>
      </c>
      <c r="F160" s="2">
        <v>2</v>
      </c>
    </row>
    <row r="161" spans="1:6" ht="14.25" customHeight="1">
      <c r="A161" s="2">
        <v>24</v>
      </c>
      <c r="B161" s="2">
        <v>160</v>
      </c>
      <c r="C161" s="2">
        <v>6</v>
      </c>
      <c r="D161" s="2">
        <v>1</v>
      </c>
      <c r="E161" s="2">
        <v>1.097</v>
      </c>
      <c r="F161" s="2">
        <v>2</v>
      </c>
    </row>
    <row r="162" spans="1:6" ht="14.25" customHeight="1">
      <c r="A162" s="2">
        <v>24</v>
      </c>
      <c r="B162" s="2">
        <v>161</v>
      </c>
      <c r="C162" s="2">
        <v>5</v>
      </c>
      <c r="D162" s="2">
        <v>0</v>
      </c>
      <c r="E162" s="2">
        <v>1.7290000000000001</v>
      </c>
      <c r="F162" s="2">
        <v>2</v>
      </c>
    </row>
    <row r="163" spans="1:6" ht="14.25" customHeight="1">
      <c r="A163" s="2">
        <v>24</v>
      </c>
      <c r="B163" s="2">
        <v>162</v>
      </c>
      <c r="C163" s="2">
        <v>4</v>
      </c>
      <c r="D163" s="2">
        <v>1</v>
      </c>
      <c r="E163" s="2">
        <v>1.119</v>
      </c>
      <c r="F163" s="2">
        <v>1</v>
      </c>
    </row>
    <row r="164" spans="1:6" ht="14.25" customHeight="1">
      <c r="A164" s="2">
        <v>24</v>
      </c>
      <c r="B164" s="2">
        <v>163</v>
      </c>
      <c r="C164" s="2">
        <v>5</v>
      </c>
      <c r="D164" s="2">
        <v>1</v>
      </c>
      <c r="E164" s="2">
        <v>0.81100000000000005</v>
      </c>
      <c r="F164" s="2">
        <v>1</v>
      </c>
    </row>
    <row r="165" spans="1:6" ht="14.25" customHeight="1">
      <c r="A165" s="2">
        <v>24</v>
      </c>
      <c r="B165" s="2">
        <v>164</v>
      </c>
      <c r="C165" s="2">
        <v>1</v>
      </c>
      <c r="D165" s="2">
        <v>1</v>
      </c>
      <c r="E165" s="2">
        <v>1.3169999999999999</v>
      </c>
      <c r="F165" s="2">
        <v>2</v>
      </c>
    </row>
    <row r="166" spans="1:6" ht="14.25" customHeight="1">
      <c r="A166" s="2">
        <v>24</v>
      </c>
      <c r="B166" s="2">
        <v>165</v>
      </c>
      <c r="C166" s="2">
        <v>2</v>
      </c>
      <c r="D166" s="2">
        <v>1</v>
      </c>
      <c r="E166" s="2">
        <v>1.119</v>
      </c>
      <c r="F166" s="2">
        <v>1</v>
      </c>
    </row>
    <row r="167" spans="1:6" ht="14.25" customHeight="1">
      <c r="A167" s="2">
        <v>24</v>
      </c>
      <c r="B167" s="2">
        <v>166</v>
      </c>
      <c r="C167" s="2">
        <v>5</v>
      </c>
      <c r="D167" s="2">
        <v>1</v>
      </c>
      <c r="E167" s="2">
        <v>0.72299999999999998</v>
      </c>
      <c r="F167" s="2">
        <v>2</v>
      </c>
    </row>
    <row r="168" spans="1:6" ht="14.25" customHeight="1">
      <c r="A168" s="2">
        <v>24</v>
      </c>
      <c r="B168" s="2">
        <v>167</v>
      </c>
      <c r="C168" s="2">
        <v>4</v>
      </c>
      <c r="D168" s="2">
        <v>1</v>
      </c>
      <c r="E168" s="2">
        <v>0.76</v>
      </c>
      <c r="F168" s="2">
        <v>2</v>
      </c>
    </row>
    <row r="169" spans="1:6" ht="14.25" customHeight="1">
      <c r="A169" s="2">
        <v>24</v>
      </c>
      <c r="B169" s="2">
        <v>168</v>
      </c>
      <c r="C169" s="2">
        <v>8</v>
      </c>
      <c r="D169" s="2">
        <v>1</v>
      </c>
      <c r="E169" s="2">
        <v>0.80300000000000005</v>
      </c>
      <c r="F169" s="2">
        <v>2</v>
      </c>
    </row>
    <row r="170" spans="1:6" ht="14.25" customHeight="1">
      <c r="A170" s="2">
        <v>24</v>
      </c>
      <c r="B170" s="2">
        <v>169</v>
      </c>
      <c r="C170" s="2">
        <v>2</v>
      </c>
      <c r="D170" s="2">
        <v>1</v>
      </c>
      <c r="E170" s="2">
        <v>1.2869999999999999</v>
      </c>
      <c r="F170" s="2">
        <v>1</v>
      </c>
    </row>
    <row r="171" spans="1:6" ht="14.25" customHeight="1">
      <c r="A171" s="2">
        <v>24</v>
      </c>
      <c r="B171" s="2">
        <v>170</v>
      </c>
      <c r="C171" s="2">
        <v>3</v>
      </c>
      <c r="D171" s="2">
        <v>1</v>
      </c>
      <c r="E171" s="2">
        <v>1.2869999999999999</v>
      </c>
      <c r="F171" s="2">
        <v>2</v>
      </c>
    </row>
    <row r="172" spans="1:6" ht="14.25" customHeight="1">
      <c r="A172" s="2">
        <v>24</v>
      </c>
      <c r="B172" s="2">
        <v>171</v>
      </c>
      <c r="C172" s="2">
        <v>1</v>
      </c>
      <c r="D172" s="2">
        <v>1</v>
      </c>
      <c r="E172" s="2">
        <v>1.952</v>
      </c>
      <c r="F172" s="2">
        <v>1</v>
      </c>
    </row>
    <row r="173" spans="1:6" ht="14.25" customHeight="1">
      <c r="A173" s="2">
        <v>24</v>
      </c>
      <c r="B173" s="2">
        <v>172</v>
      </c>
      <c r="C173" s="2">
        <v>4</v>
      </c>
      <c r="D173" s="2">
        <v>1</v>
      </c>
      <c r="E173" s="2">
        <v>0.83299999999999996</v>
      </c>
      <c r="F173" s="2">
        <v>1</v>
      </c>
    </row>
    <row r="174" spans="1:6" ht="14.25" customHeight="1">
      <c r="A174" s="2">
        <v>24</v>
      </c>
      <c r="B174" s="2">
        <v>173</v>
      </c>
      <c r="C174" s="2">
        <v>3</v>
      </c>
      <c r="D174" s="2">
        <v>1</v>
      </c>
      <c r="E174" s="2">
        <v>1.2669999999999999</v>
      </c>
      <c r="F174" s="2">
        <v>2</v>
      </c>
    </row>
    <row r="175" spans="1:6" ht="14.25" customHeight="1">
      <c r="A175" s="2">
        <v>24</v>
      </c>
      <c r="B175" s="2">
        <v>174</v>
      </c>
      <c r="C175" s="2">
        <v>5</v>
      </c>
      <c r="D175" s="2">
        <v>1</v>
      </c>
      <c r="E175" s="2">
        <v>1.4139999999999999</v>
      </c>
      <c r="F175" s="2">
        <v>1</v>
      </c>
    </row>
    <row r="176" spans="1:6" ht="14.25" customHeight="1">
      <c r="A176" s="2">
        <v>24</v>
      </c>
      <c r="B176" s="2">
        <v>175</v>
      </c>
      <c r="C176" s="2">
        <v>8</v>
      </c>
      <c r="D176" s="2">
        <v>1</v>
      </c>
      <c r="E176" s="2">
        <v>0.873</v>
      </c>
      <c r="F176" s="2">
        <v>1</v>
      </c>
    </row>
    <row r="177" spans="1:6" ht="14.25" customHeight="1">
      <c r="A177" s="2">
        <v>24</v>
      </c>
      <c r="B177" s="2">
        <v>176</v>
      </c>
      <c r="C177" s="2">
        <v>3</v>
      </c>
      <c r="D177" s="2">
        <v>1</v>
      </c>
      <c r="E177" s="2">
        <v>1.865</v>
      </c>
      <c r="F177" s="2">
        <v>1</v>
      </c>
    </row>
    <row r="178" spans="1:6" ht="14.25" customHeight="1">
      <c r="A178" s="2">
        <v>24</v>
      </c>
      <c r="B178" s="2">
        <v>177</v>
      </c>
      <c r="C178" s="2">
        <v>4</v>
      </c>
      <c r="D178" s="2">
        <v>1</v>
      </c>
      <c r="E178" s="2">
        <v>1.478</v>
      </c>
      <c r="F178" s="2">
        <v>2</v>
      </c>
    </row>
    <row r="179" spans="1:6" ht="14.25" customHeight="1">
      <c r="A179" s="2">
        <v>24</v>
      </c>
      <c r="B179" s="2">
        <v>178</v>
      </c>
      <c r="C179" s="2">
        <v>1</v>
      </c>
      <c r="D179" s="2">
        <v>1</v>
      </c>
      <c r="E179" s="2">
        <v>1.2150000000000001</v>
      </c>
      <c r="F179" s="2">
        <v>1</v>
      </c>
    </row>
    <row r="180" spans="1:6" ht="14.25" customHeight="1">
      <c r="A180" s="2">
        <v>24</v>
      </c>
      <c r="B180" s="2">
        <v>179</v>
      </c>
      <c r="C180" s="2">
        <v>4</v>
      </c>
      <c r="D180" s="2">
        <v>1</v>
      </c>
      <c r="E180" s="2">
        <v>0.78</v>
      </c>
      <c r="F180" s="2">
        <v>2</v>
      </c>
    </row>
    <row r="181" spans="1:6" ht="14.25" customHeight="1">
      <c r="A181" s="2">
        <v>24</v>
      </c>
      <c r="B181" s="2">
        <v>180</v>
      </c>
      <c r="C181" s="2">
        <v>8</v>
      </c>
      <c r="D181" s="2">
        <v>1</v>
      </c>
      <c r="E181" s="2">
        <v>1.1639999999999999</v>
      </c>
      <c r="F181" s="2">
        <v>1</v>
      </c>
    </row>
    <row r="182" spans="1:6" ht="14.25" customHeight="1">
      <c r="A182" s="2">
        <v>24</v>
      </c>
      <c r="B182" s="2">
        <v>181</v>
      </c>
      <c r="C182" s="2">
        <v>7</v>
      </c>
      <c r="D182" s="2">
        <v>1</v>
      </c>
      <c r="E182" s="2">
        <v>1.0409999999999999</v>
      </c>
      <c r="F182" s="2">
        <v>2</v>
      </c>
    </row>
    <row r="183" spans="1:6" ht="14.25" customHeight="1">
      <c r="A183" s="2">
        <v>24</v>
      </c>
      <c r="B183" s="2">
        <v>182</v>
      </c>
      <c r="C183" s="2">
        <v>6</v>
      </c>
      <c r="D183" s="2">
        <v>1</v>
      </c>
      <c r="E183" s="2">
        <v>1.804</v>
      </c>
      <c r="F183" s="2">
        <v>2</v>
      </c>
    </row>
    <row r="184" spans="1:6" ht="14.25" customHeight="1">
      <c r="A184" s="2">
        <v>24</v>
      </c>
      <c r="B184" s="2">
        <v>183</v>
      </c>
      <c r="C184" s="2">
        <v>7</v>
      </c>
      <c r="D184" s="2">
        <v>1</v>
      </c>
      <c r="E184" s="2">
        <v>1.022</v>
      </c>
      <c r="F184" s="2">
        <v>1</v>
      </c>
    </row>
    <row r="185" spans="1:6" ht="14.25" customHeight="1">
      <c r="A185" s="2">
        <v>24</v>
      </c>
      <c r="B185" s="2">
        <v>184</v>
      </c>
      <c r="C185" s="2">
        <v>8</v>
      </c>
      <c r="D185" s="2">
        <v>1</v>
      </c>
      <c r="E185" s="2">
        <v>1.669</v>
      </c>
      <c r="F185" s="2">
        <v>2</v>
      </c>
    </row>
    <row r="186" spans="1:6" ht="14.25" customHeight="1">
      <c r="A186" s="2">
        <v>24</v>
      </c>
      <c r="B186" s="2">
        <v>185</v>
      </c>
      <c r="C186" s="2">
        <v>3</v>
      </c>
      <c r="D186" s="2">
        <v>1</v>
      </c>
      <c r="E186" s="2">
        <v>1.536</v>
      </c>
      <c r="F186" s="2">
        <v>2</v>
      </c>
    </row>
    <row r="187" spans="1:6" ht="14.25" customHeight="1">
      <c r="A187" s="2">
        <v>24</v>
      </c>
      <c r="B187" s="2">
        <v>186</v>
      </c>
      <c r="C187" s="2">
        <v>8</v>
      </c>
      <c r="D187" s="2">
        <v>1</v>
      </c>
      <c r="E187" s="2">
        <v>0.91800000000000004</v>
      </c>
      <c r="F187" s="2">
        <v>1</v>
      </c>
    </row>
    <row r="188" spans="1:6" ht="14.25" customHeight="1">
      <c r="A188" s="2">
        <v>24</v>
      </c>
      <c r="B188" s="2">
        <v>187</v>
      </c>
      <c r="C188" s="2">
        <v>4</v>
      </c>
      <c r="D188" s="2">
        <v>0</v>
      </c>
      <c r="E188" s="2">
        <v>1.425</v>
      </c>
      <c r="F188" s="2">
        <v>1</v>
      </c>
    </row>
    <row r="189" spans="1:6" ht="14.25" customHeight="1">
      <c r="A189" s="2">
        <v>24</v>
      </c>
      <c r="B189" s="2">
        <v>188</v>
      </c>
      <c r="C189" s="2">
        <v>3</v>
      </c>
      <c r="D189" s="2">
        <v>1</v>
      </c>
      <c r="E189" s="2">
        <v>0.99099999999999999</v>
      </c>
      <c r="F189" s="2">
        <v>1</v>
      </c>
    </row>
    <row r="190" spans="1:6" ht="14.25" customHeight="1">
      <c r="A190" s="2">
        <v>24</v>
      </c>
      <c r="B190" s="2">
        <v>189</v>
      </c>
      <c r="C190" s="2">
        <v>1</v>
      </c>
      <c r="D190" s="2">
        <v>1</v>
      </c>
      <c r="E190" s="2">
        <v>1.43</v>
      </c>
      <c r="F190" s="2">
        <v>2</v>
      </c>
    </row>
    <row r="191" spans="1:6" ht="14.25" customHeight="1">
      <c r="A191" s="2">
        <v>24</v>
      </c>
      <c r="B191" s="2">
        <v>190</v>
      </c>
      <c r="C191" s="2">
        <v>2</v>
      </c>
      <c r="D191" s="2">
        <v>1</v>
      </c>
      <c r="E191" s="2">
        <v>0.98399999999999999</v>
      </c>
      <c r="F191" s="2">
        <v>2</v>
      </c>
    </row>
    <row r="192" spans="1:6" ht="14.25" customHeight="1">
      <c r="A192" s="2">
        <v>24</v>
      </c>
      <c r="B192" s="2">
        <v>191</v>
      </c>
      <c r="C192" s="2">
        <v>6</v>
      </c>
      <c r="D192" s="2">
        <v>1</v>
      </c>
      <c r="E192" s="2">
        <v>1.1819999999999999</v>
      </c>
      <c r="F192" s="2">
        <v>1</v>
      </c>
    </row>
    <row r="193" spans="1:6" ht="14.25" customHeight="1">
      <c r="A193" s="2">
        <v>24</v>
      </c>
      <c r="B193" s="2">
        <v>192</v>
      </c>
      <c r="C193" s="2">
        <v>2</v>
      </c>
      <c r="D193" s="2">
        <v>1</v>
      </c>
      <c r="E193" s="2">
        <v>0.86499999999999999</v>
      </c>
      <c r="F193" s="2">
        <v>2</v>
      </c>
    </row>
    <row r="194" spans="1:6" ht="14.25" customHeight="1">
      <c r="A194" s="2">
        <v>24</v>
      </c>
      <c r="B194" s="2">
        <v>193</v>
      </c>
      <c r="C194" s="2">
        <v>7</v>
      </c>
      <c r="D194" s="2">
        <v>1</v>
      </c>
      <c r="E194" s="2">
        <v>1.3220000000000001</v>
      </c>
      <c r="F194" s="2">
        <v>1</v>
      </c>
    </row>
    <row r="195" spans="1:6" ht="14.25" customHeight="1">
      <c r="A195" s="2">
        <v>24</v>
      </c>
      <c r="B195" s="2">
        <v>194</v>
      </c>
      <c r="C195" s="2">
        <v>8</v>
      </c>
      <c r="D195" s="2">
        <v>1</v>
      </c>
      <c r="E195" s="2">
        <v>1.0149999999999999</v>
      </c>
      <c r="F195" s="2">
        <v>2</v>
      </c>
    </row>
    <row r="196" spans="1:6" ht="14.25" customHeight="1">
      <c r="A196" s="2">
        <v>24</v>
      </c>
      <c r="B196" s="2">
        <v>195</v>
      </c>
      <c r="C196" s="2">
        <v>2</v>
      </c>
      <c r="D196" s="2">
        <v>1</v>
      </c>
      <c r="E196" s="2">
        <v>1.9830000000000001</v>
      </c>
      <c r="F196" s="2">
        <v>1</v>
      </c>
    </row>
    <row r="197" spans="1:6" ht="14.25" customHeight="1">
      <c r="A197" s="2">
        <v>24</v>
      </c>
      <c r="B197" s="2">
        <v>196</v>
      </c>
      <c r="C197" s="2">
        <v>3</v>
      </c>
      <c r="D197" s="2">
        <v>1</v>
      </c>
      <c r="E197" s="2">
        <v>1.45</v>
      </c>
      <c r="F197" s="2">
        <v>2</v>
      </c>
    </row>
    <row r="198" spans="1:6" ht="14.25" customHeight="1">
      <c r="A198" s="2">
        <v>24</v>
      </c>
      <c r="B198" s="2">
        <v>197</v>
      </c>
      <c r="C198" s="2">
        <v>5</v>
      </c>
      <c r="D198" s="2">
        <v>1</v>
      </c>
      <c r="E198" s="2">
        <v>1.0980000000000001</v>
      </c>
      <c r="F198" s="2">
        <v>1</v>
      </c>
    </row>
    <row r="199" spans="1:6" ht="14.25" customHeight="1">
      <c r="A199" s="2">
        <v>24</v>
      </c>
      <c r="B199" s="2">
        <v>198</v>
      </c>
      <c r="C199" s="2">
        <v>7</v>
      </c>
      <c r="D199" s="2">
        <v>1</v>
      </c>
      <c r="E199" s="2">
        <v>1.38</v>
      </c>
      <c r="F199" s="2">
        <v>2</v>
      </c>
    </row>
    <row r="200" spans="1:6" ht="14.25" customHeight="1">
      <c r="A200" s="2">
        <v>24</v>
      </c>
      <c r="B200" s="2">
        <v>199</v>
      </c>
      <c r="C200" s="2">
        <v>2</v>
      </c>
      <c r="D200" s="2">
        <v>1</v>
      </c>
      <c r="E200" s="2">
        <v>1.264</v>
      </c>
      <c r="F200" s="2">
        <v>1</v>
      </c>
    </row>
    <row r="201" spans="1:6" ht="14.25" customHeight="1">
      <c r="A201" s="2">
        <v>24</v>
      </c>
      <c r="B201" s="2">
        <v>200</v>
      </c>
      <c r="C201" s="2">
        <v>5</v>
      </c>
      <c r="D201" s="2">
        <v>1</v>
      </c>
      <c r="E201" s="2">
        <v>1.83</v>
      </c>
      <c r="F201" s="2">
        <v>2</v>
      </c>
    </row>
    <row r="202" spans="1:6" ht="14.25" customHeight="1">
      <c r="A202" s="2">
        <v>24</v>
      </c>
      <c r="B202" s="2">
        <v>201</v>
      </c>
      <c r="C202" s="2">
        <v>3</v>
      </c>
      <c r="D202" s="2">
        <v>1</v>
      </c>
      <c r="E202" s="2">
        <v>1.4950000000000001</v>
      </c>
      <c r="F202" s="2">
        <v>1</v>
      </c>
    </row>
    <row r="203" spans="1:6" ht="14.25" customHeight="1">
      <c r="A203" s="2">
        <v>24</v>
      </c>
      <c r="B203" s="2">
        <v>202</v>
      </c>
      <c r="C203" s="2">
        <v>8</v>
      </c>
      <c r="D203" s="2">
        <v>1</v>
      </c>
      <c r="E203" s="2">
        <v>1.0589999999999999</v>
      </c>
      <c r="F203" s="2">
        <v>2</v>
      </c>
    </row>
    <row r="204" spans="1:6" ht="14.25" customHeight="1">
      <c r="A204" s="2">
        <v>24</v>
      </c>
      <c r="B204" s="2">
        <v>203</v>
      </c>
      <c r="C204" s="2">
        <v>1</v>
      </c>
      <c r="D204" s="2">
        <v>1</v>
      </c>
      <c r="E204" s="2">
        <v>1.835</v>
      </c>
      <c r="F204" s="2">
        <v>2</v>
      </c>
    </row>
    <row r="205" spans="1:6" ht="14.25" customHeight="1">
      <c r="A205" s="2">
        <v>24</v>
      </c>
      <c r="B205" s="2">
        <v>204</v>
      </c>
      <c r="C205" s="2">
        <v>8</v>
      </c>
      <c r="D205" s="2">
        <v>1</v>
      </c>
      <c r="E205" s="2">
        <v>0.73399999999999999</v>
      </c>
      <c r="F205" s="2">
        <v>1</v>
      </c>
    </row>
    <row r="206" spans="1:6" ht="14.25" customHeight="1">
      <c r="A206" s="2">
        <v>24</v>
      </c>
      <c r="B206" s="2">
        <v>205</v>
      </c>
      <c r="C206" s="2">
        <v>6</v>
      </c>
      <c r="D206" s="2">
        <v>1</v>
      </c>
      <c r="E206" s="2">
        <v>0.82599999999999996</v>
      </c>
      <c r="F206" s="2">
        <v>1</v>
      </c>
    </row>
    <row r="207" spans="1:6" ht="14.25" customHeight="1">
      <c r="A207" s="2">
        <v>24</v>
      </c>
      <c r="B207" s="2">
        <v>206</v>
      </c>
      <c r="C207" s="2">
        <v>3</v>
      </c>
      <c r="D207" s="2">
        <v>1</v>
      </c>
      <c r="E207" s="2">
        <v>1.677</v>
      </c>
      <c r="F207" s="2">
        <v>1</v>
      </c>
    </row>
    <row r="208" spans="1:6" ht="14.25" customHeight="1">
      <c r="A208" s="2">
        <v>24</v>
      </c>
      <c r="B208" s="2">
        <v>207</v>
      </c>
      <c r="C208" s="2">
        <v>5</v>
      </c>
      <c r="D208" s="2">
        <v>1</v>
      </c>
      <c r="E208" s="2">
        <v>1.597</v>
      </c>
      <c r="F208" s="2">
        <v>1</v>
      </c>
    </row>
    <row r="209" spans="1:6" ht="14.25" customHeight="1">
      <c r="A209" s="2">
        <v>24</v>
      </c>
      <c r="B209" s="2">
        <v>208</v>
      </c>
      <c r="C209" s="2">
        <v>6</v>
      </c>
      <c r="D209" s="2">
        <v>1</v>
      </c>
      <c r="E209" s="2">
        <v>1.024</v>
      </c>
      <c r="F209" s="2">
        <v>2</v>
      </c>
    </row>
    <row r="210" spans="1:6" ht="14.25" customHeight="1">
      <c r="A210" s="2">
        <v>24</v>
      </c>
      <c r="B210" s="2">
        <v>209</v>
      </c>
      <c r="C210" s="2">
        <v>7</v>
      </c>
      <c r="D210" s="2">
        <v>1</v>
      </c>
      <c r="E210" s="2">
        <v>1.337</v>
      </c>
      <c r="F210" s="2">
        <v>2</v>
      </c>
    </row>
    <row r="211" spans="1:6" ht="14.25" customHeight="1">
      <c r="A211" s="2">
        <v>24</v>
      </c>
      <c r="B211" s="2">
        <v>210</v>
      </c>
      <c r="C211" s="2">
        <v>8</v>
      </c>
      <c r="D211" s="2">
        <v>1</v>
      </c>
      <c r="E211" s="2">
        <v>0.95099999999999996</v>
      </c>
      <c r="F211" s="2">
        <v>2</v>
      </c>
    </row>
    <row r="212" spans="1:6" ht="14.25" customHeight="1">
      <c r="A212" s="2">
        <v>24</v>
      </c>
      <c r="B212" s="2">
        <v>211</v>
      </c>
      <c r="C212" s="2">
        <v>2</v>
      </c>
      <c r="D212" s="2">
        <v>1</v>
      </c>
      <c r="E212" s="2">
        <v>1.4990000000000001</v>
      </c>
      <c r="F212" s="2">
        <v>1</v>
      </c>
    </row>
    <row r="213" spans="1:6" ht="14.25" customHeight="1">
      <c r="A213" s="2">
        <v>24</v>
      </c>
      <c r="B213" s="2">
        <v>212</v>
      </c>
      <c r="C213" s="2">
        <v>4</v>
      </c>
      <c r="D213" s="2">
        <v>1</v>
      </c>
      <c r="E213" s="2">
        <v>1.1619999999999999</v>
      </c>
      <c r="F213" s="2">
        <v>1</v>
      </c>
    </row>
    <row r="214" spans="1:6" ht="14.25" customHeight="1">
      <c r="A214" s="2">
        <v>24</v>
      </c>
      <c r="B214" s="2">
        <v>213</v>
      </c>
      <c r="C214" s="2">
        <v>5</v>
      </c>
      <c r="D214" s="2">
        <v>1</v>
      </c>
      <c r="E214" s="2">
        <v>0.73399999999999999</v>
      </c>
      <c r="F214" s="2">
        <v>1</v>
      </c>
    </row>
    <row r="215" spans="1:6" ht="14.25" customHeight="1">
      <c r="A215" s="2">
        <v>24</v>
      </c>
      <c r="B215" s="2">
        <v>214</v>
      </c>
      <c r="C215" s="2">
        <v>1</v>
      </c>
      <c r="D215" s="2">
        <v>1</v>
      </c>
      <c r="E215" s="2">
        <v>1.3720000000000001</v>
      </c>
      <c r="F215" s="2">
        <v>2</v>
      </c>
    </row>
    <row r="216" spans="1:6" ht="14.25" customHeight="1">
      <c r="A216" s="2">
        <v>24</v>
      </c>
      <c r="B216" s="2">
        <v>215</v>
      </c>
      <c r="C216" s="2">
        <v>7</v>
      </c>
      <c r="D216" s="2">
        <v>1</v>
      </c>
      <c r="E216" s="2">
        <v>1.3220000000000001</v>
      </c>
      <c r="F216" s="2">
        <v>1</v>
      </c>
    </row>
    <row r="217" spans="1:6" ht="14.25" customHeight="1">
      <c r="A217" s="2">
        <v>24</v>
      </c>
      <c r="B217" s="2">
        <v>216</v>
      </c>
      <c r="C217" s="2">
        <v>3</v>
      </c>
      <c r="D217" s="2">
        <v>1</v>
      </c>
      <c r="E217" s="2">
        <v>0.89700000000000002</v>
      </c>
      <c r="F217" s="2">
        <v>2</v>
      </c>
    </row>
    <row r="218" spans="1:6" ht="14.25" customHeight="1">
      <c r="A218" s="2">
        <v>24</v>
      </c>
      <c r="B218" s="2">
        <v>217</v>
      </c>
      <c r="C218" s="2">
        <v>1</v>
      </c>
      <c r="D218" s="2">
        <v>1</v>
      </c>
      <c r="E218" s="2">
        <v>0.92700000000000005</v>
      </c>
      <c r="F218" s="2">
        <v>2</v>
      </c>
    </row>
    <row r="219" spans="1:6" ht="14.25" customHeight="1">
      <c r="A219" s="2">
        <v>24</v>
      </c>
      <c r="B219" s="2">
        <v>218</v>
      </c>
      <c r="C219" s="2">
        <v>4</v>
      </c>
      <c r="D219" s="2">
        <v>1</v>
      </c>
      <c r="E219" s="2">
        <v>0.73</v>
      </c>
      <c r="F219" s="2">
        <v>2</v>
      </c>
    </row>
    <row r="220" spans="1:6" ht="14.25" customHeight="1">
      <c r="A220" s="2">
        <v>24</v>
      </c>
      <c r="B220" s="2">
        <v>219</v>
      </c>
      <c r="C220" s="2">
        <v>6</v>
      </c>
      <c r="D220" s="2">
        <v>1</v>
      </c>
      <c r="E220" s="2">
        <v>1.504</v>
      </c>
      <c r="F220" s="2">
        <v>1</v>
      </c>
    </row>
    <row r="221" spans="1:6" ht="14.25" customHeight="1">
      <c r="A221" s="2">
        <v>24</v>
      </c>
      <c r="B221" s="2">
        <v>220</v>
      </c>
      <c r="C221" s="2">
        <v>3</v>
      </c>
      <c r="D221" s="2">
        <v>1</v>
      </c>
      <c r="E221" s="2">
        <v>1.782</v>
      </c>
      <c r="F221" s="2">
        <v>2</v>
      </c>
    </row>
    <row r="222" spans="1:6" ht="14.25" customHeight="1">
      <c r="A222" s="2">
        <v>24</v>
      </c>
      <c r="B222" s="2">
        <v>221</v>
      </c>
      <c r="C222" s="2">
        <v>7</v>
      </c>
      <c r="E222" s="2">
        <v>2</v>
      </c>
    </row>
    <row r="223" spans="1:6" ht="14.25" customHeight="1">
      <c r="A223" s="2">
        <v>24</v>
      </c>
      <c r="B223" s="2">
        <v>222</v>
      </c>
      <c r="C223" s="2">
        <v>2</v>
      </c>
      <c r="D223" s="2">
        <v>1</v>
      </c>
      <c r="E223" s="2">
        <v>0.56599999999999995</v>
      </c>
      <c r="F223" s="2">
        <v>1</v>
      </c>
    </row>
    <row r="224" spans="1:6" ht="14.25" customHeight="1">
      <c r="A224" s="2">
        <v>24</v>
      </c>
      <c r="B224" s="2">
        <v>223</v>
      </c>
      <c r="C224" s="2">
        <v>3</v>
      </c>
      <c r="D224" s="2">
        <v>1</v>
      </c>
      <c r="E224" s="2">
        <v>1.194</v>
      </c>
      <c r="F224" s="2">
        <v>2</v>
      </c>
    </row>
    <row r="225" spans="1:6" ht="14.25" customHeight="1">
      <c r="A225" s="2">
        <v>24</v>
      </c>
      <c r="B225" s="2">
        <v>224</v>
      </c>
      <c r="C225" s="2">
        <v>7</v>
      </c>
      <c r="D225" s="2">
        <v>1</v>
      </c>
      <c r="E225" s="2">
        <v>1.3089999999999999</v>
      </c>
      <c r="F225" s="2">
        <v>1</v>
      </c>
    </row>
    <row r="226" spans="1:6" ht="14.25" customHeight="1">
      <c r="A226" s="2">
        <v>24</v>
      </c>
      <c r="B226" s="2">
        <v>225</v>
      </c>
      <c r="C226" s="2">
        <v>5</v>
      </c>
      <c r="D226" s="2">
        <v>1</v>
      </c>
      <c r="E226" s="2">
        <v>1.323</v>
      </c>
      <c r="F226" s="2">
        <v>1</v>
      </c>
    </row>
    <row r="227" spans="1:6" ht="14.25" customHeight="1">
      <c r="A227" s="2">
        <v>24</v>
      </c>
      <c r="B227" s="2">
        <v>226</v>
      </c>
      <c r="C227" s="2">
        <v>1</v>
      </c>
      <c r="D227" s="2">
        <v>1</v>
      </c>
      <c r="E227" s="2">
        <v>1.169</v>
      </c>
      <c r="F227" s="2">
        <v>1</v>
      </c>
    </row>
    <row r="228" spans="1:6" ht="14.25" customHeight="1">
      <c r="A228" s="2">
        <v>24</v>
      </c>
      <c r="B228" s="2">
        <v>227</v>
      </c>
      <c r="C228" s="2">
        <v>7</v>
      </c>
      <c r="D228" s="2">
        <v>1</v>
      </c>
      <c r="E228" s="2">
        <v>0.92600000000000005</v>
      </c>
      <c r="F228" s="2">
        <v>2</v>
      </c>
    </row>
    <row r="229" spans="1:6" ht="14.25" customHeight="1">
      <c r="A229" s="2">
        <v>24</v>
      </c>
      <c r="B229" s="2">
        <v>228</v>
      </c>
      <c r="C229" s="2">
        <v>4</v>
      </c>
      <c r="D229" s="2">
        <v>1</v>
      </c>
      <c r="E229" s="2">
        <v>0.83499999999999996</v>
      </c>
      <c r="F229" s="2">
        <v>1</v>
      </c>
    </row>
    <row r="230" spans="1:6" ht="14.25" customHeight="1">
      <c r="A230" s="2">
        <v>24</v>
      </c>
      <c r="B230" s="2">
        <v>229</v>
      </c>
      <c r="C230" s="2">
        <v>7</v>
      </c>
      <c r="D230" s="2">
        <v>1</v>
      </c>
      <c r="E230" s="2">
        <v>0.97699999999999998</v>
      </c>
      <c r="F230" s="2">
        <v>2</v>
      </c>
    </row>
    <row r="231" spans="1:6" ht="14.25" customHeight="1">
      <c r="A231" s="2">
        <v>24</v>
      </c>
      <c r="B231" s="2">
        <v>230</v>
      </c>
      <c r="C231" s="2">
        <v>3</v>
      </c>
      <c r="D231" s="2">
        <v>1</v>
      </c>
      <c r="E231" s="2">
        <v>0.90500000000000003</v>
      </c>
      <c r="F231" s="2">
        <v>1</v>
      </c>
    </row>
    <row r="232" spans="1:6" ht="14.25" customHeight="1">
      <c r="A232" s="2">
        <v>24</v>
      </c>
      <c r="B232" s="2">
        <v>231</v>
      </c>
      <c r="C232" s="2">
        <v>6</v>
      </c>
      <c r="D232" s="2">
        <v>1</v>
      </c>
      <c r="E232" s="2">
        <v>1.2869999999999999</v>
      </c>
      <c r="F232" s="2">
        <v>2</v>
      </c>
    </row>
    <row r="233" spans="1:6" ht="14.25" customHeight="1">
      <c r="A233" s="2">
        <v>24</v>
      </c>
      <c r="B233" s="2">
        <v>232</v>
      </c>
      <c r="C233" s="2">
        <v>8</v>
      </c>
      <c r="D233" s="2">
        <v>1</v>
      </c>
      <c r="E233" s="2">
        <v>1.4870000000000001</v>
      </c>
      <c r="F233" s="2">
        <v>2</v>
      </c>
    </row>
    <row r="234" spans="1:6" ht="14.25" customHeight="1">
      <c r="A234" s="2">
        <v>24</v>
      </c>
      <c r="B234" s="2">
        <v>233</v>
      </c>
      <c r="C234" s="2">
        <v>6</v>
      </c>
      <c r="D234" s="2">
        <v>1</v>
      </c>
      <c r="E234" s="2">
        <v>0.90200000000000002</v>
      </c>
      <c r="F234" s="2">
        <v>1</v>
      </c>
    </row>
    <row r="235" spans="1:6" ht="14.25" customHeight="1">
      <c r="A235" s="2">
        <v>24</v>
      </c>
      <c r="B235" s="2">
        <v>234</v>
      </c>
      <c r="C235" s="2">
        <v>5</v>
      </c>
      <c r="D235" s="2">
        <v>1</v>
      </c>
      <c r="E235" s="2">
        <v>0.78500000000000003</v>
      </c>
      <c r="F235" s="2">
        <v>2</v>
      </c>
    </row>
    <row r="236" spans="1:6" ht="14.25" customHeight="1">
      <c r="A236" s="2">
        <v>24</v>
      </c>
      <c r="B236" s="2">
        <v>235</v>
      </c>
      <c r="C236" s="2">
        <v>4</v>
      </c>
      <c r="E236" s="2">
        <v>2</v>
      </c>
    </row>
    <row r="237" spans="1:6" ht="14.25" customHeight="1">
      <c r="A237" s="2">
        <v>24</v>
      </c>
      <c r="B237" s="2">
        <v>236</v>
      </c>
      <c r="C237" s="2">
        <v>6</v>
      </c>
      <c r="D237" s="2">
        <v>1</v>
      </c>
      <c r="E237" s="2">
        <v>0.73199999999999998</v>
      </c>
      <c r="F237" s="2">
        <v>1</v>
      </c>
    </row>
    <row r="238" spans="1:6" ht="14.25" customHeight="1">
      <c r="A238" s="2">
        <v>24</v>
      </c>
      <c r="B238" s="2">
        <v>237</v>
      </c>
      <c r="C238" s="2">
        <v>1</v>
      </c>
      <c r="D238" s="2">
        <v>1</v>
      </c>
      <c r="E238" s="2">
        <v>1.4490000000000001</v>
      </c>
      <c r="F238" s="2">
        <v>2</v>
      </c>
    </row>
    <row r="239" spans="1:6" ht="14.25" customHeight="1">
      <c r="A239" s="2">
        <v>24</v>
      </c>
      <c r="B239" s="2">
        <v>238</v>
      </c>
      <c r="C239" s="2">
        <v>2</v>
      </c>
      <c r="D239" s="2">
        <v>1</v>
      </c>
      <c r="E239" s="2">
        <v>0.81</v>
      </c>
      <c r="F239" s="2">
        <v>1</v>
      </c>
    </row>
    <row r="240" spans="1:6" ht="14.25" customHeight="1">
      <c r="A240" s="2">
        <v>24</v>
      </c>
      <c r="B240" s="2">
        <v>239</v>
      </c>
      <c r="C240" s="2">
        <v>8</v>
      </c>
      <c r="D240" s="2">
        <v>1</v>
      </c>
      <c r="E240" s="2">
        <v>1.0449999999999999</v>
      </c>
      <c r="F240" s="2">
        <v>2</v>
      </c>
    </row>
    <row r="241" spans="1:6" ht="14.25" customHeight="1">
      <c r="A241" s="2">
        <v>24</v>
      </c>
      <c r="B241" s="2">
        <v>240</v>
      </c>
      <c r="C241" s="2">
        <v>2</v>
      </c>
      <c r="D241" s="2">
        <v>1</v>
      </c>
      <c r="E241" s="2">
        <v>1.4419999999999999</v>
      </c>
      <c r="F241" s="2">
        <v>2</v>
      </c>
    </row>
    <row r="242" spans="1:6" ht="14.25" customHeight="1">
      <c r="A242" s="2">
        <v>24</v>
      </c>
      <c r="B242" s="2">
        <v>241</v>
      </c>
      <c r="C242" s="2">
        <v>5</v>
      </c>
      <c r="D242" s="2">
        <v>1</v>
      </c>
      <c r="E242" s="2">
        <v>1.0740000000000001</v>
      </c>
      <c r="F242" s="2">
        <v>1</v>
      </c>
    </row>
    <row r="243" spans="1:6" ht="14.25" customHeight="1">
      <c r="A243" s="2">
        <v>24</v>
      </c>
      <c r="B243" s="2">
        <v>242</v>
      </c>
      <c r="C243" s="2">
        <v>4</v>
      </c>
      <c r="D243" s="2">
        <v>1</v>
      </c>
      <c r="E243" s="2">
        <v>0.89400000000000002</v>
      </c>
      <c r="F243" s="2">
        <v>2</v>
      </c>
    </row>
    <row r="244" spans="1:6" ht="14.25" customHeight="1">
      <c r="A244" s="2">
        <v>24</v>
      </c>
      <c r="B244" s="2">
        <v>243</v>
      </c>
      <c r="C244" s="2">
        <v>1</v>
      </c>
      <c r="D244" s="2">
        <v>1</v>
      </c>
      <c r="E244" s="2">
        <v>1.214</v>
      </c>
      <c r="F244" s="2">
        <v>1</v>
      </c>
    </row>
    <row r="245" spans="1:6" ht="14.25" customHeight="1">
      <c r="A245" s="2">
        <v>24</v>
      </c>
      <c r="B245" s="2">
        <v>244</v>
      </c>
      <c r="C245" s="2">
        <v>4</v>
      </c>
      <c r="D245" s="2">
        <v>1</v>
      </c>
      <c r="E245" s="2">
        <v>1.492</v>
      </c>
      <c r="F245" s="2">
        <v>2</v>
      </c>
    </row>
    <row r="246" spans="1:6" ht="14.25" customHeight="1">
      <c r="A246" s="2">
        <v>24</v>
      </c>
      <c r="B246" s="2">
        <v>245</v>
      </c>
      <c r="C246" s="2">
        <v>2</v>
      </c>
      <c r="D246" s="2">
        <v>1</v>
      </c>
      <c r="E246" s="2">
        <v>1.2390000000000001</v>
      </c>
      <c r="F246" s="2">
        <v>1</v>
      </c>
    </row>
    <row r="247" spans="1:6" ht="14.25" customHeight="1">
      <c r="A247" s="2">
        <v>24</v>
      </c>
      <c r="B247" s="2">
        <v>246</v>
      </c>
      <c r="C247" s="2">
        <v>8</v>
      </c>
      <c r="D247" s="2">
        <v>0</v>
      </c>
      <c r="E247" s="2">
        <v>1.5349999999999999</v>
      </c>
      <c r="F247" s="2">
        <v>1</v>
      </c>
    </row>
    <row r="248" spans="1:6" ht="14.25" customHeight="1">
      <c r="A248" s="2">
        <v>24</v>
      </c>
      <c r="B248" s="2">
        <v>247</v>
      </c>
      <c r="C248" s="2">
        <v>3</v>
      </c>
      <c r="D248" s="2">
        <v>1</v>
      </c>
      <c r="E248" s="2">
        <v>0.72699999999999998</v>
      </c>
      <c r="F248" s="2">
        <v>1</v>
      </c>
    </row>
    <row r="249" spans="1:6" ht="14.25" customHeight="1">
      <c r="A249" s="2">
        <v>24</v>
      </c>
      <c r="B249" s="2">
        <v>248</v>
      </c>
      <c r="C249" s="2">
        <v>2</v>
      </c>
      <c r="D249" s="2">
        <v>1</v>
      </c>
      <c r="E249" s="2">
        <v>1.246</v>
      </c>
      <c r="F249" s="2">
        <v>2</v>
      </c>
    </row>
    <row r="250" spans="1:6" ht="14.25" customHeight="1">
      <c r="A250" s="2">
        <v>24</v>
      </c>
      <c r="B250" s="2">
        <v>249</v>
      </c>
      <c r="C250" s="2">
        <v>8</v>
      </c>
      <c r="D250" s="2">
        <v>1</v>
      </c>
      <c r="E250" s="2">
        <v>0.85899999999999999</v>
      </c>
      <c r="F250" s="2">
        <v>1</v>
      </c>
    </row>
    <row r="251" spans="1:6" ht="14.25" customHeight="1">
      <c r="A251" s="2">
        <v>24</v>
      </c>
      <c r="B251" s="2">
        <v>250</v>
      </c>
      <c r="C251" s="2">
        <v>5</v>
      </c>
      <c r="D251" s="2">
        <v>1</v>
      </c>
      <c r="E251" s="2">
        <v>1.571</v>
      </c>
      <c r="F251" s="2">
        <v>2</v>
      </c>
    </row>
    <row r="252" spans="1:6" ht="14.25" customHeight="1">
      <c r="A252" s="2">
        <v>24</v>
      </c>
      <c r="B252" s="2">
        <v>251</v>
      </c>
      <c r="C252" s="2">
        <v>3</v>
      </c>
      <c r="D252" s="2">
        <v>1</v>
      </c>
      <c r="E252" s="2">
        <v>1.3440000000000001</v>
      </c>
      <c r="F252" s="2">
        <v>1</v>
      </c>
    </row>
    <row r="253" spans="1:6" ht="14.25" customHeight="1">
      <c r="A253" s="2">
        <v>24</v>
      </c>
      <c r="B253" s="2">
        <v>252</v>
      </c>
      <c r="C253" s="2">
        <v>4</v>
      </c>
      <c r="D253" s="2">
        <v>1</v>
      </c>
      <c r="E253" s="2">
        <v>0.89800000000000002</v>
      </c>
      <c r="F253" s="2">
        <v>2</v>
      </c>
    </row>
    <row r="254" spans="1:6" ht="14.25" customHeight="1">
      <c r="A254" s="2">
        <v>24</v>
      </c>
      <c r="B254" s="2">
        <v>253</v>
      </c>
      <c r="C254" s="2">
        <v>3</v>
      </c>
      <c r="D254" s="2">
        <v>1</v>
      </c>
      <c r="E254" s="2">
        <v>0.79700000000000004</v>
      </c>
      <c r="F254" s="2">
        <v>2</v>
      </c>
    </row>
    <row r="255" spans="1:6" ht="14.25" customHeight="1">
      <c r="A255" s="2">
        <v>24</v>
      </c>
      <c r="B255" s="2">
        <v>254</v>
      </c>
      <c r="C255" s="2">
        <v>2</v>
      </c>
      <c r="D255" s="2">
        <v>1</v>
      </c>
      <c r="E255" s="2">
        <v>0.58799999999999997</v>
      </c>
      <c r="F255" s="2">
        <v>1</v>
      </c>
    </row>
    <row r="256" spans="1:6" ht="14.25" customHeight="1">
      <c r="A256" s="2">
        <v>24</v>
      </c>
      <c r="B256" s="2">
        <v>255</v>
      </c>
      <c r="C256" s="2">
        <v>4</v>
      </c>
      <c r="D256" s="2">
        <v>1</v>
      </c>
      <c r="E256" s="2">
        <v>0.81499999999999995</v>
      </c>
      <c r="F256" s="2">
        <v>1</v>
      </c>
    </row>
    <row r="257" spans="1:6" ht="14.25" customHeight="1">
      <c r="A257" s="2">
        <v>24</v>
      </c>
      <c r="B257" s="2">
        <v>256</v>
      </c>
      <c r="C257" s="2">
        <v>7</v>
      </c>
      <c r="D257" s="2">
        <v>1</v>
      </c>
      <c r="E257" s="2">
        <v>1.522</v>
      </c>
      <c r="F257" s="2">
        <v>1</v>
      </c>
    </row>
    <row r="258" spans="1:6" ht="14.25" customHeight="1">
      <c r="A258" s="2">
        <v>24</v>
      </c>
      <c r="B258" s="2">
        <v>257</v>
      </c>
      <c r="C258" s="2">
        <v>5</v>
      </c>
      <c r="D258" s="2">
        <v>1</v>
      </c>
      <c r="E258" s="2">
        <v>0.73599999999999999</v>
      </c>
      <c r="F258" s="2">
        <v>1</v>
      </c>
    </row>
    <row r="259" spans="1:6" ht="14.25" customHeight="1">
      <c r="A259" s="2">
        <v>24</v>
      </c>
      <c r="B259" s="2">
        <v>258</v>
      </c>
      <c r="C259" s="2">
        <v>8</v>
      </c>
      <c r="D259" s="2">
        <v>1</v>
      </c>
      <c r="E259" s="2">
        <v>0.88</v>
      </c>
      <c r="F259" s="2">
        <v>2</v>
      </c>
    </row>
    <row r="260" spans="1:6" ht="14.25" customHeight="1">
      <c r="A260" s="2">
        <v>24</v>
      </c>
      <c r="B260" s="2">
        <v>259</v>
      </c>
      <c r="C260" s="2">
        <v>6</v>
      </c>
      <c r="D260" s="2">
        <v>1</v>
      </c>
      <c r="E260" s="2">
        <v>0.81299999999999994</v>
      </c>
      <c r="F260" s="2">
        <v>2</v>
      </c>
    </row>
    <row r="261" spans="1:6" ht="14.25" customHeight="1">
      <c r="A261" s="2">
        <v>24</v>
      </c>
      <c r="B261" s="2">
        <v>260</v>
      </c>
      <c r="C261" s="2">
        <v>2</v>
      </c>
      <c r="D261" s="2">
        <v>1</v>
      </c>
      <c r="E261" s="2">
        <v>0.93899999999999995</v>
      </c>
      <c r="F261" s="2">
        <v>2</v>
      </c>
    </row>
    <row r="262" spans="1:6" ht="14.25" customHeight="1">
      <c r="A262" s="2">
        <v>24</v>
      </c>
      <c r="B262" s="2">
        <v>261</v>
      </c>
      <c r="C262" s="2">
        <v>4</v>
      </c>
      <c r="E262" s="2">
        <v>2</v>
      </c>
    </row>
    <row r="263" spans="1:6" ht="14.25" customHeight="1">
      <c r="A263" s="2">
        <v>24</v>
      </c>
      <c r="B263" s="2">
        <v>262</v>
      </c>
      <c r="C263" s="2">
        <v>2</v>
      </c>
      <c r="D263" s="2">
        <v>1</v>
      </c>
      <c r="E263" s="2">
        <v>0.76600000000000001</v>
      </c>
      <c r="F263" s="2">
        <v>1</v>
      </c>
    </row>
    <row r="264" spans="1:6" ht="14.25" customHeight="1">
      <c r="A264" s="2">
        <v>24</v>
      </c>
      <c r="B264" s="2">
        <v>263</v>
      </c>
      <c r="C264" s="2">
        <v>8</v>
      </c>
      <c r="D264" s="2">
        <v>1</v>
      </c>
      <c r="E264" s="2">
        <v>0.69299999999999995</v>
      </c>
      <c r="F264" s="2">
        <v>1</v>
      </c>
    </row>
    <row r="265" spans="1:6" ht="14.25" customHeight="1">
      <c r="A265" s="2">
        <v>24</v>
      </c>
      <c r="B265" s="2">
        <v>264</v>
      </c>
      <c r="C265" s="2">
        <v>7</v>
      </c>
      <c r="D265" s="2">
        <v>1</v>
      </c>
      <c r="E265" s="2">
        <v>1.6</v>
      </c>
      <c r="F265" s="2">
        <v>2</v>
      </c>
    </row>
    <row r="266" spans="1:6" ht="14.25" customHeight="1">
      <c r="A266" s="2">
        <v>24</v>
      </c>
      <c r="B266" s="2">
        <v>265</v>
      </c>
      <c r="C266" s="2">
        <v>8</v>
      </c>
      <c r="D266" s="2">
        <v>1</v>
      </c>
      <c r="E266" s="2">
        <v>0.97899999999999998</v>
      </c>
      <c r="F266" s="2">
        <v>1</v>
      </c>
    </row>
    <row r="267" spans="1:6" ht="14.25" customHeight="1">
      <c r="A267" s="2">
        <v>24</v>
      </c>
      <c r="B267" s="2">
        <v>266</v>
      </c>
      <c r="C267" s="2">
        <v>3</v>
      </c>
      <c r="D267" s="2">
        <v>1</v>
      </c>
      <c r="E267" s="2">
        <v>1.1220000000000001</v>
      </c>
      <c r="F267" s="2">
        <v>2</v>
      </c>
    </row>
    <row r="268" spans="1:6" ht="14.25" customHeight="1">
      <c r="A268" s="2">
        <v>24</v>
      </c>
      <c r="B268" s="2">
        <v>267</v>
      </c>
      <c r="C268" s="2">
        <v>1</v>
      </c>
      <c r="D268" s="2">
        <v>1</v>
      </c>
      <c r="E268" s="2">
        <v>1.1399999999999999</v>
      </c>
      <c r="F268" s="2">
        <v>2</v>
      </c>
    </row>
    <row r="269" spans="1:6" ht="14.25" customHeight="1">
      <c r="A269" s="2">
        <v>24</v>
      </c>
      <c r="B269" s="2">
        <v>268</v>
      </c>
      <c r="C269" s="2">
        <v>7</v>
      </c>
      <c r="D269" s="2">
        <v>1</v>
      </c>
      <c r="E269" s="2">
        <v>0.63700000000000001</v>
      </c>
      <c r="F269" s="2">
        <v>2</v>
      </c>
    </row>
    <row r="270" spans="1:6" ht="14.25" customHeight="1">
      <c r="A270" s="2">
        <v>24</v>
      </c>
      <c r="B270" s="2">
        <v>269</v>
      </c>
      <c r="C270" s="2">
        <v>3</v>
      </c>
      <c r="D270" s="2">
        <v>1</v>
      </c>
      <c r="E270" s="2">
        <v>1.6259999999999999</v>
      </c>
      <c r="F270" s="2">
        <v>1</v>
      </c>
    </row>
    <row r="271" spans="1:6" ht="14.25" customHeight="1">
      <c r="A271" s="2">
        <v>24</v>
      </c>
      <c r="B271" s="2">
        <v>270</v>
      </c>
      <c r="C271" s="2">
        <v>5</v>
      </c>
      <c r="D271" s="2">
        <v>1</v>
      </c>
      <c r="E271" s="2">
        <v>0.75600000000000001</v>
      </c>
      <c r="F271" s="2">
        <v>2</v>
      </c>
    </row>
    <row r="272" spans="1:6" ht="14.25" customHeight="1">
      <c r="A272" s="2">
        <v>24</v>
      </c>
      <c r="B272" s="2">
        <v>271</v>
      </c>
      <c r="C272" s="2">
        <v>8</v>
      </c>
      <c r="D272" s="2">
        <v>1</v>
      </c>
      <c r="E272" s="2">
        <v>1.48</v>
      </c>
      <c r="F272" s="2">
        <v>1</v>
      </c>
    </row>
    <row r="273" spans="1:6" ht="14.25" customHeight="1">
      <c r="A273" s="2">
        <v>24</v>
      </c>
      <c r="B273" s="2">
        <v>272</v>
      </c>
      <c r="C273" s="2">
        <v>4</v>
      </c>
      <c r="D273" s="2">
        <v>1</v>
      </c>
      <c r="E273" s="2">
        <v>0.72699999999999998</v>
      </c>
      <c r="F273" s="2">
        <v>1</v>
      </c>
    </row>
    <row r="274" spans="1:6" ht="14.25" customHeight="1">
      <c r="A274" s="2">
        <v>24</v>
      </c>
      <c r="B274" s="2">
        <v>273</v>
      </c>
      <c r="C274" s="2">
        <v>6</v>
      </c>
      <c r="D274" s="2">
        <v>1</v>
      </c>
      <c r="E274" s="2">
        <v>0.93799999999999994</v>
      </c>
      <c r="F274" s="2">
        <v>2</v>
      </c>
    </row>
    <row r="275" spans="1:6" ht="14.25" customHeight="1">
      <c r="A275" s="2">
        <v>24</v>
      </c>
      <c r="B275" s="2">
        <v>274</v>
      </c>
      <c r="C275" s="2">
        <v>5</v>
      </c>
      <c r="D275" s="2">
        <v>1</v>
      </c>
      <c r="E275" s="2">
        <v>1.6180000000000001</v>
      </c>
      <c r="F275" s="2">
        <v>1</v>
      </c>
    </row>
    <row r="276" spans="1:6" ht="14.25" customHeight="1">
      <c r="A276" s="2">
        <v>24</v>
      </c>
      <c r="B276" s="2">
        <v>275</v>
      </c>
      <c r="C276" s="2">
        <v>7</v>
      </c>
      <c r="D276" s="2">
        <v>1</v>
      </c>
      <c r="E276" s="2">
        <v>0.74399999999999999</v>
      </c>
      <c r="F276" s="2">
        <v>1</v>
      </c>
    </row>
    <row r="277" spans="1:6" ht="14.25" customHeight="1">
      <c r="A277" s="2">
        <v>24</v>
      </c>
      <c r="B277" s="2">
        <v>276</v>
      </c>
      <c r="C277" s="2">
        <v>5</v>
      </c>
      <c r="D277" s="2">
        <v>1</v>
      </c>
      <c r="E277" s="2">
        <v>1.153</v>
      </c>
      <c r="F277" s="2">
        <v>1</v>
      </c>
    </row>
    <row r="278" spans="1:6" ht="14.25" customHeight="1">
      <c r="A278" s="2">
        <v>24</v>
      </c>
      <c r="B278" s="2">
        <v>277</v>
      </c>
      <c r="C278" s="2">
        <v>7</v>
      </c>
      <c r="D278" s="2">
        <v>1</v>
      </c>
      <c r="E278" s="2">
        <v>1.089</v>
      </c>
      <c r="F278" s="2">
        <v>2</v>
      </c>
    </row>
    <row r="279" spans="1:6" ht="14.25" customHeight="1">
      <c r="A279" s="2">
        <v>24</v>
      </c>
      <c r="B279" s="2">
        <v>278</v>
      </c>
      <c r="C279" s="2">
        <v>4</v>
      </c>
      <c r="D279" s="2">
        <v>1</v>
      </c>
      <c r="E279" s="2">
        <v>1.4910000000000001</v>
      </c>
      <c r="F279" s="2">
        <v>1</v>
      </c>
    </row>
    <row r="280" spans="1:6" ht="14.25" customHeight="1">
      <c r="A280" s="2">
        <v>24</v>
      </c>
      <c r="B280" s="2">
        <v>279</v>
      </c>
      <c r="C280" s="2">
        <v>8</v>
      </c>
      <c r="D280" s="2">
        <v>1</v>
      </c>
      <c r="E280" s="2">
        <v>1.0620000000000001</v>
      </c>
      <c r="F280" s="2">
        <v>2</v>
      </c>
    </row>
    <row r="281" spans="1:6" ht="14.25" customHeight="1">
      <c r="A281" s="2">
        <v>24</v>
      </c>
      <c r="B281" s="2">
        <v>280</v>
      </c>
      <c r="C281" s="2">
        <v>1</v>
      </c>
      <c r="D281" s="2">
        <v>1</v>
      </c>
      <c r="E281" s="2">
        <v>1.919</v>
      </c>
      <c r="F281" s="2">
        <v>1</v>
      </c>
    </row>
    <row r="282" spans="1:6" ht="14.25" customHeight="1">
      <c r="A282" s="2">
        <v>24</v>
      </c>
      <c r="B282" s="2">
        <v>281</v>
      </c>
      <c r="C282" s="2">
        <v>6</v>
      </c>
      <c r="D282" s="2">
        <v>1</v>
      </c>
      <c r="E282" s="2">
        <v>1.1599999999999999</v>
      </c>
      <c r="F282" s="2">
        <v>2</v>
      </c>
    </row>
    <row r="283" spans="1:6" ht="14.25" customHeight="1">
      <c r="A283" s="2">
        <v>24</v>
      </c>
      <c r="B283" s="2">
        <v>282</v>
      </c>
      <c r="C283" s="2">
        <v>5</v>
      </c>
      <c r="D283" s="2">
        <v>1</v>
      </c>
      <c r="E283" s="2">
        <v>1.196</v>
      </c>
      <c r="F283" s="2">
        <v>2</v>
      </c>
    </row>
    <row r="284" spans="1:6" ht="14.25" customHeight="1">
      <c r="A284" s="2">
        <v>24</v>
      </c>
      <c r="B284" s="2">
        <v>283</v>
      </c>
      <c r="C284" s="2">
        <v>7</v>
      </c>
      <c r="D284" s="2">
        <v>1</v>
      </c>
      <c r="E284" s="2">
        <v>1.0489999999999999</v>
      </c>
      <c r="F284" s="2">
        <v>1</v>
      </c>
    </row>
    <row r="285" spans="1:6" ht="14.25" customHeight="1">
      <c r="A285" s="2">
        <v>24</v>
      </c>
      <c r="B285" s="2">
        <v>284</v>
      </c>
      <c r="C285" s="2">
        <v>2</v>
      </c>
      <c r="D285" s="2">
        <v>1</v>
      </c>
      <c r="E285" s="2">
        <v>1.161</v>
      </c>
      <c r="F285" s="2">
        <v>2</v>
      </c>
    </row>
    <row r="286" spans="1:6" ht="14.25" customHeight="1">
      <c r="A286" s="2">
        <v>24</v>
      </c>
      <c r="B286" s="2">
        <v>285</v>
      </c>
      <c r="C286" s="2">
        <v>6</v>
      </c>
      <c r="D286" s="2">
        <v>1</v>
      </c>
      <c r="E286" s="2">
        <v>0.84899999999999998</v>
      </c>
      <c r="F286" s="2">
        <v>2</v>
      </c>
    </row>
    <row r="287" spans="1:6" ht="14.25" customHeight="1">
      <c r="A287" s="2">
        <v>24</v>
      </c>
      <c r="B287" s="2">
        <v>286</v>
      </c>
      <c r="C287" s="2">
        <v>3</v>
      </c>
      <c r="D287" s="2">
        <v>1</v>
      </c>
      <c r="E287" s="2">
        <v>0.86499999999999999</v>
      </c>
      <c r="F287" s="2">
        <v>1</v>
      </c>
    </row>
    <row r="288" spans="1:6" ht="14.25" customHeight="1">
      <c r="A288" s="2">
        <v>24</v>
      </c>
      <c r="B288" s="2">
        <v>287</v>
      </c>
      <c r="C288" s="2">
        <v>1</v>
      </c>
      <c r="D288" s="2">
        <v>1</v>
      </c>
      <c r="E288" s="2">
        <v>0.82599999999999996</v>
      </c>
      <c r="F288" s="2">
        <v>2</v>
      </c>
    </row>
    <row r="289" spans="1:6" ht="14.25" customHeight="1">
      <c r="A289" s="2">
        <v>24</v>
      </c>
      <c r="B289" s="2">
        <v>288</v>
      </c>
      <c r="C289" s="2">
        <v>6</v>
      </c>
      <c r="D289" s="2">
        <v>1</v>
      </c>
      <c r="E289" s="2">
        <v>0.875</v>
      </c>
      <c r="F289" s="2">
        <v>1</v>
      </c>
    </row>
    <row r="290" spans="1:6" ht="14.25" customHeight="1">
      <c r="A290" s="2">
        <v>24</v>
      </c>
      <c r="B290" s="2">
        <v>289</v>
      </c>
      <c r="C290" s="2">
        <v>1</v>
      </c>
      <c r="D290" s="2">
        <v>1</v>
      </c>
      <c r="E290" s="2">
        <v>1.018</v>
      </c>
      <c r="F290" s="2">
        <v>2</v>
      </c>
    </row>
    <row r="291" spans="1:6" ht="14.25" customHeight="1">
      <c r="A291" s="2">
        <v>24</v>
      </c>
      <c r="B291" s="2">
        <v>290</v>
      </c>
      <c r="C291" s="2">
        <v>5</v>
      </c>
      <c r="D291" s="2">
        <v>1</v>
      </c>
      <c r="E291" s="2">
        <v>1.181</v>
      </c>
      <c r="F291" s="2">
        <v>2</v>
      </c>
    </row>
    <row r="292" spans="1:6" ht="14.25" customHeight="1">
      <c r="A292" s="2">
        <v>24</v>
      </c>
      <c r="B292" s="2">
        <v>291</v>
      </c>
      <c r="C292" s="2">
        <v>6</v>
      </c>
      <c r="D292" s="2">
        <v>1</v>
      </c>
      <c r="E292" s="2">
        <v>0.72</v>
      </c>
      <c r="F292" s="2">
        <v>1</v>
      </c>
    </row>
    <row r="293" spans="1:6" ht="14.25" customHeight="1">
      <c r="A293" s="2">
        <v>24</v>
      </c>
      <c r="B293" s="2">
        <v>292</v>
      </c>
      <c r="C293" s="2">
        <v>1</v>
      </c>
      <c r="D293" s="2">
        <v>1</v>
      </c>
      <c r="E293" s="2">
        <v>0.99</v>
      </c>
      <c r="F293" s="2">
        <v>2</v>
      </c>
    </row>
    <row r="294" spans="1:6" ht="14.25" customHeight="1">
      <c r="A294" s="2">
        <v>24</v>
      </c>
      <c r="B294" s="2">
        <v>293</v>
      </c>
      <c r="C294" s="2">
        <v>8</v>
      </c>
      <c r="D294" s="2">
        <v>1</v>
      </c>
      <c r="E294" s="2">
        <v>0.77600000000000002</v>
      </c>
      <c r="F294" s="2">
        <v>1</v>
      </c>
    </row>
    <row r="295" spans="1:6" ht="14.25" customHeight="1">
      <c r="A295" s="2">
        <v>24</v>
      </c>
      <c r="B295" s="2">
        <v>294</v>
      </c>
      <c r="C295" s="2">
        <v>3</v>
      </c>
      <c r="D295" s="2">
        <v>1</v>
      </c>
      <c r="E295" s="2">
        <v>0.93600000000000005</v>
      </c>
      <c r="F295" s="2">
        <v>2</v>
      </c>
    </row>
    <row r="296" spans="1:6" ht="14.25" customHeight="1">
      <c r="A296" s="2">
        <v>24</v>
      </c>
      <c r="B296" s="2">
        <v>295</v>
      </c>
      <c r="C296" s="2">
        <v>2</v>
      </c>
      <c r="D296" s="2">
        <v>1</v>
      </c>
      <c r="E296" s="2">
        <v>1.633</v>
      </c>
      <c r="F296" s="2">
        <v>1</v>
      </c>
    </row>
    <row r="297" spans="1:6" ht="14.25" customHeight="1">
      <c r="A297" s="2">
        <v>24</v>
      </c>
      <c r="B297" s="2">
        <v>296</v>
      </c>
      <c r="C297" s="2">
        <v>4</v>
      </c>
      <c r="D297" s="2">
        <v>1</v>
      </c>
      <c r="E297" s="2">
        <v>0.91400000000000003</v>
      </c>
      <c r="F297" s="2">
        <v>2</v>
      </c>
    </row>
    <row r="298" spans="1:6" ht="14.25" customHeight="1">
      <c r="A298" s="2">
        <v>24</v>
      </c>
      <c r="B298" s="2">
        <v>297</v>
      </c>
      <c r="C298" s="2">
        <v>3</v>
      </c>
      <c r="D298" s="2">
        <v>1</v>
      </c>
      <c r="E298" s="2">
        <v>0.85199999999999998</v>
      </c>
      <c r="F298" s="2">
        <v>1</v>
      </c>
    </row>
    <row r="299" spans="1:6" ht="14.25" customHeight="1">
      <c r="A299" s="2">
        <v>24</v>
      </c>
      <c r="B299" s="2">
        <v>298</v>
      </c>
      <c r="C299" s="2">
        <v>2</v>
      </c>
      <c r="D299" s="2">
        <v>1</v>
      </c>
      <c r="E299" s="2">
        <v>0.873</v>
      </c>
      <c r="F299" s="2">
        <v>2</v>
      </c>
    </row>
    <row r="300" spans="1:6" ht="14.25" customHeight="1">
      <c r="A300" s="2">
        <v>24</v>
      </c>
      <c r="B300" s="2">
        <v>299</v>
      </c>
      <c r="C300" s="2">
        <v>8</v>
      </c>
      <c r="D300" s="2">
        <v>1</v>
      </c>
      <c r="E300" s="2">
        <v>0.88500000000000001</v>
      </c>
      <c r="F300" s="2">
        <v>1</v>
      </c>
    </row>
    <row r="301" spans="1:6" ht="14.25" customHeight="1">
      <c r="A301" s="2">
        <v>24</v>
      </c>
      <c r="B301" s="2">
        <v>300</v>
      </c>
      <c r="C301" s="2">
        <v>1</v>
      </c>
      <c r="D301" s="2">
        <v>1</v>
      </c>
      <c r="E301" s="2">
        <v>0.82799999999999996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25</v>
      </c>
      <c r="I1" s="2">
        <v>251</v>
      </c>
      <c r="J1" s="2">
        <v>8</v>
      </c>
      <c r="L1" s="2">
        <v>2</v>
      </c>
    </row>
    <row r="2" spans="1:22" ht="14.25" customHeight="1">
      <c r="A2" s="2">
        <v>25</v>
      </c>
      <c r="B2" s="2">
        <v>1</v>
      </c>
      <c r="C2" s="2">
        <v>7</v>
      </c>
      <c r="E2" s="2">
        <v>2.0009999999999999</v>
      </c>
      <c r="H2" s="2">
        <v>25</v>
      </c>
      <c r="I2" s="2">
        <v>252</v>
      </c>
      <c r="J2" s="2">
        <v>4</v>
      </c>
      <c r="L2" s="2">
        <v>2.0009999999999999</v>
      </c>
    </row>
    <row r="3" spans="1:22" ht="14.25" customHeight="1">
      <c r="A3" s="2">
        <v>25</v>
      </c>
      <c r="B3" s="2">
        <v>2</v>
      </c>
      <c r="C3" s="2">
        <v>8</v>
      </c>
      <c r="E3" s="2">
        <v>2.0009999999999999</v>
      </c>
      <c r="H3" s="2">
        <v>25</v>
      </c>
      <c r="I3" s="2">
        <v>253</v>
      </c>
      <c r="J3" s="2">
        <v>3</v>
      </c>
      <c r="K3" s="2">
        <v>1</v>
      </c>
      <c r="L3" s="2">
        <v>1.288</v>
      </c>
      <c r="M3" s="2">
        <v>2</v>
      </c>
    </row>
    <row r="4" spans="1:22" ht="14.25" customHeight="1">
      <c r="A4" s="2">
        <v>25</v>
      </c>
      <c r="B4" s="2">
        <v>3</v>
      </c>
      <c r="C4" s="2">
        <v>3</v>
      </c>
      <c r="D4" s="2">
        <v>0</v>
      </c>
      <c r="E4" s="2">
        <v>1.101</v>
      </c>
      <c r="F4" s="2">
        <v>1</v>
      </c>
      <c r="H4" s="2">
        <v>25</v>
      </c>
      <c r="I4" s="2">
        <v>254</v>
      </c>
      <c r="J4" s="2">
        <v>7</v>
      </c>
      <c r="K4" s="2">
        <v>1</v>
      </c>
      <c r="L4" s="2">
        <v>1.111</v>
      </c>
      <c r="M4" s="2">
        <v>2</v>
      </c>
      <c r="O4" s="2" t="s">
        <v>6</v>
      </c>
    </row>
    <row r="5" spans="1:22" ht="14.25" customHeight="1">
      <c r="A5" s="2">
        <v>25</v>
      </c>
      <c r="B5" s="2">
        <v>4</v>
      </c>
      <c r="C5" s="2">
        <v>5</v>
      </c>
      <c r="D5" s="2">
        <v>0</v>
      </c>
      <c r="E5" s="2">
        <v>0.77700000000000002</v>
      </c>
      <c r="F5" s="2">
        <v>1</v>
      </c>
      <c r="H5" s="2">
        <v>25</v>
      </c>
      <c r="I5" s="2">
        <v>255</v>
      </c>
      <c r="J5" s="2">
        <v>4</v>
      </c>
      <c r="K5" s="2">
        <v>1</v>
      </c>
      <c r="L5" s="2">
        <v>1.1160000000000001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25</v>
      </c>
      <c r="B6" s="2">
        <v>5</v>
      </c>
      <c r="C6" s="2">
        <v>3</v>
      </c>
      <c r="D6" s="2">
        <v>0</v>
      </c>
      <c r="E6" s="2">
        <v>1.179</v>
      </c>
      <c r="F6" s="2">
        <v>1</v>
      </c>
      <c r="H6" s="2">
        <v>25</v>
      </c>
      <c r="I6" s="2">
        <v>256</v>
      </c>
      <c r="J6" s="2">
        <v>3</v>
      </c>
      <c r="K6" s="2">
        <v>0</v>
      </c>
      <c r="L6" s="2">
        <v>1.2829999999999999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25</v>
      </c>
      <c r="B7" s="2">
        <v>6</v>
      </c>
      <c r="C7" s="2">
        <v>4</v>
      </c>
      <c r="D7" s="2">
        <v>0</v>
      </c>
      <c r="E7" s="2">
        <v>1.1120000000000001</v>
      </c>
      <c r="F7" s="2">
        <v>2</v>
      </c>
      <c r="H7" s="2">
        <v>25</v>
      </c>
      <c r="I7" s="2">
        <v>257</v>
      </c>
      <c r="J7" s="2">
        <v>7</v>
      </c>
      <c r="K7" s="2">
        <v>1</v>
      </c>
      <c r="L7" s="2">
        <v>0.84099999999999997</v>
      </c>
      <c r="M7" s="2">
        <v>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25</v>
      </c>
      <c r="B8" s="2">
        <v>7</v>
      </c>
      <c r="C8" s="2">
        <v>6</v>
      </c>
      <c r="D8" s="2">
        <v>1</v>
      </c>
      <c r="E8" s="2">
        <v>1.157</v>
      </c>
      <c r="F8" s="2">
        <v>2</v>
      </c>
      <c r="H8" s="2">
        <v>25</v>
      </c>
      <c r="I8" s="2">
        <v>258</v>
      </c>
      <c r="J8" s="2">
        <v>4</v>
      </c>
      <c r="K8" s="2">
        <v>1</v>
      </c>
      <c r="L8" s="2">
        <v>0.745</v>
      </c>
      <c r="M8" s="2">
        <v>1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25</v>
      </c>
      <c r="B9" s="2">
        <v>8</v>
      </c>
      <c r="C9" s="2">
        <v>7</v>
      </c>
      <c r="D9" s="2">
        <v>1</v>
      </c>
      <c r="E9" s="2">
        <v>1.6679999999999999</v>
      </c>
      <c r="F9" s="2">
        <v>1</v>
      </c>
      <c r="H9" s="2">
        <v>25</v>
      </c>
      <c r="I9" s="2">
        <v>259</v>
      </c>
      <c r="J9" s="2">
        <v>8</v>
      </c>
      <c r="K9" s="2">
        <v>1</v>
      </c>
      <c r="L9" s="2">
        <v>0.83099999999999996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25</v>
      </c>
      <c r="B10" s="2">
        <v>9</v>
      </c>
      <c r="C10" s="2">
        <v>8</v>
      </c>
      <c r="D10" s="2">
        <v>1</v>
      </c>
      <c r="E10" s="2">
        <v>1.1240000000000001</v>
      </c>
      <c r="F10" s="2">
        <v>1</v>
      </c>
      <c r="H10" s="2">
        <v>25</v>
      </c>
      <c r="I10" s="2">
        <v>260</v>
      </c>
      <c r="J10" s="2">
        <v>1</v>
      </c>
      <c r="K10" s="2">
        <v>1</v>
      </c>
      <c r="L10" s="2">
        <v>1.599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25</v>
      </c>
      <c r="B11" s="2">
        <v>10</v>
      </c>
      <c r="C11" s="2">
        <v>6</v>
      </c>
      <c r="D11" s="2">
        <v>1</v>
      </c>
      <c r="E11" s="2">
        <v>1.345</v>
      </c>
      <c r="F11" s="2">
        <v>2</v>
      </c>
      <c r="H11" s="2">
        <v>25</v>
      </c>
      <c r="I11" s="2">
        <v>261</v>
      </c>
      <c r="J11" s="2">
        <v>7</v>
      </c>
      <c r="K11" s="2">
        <v>1</v>
      </c>
      <c r="L11" s="2">
        <v>1.2649999999999999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25</v>
      </c>
      <c r="B12" s="2">
        <v>11</v>
      </c>
      <c r="C12" s="2">
        <v>4</v>
      </c>
      <c r="E12" s="2">
        <v>2</v>
      </c>
      <c r="H12" s="2">
        <v>25</v>
      </c>
      <c r="I12" s="2">
        <v>262</v>
      </c>
      <c r="J12" s="2">
        <v>1</v>
      </c>
      <c r="K12" s="2">
        <v>0</v>
      </c>
      <c r="L12" s="2">
        <v>1.359</v>
      </c>
      <c r="M12" s="2">
        <v>2</v>
      </c>
    </row>
    <row r="13" spans="1:22" ht="14.25" customHeight="1">
      <c r="A13" s="2">
        <v>25</v>
      </c>
      <c r="B13" s="2">
        <v>12</v>
      </c>
      <c r="C13" s="2">
        <v>2</v>
      </c>
      <c r="D13" s="2">
        <v>0</v>
      </c>
      <c r="E13" s="2">
        <v>1.052</v>
      </c>
      <c r="F13" s="2">
        <v>2</v>
      </c>
      <c r="H13" s="2">
        <v>25</v>
      </c>
      <c r="I13" s="2">
        <v>263</v>
      </c>
      <c r="J13" s="2">
        <v>3</v>
      </c>
      <c r="K13" s="2">
        <v>0</v>
      </c>
      <c r="L13" s="2">
        <v>1E-3</v>
      </c>
      <c r="M13" s="2">
        <v>1</v>
      </c>
    </row>
    <row r="14" spans="1:22" ht="14.25" customHeight="1">
      <c r="A14" s="2">
        <v>25</v>
      </c>
      <c r="B14" s="2">
        <v>13</v>
      </c>
      <c r="C14" s="2">
        <v>1</v>
      </c>
      <c r="D14" s="2">
        <v>1</v>
      </c>
      <c r="E14" s="2">
        <v>1.3720000000000001</v>
      </c>
      <c r="F14" s="2">
        <v>2</v>
      </c>
      <c r="H14" s="2">
        <v>25</v>
      </c>
      <c r="I14" s="2">
        <v>264</v>
      </c>
      <c r="J14" s="2">
        <v>4</v>
      </c>
      <c r="K14" s="2">
        <v>1</v>
      </c>
      <c r="L14" s="2">
        <v>1E-3</v>
      </c>
      <c r="M14" s="2">
        <v>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25</v>
      </c>
      <c r="B15" s="2">
        <v>14</v>
      </c>
      <c r="C15" s="2">
        <v>8</v>
      </c>
      <c r="D15" s="2">
        <v>1</v>
      </c>
      <c r="E15" s="2">
        <v>1.2250000000000001</v>
      </c>
      <c r="F15" s="2">
        <v>1</v>
      </c>
      <c r="H15" s="2">
        <v>25</v>
      </c>
      <c r="I15" s="2">
        <v>265</v>
      </c>
      <c r="J15" s="2">
        <v>6</v>
      </c>
      <c r="K15" s="2">
        <v>1</v>
      </c>
      <c r="L15" s="2">
        <v>0.58299999999999996</v>
      </c>
      <c r="M15" s="2">
        <v>2</v>
      </c>
      <c r="O15" s="2" t="s">
        <v>9</v>
      </c>
    </row>
    <row r="16" spans="1:22" ht="14.25" customHeight="1">
      <c r="A16" s="2">
        <v>25</v>
      </c>
      <c r="B16" s="2">
        <v>15</v>
      </c>
      <c r="C16" s="2">
        <v>6</v>
      </c>
      <c r="D16" s="2">
        <v>1</v>
      </c>
      <c r="E16" s="2">
        <v>1.1619999999999999</v>
      </c>
      <c r="F16" s="2">
        <v>2</v>
      </c>
      <c r="H16" s="2">
        <v>25</v>
      </c>
      <c r="I16" s="2">
        <v>266</v>
      </c>
      <c r="J16" s="2">
        <v>1</v>
      </c>
      <c r="K16" s="2">
        <v>1</v>
      </c>
      <c r="L16" s="2">
        <v>1.0249999999999999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25</v>
      </c>
      <c r="B17" s="2">
        <v>16</v>
      </c>
      <c r="C17" s="2">
        <v>4</v>
      </c>
      <c r="D17" s="2">
        <v>1</v>
      </c>
      <c r="E17" s="2">
        <v>1.653</v>
      </c>
      <c r="F17" s="2">
        <v>1</v>
      </c>
      <c r="H17" s="2">
        <v>25</v>
      </c>
      <c r="I17" s="2">
        <v>267</v>
      </c>
      <c r="J17" s="2">
        <v>3</v>
      </c>
      <c r="K17" s="2">
        <v>1</v>
      </c>
      <c r="L17" s="2">
        <v>1.29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7.2899999999999965</v>
      </c>
      <c r="P17" s="2">
        <f t="shared" ref="P17:P22" si="1">(P6*COUNTIF($J$1:$J$100,P$16) - COUNTIFS($J$1:$J$100,P$16,$K$1:$K$100,"=0"))^2</f>
        <v>7.2900000000000009</v>
      </c>
      <c r="Q17" s="2">
        <f t="shared" ref="Q17:Q22" si="2">(Q6*COUNTIF($J$1:$J$100,Q$16) - COUNTIFS($J$1:$J$100,Q$16,$K$1:$K$100,"=1"))^2</f>
        <v>7.2899999999999965</v>
      </c>
      <c r="R17" s="2">
        <f t="shared" ref="R17:R22" si="3">(R6*COUNTIF($J$1:$J$100,R$16) - COUNTIFS($J$1:$J$100,R$16,$K$1:$K$100,"=0"))^2</f>
        <v>0.36</v>
      </c>
      <c r="S17" s="2">
        <f t="shared" ref="S17:T17" si="4">(S6*COUNTIF($J$1:$J$100,S$16) - COUNTIFS($J$1:$J$100,S$16,$K$1:$K$100,"=1"))^2</f>
        <v>2.8899999999999975</v>
      </c>
      <c r="T17" s="2">
        <f t="shared" si="4"/>
        <v>2.8899999999999975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9.0000000000000024E-2</v>
      </c>
    </row>
    <row r="18" spans="1:22" ht="14.25" customHeight="1">
      <c r="A18" s="2">
        <v>25</v>
      </c>
      <c r="B18" s="2">
        <v>17</v>
      </c>
      <c r="C18" s="2">
        <v>3</v>
      </c>
      <c r="D18" s="2">
        <v>1</v>
      </c>
      <c r="E18" s="2">
        <v>1.8460000000000001</v>
      </c>
      <c r="F18" s="2">
        <v>2</v>
      </c>
      <c r="H18" s="2">
        <v>25</v>
      </c>
      <c r="I18" s="2">
        <v>268</v>
      </c>
      <c r="J18" s="2">
        <v>6</v>
      </c>
      <c r="K18" s="2">
        <v>1</v>
      </c>
      <c r="L18" s="2">
        <v>0.85799999999999998</v>
      </c>
      <c r="M18" s="2">
        <v>1</v>
      </c>
      <c r="N18" s="2">
        <v>2</v>
      </c>
      <c r="O18" s="2">
        <f t="shared" si="0"/>
        <v>7.2899999999999965</v>
      </c>
      <c r="P18" s="2">
        <f t="shared" si="1"/>
        <v>7.2899999999999965</v>
      </c>
      <c r="Q18" s="2">
        <f t="shared" si="2"/>
        <v>7.2900000000000009</v>
      </c>
      <c r="R18" s="2">
        <f t="shared" si="3"/>
        <v>0.36</v>
      </c>
      <c r="S18" s="2">
        <f t="shared" ref="S18:T18" si="6">(S7*COUNTIF($J$1:$J$100,S$16) - COUNTIFS($J$1:$J$100,S$16,$K$1:$K$100,"=1"))^2</f>
        <v>2.8899999999999975</v>
      </c>
      <c r="T18" s="2">
        <f t="shared" si="6"/>
        <v>2.8899999999999975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9.0000000000000024E-2</v>
      </c>
    </row>
    <row r="19" spans="1:22" ht="14.25" customHeight="1">
      <c r="A19" s="2">
        <v>25</v>
      </c>
      <c r="B19" s="2">
        <v>18</v>
      </c>
      <c r="C19" s="2">
        <v>8</v>
      </c>
      <c r="D19" s="2">
        <v>1</v>
      </c>
      <c r="E19" s="2">
        <v>1.5660000000000001</v>
      </c>
      <c r="F19" s="2">
        <v>1</v>
      </c>
      <c r="H19" s="2">
        <v>25</v>
      </c>
      <c r="I19" s="2">
        <v>269</v>
      </c>
      <c r="J19" s="2">
        <v>5</v>
      </c>
      <c r="K19" s="2">
        <v>1</v>
      </c>
      <c r="L19" s="2">
        <v>1.1930000000000001</v>
      </c>
      <c r="M19" s="2">
        <v>2</v>
      </c>
      <c r="N19" s="2">
        <v>3</v>
      </c>
      <c r="O19" s="2">
        <f t="shared" si="0"/>
        <v>7.2899999999999965</v>
      </c>
      <c r="P19" s="2">
        <f t="shared" si="1"/>
        <v>7.2900000000000009</v>
      </c>
      <c r="Q19" s="2">
        <f t="shared" si="2"/>
        <v>7.2899999999999965</v>
      </c>
      <c r="R19" s="2">
        <f t="shared" si="3"/>
        <v>0.36</v>
      </c>
      <c r="S19" s="2">
        <f t="shared" ref="S19:T19" si="8">(S8*COUNTIF($J$1:$J$100,S$16) - COUNTIFS($J$1:$J$100,S$16,$K$1:$K$100,"=1"))^2</f>
        <v>2.8899999999999975</v>
      </c>
      <c r="T19" s="2">
        <f t="shared" si="8"/>
        <v>13.690000000000001</v>
      </c>
      <c r="U19" s="2">
        <f t="shared" ref="U19:V19" si="9">(U8*COUNTIF($J$1:$J$100,U$16) - COUNTIFS($J$1:$J$100,U$16,$K$1:$K$100,"=0"))^2</f>
        <v>32.489999999999995</v>
      </c>
      <c r="V19" s="2">
        <f t="shared" si="9"/>
        <v>9.0000000000000024E-2</v>
      </c>
    </row>
    <row r="20" spans="1:22" ht="14.25" customHeight="1">
      <c r="A20" s="2">
        <v>25</v>
      </c>
      <c r="B20" s="2">
        <v>19</v>
      </c>
      <c r="C20" s="2">
        <v>5</v>
      </c>
      <c r="D20" s="2">
        <v>1</v>
      </c>
      <c r="E20" s="2">
        <v>1.139</v>
      </c>
      <c r="F20" s="2">
        <v>2</v>
      </c>
      <c r="H20" s="2">
        <v>25</v>
      </c>
      <c r="I20" s="2">
        <v>270</v>
      </c>
      <c r="J20" s="2">
        <v>2</v>
      </c>
      <c r="K20" s="2">
        <v>1</v>
      </c>
      <c r="L20" s="2">
        <v>0.70799999999999996</v>
      </c>
      <c r="M20" s="2">
        <v>1</v>
      </c>
      <c r="N20" s="2">
        <v>4</v>
      </c>
      <c r="O20" s="2">
        <f t="shared" si="0"/>
        <v>0</v>
      </c>
      <c r="P20" s="2">
        <f t="shared" si="1"/>
        <v>0</v>
      </c>
      <c r="Q20" s="2">
        <f t="shared" si="2"/>
        <v>0</v>
      </c>
      <c r="R20" s="2">
        <f t="shared" si="3"/>
        <v>9</v>
      </c>
      <c r="S20" s="2">
        <f t="shared" ref="S20:T20" si="10">(S9*COUNTIF($J$1:$J$100,S$16) - COUNTIFS($J$1:$J$100,S$16,$K$1:$K$100,"=1"))^2</f>
        <v>2.8899999999999975</v>
      </c>
      <c r="T20" s="2">
        <f t="shared" si="10"/>
        <v>2.8899999999999975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9.0000000000000024E-2</v>
      </c>
    </row>
    <row r="21" spans="1:22" ht="14.25" customHeight="1">
      <c r="A21" s="2">
        <v>25</v>
      </c>
      <c r="B21" s="2">
        <v>20</v>
      </c>
      <c r="C21" s="2">
        <v>2</v>
      </c>
      <c r="D21" s="2">
        <v>0</v>
      </c>
      <c r="E21" s="2">
        <v>1.736</v>
      </c>
      <c r="F21" s="2">
        <v>2</v>
      </c>
      <c r="H21" s="2">
        <v>25</v>
      </c>
      <c r="I21" s="2">
        <v>271</v>
      </c>
      <c r="J21" s="2">
        <v>5</v>
      </c>
      <c r="K21" s="2">
        <v>1</v>
      </c>
      <c r="L21" s="2">
        <v>0.64100000000000001</v>
      </c>
      <c r="M21" s="2">
        <v>1</v>
      </c>
      <c r="N21" s="2">
        <v>5</v>
      </c>
      <c r="O21" s="2">
        <f t="shared" si="0"/>
        <v>7.2899999999999965</v>
      </c>
      <c r="P21" s="2">
        <f t="shared" si="1"/>
        <v>7.2900000000000009</v>
      </c>
      <c r="Q21" s="2">
        <f t="shared" si="2"/>
        <v>7.2899999999999965</v>
      </c>
      <c r="R21" s="2">
        <f t="shared" si="3"/>
        <v>0.36</v>
      </c>
      <c r="S21" s="2">
        <f t="shared" ref="S21:T21" si="12">(S10*COUNTIF($J$1:$J$100,S$16) - COUNTIFS($J$1:$J$100,S$16,$K$1:$K$100,"=1"))^2</f>
        <v>1</v>
      </c>
      <c r="T21" s="2">
        <f t="shared" si="12"/>
        <v>1</v>
      </c>
      <c r="U21" s="2">
        <f t="shared" ref="U21:V21" si="13">(U10*COUNTIF($J$1:$J$100,U$16) - COUNTIFS($J$1:$J$100,U$16,$K$1:$K$100,"=0"))^2</f>
        <v>9</v>
      </c>
      <c r="V21" s="2">
        <f t="shared" si="13"/>
        <v>9</v>
      </c>
    </row>
    <row r="22" spans="1:22" ht="14.25" customHeight="1">
      <c r="A22" s="2">
        <v>25</v>
      </c>
      <c r="B22" s="2">
        <v>21</v>
      </c>
      <c r="C22" s="2">
        <v>4</v>
      </c>
      <c r="E22" s="2">
        <v>2.0009999999999999</v>
      </c>
      <c r="H22" s="2">
        <v>25</v>
      </c>
      <c r="I22" s="2">
        <v>272</v>
      </c>
      <c r="J22" s="2">
        <v>2</v>
      </c>
      <c r="K22" s="2">
        <v>0</v>
      </c>
      <c r="L22" s="2">
        <v>0.77</v>
      </c>
      <c r="M22" s="2">
        <v>2</v>
      </c>
      <c r="N22" s="2">
        <v>6</v>
      </c>
      <c r="O22" s="2">
        <f t="shared" si="0"/>
        <v>0</v>
      </c>
      <c r="P22" s="2">
        <f t="shared" si="1"/>
        <v>0</v>
      </c>
      <c r="Q22" s="2">
        <f t="shared" si="2"/>
        <v>0</v>
      </c>
      <c r="R22" s="2">
        <f t="shared" si="3"/>
        <v>9</v>
      </c>
      <c r="S22" s="2">
        <f t="shared" ref="S22:T22" si="14">(S11*COUNTIF($J$1:$J$100,S$16) - COUNTIFS($J$1:$J$100,S$16,$K$1:$K$100,"=1"))^2</f>
        <v>1</v>
      </c>
      <c r="T22" s="2">
        <f t="shared" si="14"/>
        <v>1</v>
      </c>
      <c r="U22" s="2">
        <f t="shared" ref="U22:V22" si="15">(U11*COUNTIF($J$1:$J$100,U$16) - COUNTIFS($J$1:$J$100,U$16,$K$1:$K$100,"=0"))^2</f>
        <v>9</v>
      </c>
      <c r="V22" s="2">
        <f t="shared" si="15"/>
        <v>9</v>
      </c>
    </row>
    <row r="23" spans="1:22" ht="14.25" customHeight="1">
      <c r="A23" s="2">
        <v>25</v>
      </c>
      <c r="B23" s="2">
        <v>22</v>
      </c>
      <c r="C23" s="2">
        <v>7</v>
      </c>
      <c r="D23" s="2">
        <v>1</v>
      </c>
      <c r="E23" s="2">
        <v>1.4390000000000001</v>
      </c>
      <c r="F23" s="2">
        <v>1</v>
      </c>
      <c r="H23" s="2">
        <v>25</v>
      </c>
      <c r="I23" s="2">
        <v>273</v>
      </c>
      <c r="J23" s="2">
        <v>6</v>
      </c>
      <c r="K23" s="2">
        <v>1</v>
      </c>
      <c r="L23" s="2">
        <v>0.57299999999999995</v>
      </c>
      <c r="M23" s="2">
        <v>1</v>
      </c>
    </row>
    <row r="24" spans="1:22" ht="14.25" customHeight="1">
      <c r="A24" s="2">
        <v>25</v>
      </c>
      <c r="B24" s="2">
        <v>23</v>
      </c>
      <c r="C24" s="2">
        <v>4</v>
      </c>
      <c r="D24" s="2">
        <v>0</v>
      </c>
      <c r="E24" s="2">
        <v>0.98199999999999998</v>
      </c>
      <c r="F24" s="2">
        <v>2</v>
      </c>
      <c r="H24" s="2">
        <v>25</v>
      </c>
      <c r="I24" s="2">
        <v>274</v>
      </c>
      <c r="J24" s="2">
        <v>4</v>
      </c>
      <c r="L24" s="2">
        <v>2</v>
      </c>
    </row>
    <row r="25" spans="1:22" ht="14.25" customHeight="1">
      <c r="A25" s="2">
        <v>25</v>
      </c>
      <c r="B25" s="2">
        <v>24</v>
      </c>
      <c r="C25" s="2">
        <v>2</v>
      </c>
      <c r="E25" s="2">
        <v>2.0009999999999999</v>
      </c>
      <c r="H25" s="2">
        <v>25</v>
      </c>
      <c r="I25" s="2">
        <v>275</v>
      </c>
      <c r="J25" s="2">
        <v>6</v>
      </c>
      <c r="K25" s="2">
        <v>0</v>
      </c>
      <c r="L25" s="2">
        <v>0.60899999999999999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25</v>
      </c>
      <c r="B26" s="2">
        <v>25</v>
      </c>
      <c r="C26" s="2">
        <v>5</v>
      </c>
      <c r="D26" s="2">
        <v>1</v>
      </c>
      <c r="E26" s="2">
        <v>1.1080000000000001</v>
      </c>
      <c r="F26" s="2">
        <v>2</v>
      </c>
      <c r="H26" s="2">
        <v>25</v>
      </c>
      <c r="I26" s="2">
        <v>276</v>
      </c>
      <c r="J26" s="2">
        <v>8</v>
      </c>
      <c r="K26" s="2">
        <v>1</v>
      </c>
      <c r="L26" s="2">
        <v>1.212</v>
      </c>
      <c r="M26" s="2">
        <v>1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36</v>
      </c>
      <c r="R26" s="2">
        <f t="shared" si="16"/>
        <v>64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25</v>
      </c>
      <c r="B27" s="2">
        <v>26</v>
      </c>
      <c r="C27" s="2">
        <v>8</v>
      </c>
      <c r="D27" s="2">
        <v>1</v>
      </c>
      <c r="E27" s="2">
        <v>1.2589999999999999</v>
      </c>
      <c r="F27" s="2">
        <v>1</v>
      </c>
      <c r="H27" s="2">
        <v>25</v>
      </c>
      <c r="I27" s="2">
        <v>277</v>
      </c>
      <c r="J27" s="2">
        <v>2</v>
      </c>
      <c r="K27" s="2">
        <v>0</v>
      </c>
      <c r="L27" s="2">
        <v>1.262</v>
      </c>
      <c r="M27" s="2">
        <v>2</v>
      </c>
    </row>
    <row r="28" spans="1:22" ht="14.25" customHeight="1">
      <c r="A28" s="2">
        <v>25</v>
      </c>
      <c r="B28" s="2">
        <v>27</v>
      </c>
      <c r="C28" s="2">
        <v>2</v>
      </c>
      <c r="D28" s="2">
        <v>0</v>
      </c>
      <c r="E28" s="2">
        <v>0.94699999999999995</v>
      </c>
      <c r="F28" s="2">
        <v>2</v>
      </c>
      <c r="H28" s="2">
        <v>25</v>
      </c>
      <c r="I28" s="2">
        <v>278</v>
      </c>
      <c r="J28" s="2">
        <v>7</v>
      </c>
      <c r="K28" s="2">
        <v>1</v>
      </c>
      <c r="L28" s="2">
        <v>0.73399999999999999</v>
      </c>
      <c r="M28" s="2">
        <v>1</v>
      </c>
    </row>
    <row r="29" spans="1:22" ht="14.25" customHeight="1">
      <c r="A29" s="2">
        <v>25</v>
      </c>
      <c r="B29" s="2">
        <v>28</v>
      </c>
      <c r="C29" s="2">
        <v>4</v>
      </c>
      <c r="E29" s="2">
        <v>2.0009999999999999</v>
      </c>
      <c r="H29" s="2">
        <v>25</v>
      </c>
      <c r="I29" s="2">
        <v>279</v>
      </c>
      <c r="J29" s="2">
        <v>5</v>
      </c>
      <c r="K29" s="2">
        <v>1</v>
      </c>
      <c r="L29" s="2">
        <v>1.603</v>
      </c>
      <c r="M29" s="2">
        <v>2</v>
      </c>
    </row>
    <row r="30" spans="1:22" ht="14.25" customHeight="1">
      <c r="A30" s="2">
        <v>25</v>
      </c>
      <c r="B30" s="2">
        <v>29</v>
      </c>
      <c r="C30" s="2">
        <v>6</v>
      </c>
      <c r="D30" s="2">
        <v>1</v>
      </c>
      <c r="E30" s="2">
        <v>0.72199999999999998</v>
      </c>
      <c r="F30" s="2">
        <v>2</v>
      </c>
      <c r="H30" s="2">
        <v>25</v>
      </c>
      <c r="I30" s="2">
        <v>280</v>
      </c>
      <c r="J30" s="2">
        <v>3</v>
      </c>
      <c r="K30" s="2">
        <v>1</v>
      </c>
      <c r="L30" s="2">
        <v>1.333</v>
      </c>
      <c r="M30" s="2">
        <v>2</v>
      </c>
    </row>
    <row r="31" spans="1:22" ht="14.25" customHeight="1">
      <c r="A31" s="2">
        <v>25</v>
      </c>
      <c r="B31" s="2">
        <v>30</v>
      </c>
      <c r="C31" s="2">
        <v>5</v>
      </c>
      <c r="D31" s="2">
        <v>1</v>
      </c>
      <c r="E31" s="2">
        <v>1.0069999999999999</v>
      </c>
      <c r="F31" s="2">
        <v>2</v>
      </c>
      <c r="H31" s="2">
        <v>25</v>
      </c>
      <c r="I31" s="2">
        <v>281</v>
      </c>
      <c r="J31" s="2">
        <v>5</v>
      </c>
      <c r="K31" s="2">
        <v>1</v>
      </c>
      <c r="L31" s="2">
        <v>0.95499999999999996</v>
      </c>
      <c r="M31" s="2">
        <v>2</v>
      </c>
      <c r="N31" s="2">
        <v>1</v>
      </c>
      <c r="O31" s="2">
        <f t="shared" ref="O31:O36" si="17">SUM(O17:V17)/(SUM($O$26:$V$26))</f>
        <v>8.9208860759493636E-2</v>
      </c>
    </row>
    <row r="32" spans="1:22" ht="14.25" customHeight="1">
      <c r="A32" s="2">
        <v>25</v>
      </c>
      <c r="B32" s="2">
        <v>31</v>
      </c>
      <c r="C32" s="2">
        <v>1</v>
      </c>
      <c r="D32" s="2">
        <v>1</v>
      </c>
      <c r="E32" s="2">
        <v>0.97499999999999998</v>
      </c>
      <c r="F32" s="2">
        <v>2</v>
      </c>
      <c r="H32" s="2">
        <v>25</v>
      </c>
      <c r="I32" s="2">
        <v>282</v>
      </c>
      <c r="J32" s="2">
        <v>8</v>
      </c>
      <c r="L32" s="2">
        <v>2</v>
      </c>
      <c r="N32" s="2">
        <v>2</v>
      </c>
      <c r="O32" s="2">
        <f t="shared" si="17"/>
        <v>8.9208860759493636E-2</v>
      </c>
    </row>
    <row r="33" spans="1:20" ht="14.25" customHeight="1">
      <c r="A33" s="2">
        <v>25</v>
      </c>
      <c r="B33" s="2">
        <v>32</v>
      </c>
      <c r="C33" s="2">
        <v>7</v>
      </c>
      <c r="D33" s="2">
        <v>1</v>
      </c>
      <c r="E33" s="2">
        <v>1.331</v>
      </c>
      <c r="F33" s="2">
        <v>1</v>
      </c>
      <c r="H33" s="2">
        <v>25</v>
      </c>
      <c r="I33" s="2">
        <v>283</v>
      </c>
      <c r="J33" s="2">
        <v>2</v>
      </c>
      <c r="K33" s="2">
        <v>1</v>
      </c>
      <c r="L33" s="2">
        <v>1.2330000000000001</v>
      </c>
      <c r="M33" s="2">
        <v>2</v>
      </c>
      <c r="N33" s="2">
        <v>3</v>
      </c>
      <c r="O33" s="2">
        <f t="shared" si="17"/>
        <v>0.22591772151898729</v>
      </c>
    </row>
    <row r="34" spans="1:20" ht="14.25" customHeight="1">
      <c r="A34" s="2">
        <v>25</v>
      </c>
      <c r="B34" s="2">
        <v>33</v>
      </c>
      <c r="C34" s="2">
        <v>1</v>
      </c>
      <c r="D34" s="2">
        <v>1</v>
      </c>
      <c r="E34" s="2">
        <v>1.2949999999999999</v>
      </c>
      <c r="F34" s="2">
        <v>2</v>
      </c>
      <c r="H34" s="2">
        <v>25</v>
      </c>
      <c r="I34" s="2">
        <v>284</v>
      </c>
      <c r="J34" s="2">
        <v>5</v>
      </c>
      <c r="K34" s="2">
        <v>0</v>
      </c>
      <c r="L34" s="2">
        <v>0.47399999999999998</v>
      </c>
      <c r="M34" s="2">
        <v>1</v>
      </c>
      <c r="N34" s="2">
        <v>4</v>
      </c>
      <c r="O34" s="2">
        <f t="shared" si="17"/>
        <v>4.7341772151898713E-2</v>
      </c>
    </row>
    <row r="35" spans="1:20" ht="14.25" customHeight="1">
      <c r="A35" s="2">
        <v>25</v>
      </c>
      <c r="B35" s="2">
        <v>34</v>
      </c>
      <c r="C35" s="2">
        <v>6</v>
      </c>
      <c r="E35" s="2">
        <v>2.0009999999999999</v>
      </c>
      <c r="H35" s="2">
        <v>25</v>
      </c>
      <c r="I35" s="2">
        <v>285</v>
      </c>
      <c r="J35" s="2">
        <v>1</v>
      </c>
      <c r="K35" s="2">
        <v>0</v>
      </c>
      <c r="L35" s="2">
        <v>1.1539999999999999</v>
      </c>
      <c r="M35" s="2">
        <v>2</v>
      </c>
      <c r="N35" s="2">
        <v>5</v>
      </c>
      <c r="O35" s="2">
        <f t="shared" si="17"/>
        <v>0.13363924050632908</v>
      </c>
    </row>
    <row r="36" spans="1:20" ht="14.25" customHeight="1">
      <c r="A36" s="2">
        <v>25</v>
      </c>
      <c r="B36" s="2">
        <v>35</v>
      </c>
      <c r="C36" s="2">
        <v>4</v>
      </c>
      <c r="D36" s="2">
        <v>1</v>
      </c>
      <c r="E36" s="2">
        <v>1.571</v>
      </c>
      <c r="F36" s="2">
        <v>1</v>
      </c>
      <c r="H36" s="2">
        <v>25</v>
      </c>
      <c r="I36" s="2">
        <v>286</v>
      </c>
      <c r="J36" s="2">
        <v>4</v>
      </c>
      <c r="K36" s="2">
        <v>0</v>
      </c>
      <c r="L36" s="2">
        <v>0.54100000000000004</v>
      </c>
      <c r="M36" s="2">
        <v>1</v>
      </c>
      <c r="N36" s="2">
        <v>6</v>
      </c>
      <c r="O36" s="2">
        <f t="shared" si="17"/>
        <v>9.1772151898734181E-2</v>
      </c>
    </row>
    <row r="37" spans="1:20" ht="14.25" customHeight="1">
      <c r="A37" s="2">
        <v>25</v>
      </c>
      <c r="B37" s="2">
        <v>36</v>
      </c>
      <c r="C37" s="2">
        <v>5</v>
      </c>
      <c r="D37" s="2">
        <v>1</v>
      </c>
      <c r="E37" s="2">
        <v>1.4590000000000001</v>
      </c>
      <c r="F37" s="2">
        <v>2</v>
      </c>
      <c r="H37" s="2">
        <v>25</v>
      </c>
      <c r="I37" s="2">
        <v>287</v>
      </c>
      <c r="J37" s="2">
        <v>5</v>
      </c>
      <c r="K37" s="2">
        <v>0</v>
      </c>
      <c r="L37" s="2">
        <v>0.70599999999999996</v>
      </c>
      <c r="M37" s="2">
        <v>2</v>
      </c>
    </row>
    <row r="38" spans="1:20" ht="14.25" customHeight="1">
      <c r="A38" s="2">
        <v>25</v>
      </c>
      <c r="B38" s="2">
        <v>37</v>
      </c>
      <c r="C38" s="2">
        <v>2</v>
      </c>
      <c r="D38" s="2">
        <v>0</v>
      </c>
      <c r="E38" s="2">
        <v>1.42</v>
      </c>
      <c r="F38" s="2">
        <v>2</v>
      </c>
      <c r="H38" s="2">
        <v>25</v>
      </c>
      <c r="I38" s="2">
        <v>288</v>
      </c>
      <c r="J38" s="2">
        <v>2</v>
      </c>
      <c r="K38" s="2">
        <v>1</v>
      </c>
      <c r="L38" s="2">
        <v>1.75</v>
      </c>
      <c r="M38" s="2">
        <v>2</v>
      </c>
    </row>
    <row r="39" spans="1:20" ht="14.25" customHeight="1">
      <c r="A39" s="2">
        <v>25</v>
      </c>
      <c r="B39" s="2">
        <v>38</v>
      </c>
      <c r="C39" s="2">
        <v>3</v>
      </c>
      <c r="D39" s="2">
        <v>1</v>
      </c>
      <c r="E39" s="2">
        <v>1.4950000000000001</v>
      </c>
      <c r="F39" s="2">
        <v>2</v>
      </c>
      <c r="H39" s="2">
        <v>25</v>
      </c>
      <c r="I39" s="2">
        <v>289</v>
      </c>
      <c r="J39" s="2">
        <v>7</v>
      </c>
      <c r="K39" s="2">
        <v>1</v>
      </c>
      <c r="L39" s="2">
        <v>0.75600000000000001</v>
      </c>
      <c r="M39" s="2">
        <v>1</v>
      </c>
      <c r="O39" s="2">
        <v>6.8797468354430361E-2</v>
      </c>
      <c r="P39" s="2">
        <v>6.0886075949367062E-2</v>
      </c>
    </row>
    <row r="40" spans="1:20" ht="14.25" customHeight="1">
      <c r="A40" s="2">
        <v>25</v>
      </c>
      <c r="B40" s="2">
        <v>39</v>
      </c>
      <c r="C40" s="2">
        <v>4</v>
      </c>
      <c r="D40" s="2">
        <v>1</v>
      </c>
      <c r="E40" s="2">
        <v>1.31</v>
      </c>
      <c r="F40" s="2">
        <v>1</v>
      </c>
      <c r="H40" s="2">
        <v>25</v>
      </c>
      <c r="I40" s="2">
        <v>290</v>
      </c>
      <c r="J40" s="2">
        <v>4</v>
      </c>
      <c r="K40" s="2">
        <v>1</v>
      </c>
      <c r="L40" s="2">
        <v>0.85499999999999998</v>
      </c>
      <c r="M40" s="2">
        <v>2</v>
      </c>
      <c r="O40" s="2">
        <v>6.8797468354430361E-2</v>
      </c>
      <c r="P40" s="2">
        <v>9.5063291139240474E-2</v>
      </c>
    </row>
    <row r="41" spans="1:20" ht="14.25" customHeight="1">
      <c r="A41" s="2">
        <v>25</v>
      </c>
      <c r="B41" s="2">
        <v>40</v>
      </c>
      <c r="C41" s="2">
        <v>5</v>
      </c>
      <c r="D41" s="2">
        <v>1</v>
      </c>
      <c r="E41" s="2">
        <v>1.5069999999999999</v>
      </c>
      <c r="F41" s="2">
        <v>2</v>
      </c>
      <c r="H41" s="2">
        <v>25</v>
      </c>
      <c r="I41" s="2">
        <v>291</v>
      </c>
      <c r="J41" s="2">
        <v>7</v>
      </c>
      <c r="K41" s="2">
        <v>1</v>
      </c>
      <c r="L41" s="2">
        <v>1.68</v>
      </c>
      <c r="M41" s="2">
        <v>2</v>
      </c>
      <c r="O41" s="2">
        <v>0.1542405063291139</v>
      </c>
      <c r="P41" s="2">
        <v>0.18050632911392403</v>
      </c>
    </row>
    <row r="42" spans="1:20" ht="14.25" customHeight="1">
      <c r="A42" s="2">
        <v>25</v>
      </c>
      <c r="B42" s="2">
        <v>41</v>
      </c>
      <c r="C42" s="2">
        <v>1</v>
      </c>
      <c r="D42" s="2">
        <v>1</v>
      </c>
      <c r="E42" s="2">
        <v>1.169</v>
      </c>
      <c r="F42" s="2">
        <v>2</v>
      </c>
      <c r="H42" s="2">
        <v>25</v>
      </c>
      <c r="I42" s="2">
        <v>292</v>
      </c>
      <c r="J42" s="2">
        <v>2</v>
      </c>
      <c r="K42" s="2">
        <v>0</v>
      </c>
      <c r="L42" s="2">
        <v>0.72699999999999998</v>
      </c>
      <c r="M42" s="2">
        <v>1</v>
      </c>
      <c r="O42" s="2">
        <v>6.6803797468354423E-2</v>
      </c>
      <c r="P42" s="2">
        <v>3.3259493670886063E-2</v>
      </c>
    </row>
    <row r="43" spans="1:20" ht="14.25" customHeight="1">
      <c r="A43" s="2">
        <v>25</v>
      </c>
      <c r="B43" s="2">
        <v>42</v>
      </c>
      <c r="C43" s="2">
        <v>3</v>
      </c>
      <c r="D43" s="2">
        <v>0</v>
      </c>
      <c r="E43" s="2">
        <v>1.66</v>
      </c>
      <c r="F43" s="2">
        <v>1</v>
      </c>
      <c r="H43" s="2">
        <v>25</v>
      </c>
      <c r="I43" s="2">
        <v>293</v>
      </c>
      <c r="J43" s="2">
        <v>8</v>
      </c>
      <c r="L43" s="2">
        <v>2</v>
      </c>
      <c r="O43" s="2">
        <v>9.6139240506329104E-2</v>
      </c>
      <c r="P43" s="2">
        <v>0.11386075949367087</v>
      </c>
    </row>
    <row r="44" spans="1:20" ht="14.25" customHeight="1">
      <c r="A44" s="2">
        <v>25</v>
      </c>
      <c r="B44" s="2">
        <v>43</v>
      </c>
      <c r="C44" s="2">
        <v>2</v>
      </c>
      <c r="D44" s="2">
        <v>0</v>
      </c>
      <c r="E44" s="2">
        <v>1.9</v>
      </c>
      <c r="F44" s="2">
        <v>2</v>
      </c>
      <c r="H44" s="2">
        <v>25</v>
      </c>
      <c r="I44" s="2">
        <v>294</v>
      </c>
      <c r="J44" s="2">
        <v>3</v>
      </c>
      <c r="K44" s="2">
        <v>0</v>
      </c>
      <c r="L44" s="2">
        <v>1.1519999999999999</v>
      </c>
      <c r="M44" s="2">
        <v>2</v>
      </c>
      <c r="O44" s="2">
        <v>9.4145569620253167E-2</v>
      </c>
      <c r="P44" s="2">
        <v>8.6234177215189875E-2</v>
      </c>
    </row>
    <row r="45" spans="1:20" ht="14.25" customHeight="1">
      <c r="A45" s="2">
        <v>25</v>
      </c>
      <c r="B45" s="2">
        <v>44</v>
      </c>
      <c r="C45" s="2">
        <v>7</v>
      </c>
      <c r="D45" s="2">
        <v>1</v>
      </c>
      <c r="E45" s="2">
        <v>1.1779999999999999</v>
      </c>
      <c r="F45" s="2">
        <v>1</v>
      </c>
      <c r="H45" s="2">
        <v>25</v>
      </c>
      <c r="I45" s="2">
        <v>295</v>
      </c>
      <c r="J45" s="2">
        <v>6</v>
      </c>
      <c r="K45" s="2">
        <v>1</v>
      </c>
      <c r="L45" s="2">
        <v>0.54800000000000004</v>
      </c>
      <c r="M45" s="2">
        <v>2</v>
      </c>
    </row>
    <row r="46" spans="1:20" ht="14.25" customHeight="1">
      <c r="A46" s="2">
        <v>25</v>
      </c>
      <c r="B46" s="2">
        <v>45</v>
      </c>
      <c r="C46" s="2">
        <v>1</v>
      </c>
      <c r="D46" s="2">
        <v>1</v>
      </c>
      <c r="E46" s="2">
        <v>0.88500000000000001</v>
      </c>
      <c r="F46" s="2">
        <v>2</v>
      </c>
      <c r="H46" s="2">
        <v>25</v>
      </c>
      <c r="I46" s="2">
        <v>296</v>
      </c>
      <c r="J46" s="2">
        <v>8</v>
      </c>
      <c r="L46" s="2">
        <v>2</v>
      </c>
    </row>
    <row r="47" spans="1:20" ht="14.25" customHeight="1">
      <c r="A47" s="2">
        <v>25</v>
      </c>
      <c r="B47" s="2">
        <v>46</v>
      </c>
      <c r="C47" s="2">
        <v>8</v>
      </c>
      <c r="D47" s="2">
        <v>1</v>
      </c>
      <c r="E47" s="2">
        <v>1.62</v>
      </c>
      <c r="F47" s="2">
        <v>1</v>
      </c>
      <c r="H47" s="2">
        <v>25</v>
      </c>
      <c r="I47" s="2">
        <v>297</v>
      </c>
      <c r="J47" s="2">
        <v>1</v>
      </c>
      <c r="K47" s="2">
        <v>0</v>
      </c>
      <c r="L47" s="2">
        <v>1.482</v>
      </c>
      <c r="M47" s="2">
        <v>1</v>
      </c>
      <c r="O47" s="2">
        <v>0.12528481012658232</v>
      </c>
      <c r="P47" s="2">
        <v>6.7689873417721494E-2</v>
      </c>
      <c r="Q47" s="2">
        <v>6.958860759493668E-2</v>
      </c>
      <c r="R47" s="2">
        <v>0.14553797468354429</v>
      </c>
      <c r="S47" s="2">
        <v>4.6803797468354405E-2</v>
      </c>
      <c r="T47" s="2">
        <v>8.9208860759493636E-2</v>
      </c>
    </row>
    <row r="48" spans="1:20" ht="14.25" customHeight="1">
      <c r="A48" s="2">
        <v>25</v>
      </c>
      <c r="B48" s="2">
        <v>47</v>
      </c>
      <c r="C48" s="2">
        <v>1</v>
      </c>
      <c r="D48" s="2">
        <v>1</v>
      </c>
      <c r="E48" s="2">
        <v>0.81399999999999995</v>
      </c>
      <c r="F48" s="2">
        <v>2</v>
      </c>
      <c r="H48" s="2">
        <v>25</v>
      </c>
      <c r="I48" s="2">
        <v>298</v>
      </c>
      <c r="J48" s="2">
        <v>4</v>
      </c>
      <c r="L48" s="2">
        <v>2</v>
      </c>
      <c r="O48" s="2">
        <v>2.2753164556962018E-2</v>
      </c>
      <c r="P48" s="2">
        <v>0.17022151898734175</v>
      </c>
      <c r="Q48" s="2">
        <v>0.13794303797468352</v>
      </c>
      <c r="R48" s="2">
        <v>0.1797151898734177</v>
      </c>
      <c r="S48" s="2">
        <v>0.11515822784810127</v>
      </c>
      <c r="T48" s="2">
        <v>8.9208860759493636E-2</v>
      </c>
    </row>
    <row r="49" spans="1:20" ht="14.25" customHeight="1">
      <c r="A49" s="2">
        <v>25</v>
      </c>
      <c r="B49" s="2">
        <v>48</v>
      </c>
      <c r="C49" s="2">
        <v>7</v>
      </c>
      <c r="D49" s="2">
        <v>1</v>
      </c>
      <c r="E49" s="2">
        <v>1.137</v>
      </c>
      <c r="F49" s="2">
        <v>1</v>
      </c>
      <c r="H49" s="2">
        <v>25</v>
      </c>
      <c r="I49" s="2">
        <v>299</v>
      </c>
      <c r="J49" s="2">
        <v>6</v>
      </c>
      <c r="K49" s="2">
        <v>0</v>
      </c>
      <c r="L49" s="2">
        <v>1.6040000000000001</v>
      </c>
      <c r="M49" s="2">
        <v>1</v>
      </c>
      <c r="O49" s="2">
        <v>0.29617088607594938</v>
      </c>
      <c r="P49" s="2">
        <v>6.7689873417721494E-2</v>
      </c>
      <c r="Q49" s="2">
        <v>0.17212025316455692</v>
      </c>
      <c r="R49" s="2">
        <v>0.1797151898734177</v>
      </c>
      <c r="S49" s="2">
        <v>0.14933544303797466</v>
      </c>
      <c r="T49" s="2">
        <v>0.22591772151898729</v>
      </c>
    </row>
    <row r="50" spans="1:20" ht="14.25" customHeight="1">
      <c r="A50" s="2">
        <v>25</v>
      </c>
      <c r="B50" s="2">
        <v>49</v>
      </c>
      <c r="C50" s="2">
        <v>6</v>
      </c>
      <c r="D50" s="2">
        <v>1</v>
      </c>
      <c r="E50" s="2">
        <v>1.3240000000000001</v>
      </c>
      <c r="F50" s="2">
        <v>2</v>
      </c>
      <c r="H50" s="2">
        <v>25</v>
      </c>
      <c r="I50" s="2">
        <v>300</v>
      </c>
      <c r="J50" s="2">
        <v>1</v>
      </c>
      <c r="K50" s="2">
        <v>1</v>
      </c>
      <c r="L50" s="2">
        <v>0.86799999999999999</v>
      </c>
      <c r="M50" s="2">
        <v>2</v>
      </c>
      <c r="O50" s="2">
        <v>6.0632911392405051E-2</v>
      </c>
      <c r="P50" s="2">
        <v>0.12835443037974681</v>
      </c>
      <c r="Q50" s="2">
        <v>5.6202531645569605E-2</v>
      </c>
      <c r="R50" s="2">
        <v>0.14354430379746835</v>
      </c>
      <c r="S50" s="2">
        <v>3.3417721518987337E-2</v>
      </c>
      <c r="T50" s="2">
        <v>4.7341772151898713E-2</v>
      </c>
    </row>
    <row r="51" spans="1:20" ht="14.25" customHeight="1">
      <c r="A51" s="2">
        <v>25</v>
      </c>
      <c r="B51" s="2">
        <v>50</v>
      </c>
      <c r="C51" s="2">
        <v>3</v>
      </c>
      <c r="D51" s="2">
        <v>0</v>
      </c>
      <c r="E51" s="2">
        <v>0.77</v>
      </c>
      <c r="F51" s="2">
        <v>1</v>
      </c>
      <c r="H51" s="3"/>
      <c r="I51" s="3"/>
      <c r="J51" s="3"/>
      <c r="K51" s="4"/>
      <c r="L51" s="3"/>
      <c r="M51" s="4"/>
      <c r="O51" s="2">
        <v>0.20389240506329115</v>
      </c>
      <c r="P51" s="2">
        <v>4.3765822784810123E-2</v>
      </c>
      <c r="Q51" s="2">
        <v>7.9841772151898721E-2</v>
      </c>
      <c r="R51" s="2">
        <v>8.7436708860759479E-2</v>
      </c>
      <c r="S51" s="2">
        <v>0.10832278481012657</v>
      </c>
      <c r="T51" s="2">
        <v>0.13363924050632908</v>
      </c>
    </row>
    <row r="52" spans="1:20" ht="14.25" customHeight="1">
      <c r="A52" s="2">
        <v>25</v>
      </c>
      <c r="B52" s="2">
        <v>51</v>
      </c>
      <c r="C52" s="2">
        <v>8</v>
      </c>
      <c r="D52" s="2">
        <v>1</v>
      </c>
      <c r="E52" s="2">
        <v>1.2749999999999999</v>
      </c>
      <c r="F52" s="2">
        <v>1</v>
      </c>
      <c r="H52" s="3"/>
      <c r="I52" s="3"/>
      <c r="J52" s="3"/>
      <c r="K52" s="4"/>
      <c r="L52" s="3"/>
      <c r="M52" s="4"/>
      <c r="O52" s="2">
        <v>0.13924050632911392</v>
      </c>
      <c r="P52" s="2">
        <v>0.10443037974683544</v>
      </c>
      <c r="Q52" s="2">
        <v>6.6455696202531639E-2</v>
      </c>
      <c r="R52" s="2">
        <v>8.5443037974683542E-2</v>
      </c>
      <c r="S52" s="2">
        <v>9.49367088607595E-2</v>
      </c>
      <c r="T52" s="2">
        <v>9.1772151898734181E-2</v>
      </c>
    </row>
    <row r="53" spans="1:20" ht="14.25" customHeight="1">
      <c r="A53" s="2">
        <v>25</v>
      </c>
      <c r="B53" s="2">
        <v>52</v>
      </c>
      <c r="C53" s="2">
        <v>7</v>
      </c>
      <c r="D53" s="2">
        <v>1</v>
      </c>
      <c r="E53" s="2">
        <v>1.722</v>
      </c>
      <c r="F53" s="2">
        <v>1</v>
      </c>
      <c r="H53" s="3"/>
      <c r="I53" s="3"/>
      <c r="J53" s="3"/>
      <c r="K53" s="3"/>
      <c r="L53" s="3"/>
      <c r="M53" s="3"/>
    </row>
    <row r="54" spans="1:20" ht="14.25" customHeight="1">
      <c r="A54" s="2">
        <v>25</v>
      </c>
      <c r="B54" s="2">
        <v>53</v>
      </c>
      <c r="C54" s="2">
        <v>8</v>
      </c>
      <c r="D54" s="2">
        <v>1</v>
      </c>
      <c r="E54" s="2">
        <v>1.0960000000000001</v>
      </c>
      <c r="F54" s="2">
        <v>2</v>
      </c>
      <c r="H54" s="3"/>
      <c r="I54" s="3"/>
      <c r="J54" s="3"/>
      <c r="K54" s="3"/>
      <c r="L54" s="3"/>
      <c r="M54" s="3"/>
    </row>
    <row r="55" spans="1:20" ht="14.25" customHeight="1">
      <c r="A55" s="2">
        <v>25</v>
      </c>
      <c r="B55" s="2">
        <v>54</v>
      </c>
      <c r="C55" s="2">
        <v>5</v>
      </c>
      <c r="E55" s="2">
        <v>2</v>
      </c>
      <c r="H55" s="3"/>
      <c r="I55" s="3"/>
      <c r="J55" s="3"/>
      <c r="K55" s="3"/>
      <c r="L55" s="3"/>
      <c r="M55" s="3"/>
    </row>
    <row r="56" spans="1:20" ht="14.25" customHeight="1">
      <c r="A56" s="2">
        <v>25</v>
      </c>
      <c r="B56" s="2">
        <v>55</v>
      </c>
      <c r="C56" s="2">
        <v>3</v>
      </c>
      <c r="D56" s="2">
        <v>1</v>
      </c>
      <c r="E56" s="2">
        <v>1.7609999999999999</v>
      </c>
      <c r="F56" s="2">
        <v>2</v>
      </c>
      <c r="H56" s="3"/>
      <c r="I56" s="3"/>
      <c r="J56" s="3"/>
      <c r="K56" s="3"/>
      <c r="L56" s="3"/>
      <c r="M56" s="3"/>
    </row>
    <row r="57" spans="1:20" ht="14.25" customHeight="1">
      <c r="A57" s="2">
        <v>25</v>
      </c>
      <c r="B57" s="2">
        <v>56</v>
      </c>
      <c r="C57" s="2">
        <v>7</v>
      </c>
      <c r="D57" s="2">
        <v>0</v>
      </c>
      <c r="E57" s="2">
        <v>1.554</v>
      </c>
      <c r="F57" s="2">
        <v>2</v>
      </c>
      <c r="H57" s="3"/>
      <c r="I57" s="3"/>
      <c r="J57" s="3"/>
      <c r="K57" s="3"/>
      <c r="L57" s="3"/>
      <c r="M57" s="3"/>
    </row>
    <row r="58" spans="1:20" ht="14.25" customHeight="1">
      <c r="A58" s="2">
        <v>25</v>
      </c>
      <c r="B58" s="2">
        <v>57</v>
      </c>
      <c r="C58" s="2">
        <v>3</v>
      </c>
      <c r="E58" s="2">
        <v>2</v>
      </c>
      <c r="H58" s="3"/>
      <c r="I58" s="3"/>
      <c r="J58" s="3"/>
      <c r="K58" s="3"/>
      <c r="L58" s="3"/>
      <c r="M58" s="3"/>
    </row>
    <row r="59" spans="1:20" ht="14.25" customHeight="1">
      <c r="A59" s="2">
        <v>25</v>
      </c>
      <c r="B59" s="2">
        <v>58</v>
      </c>
      <c r="C59" s="2">
        <v>4</v>
      </c>
      <c r="D59" s="2">
        <v>1</v>
      </c>
      <c r="E59" s="2">
        <v>0.93899999999999995</v>
      </c>
      <c r="F59" s="2">
        <v>1</v>
      </c>
      <c r="H59" s="3"/>
      <c r="I59" s="3"/>
      <c r="J59" s="3"/>
      <c r="K59" s="3"/>
      <c r="L59" s="3"/>
      <c r="M59" s="3"/>
    </row>
    <row r="60" spans="1:20" ht="14.25" customHeight="1">
      <c r="A60" s="2">
        <v>25</v>
      </c>
      <c r="B60" s="2">
        <v>59</v>
      </c>
      <c r="C60" s="2">
        <v>8</v>
      </c>
      <c r="D60" s="2">
        <v>1</v>
      </c>
      <c r="E60" s="2">
        <v>1.2070000000000001</v>
      </c>
      <c r="F60" s="2">
        <v>1</v>
      </c>
      <c r="H60" s="3"/>
      <c r="I60" s="3"/>
      <c r="J60" s="3"/>
      <c r="K60" s="3"/>
      <c r="L60" s="3"/>
      <c r="M60" s="3"/>
    </row>
    <row r="61" spans="1:20" ht="14.25" customHeight="1">
      <c r="A61" s="2">
        <v>25</v>
      </c>
      <c r="B61" s="2">
        <v>60</v>
      </c>
      <c r="C61" s="2">
        <v>1</v>
      </c>
      <c r="D61" s="2">
        <v>1</v>
      </c>
      <c r="E61" s="2">
        <v>0.80700000000000005</v>
      </c>
      <c r="F61" s="2">
        <v>2</v>
      </c>
      <c r="H61" s="3"/>
      <c r="I61" s="3"/>
      <c r="J61" s="3"/>
      <c r="K61" s="3"/>
      <c r="L61" s="3"/>
      <c r="M61" s="3"/>
    </row>
    <row r="62" spans="1:20" ht="14.25" customHeight="1">
      <c r="A62" s="2">
        <v>25</v>
      </c>
      <c r="B62" s="2">
        <v>61</v>
      </c>
      <c r="C62" s="2">
        <v>4</v>
      </c>
      <c r="E62" s="2">
        <v>2</v>
      </c>
      <c r="H62" s="3"/>
      <c r="I62" s="3"/>
      <c r="J62" s="3"/>
      <c r="K62" s="3"/>
      <c r="L62" s="3"/>
      <c r="M62" s="3"/>
    </row>
    <row r="63" spans="1:20" ht="14.25" customHeight="1">
      <c r="A63" s="2">
        <v>25</v>
      </c>
      <c r="B63" s="2">
        <v>62</v>
      </c>
      <c r="C63" s="2">
        <v>7</v>
      </c>
      <c r="D63" s="2">
        <v>0</v>
      </c>
      <c r="E63" s="2">
        <v>0.63500000000000001</v>
      </c>
      <c r="F63" s="2">
        <v>2</v>
      </c>
      <c r="H63" s="3"/>
      <c r="I63" s="3"/>
      <c r="J63" s="3"/>
      <c r="K63" s="3"/>
      <c r="L63" s="3"/>
      <c r="M63" s="3"/>
    </row>
    <row r="64" spans="1:20" ht="14.25" customHeight="1">
      <c r="A64" s="2">
        <v>25</v>
      </c>
      <c r="B64" s="2">
        <v>63</v>
      </c>
      <c r="C64" s="2">
        <v>6</v>
      </c>
      <c r="D64" s="2">
        <v>1</v>
      </c>
      <c r="E64" s="2">
        <v>1.931</v>
      </c>
      <c r="F64" s="2">
        <v>2</v>
      </c>
      <c r="H64" s="3"/>
      <c r="I64" s="3"/>
      <c r="J64" s="3"/>
      <c r="K64" s="3"/>
      <c r="L64" s="3"/>
      <c r="M64" s="3"/>
    </row>
    <row r="65" spans="1:13" ht="14.25" customHeight="1">
      <c r="A65" s="2">
        <v>25</v>
      </c>
      <c r="B65" s="2">
        <v>64</v>
      </c>
      <c r="C65" s="2">
        <v>1</v>
      </c>
      <c r="D65" s="2">
        <v>1</v>
      </c>
      <c r="E65" s="2">
        <v>1.2809999999999999</v>
      </c>
      <c r="F65" s="2">
        <v>1</v>
      </c>
      <c r="H65" s="3"/>
      <c r="I65" s="3"/>
      <c r="J65" s="3"/>
      <c r="K65" s="3"/>
      <c r="L65" s="3"/>
      <c r="M65" s="3"/>
    </row>
    <row r="66" spans="1:13" ht="14.25" customHeight="1">
      <c r="A66" s="2">
        <v>25</v>
      </c>
      <c r="B66" s="2">
        <v>65</v>
      </c>
      <c r="C66" s="2">
        <v>2</v>
      </c>
      <c r="D66" s="2">
        <v>1</v>
      </c>
      <c r="E66" s="2">
        <v>0.72599999999999998</v>
      </c>
      <c r="F66" s="2">
        <v>2</v>
      </c>
      <c r="H66" s="3"/>
      <c r="I66" s="3"/>
      <c r="J66" s="3"/>
      <c r="K66" s="3"/>
      <c r="L66" s="3"/>
      <c r="M66" s="3"/>
    </row>
    <row r="67" spans="1:13" ht="14.25" customHeight="1">
      <c r="A67" s="2">
        <v>25</v>
      </c>
      <c r="B67" s="2">
        <v>66</v>
      </c>
      <c r="C67" s="2">
        <v>5</v>
      </c>
      <c r="D67" s="2">
        <v>1</v>
      </c>
      <c r="E67" s="2">
        <v>1.1890000000000001</v>
      </c>
      <c r="F67" s="2">
        <v>1</v>
      </c>
      <c r="H67" s="3"/>
      <c r="I67" s="3"/>
      <c r="J67" s="3"/>
      <c r="K67" s="3"/>
      <c r="L67" s="3"/>
      <c r="M67" s="3"/>
    </row>
    <row r="68" spans="1:13" ht="14.25" customHeight="1">
      <c r="A68" s="2">
        <v>25</v>
      </c>
      <c r="B68" s="2">
        <v>67</v>
      </c>
      <c r="C68" s="2">
        <v>6</v>
      </c>
      <c r="D68" s="2">
        <v>1</v>
      </c>
      <c r="E68" s="2">
        <v>1.8240000000000001</v>
      </c>
      <c r="F68" s="2">
        <v>2</v>
      </c>
      <c r="H68" s="3"/>
      <c r="I68" s="3"/>
      <c r="J68" s="3"/>
      <c r="K68" s="3"/>
      <c r="L68" s="3"/>
      <c r="M68" s="3"/>
    </row>
    <row r="69" spans="1:13" ht="14.25" customHeight="1">
      <c r="A69" s="2">
        <v>25</v>
      </c>
      <c r="B69" s="2">
        <v>68</v>
      </c>
      <c r="C69" s="2">
        <v>5</v>
      </c>
      <c r="D69" s="2">
        <v>1</v>
      </c>
      <c r="E69" s="2">
        <v>1.4950000000000001</v>
      </c>
      <c r="F69" s="2">
        <v>1</v>
      </c>
      <c r="H69" s="3"/>
      <c r="I69" s="3"/>
      <c r="J69" s="3"/>
      <c r="K69" s="3"/>
      <c r="L69" s="3"/>
      <c r="M69" s="3"/>
    </row>
    <row r="70" spans="1:13" ht="14.25" customHeight="1">
      <c r="A70" s="2">
        <v>25</v>
      </c>
      <c r="B70" s="2">
        <v>69</v>
      </c>
      <c r="C70" s="2">
        <v>1</v>
      </c>
      <c r="D70" s="2">
        <v>1</v>
      </c>
      <c r="E70" s="2">
        <v>0.72599999999999998</v>
      </c>
      <c r="F70" s="2">
        <v>2</v>
      </c>
      <c r="H70" s="3"/>
      <c r="I70" s="3"/>
      <c r="J70" s="3"/>
      <c r="K70" s="3"/>
      <c r="L70" s="3"/>
      <c r="M70" s="3"/>
    </row>
    <row r="71" spans="1:13" ht="14.25" customHeight="1">
      <c r="A71" s="2">
        <v>25</v>
      </c>
      <c r="B71" s="2">
        <v>70</v>
      </c>
      <c r="C71" s="2">
        <v>2</v>
      </c>
      <c r="D71" s="2">
        <v>0</v>
      </c>
      <c r="E71" s="2">
        <v>1.044</v>
      </c>
      <c r="F71" s="2">
        <v>2</v>
      </c>
      <c r="H71" s="3"/>
      <c r="I71" s="3"/>
      <c r="J71" s="3"/>
      <c r="K71" s="3"/>
      <c r="L71" s="3"/>
      <c r="M71" s="3"/>
    </row>
    <row r="72" spans="1:13" ht="14.25" customHeight="1">
      <c r="A72" s="2">
        <v>25</v>
      </c>
      <c r="B72" s="2">
        <v>71</v>
      </c>
      <c r="C72" s="2">
        <v>4</v>
      </c>
      <c r="D72" s="2">
        <v>1</v>
      </c>
      <c r="E72" s="2">
        <v>1.4450000000000001</v>
      </c>
      <c r="F72" s="2">
        <v>1</v>
      </c>
      <c r="H72" s="3"/>
      <c r="I72" s="3"/>
      <c r="J72" s="3"/>
      <c r="K72" s="3"/>
      <c r="L72" s="3"/>
      <c r="M72" s="3"/>
    </row>
    <row r="73" spans="1:13" ht="14.25" customHeight="1">
      <c r="A73" s="2">
        <v>25</v>
      </c>
      <c r="B73" s="2">
        <v>72</v>
      </c>
      <c r="C73" s="2">
        <v>7</v>
      </c>
      <c r="D73" s="2">
        <v>1</v>
      </c>
      <c r="E73" s="2">
        <v>0.76600000000000001</v>
      </c>
      <c r="F73" s="2">
        <v>1</v>
      </c>
      <c r="H73" s="3"/>
      <c r="I73" s="3"/>
      <c r="J73" s="3"/>
      <c r="K73" s="3"/>
      <c r="L73" s="3"/>
      <c r="M73" s="3"/>
    </row>
    <row r="74" spans="1:13" ht="14.25" customHeight="1">
      <c r="A74" s="2">
        <v>25</v>
      </c>
      <c r="B74" s="2">
        <v>73</v>
      </c>
      <c r="C74" s="2">
        <v>4</v>
      </c>
      <c r="D74" s="2">
        <v>1</v>
      </c>
      <c r="E74" s="2">
        <v>0.81699999999999995</v>
      </c>
      <c r="F74" s="2">
        <v>1</v>
      </c>
      <c r="H74" s="3"/>
      <c r="I74" s="3"/>
      <c r="J74" s="3"/>
      <c r="K74" s="4"/>
      <c r="L74" s="3"/>
      <c r="M74" s="4"/>
    </row>
    <row r="75" spans="1:13" ht="14.25" customHeight="1">
      <c r="A75" s="2">
        <v>25</v>
      </c>
      <c r="B75" s="2">
        <v>74</v>
      </c>
      <c r="C75" s="2">
        <v>6</v>
      </c>
      <c r="D75" s="2">
        <v>0</v>
      </c>
      <c r="E75" s="2">
        <v>0.85</v>
      </c>
      <c r="F75" s="2">
        <v>2</v>
      </c>
      <c r="H75" s="3"/>
      <c r="I75" s="3"/>
      <c r="J75" s="3"/>
      <c r="K75" s="3"/>
      <c r="L75" s="3"/>
      <c r="M75" s="3"/>
    </row>
    <row r="76" spans="1:13" ht="14.25" customHeight="1">
      <c r="A76" s="2">
        <v>25</v>
      </c>
      <c r="B76" s="2">
        <v>75</v>
      </c>
      <c r="C76" s="2">
        <v>5</v>
      </c>
      <c r="D76" s="2">
        <v>1</v>
      </c>
      <c r="E76" s="2">
        <v>1.0129999999999999</v>
      </c>
      <c r="F76" s="2">
        <v>2</v>
      </c>
      <c r="H76" s="3"/>
      <c r="I76" s="3"/>
      <c r="J76" s="3"/>
      <c r="K76" s="3"/>
      <c r="L76" s="3"/>
      <c r="M76" s="3"/>
    </row>
    <row r="77" spans="1:13" ht="14.25" customHeight="1">
      <c r="A77" s="2">
        <v>25</v>
      </c>
      <c r="B77" s="2">
        <v>76</v>
      </c>
      <c r="C77" s="2">
        <v>6</v>
      </c>
      <c r="D77" s="2">
        <v>0</v>
      </c>
      <c r="E77" s="2">
        <v>1.038</v>
      </c>
      <c r="F77" s="2">
        <v>2</v>
      </c>
      <c r="H77" s="3"/>
      <c r="I77" s="3"/>
      <c r="J77" s="3"/>
      <c r="K77" s="3"/>
      <c r="L77" s="3"/>
      <c r="M77" s="3"/>
    </row>
    <row r="78" spans="1:13" ht="14.25" customHeight="1">
      <c r="A78" s="2">
        <v>25</v>
      </c>
      <c r="B78" s="2">
        <v>77</v>
      </c>
      <c r="C78" s="2">
        <v>3</v>
      </c>
      <c r="D78" s="2">
        <v>0</v>
      </c>
      <c r="E78" s="2">
        <v>0.79</v>
      </c>
      <c r="F78" s="2">
        <v>2</v>
      </c>
      <c r="H78" s="3"/>
      <c r="I78" s="3"/>
      <c r="J78" s="3"/>
      <c r="K78" s="3"/>
      <c r="L78" s="3"/>
      <c r="M78" s="3"/>
    </row>
    <row r="79" spans="1:13" ht="14.25" customHeight="1">
      <c r="A79" s="2">
        <v>25</v>
      </c>
      <c r="B79" s="2">
        <v>78</v>
      </c>
      <c r="C79" s="2">
        <v>6</v>
      </c>
      <c r="D79" s="2">
        <v>1</v>
      </c>
      <c r="E79" s="2">
        <v>1.04</v>
      </c>
      <c r="F79" s="2">
        <v>1</v>
      </c>
      <c r="H79" s="3"/>
      <c r="I79" s="3"/>
      <c r="J79" s="3"/>
      <c r="K79" s="3"/>
      <c r="L79" s="3"/>
      <c r="M79" s="3"/>
    </row>
    <row r="80" spans="1:13" ht="14.25" customHeight="1">
      <c r="A80" s="2">
        <v>25</v>
      </c>
      <c r="B80" s="2">
        <v>79</v>
      </c>
      <c r="C80" s="2">
        <v>4</v>
      </c>
      <c r="D80" s="2">
        <v>1</v>
      </c>
      <c r="E80" s="2">
        <v>1.089</v>
      </c>
      <c r="F80" s="2">
        <v>2</v>
      </c>
      <c r="H80" s="3"/>
      <c r="I80" s="3"/>
      <c r="J80" s="3"/>
      <c r="K80" s="3"/>
      <c r="L80" s="3"/>
      <c r="M80" s="3"/>
    </row>
    <row r="81" spans="1:13" ht="14.25" customHeight="1">
      <c r="A81" s="2">
        <v>25</v>
      </c>
      <c r="B81" s="2">
        <v>80</v>
      </c>
      <c r="C81" s="2">
        <v>7</v>
      </c>
      <c r="D81" s="2">
        <v>1</v>
      </c>
      <c r="E81" s="2">
        <v>1.464</v>
      </c>
      <c r="F81" s="2">
        <v>2</v>
      </c>
      <c r="H81" s="3"/>
      <c r="I81" s="3"/>
      <c r="J81" s="3"/>
      <c r="K81" s="3"/>
      <c r="L81" s="3"/>
      <c r="M81" s="3"/>
    </row>
    <row r="82" spans="1:13" ht="14.25" customHeight="1">
      <c r="A82" s="2">
        <v>25</v>
      </c>
      <c r="B82" s="2">
        <v>81</v>
      </c>
      <c r="C82" s="2">
        <v>2</v>
      </c>
      <c r="D82" s="2">
        <v>1</v>
      </c>
      <c r="E82" s="2">
        <v>1.1839999999999999</v>
      </c>
      <c r="F82" s="2">
        <v>2</v>
      </c>
      <c r="H82" s="3"/>
      <c r="I82" s="3"/>
      <c r="J82" s="3"/>
      <c r="K82" s="4"/>
      <c r="L82" s="3"/>
      <c r="M82" s="4"/>
    </row>
    <row r="83" spans="1:13" ht="14.25" customHeight="1">
      <c r="A83" s="2">
        <v>25</v>
      </c>
      <c r="B83" s="2">
        <v>82</v>
      </c>
      <c r="C83" s="2">
        <v>8</v>
      </c>
      <c r="D83" s="2">
        <v>1</v>
      </c>
      <c r="E83" s="2">
        <v>0.80400000000000005</v>
      </c>
      <c r="F83" s="2">
        <v>1</v>
      </c>
      <c r="H83" s="3"/>
      <c r="I83" s="3"/>
      <c r="J83" s="3"/>
      <c r="K83" s="3"/>
      <c r="L83" s="3"/>
      <c r="M83" s="3"/>
    </row>
    <row r="84" spans="1:13" ht="14.25" customHeight="1">
      <c r="A84" s="2">
        <v>25</v>
      </c>
      <c r="B84" s="2">
        <v>83</v>
      </c>
      <c r="C84" s="2">
        <v>1</v>
      </c>
      <c r="D84" s="2">
        <v>1</v>
      </c>
      <c r="E84" s="2">
        <v>0.83</v>
      </c>
      <c r="F84" s="2">
        <v>2</v>
      </c>
      <c r="H84" s="3"/>
      <c r="I84" s="3"/>
      <c r="J84" s="3"/>
      <c r="K84" s="3"/>
      <c r="L84" s="3"/>
      <c r="M84" s="3"/>
    </row>
    <row r="85" spans="1:13" ht="14.25" customHeight="1">
      <c r="A85" s="2">
        <v>25</v>
      </c>
      <c r="B85" s="2">
        <v>84</v>
      </c>
      <c r="C85" s="2">
        <v>3</v>
      </c>
      <c r="D85" s="2">
        <v>1</v>
      </c>
      <c r="E85" s="2">
        <v>1.288</v>
      </c>
      <c r="F85" s="2">
        <v>2</v>
      </c>
      <c r="H85" s="3"/>
      <c r="I85" s="3"/>
      <c r="J85" s="3"/>
      <c r="K85" s="3"/>
      <c r="L85" s="3"/>
      <c r="M85" s="3"/>
    </row>
    <row r="86" spans="1:13" ht="14.25" customHeight="1">
      <c r="A86" s="2">
        <v>25</v>
      </c>
      <c r="B86" s="2">
        <v>85</v>
      </c>
      <c r="C86" s="2">
        <v>2</v>
      </c>
      <c r="D86" s="2">
        <v>1</v>
      </c>
      <c r="E86" s="2">
        <v>0.89500000000000002</v>
      </c>
      <c r="F86" s="2">
        <v>1</v>
      </c>
      <c r="H86" s="3"/>
      <c r="I86" s="3"/>
      <c r="J86" s="3"/>
      <c r="K86" s="3"/>
      <c r="L86" s="3"/>
      <c r="M86" s="3"/>
    </row>
    <row r="87" spans="1:13" ht="14.25" customHeight="1">
      <c r="A87" s="2">
        <v>25</v>
      </c>
      <c r="B87" s="2">
        <v>86</v>
      </c>
      <c r="C87" s="2">
        <v>1</v>
      </c>
      <c r="D87" s="2">
        <v>1</v>
      </c>
      <c r="E87" s="2">
        <v>0.878</v>
      </c>
      <c r="F87" s="2">
        <v>2</v>
      </c>
      <c r="H87" s="3"/>
      <c r="I87" s="3"/>
      <c r="J87" s="3"/>
      <c r="K87" s="3"/>
      <c r="L87" s="3"/>
      <c r="M87" s="3"/>
    </row>
    <row r="88" spans="1:13" ht="14.25" customHeight="1">
      <c r="A88" s="2">
        <v>25</v>
      </c>
      <c r="B88" s="2">
        <v>87</v>
      </c>
      <c r="C88" s="2">
        <v>4</v>
      </c>
      <c r="D88" s="2">
        <v>0</v>
      </c>
      <c r="E88" s="2">
        <v>1.427</v>
      </c>
      <c r="F88" s="2">
        <v>2</v>
      </c>
      <c r="H88" s="3"/>
      <c r="I88" s="3"/>
      <c r="J88" s="3"/>
      <c r="K88" s="3"/>
      <c r="L88" s="3"/>
      <c r="M88" s="3"/>
    </row>
    <row r="89" spans="1:13" ht="14.25" customHeight="1">
      <c r="A89" s="2">
        <v>25</v>
      </c>
      <c r="B89" s="2">
        <v>88</v>
      </c>
      <c r="C89" s="2">
        <v>7</v>
      </c>
      <c r="D89" s="2">
        <v>0</v>
      </c>
      <c r="E89" s="2">
        <v>1.022</v>
      </c>
      <c r="F89" s="2">
        <v>1</v>
      </c>
      <c r="H89" s="3"/>
      <c r="I89" s="3"/>
      <c r="J89" s="3"/>
      <c r="K89" s="3"/>
      <c r="L89" s="3"/>
      <c r="M89" s="3"/>
    </row>
    <row r="90" spans="1:13" ht="14.25" customHeight="1">
      <c r="A90" s="2">
        <v>25</v>
      </c>
      <c r="B90" s="2">
        <v>89</v>
      </c>
      <c r="C90" s="2">
        <v>5</v>
      </c>
      <c r="D90" s="2">
        <v>1</v>
      </c>
      <c r="E90" s="2">
        <v>1.3340000000000001</v>
      </c>
      <c r="F90" s="2">
        <v>1</v>
      </c>
      <c r="H90" s="3"/>
      <c r="I90" s="3"/>
      <c r="J90" s="3"/>
      <c r="K90" s="3"/>
      <c r="L90" s="3"/>
      <c r="M90" s="3"/>
    </row>
    <row r="91" spans="1:13" ht="14.25" customHeight="1">
      <c r="A91" s="2">
        <v>25</v>
      </c>
      <c r="B91" s="2">
        <v>90</v>
      </c>
      <c r="C91" s="2">
        <v>3</v>
      </c>
      <c r="D91" s="2">
        <v>1</v>
      </c>
      <c r="E91" s="2">
        <v>1.075</v>
      </c>
      <c r="F91" s="2">
        <v>2</v>
      </c>
      <c r="H91" s="3"/>
      <c r="I91" s="3"/>
      <c r="J91" s="3"/>
      <c r="K91" s="3"/>
      <c r="L91" s="3"/>
      <c r="M91" s="3"/>
    </row>
    <row r="92" spans="1:13" ht="14.25" customHeight="1">
      <c r="A92" s="2">
        <v>25</v>
      </c>
      <c r="B92" s="2">
        <v>91</v>
      </c>
      <c r="C92" s="2">
        <v>2</v>
      </c>
      <c r="D92" s="2">
        <v>1</v>
      </c>
      <c r="E92" s="2">
        <v>1.0660000000000001</v>
      </c>
      <c r="F92" s="2">
        <v>2</v>
      </c>
      <c r="H92" s="3"/>
      <c r="I92" s="3"/>
      <c r="J92" s="3"/>
      <c r="K92" s="3"/>
      <c r="L92" s="3"/>
      <c r="M92" s="3"/>
    </row>
    <row r="93" spans="1:13" ht="14.25" customHeight="1">
      <c r="A93" s="2">
        <v>25</v>
      </c>
      <c r="B93" s="2">
        <v>92</v>
      </c>
      <c r="C93" s="2">
        <v>4</v>
      </c>
      <c r="E93" s="2">
        <v>2</v>
      </c>
      <c r="H93" s="3"/>
      <c r="I93" s="3"/>
      <c r="J93" s="3"/>
      <c r="K93" s="4"/>
      <c r="L93" s="3"/>
      <c r="M93" s="4"/>
    </row>
    <row r="94" spans="1:13" ht="14.25" customHeight="1">
      <c r="A94" s="2">
        <v>25</v>
      </c>
      <c r="B94" s="2">
        <v>93</v>
      </c>
      <c r="C94" s="2">
        <v>6</v>
      </c>
      <c r="D94" s="2">
        <v>0</v>
      </c>
      <c r="E94" s="2">
        <v>0.78200000000000003</v>
      </c>
      <c r="F94" s="2">
        <v>2</v>
      </c>
      <c r="H94" s="3"/>
      <c r="I94" s="3"/>
      <c r="J94" s="3"/>
      <c r="K94" s="3"/>
      <c r="L94" s="3"/>
      <c r="M94" s="3"/>
    </row>
    <row r="95" spans="1:13" ht="14.25" customHeight="1">
      <c r="A95" s="2">
        <v>25</v>
      </c>
      <c r="B95" s="2">
        <v>94</v>
      </c>
      <c r="C95" s="2">
        <v>8</v>
      </c>
      <c r="D95" s="2">
        <v>1</v>
      </c>
      <c r="E95" s="2">
        <v>1.7290000000000001</v>
      </c>
      <c r="F95" s="2">
        <v>1</v>
      </c>
      <c r="H95" s="3"/>
      <c r="I95" s="3"/>
      <c r="J95" s="3"/>
      <c r="K95" s="3"/>
      <c r="L95" s="3"/>
      <c r="M95" s="3"/>
    </row>
    <row r="96" spans="1:13" ht="14.25" customHeight="1">
      <c r="A96" s="2">
        <v>25</v>
      </c>
      <c r="B96" s="2">
        <v>95</v>
      </c>
      <c r="C96" s="2">
        <v>2</v>
      </c>
      <c r="D96" s="2">
        <v>1</v>
      </c>
      <c r="E96" s="2">
        <v>1.6140000000000001</v>
      </c>
      <c r="F96" s="2">
        <v>2</v>
      </c>
      <c r="H96" s="3"/>
      <c r="I96" s="3"/>
      <c r="J96" s="3"/>
      <c r="K96" s="4"/>
      <c r="L96" s="3"/>
      <c r="M96" s="4"/>
    </row>
    <row r="97" spans="1:13" ht="14.25" customHeight="1">
      <c r="A97" s="2">
        <v>25</v>
      </c>
      <c r="B97" s="2">
        <v>96</v>
      </c>
      <c r="C97" s="2">
        <v>3</v>
      </c>
      <c r="D97" s="2">
        <v>1</v>
      </c>
      <c r="E97" s="2">
        <v>1.24</v>
      </c>
      <c r="F97" s="2">
        <v>1</v>
      </c>
      <c r="H97" s="3"/>
      <c r="I97" s="3"/>
      <c r="J97" s="3"/>
      <c r="K97" s="3"/>
      <c r="L97" s="3"/>
      <c r="M97" s="3"/>
    </row>
    <row r="98" spans="1:13" ht="14.25" customHeight="1">
      <c r="A98" s="2">
        <v>25</v>
      </c>
      <c r="B98" s="2">
        <v>97</v>
      </c>
      <c r="C98" s="2">
        <v>1</v>
      </c>
      <c r="D98" s="2">
        <v>1</v>
      </c>
      <c r="E98" s="2">
        <v>1.24</v>
      </c>
      <c r="F98" s="2">
        <v>2</v>
      </c>
      <c r="H98" s="3"/>
      <c r="I98" s="3"/>
      <c r="J98" s="3"/>
      <c r="K98" s="4"/>
      <c r="L98" s="3"/>
      <c r="M98" s="4"/>
    </row>
    <row r="99" spans="1:13" ht="14.25" customHeight="1">
      <c r="A99" s="2">
        <v>25</v>
      </c>
      <c r="B99" s="2">
        <v>98</v>
      </c>
      <c r="C99" s="2">
        <v>8</v>
      </c>
      <c r="D99" s="2">
        <v>1</v>
      </c>
      <c r="E99" s="2">
        <v>1.161</v>
      </c>
      <c r="F99" s="2">
        <v>1</v>
      </c>
      <c r="H99" s="3"/>
      <c r="I99" s="3"/>
      <c r="J99" s="3"/>
      <c r="K99" s="3"/>
      <c r="L99" s="3"/>
      <c r="M99" s="3"/>
    </row>
    <row r="100" spans="1:13" ht="14.25" customHeight="1">
      <c r="A100" s="2">
        <v>25</v>
      </c>
      <c r="B100" s="2">
        <v>99</v>
      </c>
      <c r="C100" s="2">
        <v>5</v>
      </c>
      <c r="D100" s="2">
        <v>0</v>
      </c>
      <c r="E100" s="2">
        <v>0.72399999999999998</v>
      </c>
      <c r="F100" s="2">
        <v>1</v>
      </c>
      <c r="H100" s="3"/>
      <c r="I100" s="3"/>
      <c r="J100" s="3"/>
      <c r="K100" s="3"/>
      <c r="L100" s="3"/>
      <c r="M100" s="3"/>
    </row>
    <row r="101" spans="1:13" ht="14.25" customHeight="1">
      <c r="A101" s="2">
        <v>25</v>
      </c>
      <c r="B101" s="2">
        <v>100</v>
      </c>
      <c r="C101" s="2">
        <v>4</v>
      </c>
      <c r="D101" s="2">
        <v>1</v>
      </c>
      <c r="E101" s="2">
        <v>1.232</v>
      </c>
      <c r="F101" s="2">
        <v>2</v>
      </c>
    </row>
    <row r="102" spans="1:13" ht="14.25" customHeight="1">
      <c r="A102" s="2">
        <v>25</v>
      </c>
      <c r="B102" s="2">
        <v>101</v>
      </c>
      <c r="C102" s="2">
        <v>8</v>
      </c>
      <c r="D102" s="2">
        <v>1</v>
      </c>
      <c r="E102" s="2">
        <v>1.367</v>
      </c>
      <c r="F102" s="2">
        <v>1</v>
      </c>
    </row>
    <row r="103" spans="1:13" ht="14.25" customHeight="1">
      <c r="A103" s="2">
        <v>25</v>
      </c>
      <c r="B103" s="2">
        <v>102</v>
      </c>
      <c r="C103" s="2">
        <v>7</v>
      </c>
      <c r="D103" s="2">
        <v>1</v>
      </c>
      <c r="E103" s="2">
        <v>1.2589999999999999</v>
      </c>
      <c r="F103" s="2">
        <v>1</v>
      </c>
    </row>
    <row r="104" spans="1:13" ht="14.25" customHeight="1">
      <c r="A104" s="2">
        <v>25</v>
      </c>
      <c r="B104" s="2">
        <v>103</v>
      </c>
      <c r="C104" s="2">
        <v>1</v>
      </c>
      <c r="D104" s="2">
        <v>1</v>
      </c>
      <c r="E104" s="2">
        <v>1.804</v>
      </c>
      <c r="F104" s="2">
        <v>2</v>
      </c>
    </row>
    <row r="105" spans="1:13" ht="14.25" customHeight="1">
      <c r="A105" s="2">
        <v>25</v>
      </c>
      <c r="B105" s="2">
        <v>104</v>
      </c>
      <c r="C105" s="2">
        <v>8</v>
      </c>
      <c r="D105" s="2">
        <v>1</v>
      </c>
      <c r="E105" s="2">
        <v>1.028</v>
      </c>
      <c r="F105" s="2">
        <v>2</v>
      </c>
    </row>
    <row r="106" spans="1:13" ht="14.25" customHeight="1">
      <c r="A106" s="2">
        <v>25</v>
      </c>
      <c r="B106" s="2">
        <v>105</v>
      </c>
      <c r="C106" s="2">
        <v>7</v>
      </c>
      <c r="D106" s="2">
        <v>1</v>
      </c>
      <c r="E106" s="2">
        <v>1.135</v>
      </c>
      <c r="F106" s="2">
        <v>2</v>
      </c>
    </row>
    <row r="107" spans="1:13" ht="14.25" customHeight="1">
      <c r="A107" s="2">
        <v>25</v>
      </c>
      <c r="B107" s="2">
        <v>106</v>
      </c>
      <c r="C107" s="2">
        <v>6</v>
      </c>
      <c r="D107" s="2">
        <v>0</v>
      </c>
      <c r="E107" s="2">
        <v>1.323</v>
      </c>
      <c r="F107" s="2">
        <v>2</v>
      </c>
    </row>
    <row r="108" spans="1:13" ht="14.25" customHeight="1">
      <c r="A108" s="2">
        <v>25</v>
      </c>
      <c r="B108" s="2">
        <v>107</v>
      </c>
      <c r="C108" s="2">
        <v>7</v>
      </c>
      <c r="D108" s="2">
        <v>1</v>
      </c>
      <c r="E108" s="2">
        <v>1.9279999999999999</v>
      </c>
      <c r="F108" s="2">
        <v>2</v>
      </c>
    </row>
    <row r="109" spans="1:13" ht="14.25" customHeight="1">
      <c r="A109" s="2">
        <v>25</v>
      </c>
      <c r="B109" s="2">
        <v>108</v>
      </c>
      <c r="C109" s="2">
        <v>2</v>
      </c>
      <c r="D109" s="2">
        <v>1</v>
      </c>
      <c r="E109" s="2">
        <v>0.54900000000000004</v>
      </c>
      <c r="F109" s="2">
        <v>1</v>
      </c>
    </row>
    <row r="110" spans="1:13" ht="14.25" customHeight="1">
      <c r="A110" s="2">
        <v>25</v>
      </c>
      <c r="B110" s="2">
        <v>109</v>
      </c>
      <c r="C110" s="2">
        <v>6</v>
      </c>
      <c r="D110" s="2">
        <v>1</v>
      </c>
      <c r="E110" s="2">
        <v>1.1519999999999999</v>
      </c>
      <c r="F110" s="2">
        <v>1</v>
      </c>
    </row>
    <row r="111" spans="1:13" ht="14.25" customHeight="1">
      <c r="A111" s="2">
        <v>25</v>
      </c>
      <c r="B111" s="2">
        <v>110</v>
      </c>
      <c r="C111" s="2">
        <v>7</v>
      </c>
      <c r="D111" s="2">
        <v>1</v>
      </c>
      <c r="E111" s="2">
        <v>1.1259999999999999</v>
      </c>
      <c r="F111" s="2">
        <v>2</v>
      </c>
    </row>
    <row r="112" spans="1:13" ht="14.25" customHeight="1">
      <c r="A112" s="2">
        <v>25</v>
      </c>
      <c r="B112" s="2">
        <v>111</v>
      </c>
      <c r="C112" s="2">
        <v>6</v>
      </c>
      <c r="D112" s="2">
        <v>1</v>
      </c>
      <c r="E112" s="2">
        <v>1.8169999999999999</v>
      </c>
      <c r="F112" s="2">
        <v>1</v>
      </c>
    </row>
    <row r="113" spans="1:6" ht="14.25" customHeight="1">
      <c r="A113" s="2">
        <v>25</v>
      </c>
      <c r="B113" s="2">
        <v>112</v>
      </c>
      <c r="C113" s="2">
        <v>5</v>
      </c>
      <c r="D113" s="2">
        <v>0</v>
      </c>
      <c r="E113" s="2">
        <v>1.0249999999999999</v>
      </c>
      <c r="F113" s="2">
        <v>2</v>
      </c>
    </row>
    <row r="114" spans="1:6" ht="14.25" customHeight="1">
      <c r="A114" s="2">
        <v>25</v>
      </c>
      <c r="B114" s="2">
        <v>113</v>
      </c>
      <c r="C114" s="2">
        <v>4</v>
      </c>
      <c r="D114" s="2">
        <v>1</v>
      </c>
      <c r="E114" s="2">
        <v>1.619</v>
      </c>
      <c r="F114" s="2">
        <v>2</v>
      </c>
    </row>
    <row r="115" spans="1:6" ht="14.25" customHeight="1">
      <c r="A115" s="2">
        <v>25</v>
      </c>
      <c r="B115" s="2">
        <v>114</v>
      </c>
      <c r="C115" s="2">
        <v>2</v>
      </c>
      <c r="D115" s="2">
        <v>1</v>
      </c>
      <c r="E115" s="2">
        <v>1.036</v>
      </c>
      <c r="F115" s="2">
        <v>1</v>
      </c>
    </row>
    <row r="116" spans="1:6" ht="14.25" customHeight="1">
      <c r="A116" s="2">
        <v>25</v>
      </c>
      <c r="B116" s="2">
        <v>115</v>
      </c>
      <c r="C116" s="2">
        <v>8</v>
      </c>
      <c r="D116" s="2">
        <v>1</v>
      </c>
      <c r="E116" s="2">
        <v>0.629</v>
      </c>
      <c r="F116" s="2">
        <v>2</v>
      </c>
    </row>
    <row r="117" spans="1:6" ht="14.25" customHeight="1">
      <c r="A117" s="2">
        <v>25</v>
      </c>
      <c r="B117" s="2">
        <v>116</v>
      </c>
      <c r="C117" s="2">
        <v>3</v>
      </c>
      <c r="D117" s="2">
        <v>1</v>
      </c>
      <c r="E117" s="2">
        <v>1.008</v>
      </c>
      <c r="F117" s="2">
        <v>1</v>
      </c>
    </row>
    <row r="118" spans="1:6" ht="14.25" customHeight="1">
      <c r="A118" s="2">
        <v>25</v>
      </c>
      <c r="B118" s="2">
        <v>117</v>
      </c>
      <c r="C118" s="2">
        <v>4</v>
      </c>
      <c r="D118" s="2">
        <v>0</v>
      </c>
      <c r="E118" s="2">
        <v>0.94399999999999995</v>
      </c>
      <c r="F118" s="2">
        <v>1</v>
      </c>
    </row>
    <row r="119" spans="1:6" ht="14.25" customHeight="1">
      <c r="A119" s="2">
        <v>25</v>
      </c>
      <c r="B119" s="2">
        <v>118</v>
      </c>
      <c r="C119" s="2">
        <v>8</v>
      </c>
      <c r="D119" s="2">
        <v>0</v>
      </c>
      <c r="E119" s="2">
        <v>0.80600000000000005</v>
      </c>
      <c r="F119" s="2">
        <v>2</v>
      </c>
    </row>
    <row r="120" spans="1:6" ht="14.25" customHeight="1">
      <c r="A120" s="2">
        <v>25</v>
      </c>
      <c r="B120" s="2">
        <v>119</v>
      </c>
      <c r="C120" s="2">
        <v>4</v>
      </c>
      <c r="D120" s="2">
        <v>1</v>
      </c>
      <c r="E120" s="2">
        <v>0.78300000000000003</v>
      </c>
      <c r="F120" s="2">
        <v>2</v>
      </c>
    </row>
    <row r="121" spans="1:6" ht="14.25" customHeight="1">
      <c r="A121" s="2">
        <v>25</v>
      </c>
      <c r="B121" s="2">
        <v>120</v>
      </c>
      <c r="C121" s="2">
        <v>1</v>
      </c>
      <c r="D121" s="2">
        <v>0</v>
      </c>
      <c r="E121" s="2">
        <v>0.69</v>
      </c>
      <c r="F121" s="2">
        <v>2</v>
      </c>
    </row>
    <row r="122" spans="1:6" ht="14.25" customHeight="1">
      <c r="A122" s="2">
        <v>25</v>
      </c>
      <c r="B122" s="2">
        <v>121</v>
      </c>
      <c r="C122" s="2">
        <v>2</v>
      </c>
      <c r="D122" s="2">
        <v>0</v>
      </c>
      <c r="E122" s="2">
        <v>1.96</v>
      </c>
      <c r="F122" s="2">
        <v>2</v>
      </c>
    </row>
    <row r="123" spans="1:6" ht="14.25" customHeight="1">
      <c r="A123" s="2">
        <v>25</v>
      </c>
      <c r="B123" s="2">
        <v>122</v>
      </c>
      <c r="C123" s="2">
        <v>7</v>
      </c>
      <c r="D123" s="2">
        <v>1</v>
      </c>
      <c r="E123" s="2">
        <v>0.72299999999999998</v>
      </c>
      <c r="F123" s="2">
        <v>1</v>
      </c>
    </row>
    <row r="124" spans="1:6" ht="14.25" customHeight="1">
      <c r="A124" s="2">
        <v>25</v>
      </c>
      <c r="B124" s="2">
        <v>123</v>
      </c>
      <c r="C124" s="2">
        <v>5</v>
      </c>
      <c r="D124" s="2">
        <v>1</v>
      </c>
      <c r="E124" s="2">
        <v>1.153</v>
      </c>
      <c r="F124" s="2">
        <v>1</v>
      </c>
    </row>
    <row r="125" spans="1:6" ht="14.25" customHeight="1">
      <c r="A125" s="2">
        <v>25</v>
      </c>
      <c r="B125" s="2">
        <v>124</v>
      </c>
      <c r="C125" s="2">
        <v>3</v>
      </c>
      <c r="D125" s="2">
        <v>0</v>
      </c>
      <c r="E125" s="2">
        <v>0.74199999999999999</v>
      </c>
      <c r="F125" s="2">
        <v>2</v>
      </c>
    </row>
    <row r="126" spans="1:6" ht="14.25" customHeight="1">
      <c r="A126" s="2">
        <v>25</v>
      </c>
      <c r="B126" s="2">
        <v>125</v>
      </c>
      <c r="C126" s="2">
        <v>1</v>
      </c>
      <c r="D126" s="2">
        <v>1</v>
      </c>
      <c r="E126" s="2">
        <v>0.81</v>
      </c>
      <c r="F126" s="2">
        <v>2</v>
      </c>
    </row>
    <row r="127" spans="1:6" ht="14.25" customHeight="1">
      <c r="A127" s="2">
        <v>25</v>
      </c>
      <c r="B127" s="2">
        <v>126</v>
      </c>
      <c r="C127" s="2">
        <v>5</v>
      </c>
      <c r="D127" s="2">
        <v>1</v>
      </c>
      <c r="E127" s="2">
        <v>0.94</v>
      </c>
      <c r="F127" s="2">
        <v>1</v>
      </c>
    </row>
    <row r="128" spans="1:6" ht="14.25" customHeight="1">
      <c r="A128" s="2">
        <v>25</v>
      </c>
      <c r="B128" s="2">
        <v>127</v>
      </c>
      <c r="C128" s="2">
        <v>2</v>
      </c>
      <c r="E128" s="2">
        <v>2.0009999999999999</v>
      </c>
    </row>
    <row r="129" spans="1:6" ht="14.25" customHeight="1">
      <c r="A129" s="2">
        <v>25</v>
      </c>
      <c r="B129" s="2">
        <v>128</v>
      </c>
      <c r="C129" s="2">
        <v>4</v>
      </c>
      <c r="D129" s="2">
        <v>1</v>
      </c>
      <c r="E129" s="2">
        <v>1.3149999999999999</v>
      </c>
      <c r="F129" s="2">
        <v>1</v>
      </c>
    </row>
    <row r="130" spans="1:6" ht="14.25" customHeight="1">
      <c r="A130" s="2">
        <v>25</v>
      </c>
      <c r="B130" s="2">
        <v>129</v>
      </c>
      <c r="C130" s="2">
        <v>3</v>
      </c>
      <c r="D130" s="2">
        <v>1</v>
      </c>
      <c r="E130" s="2">
        <v>0.48099999999999998</v>
      </c>
      <c r="F130" s="2">
        <v>2</v>
      </c>
    </row>
    <row r="131" spans="1:6" ht="14.25" customHeight="1">
      <c r="A131" s="2">
        <v>25</v>
      </c>
      <c r="B131" s="2">
        <v>130</v>
      </c>
      <c r="C131" s="2">
        <v>5</v>
      </c>
      <c r="D131" s="2">
        <v>1</v>
      </c>
      <c r="E131" s="2">
        <v>1.1439999999999999</v>
      </c>
      <c r="F131" s="2">
        <v>2</v>
      </c>
    </row>
    <row r="132" spans="1:6" ht="14.25" customHeight="1">
      <c r="A132" s="2">
        <v>25</v>
      </c>
      <c r="B132" s="2">
        <v>131</v>
      </c>
      <c r="C132" s="2">
        <v>8</v>
      </c>
      <c r="D132" s="2">
        <v>1</v>
      </c>
      <c r="E132" s="2">
        <v>1.044</v>
      </c>
      <c r="F132" s="2">
        <v>2</v>
      </c>
    </row>
    <row r="133" spans="1:6" ht="14.25" customHeight="1">
      <c r="A133" s="2">
        <v>25</v>
      </c>
      <c r="B133" s="2">
        <v>132</v>
      </c>
      <c r="C133" s="2">
        <v>3</v>
      </c>
      <c r="D133" s="2">
        <v>1</v>
      </c>
      <c r="E133" s="2">
        <v>0.72499999999999998</v>
      </c>
      <c r="F133" s="2">
        <v>1</v>
      </c>
    </row>
    <row r="134" spans="1:6" ht="14.25" customHeight="1">
      <c r="A134" s="2">
        <v>25</v>
      </c>
      <c r="B134" s="2">
        <v>133</v>
      </c>
      <c r="C134" s="2">
        <v>4</v>
      </c>
      <c r="D134" s="2">
        <v>1</v>
      </c>
      <c r="E134" s="2">
        <v>0.80400000000000005</v>
      </c>
      <c r="F134" s="2">
        <v>2</v>
      </c>
    </row>
    <row r="135" spans="1:6" ht="14.25" customHeight="1">
      <c r="A135" s="2">
        <v>25</v>
      </c>
      <c r="B135" s="2">
        <v>134</v>
      </c>
      <c r="C135" s="2">
        <v>6</v>
      </c>
      <c r="E135" s="2">
        <v>2</v>
      </c>
    </row>
    <row r="136" spans="1:6" ht="14.25" customHeight="1">
      <c r="A136" s="2">
        <v>25</v>
      </c>
      <c r="B136" s="2">
        <v>135</v>
      </c>
      <c r="C136" s="2">
        <v>4</v>
      </c>
      <c r="D136" s="2">
        <v>0</v>
      </c>
      <c r="E136" s="2">
        <v>0.94299999999999995</v>
      </c>
      <c r="F136" s="2">
        <v>2</v>
      </c>
    </row>
    <row r="137" spans="1:6" ht="14.25" customHeight="1">
      <c r="A137" s="2">
        <v>25</v>
      </c>
      <c r="B137" s="2">
        <v>136</v>
      </c>
      <c r="C137" s="2">
        <v>1</v>
      </c>
      <c r="D137" s="2">
        <v>1</v>
      </c>
      <c r="E137" s="2">
        <v>1.7709999999999999</v>
      </c>
      <c r="F137" s="2">
        <v>2</v>
      </c>
    </row>
    <row r="138" spans="1:6" ht="14.25" customHeight="1">
      <c r="A138" s="2">
        <v>25</v>
      </c>
      <c r="B138" s="2">
        <v>137</v>
      </c>
      <c r="C138" s="2">
        <v>8</v>
      </c>
      <c r="D138" s="2">
        <v>0</v>
      </c>
      <c r="E138" s="2">
        <v>0.86299999999999999</v>
      </c>
      <c r="F138" s="2">
        <v>2</v>
      </c>
    </row>
    <row r="139" spans="1:6" ht="14.25" customHeight="1">
      <c r="A139" s="2">
        <v>25</v>
      </c>
      <c r="B139" s="2">
        <v>138</v>
      </c>
      <c r="C139" s="2">
        <v>3</v>
      </c>
      <c r="D139" s="2">
        <v>0</v>
      </c>
      <c r="E139" s="2">
        <v>1.9419999999999999</v>
      </c>
      <c r="F139" s="2">
        <v>1</v>
      </c>
    </row>
    <row r="140" spans="1:6" ht="14.25" customHeight="1">
      <c r="A140" s="2">
        <v>25</v>
      </c>
      <c r="B140" s="2">
        <v>139</v>
      </c>
      <c r="C140" s="2">
        <v>1</v>
      </c>
      <c r="D140" s="2">
        <v>1</v>
      </c>
      <c r="E140" s="2">
        <v>1.522</v>
      </c>
      <c r="F140" s="2">
        <v>1</v>
      </c>
    </row>
    <row r="141" spans="1:6" ht="14.25" customHeight="1">
      <c r="A141" s="2">
        <v>25</v>
      </c>
      <c r="B141" s="2">
        <v>140</v>
      </c>
      <c r="C141" s="2">
        <v>5</v>
      </c>
      <c r="D141" s="2">
        <v>1</v>
      </c>
      <c r="E141" s="2">
        <v>0.74399999999999999</v>
      </c>
      <c r="F141" s="2">
        <v>2</v>
      </c>
    </row>
    <row r="142" spans="1:6" ht="14.25" customHeight="1">
      <c r="A142" s="2">
        <v>25</v>
      </c>
      <c r="B142" s="2">
        <v>141</v>
      </c>
      <c r="C142" s="2">
        <v>6</v>
      </c>
      <c r="D142" s="2">
        <v>1</v>
      </c>
      <c r="E142" s="2">
        <v>0.68500000000000005</v>
      </c>
      <c r="F142" s="2">
        <v>2</v>
      </c>
    </row>
    <row r="143" spans="1:6" ht="14.25" customHeight="1">
      <c r="A143" s="2">
        <v>25</v>
      </c>
      <c r="B143" s="2">
        <v>142</v>
      </c>
      <c r="C143" s="2">
        <v>3</v>
      </c>
      <c r="D143" s="2">
        <v>1</v>
      </c>
      <c r="E143" s="2">
        <v>1.5629999999999999</v>
      </c>
      <c r="F143" s="2">
        <v>2</v>
      </c>
    </row>
    <row r="144" spans="1:6" ht="14.25" customHeight="1">
      <c r="A144" s="2">
        <v>25</v>
      </c>
      <c r="B144" s="2">
        <v>143</v>
      </c>
      <c r="C144" s="2">
        <v>6</v>
      </c>
      <c r="D144" s="2">
        <v>0</v>
      </c>
      <c r="E144" s="2">
        <v>1.216</v>
      </c>
      <c r="F144" s="2">
        <v>2</v>
      </c>
    </row>
    <row r="145" spans="1:6" ht="14.25" customHeight="1">
      <c r="A145" s="2">
        <v>25</v>
      </c>
      <c r="B145" s="2">
        <v>144</v>
      </c>
      <c r="C145" s="2">
        <v>2</v>
      </c>
      <c r="D145" s="2">
        <v>1</v>
      </c>
      <c r="E145" s="2">
        <v>0.95299999999999996</v>
      </c>
      <c r="F145" s="2">
        <v>1</v>
      </c>
    </row>
    <row r="146" spans="1:6" ht="14.25" customHeight="1">
      <c r="A146" s="2">
        <v>25</v>
      </c>
      <c r="B146" s="2">
        <v>145</v>
      </c>
      <c r="C146" s="2">
        <v>4</v>
      </c>
      <c r="D146" s="2">
        <v>1</v>
      </c>
      <c r="E146" s="2">
        <v>0.91600000000000004</v>
      </c>
      <c r="F146" s="2">
        <v>2</v>
      </c>
    </row>
    <row r="147" spans="1:6" ht="14.25" customHeight="1">
      <c r="A147" s="2">
        <v>25</v>
      </c>
      <c r="B147" s="2">
        <v>146</v>
      </c>
      <c r="C147" s="2">
        <v>5</v>
      </c>
      <c r="D147" s="2">
        <v>1</v>
      </c>
      <c r="E147" s="2">
        <v>0.70599999999999996</v>
      </c>
      <c r="F147" s="2">
        <v>1</v>
      </c>
    </row>
    <row r="148" spans="1:6" ht="14.25" customHeight="1">
      <c r="A148" s="2">
        <v>25</v>
      </c>
      <c r="B148" s="2">
        <v>147</v>
      </c>
      <c r="C148" s="2">
        <v>4</v>
      </c>
      <c r="D148" s="2">
        <v>1</v>
      </c>
      <c r="E148" s="2">
        <v>1.264</v>
      </c>
      <c r="F148" s="2">
        <v>2</v>
      </c>
    </row>
    <row r="149" spans="1:6" ht="14.25" customHeight="1">
      <c r="A149" s="2">
        <v>25</v>
      </c>
      <c r="B149" s="2">
        <v>148</v>
      </c>
      <c r="C149" s="2">
        <v>2</v>
      </c>
      <c r="D149" s="2">
        <v>0</v>
      </c>
      <c r="E149" s="2">
        <v>1.3759999999999999</v>
      </c>
      <c r="F149" s="2">
        <v>2</v>
      </c>
    </row>
    <row r="150" spans="1:6" ht="14.25" customHeight="1">
      <c r="A150" s="2">
        <v>25</v>
      </c>
      <c r="B150" s="2">
        <v>149</v>
      </c>
      <c r="C150" s="2">
        <v>1</v>
      </c>
      <c r="D150" s="2">
        <v>0</v>
      </c>
      <c r="E150" s="2">
        <v>1.7629999999999999</v>
      </c>
      <c r="F150" s="2">
        <v>1</v>
      </c>
    </row>
    <row r="151" spans="1:6" ht="14.25" customHeight="1">
      <c r="A151" s="2">
        <v>25</v>
      </c>
      <c r="B151" s="2">
        <v>150</v>
      </c>
      <c r="C151" s="2">
        <v>7</v>
      </c>
      <c r="D151" s="2">
        <v>1</v>
      </c>
      <c r="E151" s="2">
        <v>0.871</v>
      </c>
      <c r="F151" s="2">
        <v>2</v>
      </c>
    </row>
    <row r="152" spans="1:6" ht="14.25" customHeight="1">
      <c r="A152" s="2">
        <v>25</v>
      </c>
      <c r="B152" s="2">
        <v>151</v>
      </c>
      <c r="C152" s="2">
        <v>1</v>
      </c>
      <c r="E152" s="2">
        <v>2</v>
      </c>
    </row>
    <row r="153" spans="1:6" ht="14.25" customHeight="1">
      <c r="A153" s="2">
        <v>25</v>
      </c>
      <c r="B153" s="2">
        <v>152</v>
      </c>
      <c r="C153" s="2">
        <v>4</v>
      </c>
      <c r="D153" s="2">
        <v>1</v>
      </c>
      <c r="E153" s="2">
        <v>1.581</v>
      </c>
      <c r="F153" s="2">
        <v>1</v>
      </c>
    </row>
    <row r="154" spans="1:6" ht="14.25" customHeight="1">
      <c r="A154" s="2">
        <v>25</v>
      </c>
      <c r="B154" s="2">
        <v>153</v>
      </c>
      <c r="C154" s="2">
        <v>1</v>
      </c>
      <c r="D154" s="2">
        <v>1</v>
      </c>
      <c r="E154" s="2">
        <v>0.81499999999999995</v>
      </c>
      <c r="F154" s="2">
        <v>2</v>
      </c>
    </row>
    <row r="155" spans="1:6" ht="14.25" customHeight="1">
      <c r="A155" s="2">
        <v>25</v>
      </c>
      <c r="B155" s="2">
        <v>154</v>
      </c>
      <c r="C155" s="2">
        <v>3</v>
      </c>
      <c r="D155" s="2">
        <v>1</v>
      </c>
      <c r="E155" s="2">
        <v>0.95399999999999996</v>
      </c>
      <c r="F155" s="2">
        <v>2</v>
      </c>
    </row>
    <row r="156" spans="1:6" ht="14.25" customHeight="1">
      <c r="A156" s="2">
        <v>25</v>
      </c>
      <c r="B156" s="2">
        <v>155</v>
      </c>
      <c r="C156" s="2">
        <v>8</v>
      </c>
      <c r="D156" s="2">
        <v>1</v>
      </c>
      <c r="E156" s="2">
        <v>1.1559999999999999</v>
      </c>
      <c r="F156" s="2">
        <v>2</v>
      </c>
    </row>
    <row r="157" spans="1:6" ht="14.25" customHeight="1">
      <c r="A157" s="2">
        <v>25</v>
      </c>
      <c r="B157" s="2">
        <v>156</v>
      </c>
      <c r="C157" s="2">
        <v>7</v>
      </c>
      <c r="D157" s="2">
        <v>0</v>
      </c>
      <c r="E157" s="2">
        <v>1.1919999999999999</v>
      </c>
      <c r="F157" s="2">
        <v>2</v>
      </c>
    </row>
    <row r="158" spans="1:6" ht="14.25" customHeight="1">
      <c r="A158" s="2">
        <v>25</v>
      </c>
      <c r="B158" s="2">
        <v>157</v>
      </c>
      <c r="C158" s="2">
        <v>6</v>
      </c>
      <c r="D158" s="2">
        <v>1</v>
      </c>
      <c r="E158" s="2">
        <v>0.876</v>
      </c>
      <c r="F158" s="2">
        <v>2</v>
      </c>
    </row>
    <row r="159" spans="1:6" ht="14.25" customHeight="1">
      <c r="A159" s="2">
        <v>25</v>
      </c>
      <c r="B159" s="2">
        <v>158</v>
      </c>
      <c r="C159" s="2">
        <v>8</v>
      </c>
      <c r="D159" s="2">
        <v>1</v>
      </c>
      <c r="E159" s="2">
        <v>0.84299999999999997</v>
      </c>
      <c r="F159" s="2">
        <v>1</v>
      </c>
    </row>
    <row r="160" spans="1:6" ht="14.25" customHeight="1">
      <c r="A160" s="2">
        <v>25</v>
      </c>
      <c r="B160" s="2">
        <v>159</v>
      </c>
      <c r="C160" s="2">
        <v>5</v>
      </c>
      <c r="D160" s="2">
        <v>1</v>
      </c>
      <c r="E160" s="2">
        <v>1.1879999999999999</v>
      </c>
      <c r="F160" s="2">
        <v>1</v>
      </c>
    </row>
    <row r="161" spans="1:6" ht="14.25" customHeight="1">
      <c r="A161" s="2">
        <v>25</v>
      </c>
      <c r="B161" s="2">
        <v>160</v>
      </c>
      <c r="C161" s="2">
        <v>2</v>
      </c>
      <c r="D161" s="2">
        <v>1</v>
      </c>
      <c r="E161" s="2">
        <v>1.502</v>
      </c>
      <c r="F161" s="2">
        <v>2</v>
      </c>
    </row>
    <row r="162" spans="1:6" ht="14.25" customHeight="1">
      <c r="A162" s="2">
        <v>25</v>
      </c>
      <c r="B162" s="2">
        <v>161</v>
      </c>
      <c r="C162" s="2">
        <v>4</v>
      </c>
      <c r="D162" s="2">
        <v>1</v>
      </c>
      <c r="E162" s="2">
        <v>1.883</v>
      </c>
      <c r="F162" s="2">
        <v>1</v>
      </c>
    </row>
    <row r="163" spans="1:6" ht="14.25" customHeight="1">
      <c r="A163" s="2">
        <v>25</v>
      </c>
      <c r="B163" s="2">
        <v>162</v>
      </c>
      <c r="C163" s="2">
        <v>5</v>
      </c>
      <c r="D163" s="2">
        <v>0</v>
      </c>
      <c r="E163" s="2">
        <v>0.91200000000000003</v>
      </c>
      <c r="F163" s="2">
        <v>2</v>
      </c>
    </row>
    <row r="164" spans="1:6" ht="14.25" customHeight="1">
      <c r="A164" s="2">
        <v>25</v>
      </c>
      <c r="B164" s="2">
        <v>163</v>
      </c>
      <c r="C164" s="2">
        <v>2</v>
      </c>
      <c r="D164" s="2">
        <v>0</v>
      </c>
      <c r="E164" s="2">
        <v>1.3340000000000001</v>
      </c>
      <c r="F164" s="2">
        <v>1</v>
      </c>
    </row>
    <row r="165" spans="1:6" ht="14.25" customHeight="1">
      <c r="A165" s="2">
        <v>25</v>
      </c>
      <c r="B165" s="2">
        <v>164</v>
      </c>
      <c r="C165" s="2">
        <v>3</v>
      </c>
      <c r="D165" s="2">
        <v>1</v>
      </c>
      <c r="E165" s="2">
        <v>0.68400000000000005</v>
      </c>
      <c r="F165" s="2">
        <v>1</v>
      </c>
    </row>
    <row r="166" spans="1:6" ht="14.25" customHeight="1">
      <c r="A166" s="2">
        <v>25</v>
      </c>
      <c r="B166" s="2">
        <v>165</v>
      </c>
      <c r="C166" s="2">
        <v>4</v>
      </c>
      <c r="D166" s="2">
        <v>1</v>
      </c>
      <c r="E166" s="2">
        <v>1.411</v>
      </c>
      <c r="F166" s="2">
        <v>2</v>
      </c>
    </row>
    <row r="167" spans="1:6" ht="14.25" customHeight="1">
      <c r="A167" s="2">
        <v>25</v>
      </c>
      <c r="B167" s="2">
        <v>166</v>
      </c>
      <c r="C167" s="2">
        <v>5</v>
      </c>
      <c r="D167" s="2">
        <v>0</v>
      </c>
      <c r="E167" s="2">
        <v>1.1080000000000001</v>
      </c>
      <c r="F167" s="2">
        <v>2</v>
      </c>
    </row>
    <row r="168" spans="1:6" ht="14.25" customHeight="1">
      <c r="A168" s="2">
        <v>25</v>
      </c>
      <c r="B168" s="2">
        <v>167</v>
      </c>
      <c r="C168" s="2">
        <v>6</v>
      </c>
      <c r="D168" s="2">
        <v>0</v>
      </c>
      <c r="E168" s="2">
        <v>1.474</v>
      </c>
      <c r="F168" s="2">
        <v>1</v>
      </c>
    </row>
    <row r="169" spans="1:6" ht="14.25" customHeight="1">
      <c r="A169" s="2">
        <v>25</v>
      </c>
      <c r="B169" s="2">
        <v>168</v>
      </c>
      <c r="C169" s="2">
        <v>1</v>
      </c>
      <c r="D169" s="2">
        <v>0</v>
      </c>
      <c r="E169" s="2">
        <v>0.60199999999999998</v>
      </c>
      <c r="F169" s="2">
        <v>2</v>
      </c>
    </row>
    <row r="170" spans="1:6" ht="14.25" customHeight="1">
      <c r="A170" s="2">
        <v>25</v>
      </c>
      <c r="B170" s="2">
        <v>169</v>
      </c>
      <c r="C170" s="2">
        <v>8</v>
      </c>
      <c r="D170" s="2">
        <v>1</v>
      </c>
      <c r="E170" s="2">
        <v>1.9950000000000001</v>
      </c>
      <c r="F170" s="2">
        <v>2</v>
      </c>
    </row>
    <row r="171" spans="1:6" ht="14.25" customHeight="1">
      <c r="A171" s="2">
        <v>25</v>
      </c>
      <c r="B171" s="2">
        <v>170</v>
      </c>
      <c r="C171" s="2">
        <v>1</v>
      </c>
      <c r="D171" s="2">
        <v>0</v>
      </c>
      <c r="E171" s="2">
        <v>1.446</v>
      </c>
      <c r="F171" s="2">
        <v>2</v>
      </c>
    </row>
    <row r="172" spans="1:6" ht="14.25" customHeight="1">
      <c r="A172" s="2">
        <v>25</v>
      </c>
      <c r="B172" s="2">
        <v>171</v>
      </c>
      <c r="C172" s="2">
        <v>2</v>
      </c>
      <c r="D172" s="2">
        <v>0</v>
      </c>
      <c r="E172" s="2">
        <v>1.302</v>
      </c>
      <c r="F172" s="2">
        <v>2</v>
      </c>
    </row>
    <row r="173" spans="1:6" ht="14.25" customHeight="1">
      <c r="A173" s="2">
        <v>25</v>
      </c>
      <c r="B173" s="2">
        <v>172</v>
      </c>
      <c r="C173" s="2">
        <v>3</v>
      </c>
      <c r="D173" s="2">
        <v>1</v>
      </c>
      <c r="E173" s="2">
        <v>0.66700000000000004</v>
      </c>
      <c r="F173" s="2">
        <v>1</v>
      </c>
    </row>
    <row r="174" spans="1:6" ht="14.25" customHeight="1">
      <c r="A174" s="2">
        <v>25</v>
      </c>
      <c r="B174" s="2">
        <v>173</v>
      </c>
      <c r="C174" s="2">
        <v>6</v>
      </c>
      <c r="D174" s="2">
        <v>1</v>
      </c>
      <c r="E174" s="2">
        <v>1.0269999999999999</v>
      </c>
      <c r="F174" s="2">
        <v>1</v>
      </c>
    </row>
    <row r="175" spans="1:6" ht="14.25" customHeight="1">
      <c r="A175" s="2">
        <v>25</v>
      </c>
      <c r="B175" s="2">
        <v>174</v>
      </c>
      <c r="C175" s="2">
        <v>7</v>
      </c>
      <c r="D175" s="2">
        <v>0</v>
      </c>
      <c r="E175" s="2">
        <v>1.2749999999999999</v>
      </c>
      <c r="F175" s="2">
        <v>2</v>
      </c>
    </row>
    <row r="176" spans="1:6" ht="14.25" customHeight="1">
      <c r="A176" s="2">
        <v>25</v>
      </c>
      <c r="B176" s="2">
        <v>175</v>
      </c>
      <c r="C176" s="2">
        <v>3</v>
      </c>
      <c r="D176" s="2">
        <v>1</v>
      </c>
      <c r="E176" s="2">
        <v>0.84199999999999997</v>
      </c>
      <c r="F176" s="2">
        <v>2</v>
      </c>
    </row>
    <row r="177" spans="1:6" ht="14.25" customHeight="1">
      <c r="A177" s="2">
        <v>25</v>
      </c>
      <c r="B177" s="2">
        <v>176</v>
      </c>
      <c r="C177" s="2">
        <v>4</v>
      </c>
      <c r="D177" s="2">
        <v>1</v>
      </c>
      <c r="E177" s="2">
        <v>0.97</v>
      </c>
      <c r="F177" s="2">
        <v>1</v>
      </c>
    </row>
    <row r="178" spans="1:6" ht="14.25" customHeight="1">
      <c r="A178" s="2">
        <v>25</v>
      </c>
      <c r="B178" s="2">
        <v>177</v>
      </c>
      <c r="C178" s="2">
        <v>5</v>
      </c>
      <c r="D178" s="2">
        <v>0</v>
      </c>
      <c r="E178" s="2">
        <v>0.877</v>
      </c>
      <c r="F178" s="2">
        <v>2</v>
      </c>
    </row>
    <row r="179" spans="1:6" ht="14.25" customHeight="1">
      <c r="A179" s="2">
        <v>25</v>
      </c>
      <c r="B179" s="2">
        <v>178</v>
      </c>
      <c r="C179" s="2">
        <v>6</v>
      </c>
      <c r="D179" s="2">
        <v>1</v>
      </c>
      <c r="E179" s="2">
        <v>1.6279999999999999</v>
      </c>
      <c r="F179" s="2">
        <v>1</v>
      </c>
    </row>
    <row r="180" spans="1:6" ht="14.25" customHeight="1">
      <c r="A180" s="2">
        <v>25</v>
      </c>
      <c r="B180" s="2">
        <v>179</v>
      </c>
      <c r="C180" s="2">
        <v>4</v>
      </c>
      <c r="D180" s="2">
        <v>1</v>
      </c>
      <c r="E180" s="2">
        <v>1.157</v>
      </c>
      <c r="F180" s="2">
        <v>2</v>
      </c>
    </row>
    <row r="181" spans="1:6" ht="14.25" customHeight="1">
      <c r="A181" s="2">
        <v>25</v>
      </c>
      <c r="B181" s="2">
        <v>180</v>
      </c>
      <c r="C181" s="2">
        <v>2</v>
      </c>
      <c r="D181" s="2">
        <v>1</v>
      </c>
      <c r="E181" s="2">
        <v>1.111</v>
      </c>
      <c r="F181" s="2">
        <v>2</v>
      </c>
    </row>
    <row r="182" spans="1:6" ht="14.25" customHeight="1">
      <c r="A182" s="2">
        <v>25</v>
      </c>
      <c r="B182" s="2">
        <v>181</v>
      </c>
      <c r="C182" s="2">
        <v>8</v>
      </c>
      <c r="D182" s="2">
        <v>1</v>
      </c>
      <c r="E182" s="2">
        <v>1.0629999999999999</v>
      </c>
      <c r="F182" s="2">
        <v>2</v>
      </c>
    </row>
    <row r="183" spans="1:6" ht="14.25" customHeight="1">
      <c r="A183" s="2">
        <v>25</v>
      </c>
      <c r="B183" s="2">
        <v>182</v>
      </c>
      <c r="C183" s="2">
        <v>7</v>
      </c>
      <c r="D183" s="2">
        <v>1</v>
      </c>
      <c r="E183" s="2">
        <v>1.175</v>
      </c>
      <c r="F183" s="2">
        <v>1</v>
      </c>
    </row>
    <row r="184" spans="1:6" ht="14.25" customHeight="1">
      <c r="A184" s="2">
        <v>25</v>
      </c>
      <c r="B184" s="2">
        <v>183</v>
      </c>
      <c r="C184" s="2">
        <v>1</v>
      </c>
      <c r="D184" s="2">
        <v>1</v>
      </c>
      <c r="E184" s="2">
        <v>1.5529999999999999</v>
      </c>
      <c r="F184" s="2">
        <v>2</v>
      </c>
    </row>
    <row r="185" spans="1:6" ht="14.25" customHeight="1">
      <c r="A185" s="2">
        <v>25</v>
      </c>
      <c r="B185" s="2">
        <v>184</v>
      </c>
      <c r="C185" s="2">
        <v>2</v>
      </c>
      <c r="D185" s="2">
        <v>0</v>
      </c>
      <c r="E185" s="2">
        <v>0.93300000000000005</v>
      </c>
      <c r="F185" s="2">
        <v>1</v>
      </c>
    </row>
    <row r="186" spans="1:6" ht="14.25" customHeight="1">
      <c r="A186" s="2">
        <v>25</v>
      </c>
      <c r="B186" s="2">
        <v>185</v>
      </c>
      <c r="C186" s="2">
        <v>7</v>
      </c>
      <c r="E186" s="2">
        <v>2</v>
      </c>
    </row>
    <row r="187" spans="1:6" ht="14.25" customHeight="1">
      <c r="A187" s="2">
        <v>25</v>
      </c>
      <c r="B187" s="2">
        <v>186</v>
      </c>
      <c r="C187" s="2">
        <v>4</v>
      </c>
      <c r="D187" s="2">
        <v>1</v>
      </c>
      <c r="E187" s="2">
        <v>1.7649999999999999</v>
      </c>
      <c r="F187" s="2">
        <v>2</v>
      </c>
    </row>
    <row r="188" spans="1:6" ht="14.25" customHeight="1">
      <c r="A188" s="2">
        <v>25</v>
      </c>
      <c r="B188" s="2">
        <v>187</v>
      </c>
      <c r="C188" s="2">
        <v>2</v>
      </c>
      <c r="D188" s="2">
        <v>0</v>
      </c>
      <c r="E188" s="2">
        <v>1.609</v>
      </c>
      <c r="F188" s="2">
        <v>2</v>
      </c>
    </row>
    <row r="189" spans="1:6" ht="14.25" customHeight="1">
      <c r="A189" s="2">
        <v>25</v>
      </c>
      <c r="B189" s="2">
        <v>188</v>
      </c>
      <c r="C189" s="2">
        <v>5</v>
      </c>
      <c r="D189" s="2">
        <v>0</v>
      </c>
      <c r="E189" s="2">
        <v>0.70499999999999996</v>
      </c>
      <c r="F189" s="2">
        <v>1</v>
      </c>
    </row>
    <row r="190" spans="1:6" ht="14.25" customHeight="1">
      <c r="A190" s="2">
        <v>25</v>
      </c>
      <c r="B190" s="2">
        <v>189</v>
      </c>
      <c r="C190" s="2">
        <v>6</v>
      </c>
      <c r="D190" s="2">
        <v>0</v>
      </c>
      <c r="E190" s="2">
        <v>0.89600000000000002</v>
      </c>
      <c r="F190" s="2">
        <v>2</v>
      </c>
    </row>
    <row r="191" spans="1:6" ht="14.25" customHeight="1">
      <c r="A191" s="2">
        <v>25</v>
      </c>
      <c r="B191" s="2">
        <v>190</v>
      </c>
      <c r="C191" s="2">
        <v>8</v>
      </c>
      <c r="D191" s="2">
        <v>1</v>
      </c>
      <c r="E191" s="2">
        <v>1.006</v>
      </c>
      <c r="F191" s="2">
        <v>2</v>
      </c>
    </row>
    <row r="192" spans="1:6" ht="14.25" customHeight="1">
      <c r="A192" s="2">
        <v>25</v>
      </c>
      <c r="B192" s="2">
        <v>191</v>
      </c>
      <c r="C192" s="2">
        <v>4</v>
      </c>
      <c r="D192" s="2">
        <v>1</v>
      </c>
      <c r="E192" s="2">
        <v>0.90300000000000002</v>
      </c>
      <c r="F192" s="2">
        <v>2</v>
      </c>
    </row>
    <row r="193" spans="1:6" ht="14.25" customHeight="1">
      <c r="A193" s="2">
        <v>25</v>
      </c>
      <c r="B193" s="2">
        <v>192</v>
      </c>
      <c r="C193" s="2">
        <v>7</v>
      </c>
      <c r="D193" s="2">
        <v>0</v>
      </c>
      <c r="E193" s="2">
        <v>0.86899999999999999</v>
      </c>
      <c r="F193" s="2">
        <v>1</v>
      </c>
    </row>
    <row r="194" spans="1:6" ht="14.25" customHeight="1">
      <c r="A194" s="2">
        <v>25</v>
      </c>
      <c r="B194" s="2">
        <v>193</v>
      </c>
      <c r="C194" s="2">
        <v>3</v>
      </c>
      <c r="D194" s="2">
        <v>0</v>
      </c>
      <c r="E194" s="2">
        <v>1.821</v>
      </c>
      <c r="F194" s="2">
        <v>2</v>
      </c>
    </row>
    <row r="195" spans="1:6" ht="14.25" customHeight="1">
      <c r="A195" s="2">
        <v>25</v>
      </c>
      <c r="B195" s="2">
        <v>194</v>
      </c>
      <c r="C195" s="2">
        <v>4</v>
      </c>
      <c r="E195" s="2">
        <v>2</v>
      </c>
    </row>
    <row r="196" spans="1:6" ht="14.25" customHeight="1">
      <c r="A196" s="2">
        <v>25</v>
      </c>
      <c r="B196" s="2">
        <v>195</v>
      </c>
      <c r="C196" s="2">
        <v>3</v>
      </c>
      <c r="D196" s="2">
        <v>1</v>
      </c>
      <c r="E196" s="2">
        <v>1.1439999999999999</v>
      </c>
      <c r="F196" s="2">
        <v>2</v>
      </c>
    </row>
    <row r="197" spans="1:6" ht="14.25" customHeight="1">
      <c r="A197" s="2">
        <v>25</v>
      </c>
      <c r="B197" s="2">
        <v>196</v>
      </c>
      <c r="C197" s="2">
        <v>5</v>
      </c>
      <c r="D197" s="2">
        <v>1</v>
      </c>
      <c r="E197" s="2">
        <v>0.91700000000000004</v>
      </c>
      <c r="F197" s="2">
        <v>1</v>
      </c>
    </row>
    <row r="198" spans="1:6" ht="14.25" customHeight="1">
      <c r="A198" s="2">
        <v>25</v>
      </c>
      <c r="B198" s="2">
        <v>197</v>
      </c>
      <c r="C198" s="2">
        <v>6</v>
      </c>
      <c r="D198" s="2">
        <v>1</v>
      </c>
      <c r="E198" s="2">
        <v>0.69799999999999995</v>
      </c>
      <c r="F198" s="2">
        <v>2</v>
      </c>
    </row>
    <row r="199" spans="1:6" ht="14.25" customHeight="1">
      <c r="A199" s="2">
        <v>25</v>
      </c>
      <c r="B199" s="2">
        <v>198</v>
      </c>
      <c r="C199" s="2">
        <v>7</v>
      </c>
      <c r="D199" s="2">
        <v>1</v>
      </c>
      <c r="E199" s="2">
        <v>0.94399999999999995</v>
      </c>
      <c r="F199" s="2">
        <v>1</v>
      </c>
    </row>
    <row r="200" spans="1:6" ht="14.25" customHeight="1">
      <c r="A200" s="2">
        <v>25</v>
      </c>
      <c r="B200" s="2">
        <v>199</v>
      </c>
      <c r="C200" s="2">
        <v>1</v>
      </c>
      <c r="D200" s="2">
        <v>1</v>
      </c>
      <c r="E200" s="2">
        <v>1.1970000000000001</v>
      </c>
      <c r="F200" s="2">
        <v>2</v>
      </c>
    </row>
    <row r="201" spans="1:6" ht="14.25" customHeight="1">
      <c r="A201" s="2">
        <v>25</v>
      </c>
      <c r="B201" s="2">
        <v>200</v>
      </c>
      <c r="C201" s="2">
        <v>8</v>
      </c>
      <c r="D201" s="2">
        <v>0</v>
      </c>
      <c r="E201" s="2">
        <v>1.327</v>
      </c>
      <c r="F201" s="2">
        <v>1</v>
      </c>
    </row>
    <row r="202" spans="1:6" ht="14.25" customHeight="1">
      <c r="A202" s="2">
        <v>25</v>
      </c>
      <c r="B202" s="2">
        <v>201</v>
      </c>
      <c r="C202" s="2">
        <v>1</v>
      </c>
      <c r="D202" s="2">
        <v>1</v>
      </c>
      <c r="E202" s="2">
        <v>0.80200000000000005</v>
      </c>
      <c r="F202" s="2">
        <v>1</v>
      </c>
    </row>
    <row r="203" spans="1:6" ht="14.25" customHeight="1">
      <c r="A203" s="2">
        <v>25</v>
      </c>
      <c r="B203" s="2">
        <v>202</v>
      </c>
      <c r="C203" s="2">
        <v>5</v>
      </c>
      <c r="D203" s="2">
        <v>1</v>
      </c>
      <c r="E203" s="2">
        <v>0.94099999999999995</v>
      </c>
      <c r="F203" s="2">
        <v>1</v>
      </c>
    </row>
    <row r="204" spans="1:6" ht="14.25" customHeight="1">
      <c r="A204" s="2">
        <v>25</v>
      </c>
      <c r="B204" s="2">
        <v>203</v>
      </c>
      <c r="C204" s="2">
        <v>7</v>
      </c>
      <c r="D204" s="2">
        <v>1</v>
      </c>
      <c r="E204" s="2">
        <v>0.64200000000000002</v>
      </c>
      <c r="F204" s="2">
        <v>2</v>
      </c>
    </row>
    <row r="205" spans="1:6" ht="14.25" customHeight="1">
      <c r="A205" s="2">
        <v>25</v>
      </c>
      <c r="B205" s="2">
        <v>204</v>
      </c>
      <c r="C205" s="2">
        <v>8</v>
      </c>
      <c r="D205" s="2">
        <v>1</v>
      </c>
      <c r="E205" s="2">
        <v>0.93799999999999994</v>
      </c>
      <c r="F205" s="2">
        <v>2</v>
      </c>
    </row>
    <row r="206" spans="1:6" ht="14.25" customHeight="1">
      <c r="A206" s="2">
        <v>25</v>
      </c>
      <c r="B206" s="2">
        <v>205</v>
      </c>
      <c r="C206" s="2">
        <v>2</v>
      </c>
      <c r="E206" s="2">
        <v>2</v>
      </c>
    </row>
    <row r="207" spans="1:6" ht="14.25" customHeight="1">
      <c r="A207" s="2">
        <v>25</v>
      </c>
      <c r="B207" s="2">
        <v>206</v>
      </c>
      <c r="C207" s="2">
        <v>4</v>
      </c>
      <c r="D207" s="2">
        <v>1</v>
      </c>
      <c r="E207" s="2">
        <v>1.024</v>
      </c>
      <c r="F207" s="2">
        <v>1</v>
      </c>
    </row>
    <row r="208" spans="1:6" ht="14.25" customHeight="1">
      <c r="A208" s="2">
        <v>25</v>
      </c>
      <c r="B208" s="2">
        <v>207</v>
      </c>
      <c r="C208" s="2">
        <v>3</v>
      </c>
      <c r="D208" s="2">
        <v>1</v>
      </c>
      <c r="E208" s="2">
        <v>1.4410000000000001</v>
      </c>
      <c r="F208" s="2">
        <v>2</v>
      </c>
    </row>
    <row r="209" spans="1:6" ht="14.25" customHeight="1">
      <c r="A209" s="2">
        <v>25</v>
      </c>
      <c r="B209" s="2">
        <v>208</v>
      </c>
      <c r="C209" s="2">
        <v>4</v>
      </c>
      <c r="D209" s="2">
        <v>1</v>
      </c>
      <c r="E209" s="2">
        <v>0.95299999999999996</v>
      </c>
      <c r="F209" s="2">
        <v>1</v>
      </c>
    </row>
    <row r="210" spans="1:6" ht="14.25" customHeight="1">
      <c r="A210" s="2">
        <v>25</v>
      </c>
      <c r="B210" s="2">
        <v>209</v>
      </c>
      <c r="C210" s="2">
        <v>6</v>
      </c>
      <c r="D210" s="2">
        <v>1</v>
      </c>
      <c r="E210" s="2">
        <v>0.875</v>
      </c>
      <c r="F210" s="2">
        <v>1</v>
      </c>
    </row>
    <row r="211" spans="1:6" ht="14.25" customHeight="1">
      <c r="A211" s="2">
        <v>25</v>
      </c>
      <c r="B211" s="2">
        <v>210</v>
      </c>
      <c r="C211" s="2">
        <v>7</v>
      </c>
      <c r="E211" s="2">
        <v>2</v>
      </c>
    </row>
    <row r="212" spans="1:6" ht="14.25" customHeight="1">
      <c r="A212" s="2">
        <v>25</v>
      </c>
      <c r="B212" s="2">
        <v>211</v>
      </c>
      <c r="C212" s="2">
        <v>3</v>
      </c>
      <c r="E212" s="2">
        <v>2</v>
      </c>
    </row>
    <row r="213" spans="1:6" ht="14.25" customHeight="1">
      <c r="A213" s="2">
        <v>25</v>
      </c>
      <c r="B213" s="2">
        <v>212</v>
      </c>
      <c r="C213" s="2">
        <v>6</v>
      </c>
      <c r="D213" s="2">
        <v>0</v>
      </c>
      <c r="E213" s="2">
        <v>0.77400000000000002</v>
      </c>
      <c r="F213" s="2">
        <v>2</v>
      </c>
    </row>
    <row r="214" spans="1:6" ht="14.25" customHeight="1">
      <c r="A214" s="2">
        <v>25</v>
      </c>
      <c r="B214" s="2">
        <v>213</v>
      </c>
      <c r="C214" s="2">
        <v>5</v>
      </c>
      <c r="D214" s="2">
        <v>1</v>
      </c>
      <c r="E214" s="2">
        <v>0.745</v>
      </c>
      <c r="F214" s="2">
        <v>2</v>
      </c>
    </row>
    <row r="215" spans="1:6" ht="14.25" customHeight="1">
      <c r="A215" s="2">
        <v>25</v>
      </c>
      <c r="B215" s="2">
        <v>214</v>
      </c>
      <c r="C215" s="2">
        <v>8</v>
      </c>
      <c r="D215" s="2">
        <v>1</v>
      </c>
      <c r="E215" s="2">
        <v>1.165</v>
      </c>
      <c r="F215" s="2">
        <v>1</v>
      </c>
    </row>
    <row r="216" spans="1:6" ht="14.25" customHeight="1">
      <c r="A216" s="2">
        <v>25</v>
      </c>
      <c r="B216" s="2">
        <v>215</v>
      </c>
      <c r="C216" s="2">
        <v>7</v>
      </c>
      <c r="D216" s="2">
        <v>1</v>
      </c>
      <c r="E216" s="2">
        <v>0.94399999999999995</v>
      </c>
      <c r="F216" s="2">
        <v>2</v>
      </c>
    </row>
    <row r="217" spans="1:6" ht="14.25" customHeight="1">
      <c r="A217" s="2">
        <v>25</v>
      </c>
      <c r="B217" s="2">
        <v>216</v>
      </c>
      <c r="C217" s="2">
        <v>6</v>
      </c>
      <c r="D217" s="2">
        <v>1</v>
      </c>
      <c r="E217" s="2">
        <v>0.64500000000000002</v>
      </c>
      <c r="F217" s="2">
        <v>1</v>
      </c>
    </row>
    <row r="218" spans="1:6" ht="14.25" customHeight="1">
      <c r="A218" s="2">
        <v>25</v>
      </c>
      <c r="B218" s="2">
        <v>217</v>
      </c>
      <c r="C218" s="2">
        <v>4</v>
      </c>
      <c r="D218" s="2">
        <v>0</v>
      </c>
      <c r="E218" s="2">
        <v>1.1890000000000001</v>
      </c>
      <c r="F218" s="2">
        <v>1</v>
      </c>
    </row>
    <row r="219" spans="1:6" ht="14.25" customHeight="1">
      <c r="A219" s="2">
        <v>25</v>
      </c>
      <c r="B219" s="2">
        <v>218</v>
      </c>
      <c r="C219" s="2">
        <v>3</v>
      </c>
      <c r="D219" s="2">
        <v>0</v>
      </c>
      <c r="E219" s="2">
        <v>1.0880000000000001</v>
      </c>
      <c r="F219" s="2">
        <v>2</v>
      </c>
    </row>
    <row r="220" spans="1:6" ht="14.25" customHeight="1">
      <c r="A220" s="2">
        <v>25</v>
      </c>
      <c r="B220" s="2">
        <v>219</v>
      </c>
      <c r="C220" s="2">
        <v>5</v>
      </c>
      <c r="D220" s="2">
        <v>1</v>
      </c>
      <c r="E220" s="2">
        <v>0.67800000000000005</v>
      </c>
      <c r="F220" s="2">
        <v>2</v>
      </c>
    </row>
    <row r="221" spans="1:6" ht="14.25" customHeight="1">
      <c r="A221" s="2">
        <v>25</v>
      </c>
      <c r="B221" s="2">
        <v>220</v>
      </c>
      <c r="C221" s="2">
        <v>6</v>
      </c>
      <c r="D221" s="2">
        <v>0</v>
      </c>
      <c r="E221" s="2">
        <v>1.0049999999999999</v>
      </c>
      <c r="F221" s="2">
        <v>2</v>
      </c>
    </row>
    <row r="222" spans="1:6" ht="14.25" customHeight="1">
      <c r="A222" s="2">
        <v>25</v>
      </c>
      <c r="B222" s="2">
        <v>221</v>
      </c>
      <c r="C222" s="2">
        <v>2</v>
      </c>
      <c r="D222" s="2">
        <v>1</v>
      </c>
      <c r="E222" s="2">
        <v>0.63900000000000001</v>
      </c>
      <c r="F222" s="2">
        <v>1</v>
      </c>
    </row>
    <row r="223" spans="1:6" ht="14.25" customHeight="1">
      <c r="A223" s="2">
        <v>25</v>
      </c>
      <c r="B223" s="2">
        <v>222</v>
      </c>
      <c r="C223" s="2">
        <v>1</v>
      </c>
      <c r="D223" s="2">
        <v>1</v>
      </c>
      <c r="E223" s="2">
        <v>0.879</v>
      </c>
      <c r="F223" s="2">
        <v>1</v>
      </c>
    </row>
    <row r="224" spans="1:6" ht="14.25" customHeight="1">
      <c r="A224" s="2">
        <v>25</v>
      </c>
      <c r="B224" s="2">
        <v>223</v>
      </c>
      <c r="C224" s="2">
        <v>3</v>
      </c>
      <c r="D224" s="2">
        <v>1</v>
      </c>
      <c r="E224" s="2">
        <v>1.3260000000000001</v>
      </c>
      <c r="F224" s="2">
        <v>1</v>
      </c>
    </row>
    <row r="225" spans="1:6" ht="14.25" customHeight="1">
      <c r="A225" s="2">
        <v>25</v>
      </c>
      <c r="B225" s="2">
        <v>224</v>
      </c>
      <c r="C225" s="2">
        <v>2</v>
      </c>
      <c r="D225" s="2">
        <v>0</v>
      </c>
      <c r="E225" s="2">
        <v>1.107</v>
      </c>
      <c r="F225" s="2">
        <v>2</v>
      </c>
    </row>
    <row r="226" spans="1:6" ht="14.25" customHeight="1">
      <c r="A226" s="2">
        <v>25</v>
      </c>
      <c r="B226" s="2">
        <v>225</v>
      </c>
      <c r="C226" s="2">
        <v>8</v>
      </c>
      <c r="D226" s="2">
        <v>1</v>
      </c>
      <c r="E226" s="2">
        <v>0.66500000000000004</v>
      </c>
      <c r="F226" s="2">
        <v>2</v>
      </c>
    </row>
    <row r="227" spans="1:6" ht="14.25" customHeight="1">
      <c r="A227" s="2">
        <v>25</v>
      </c>
      <c r="B227" s="2">
        <v>226</v>
      </c>
      <c r="C227" s="2">
        <v>4</v>
      </c>
      <c r="D227" s="2">
        <v>1</v>
      </c>
      <c r="E227" s="2">
        <v>0.64100000000000001</v>
      </c>
      <c r="F227" s="2">
        <v>1</v>
      </c>
    </row>
    <row r="228" spans="1:6" ht="14.25" customHeight="1">
      <c r="A228" s="2">
        <v>25</v>
      </c>
      <c r="B228" s="2">
        <v>227</v>
      </c>
      <c r="C228" s="2">
        <v>8</v>
      </c>
      <c r="E228" s="2">
        <v>2</v>
      </c>
    </row>
    <row r="229" spans="1:6" ht="14.25" customHeight="1">
      <c r="A229" s="2">
        <v>25</v>
      </c>
      <c r="B229" s="2">
        <v>228</v>
      </c>
      <c r="C229" s="2">
        <v>4</v>
      </c>
      <c r="D229" s="2">
        <v>1</v>
      </c>
      <c r="E229" s="2">
        <v>0.92300000000000004</v>
      </c>
      <c r="F229" s="2">
        <v>1</v>
      </c>
    </row>
    <row r="230" spans="1:6" ht="14.25" customHeight="1">
      <c r="A230" s="2">
        <v>25</v>
      </c>
      <c r="B230" s="2">
        <v>229</v>
      </c>
      <c r="C230" s="2">
        <v>2</v>
      </c>
      <c r="D230" s="2">
        <v>1</v>
      </c>
      <c r="E230" s="2">
        <v>0.99199999999999999</v>
      </c>
      <c r="F230" s="2">
        <v>2</v>
      </c>
    </row>
    <row r="231" spans="1:6" ht="14.25" customHeight="1">
      <c r="A231" s="2">
        <v>25</v>
      </c>
      <c r="B231" s="2">
        <v>230</v>
      </c>
      <c r="C231" s="2">
        <v>1</v>
      </c>
      <c r="D231" s="2">
        <v>1</v>
      </c>
      <c r="E231" s="2">
        <v>0.995</v>
      </c>
      <c r="F231" s="2">
        <v>2</v>
      </c>
    </row>
    <row r="232" spans="1:6" ht="14.25" customHeight="1">
      <c r="A232" s="2">
        <v>25</v>
      </c>
      <c r="B232" s="2">
        <v>231</v>
      </c>
      <c r="C232" s="2">
        <v>6</v>
      </c>
      <c r="D232" s="2">
        <v>1</v>
      </c>
      <c r="E232" s="2">
        <v>1.0049999999999999</v>
      </c>
      <c r="F232" s="2">
        <v>2</v>
      </c>
    </row>
    <row r="233" spans="1:6" ht="14.25" customHeight="1">
      <c r="A233" s="2">
        <v>25</v>
      </c>
      <c r="B233" s="2">
        <v>232</v>
      </c>
      <c r="C233" s="2">
        <v>7</v>
      </c>
      <c r="D233" s="2">
        <v>1</v>
      </c>
      <c r="E233" s="2">
        <v>0.77600000000000002</v>
      </c>
      <c r="F233" s="2">
        <v>1</v>
      </c>
    </row>
    <row r="234" spans="1:6" ht="14.25" customHeight="1">
      <c r="A234" s="2">
        <v>25</v>
      </c>
      <c r="B234" s="2">
        <v>233</v>
      </c>
      <c r="C234" s="2">
        <v>5</v>
      </c>
      <c r="D234" s="2">
        <v>1</v>
      </c>
      <c r="E234" s="2">
        <v>0.88200000000000001</v>
      </c>
      <c r="F234" s="2">
        <v>2</v>
      </c>
    </row>
    <row r="235" spans="1:6" ht="14.25" customHeight="1">
      <c r="A235" s="2">
        <v>25</v>
      </c>
      <c r="B235" s="2">
        <v>234</v>
      </c>
      <c r="C235" s="2">
        <v>8</v>
      </c>
      <c r="D235" s="2">
        <v>1</v>
      </c>
      <c r="E235" s="2">
        <v>0.97599999999999998</v>
      </c>
      <c r="F235" s="2">
        <v>2</v>
      </c>
    </row>
    <row r="236" spans="1:6" ht="14.25" customHeight="1">
      <c r="A236" s="2">
        <v>25</v>
      </c>
      <c r="B236" s="2">
        <v>235</v>
      </c>
      <c r="C236" s="2">
        <v>1</v>
      </c>
      <c r="D236" s="2">
        <v>1</v>
      </c>
      <c r="E236" s="2">
        <v>1.3560000000000001</v>
      </c>
      <c r="F236" s="2">
        <v>1</v>
      </c>
    </row>
    <row r="237" spans="1:6" ht="14.25" customHeight="1">
      <c r="A237" s="2">
        <v>25</v>
      </c>
      <c r="B237" s="2">
        <v>236</v>
      </c>
      <c r="C237" s="2">
        <v>6</v>
      </c>
      <c r="D237" s="2">
        <v>1</v>
      </c>
      <c r="E237" s="2">
        <v>0.92</v>
      </c>
      <c r="F237" s="2">
        <v>2</v>
      </c>
    </row>
    <row r="238" spans="1:6" ht="14.25" customHeight="1">
      <c r="A238" s="2">
        <v>25</v>
      </c>
      <c r="B238" s="2">
        <v>237</v>
      </c>
      <c r="C238" s="2">
        <v>1</v>
      </c>
      <c r="D238" s="2">
        <v>0</v>
      </c>
      <c r="E238" s="2">
        <v>0.74099999999999999</v>
      </c>
      <c r="F238" s="2">
        <v>2</v>
      </c>
    </row>
    <row r="239" spans="1:6" ht="14.25" customHeight="1">
      <c r="A239" s="2">
        <v>25</v>
      </c>
      <c r="B239" s="2">
        <v>238</v>
      </c>
      <c r="C239" s="2">
        <v>2</v>
      </c>
      <c r="E239" s="2">
        <v>2</v>
      </c>
    </row>
    <row r="240" spans="1:6" ht="14.25" customHeight="1">
      <c r="A240" s="2">
        <v>25</v>
      </c>
      <c r="B240" s="2">
        <v>239</v>
      </c>
      <c r="C240" s="2">
        <v>4</v>
      </c>
      <c r="D240" s="2">
        <v>0</v>
      </c>
      <c r="E240" s="2">
        <v>0.82699999999999996</v>
      </c>
      <c r="F240" s="2">
        <v>2</v>
      </c>
    </row>
    <row r="241" spans="1:6" ht="14.25" customHeight="1">
      <c r="A241" s="2">
        <v>25</v>
      </c>
      <c r="B241" s="2">
        <v>240</v>
      </c>
      <c r="C241" s="2">
        <v>5</v>
      </c>
      <c r="D241" s="2">
        <v>1</v>
      </c>
      <c r="E241" s="2">
        <v>0.82899999999999996</v>
      </c>
      <c r="F241" s="2">
        <v>2</v>
      </c>
    </row>
    <row r="242" spans="1:6" ht="14.25" customHeight="1">
      <c r="A242" s="2">
        <v>25</v>
      </c>
      <c r="B242" s="2">
        <v>241</v>
      </c>
      <c r="C242" s="2">
        <v>3</v>
      </c>
      <c r="D242" s="2">
        <v>1</v>
      </c>
      <c r="E242" s="2">
        <v>0.82199999999999995</v>
      </c>
      <c r="F242" s="2">
        <v>2</v>
      </c>
    </row>
    <row r="243" spans="1:6" ht="14.25" customHeight="1">
      <c r="A243" s="2">
        <v>25</v>
      </c>
      <c r="B243" s="2">
        <v>242</v>
      </c>
      <c r="C243" s="2">
        <v>1</v>
      </c>
      <c r="D243" s="2">
        <v>0</v>
      </c>
      <c r="E243" s="2">
        <v>1.1499999999999999</v>
      </c>
      <c r="F243" s="2">
        <v>1</v>
      </c>
    </row>
    <row r="244" spans="1:6" ht="14.25" customHeight="1">
      <c r="A244" s="2">
        <v>25</v>
      </c>
      <c r="B244" s="2">
        <v>243</v>
      </c>
      <c r="C244" s="2">
        <v>7</v>
      </c>
      <c r="D244" s="2">
        <v>0</v>
      </c>
      <c r="E244" s="2">
        <v>0.77900000000000003</v>
      </c>
      <c r="F244" s="2">
        <v>2</v>
      </c>
    </row>
    <row r="245" spans="1:6" ht="14.25" customHeight="1">
      <c r="A245" s="2">
        <v>25</v>
      </c>
      <c r="B245" s="2">
        <v>244</v>
      </c>
      <c r="C245" s="2">
        <v>4</v>
      </c>
      <c r="E245" s="2">
        <v>2</v>
      </c>
    </row>
    <row r="246" spans="1:6" ht="14.25" customHeight="1">
      <c r="A246" s="2">
        <v>25</v>
      </c>
      <c r="B246" s="2">
        <v>245</v>
      </c>
      <c r="C246" s="2">
        <v>7</v>
      </c>
      <c r="E246" s="2">
        <v>2</v>
      </c>
    </row>
    <row r="247" spans="1:6" ht="14.25" customHeight="1">
      <c r="A247" s="2">
        <v>25</v>
      </c>
      <c r="B247" s="2">
        <v>246</v>
      </c>
      <c r="C247" s="2">
        <v>3</v>
      </c>
      <c r="D247" s="2">
        <v>1</v>
      </c>
      <c r="E247" s="2">
        <v>0.79400000000000004</v>
      </c>
      <c r="F247" s="2">
        <v>1</v>
      </c>
    </row>
    <row r="248" spans="1:6" ht="14.25" customHeight="1">
      <c r="A248" s="2">
        <v>25</v>
      </c>
      <c r="B248" s="2">
        <v>247</v>
      </c>
      <c r="C248" s="2">
        <v>4</v>
      </c>
      <c r="D248" s="2">
        <v>1</v>
      </c>
      <c r="E248" s="2">
        <v>0.41199999999999998</v>
      </c>
      <c r="F248" s="2">
        <v>2</v>
      </c>
    </row>
    <row r="249" spans="1:6" ht="14.25" customHeight="1">
      <c r="A249" s="2">
        <v>25</v>
      </c>
      <c r="B249" s="2">
        <v>248</v>
      </c>
      <c r="C249" s="2">
        <v>5</v>
      </c>
      <c r="D249" s="2">
        <v>1</v>
      </c>
      <c r="E249" s="2">
        <v>0.69399999999999995</v>
      </c>
      <c r="F249" s="2">
        <v>1</v>
      </c>
    </row>
    <row r="250" spans="1:6" ht="14.25" customHeight="1">
      <c r="A250" s="2">
        <v>25</v>
      </c>
      <c r="B250" s="2">
        <v>249</v>
      </c>
      <c r="C250" s="2">
        <v>8</v>
      </c>
      <c r="E250" s="2">
        <v>2.0009999999999999</v>
      </c>
    </row>
    <row r="251" spans="1:6" ht="14.25" customHeight="1">
      <c r="A251" s="2">
        <v>25</v>
      </c>
      <c r="B251" s="2">
        <v>250</v>
      </c>
      <c r="C251" s="2">
        <v>2</v>
      </c>
      <c r="D251" s="2">
        <v>0</v>
      </c>
      <c r="E251" s="2">
        <v>1.839</v>
      </c>
      <c r="F251" s="2">
        <v>1</v>
      </c>
    </row>
    <row r="252" spans="1:6" ht="14.25" customHeight="1">
      <c r="A252" s="2">
        <v>25</v>
      </c>
      <c r="B252" s="2">
        <v>251</v>
      </c>
      <c r="C252" s="2">
        <v>8</v>
      </c>
      <c r="E252" s="2">
        <v>2</v>
      </c>
    </row>
    <row r="253" spans="1:6" ht="14.25" customHeight="1">
      <c r="A253" s="2">
        <v>25</v>
      </c>
      <c r="B253" s="2">
        <v>252</v>
      </c>
      <c r="C253" s="2">
        <v>4</v>
      </c>
      <c r="E253" s="2">
        <v>2.0009999999999999</v>
      </c>
    </row>
    <row r="254" spans="1:6" ht="14.25" customHeight="1">
      <c r="A254" s="2">
        <v>25</v>
      </c>
      <c r="B254" s="2">
        <v>253</v>
      </c>
      <c r="C254" s="2">
        <v>3</v>
      </c>
      <c r="D254" s="2">
        <v>1</v>
      </c>
      <c r="E254" s="2">
        <v>1.288</v>
      </c>
      <c r="F254" s="2">
        <v>2</v>
      </c>
    </row>
    <row r="255" spans="1:6" ht="14.25" customHeight="1">
      <c r="A255" s="2">
        <v>25</v>
      </c>
      <c r="B255" s="2">
        <v>254</v>
      </c>
      <c r="C255" s="2">
        <v>7</v>
      </c>
      <c r="D255" s="2">
        <v>1</v>
      </c>
      <c r="E255" s="2">
        <v>1.111</v>
      </c>
      <c r="F255" s="2">
        <v>2</v>
      </c>
    </row>
    <row r="256" spans="1:6" ht="14.25" customHeight="1">
      <c r="A256" s="2">
        <v>25</v>
      </c>
      <c r="B256" s="2">
        <v>255</v>
      </c>
      <c r="C256" s="2">
        <v>4</v>
      </c>
      <c r="D256" s="2">
        <v>1</v>
      </c>
      <c r="E256" s="2">
        <v>1.1160000000000001</v>
      </c>
      <c r="F256" s="2">
        <v>2</v>
      </c>
    </row>
    <row r="257" spans="1:6" ht="14.25" customHeight="1">
      <c r="A257" s="2">
        <v>25</v>
      </c>
      <c r="B257" s="2">
        <v>256</v>
      </c>
      <c r="C257" s="2">
        <v>3</v>
      </c>
      <c r="D257" s="2">
        <v>0</v>
      </c>
      <c r="E257" s="2">
        <v>1.2829999999999999</v>
      </c>
      <c r="F257" s="2">
        <v>2</v>
      </c>
    </row>
    <row r="258" spans="1:6" ht="14.25" customHeight="1">
      <c r="A258" s="2">
        <v>25</v>
      </c>
      <c r="B258" s="2">
        <v>257</v>
      </c>
      <c r="C258" s="2">
        <v>7</v>
      </c>
      <c r="D258" s="2">
        <v>1</v>
      </c>
      <c r="E258" s="2">
        <v>0.84099999999999997</v>
      </c>
      <c r="F258" s="2">
        <v>2</v>
      </c>
    </row>
    <row r="259" spans="1:6" ht="14.25" customHeight="1">
      <c r="A259" s="2">
        <v>25</v>
      </c>
      <c r="B259" s="2">
        <v>258</v>
      </c>
      <c r="C259" s="2">
        <v>4</v>
      </c>
      <c r="D259" s="2">
        <v>1</v>
      </c>
      <c r="E259" s="2">
        <v>0.745</v>
      </c>
      <c r="F259" s="2">
        <v>1</v>
      </c>
    </row>
    <row r="260" spans="1:6" ht="14.25" customHeight="1">
      <c r="A260" s="2">
        <v>25</v>
      </c>
      <c r="B260" s="2">
        <v>259</v>
      </c>
      <c r="C260" s="2">
        <v>8</v>
      </c>
      <c r="D260" s="2">
        <v>1</v>
      </c>
      <c r="E260" s="2">
        <v>0.83099999999999996</v>
      </c>
      <c r="F260" s="2">
        <v>1</v>
      </c>
    </row>
    <row r="261" spans="1:6" ht="14.25" customHeight="1">
      <c r="A261" s="2">
        <v>25</v>
      </c>
      <c r="B261" s="2">
        <v>260</v>
      </c>
      <c r="C261" s="2">
        <v>1</v>
      </c>
      <c r="D261" s="2">
        <v>1</v>
      </c>
      <c r="E261" s="2">
        <v>1.599</v>
      </c>
      <c r="F261" s="2">
        <v>2</v>
      </c>
    </row>
    <row r="262" spans="1:6" ht="14.25" customHeight="1">
      <c r="A262" s="2">
        <v>25</v>
      </c>
      <c r="B262" s="2">
        <v>261</v>
      </c>
      <c r="C262" s="2">
        <v>7</v>
      </c>
      <c r="D262" s="2">
        <v>1</v>
      </c>
      <c r="E262" s="2">
        <v>1.2649999999999999</v>
      </c>
      <c r="F262" s="2">
        <v>1</v>
      </c>
    </row>
    <row r="263" spans="1:6" ht="14.25" customHeight="1">
      <c r="A263" s="2">
        <v>25</v>
      </c>
      <c r="B263" s="2">
        <v>262</v>
      </c>
      <c r="C263" s="2">
        <v>1</v>
      </c>
      <c r="D263" s="2">
        <v>0</v>
      </c>
      <c r="E263" s="2">
        <v>1.359</v>
      </c>
      <c r="F263" s="2">
        <v>2</v>
      </c>
    </row>
    <row r="264" spans="1:6" ht="14.25" customHeight="1">
      <c r="A264" s="2">
        <v>25</v>
      </c>
      <c r="B264" s="2">
        <v>263</v>
      </c>
      <c r="C264" s="2">
        <v>3</v>
      </c>
      <c r="D264" s="2">
        <v>0</v>
      </c>
      <c r="E264" s="2">
        <v>1E-3</v>
      </c>
      <c r="F264" s="2">
        <v>1</v>
      </c>
    </row>
    <row r="265" spans="1:6" ht="14.25" customHeight="1">
      <c r="A265" s="2">
        <v>25</v>
      </c>
      <c r="B265" s="2">
        <v>264</v>
      </c>
      <c r="C265" s="2">
        <v>4</v>
      </c>
      <c r="D265" s="2">
        <v>1</v>
      </c>
      <c r="E265" s="2">
        <v>1E-3</v>
      </c>
      <c r="F265" s="2">
        <v>1</v>
      </c>
    </row>
    <row r="266" spans="1:6" ht="14.25" customHeight="1">
      <c r="A266" s="2">
        <v>25</v>
      </c>
      <c r="B266" s="2">
        <v>265</v>
      </c>
      <c r="C266" s="2">
        <v>6</v>
      </c>
      <c r="D266" s="2">
        <v>1</v>
      </c>
      <c r="E266" s="2">
        <v>0.58299999999999996</v>
      </c>
      <c r="F266" s="2">
        <v>2</v>
      </c>
    </row>
    <row r="267" spans="1:6" ht="14.25" customHeight="1">
      <c r="A267" s="2">
        <v>25</v>
      </c>
      <c r="B267" s="2">
        <v>266</v>
      </c>
      <c r="C267" s="2">
        <v>1</v>
      </c>
      <c r="D267" s="2">
        <v>1</v>
      </c>
      <c r="E267" s="2">
        <v>1.0249999999999999</v>
      </c>
      <c r="F267" s="2">
        <v>1</v>
      </c>
    </row>
    <row r="268" spans="1:6" ht="14.25" customHeight="1">
      <c r="A268" s="2">
        <v>25</v>
      </c>
      <c r="B268" s="2">
        <v>267</v>
      </c>
      <c r="C268" s="2">
        <v>3</v>
      </c>
      <c r="D268" s="2">
        <v>1</v>
      </c>
      <c r="E268" s="2">
        <v>1.29</v>
      </c>
      <c r="F268" s="2">
        <v>2</v>
      </c>
    </row>
    <row r="269" spans="1:6" ht="14.25" customHeight="1">
      <c r="A269" s="2">
        <v>25</v>
      </c>
      <c r="B269" s="2">
        <v>268</v>
      </c>
      <c r="C269" s="2">
        <v>6</v>
      </c>
      <c r="D269" s="2">
        <v>1</v>
      </c>
      <c r="E269" s="2">
        <v>0.85799999999999998</v>
      </c>
      <c r="F269" s="2">
        <v>1</v>
      </c>
    </row>
    <row r="270" spans="1:6" ht="14.25" customHeight="1">
      <c r="A270" s="2">
        <v>25</v>
      </c>
      <c r="B270" s="2">
        <v>269</v>
      </c>
      <c r="C270" s="2">
        <v>5</v>
      </c>
      <c r="D270" s="2">
        <v>1</v>
      </c>
      <c r="E270" s="2">
        <v>1.1930000000000001</v>
      </c>
      <c r="F270" s="2">
        <v>2</v>
      </c>
    </row>
    <row r="271" spans="1:6" ht="14.25" customHeight="1">
      <c r="A271" s="2">
        <v>25</v>
      </c>
      <c r="B271" s="2">
        <v>270</v>
      </c>
      <c r="C271" s="2">
        <v>2</v>
      </c>
      <c r="D271" s="2">
        <v>1</v>
      </c>
      <c r="E271" s="2">
        <v>0.70799999999999996</v>
      </c>
      <c r="F271" s="2">
        <v>1</v>
      </c>
    </row>
    <row r="272" spans="1:6" ht="14.25" customHeight="1">
      <c r="A272" s="2">
        <v>25</v>
      </c>
      <c r="B272" s="2">
        <v>271</v>
      </c>
      <c r="C272" s="2">
        <v>5</v>
      </c>
      <c r="D272" s="2">
        <v>1</v>
      </c>
      <c r="E272" s="2">
        <v>0.64100000000000001</v>
      </c>
      <c r="F272" s="2">
        <v>1</v>
      </c>
    </row>
    <row r="273" spans="1:6" ht="14.25" customHeight="1">
      <c r="A273" s="2">
        <v>25</v>
      </c>
      <c r="B273" s="2">
        <v>272</v>
      </c>
      <c r="C273" s="2">
        <v>2</v>
      </c>
      <c r="D273" s="2">
        <v>0</v>
      </c>
      <c r="E273" s="2">
        <v>0.77</v>
      </c>
      <c r="F273" s="2">
        <v>2</v>
      </c>
    </row>
    <row r="274" spans="1:6" ht="14.25" customHeight="1">
      <c r="A274" s="2">
        <v>25</v>
      </c>
      <c r="B274" s="2">
        <v>273</v>
      </c>
      <c r="C274" s="2">
        <v>6</v>
      </c>
      <c r="D274" s="2">
        <v>1</v>
      </c>
      <c r="E274" s="2">
        <v>0.57299999999999995</v>
      </c>
      <c r="F274" s="2">
        <v>1</v>
      </c>
    </row>
    <row r="275" spans="1:6" ht="14.25" customHeight="1">
      <c r="A275" s="2">
        <v>25</v>
      </c>
      <c r="B275" s="2">
        <v>274</v>
      </c>
      <c r="C275" s="2">
        <v>4</v>
      </c>
      <c r="E275" s="2">
        <v>2</v>
      </c>
    </row>
    <row r="276" spans="1:6" ht="14.25" customHeight="1">
      <c r="A276" s="2">
        <v>25</v>
      </c>
      <c r="B276" s="2">
        <v>275</v>
      </c>
      <c r="C276" s="2">
        <v>6</v>
      </c>
      <c r="D276" s="2">
        <v>0</v>
      </c>
      <c r="E276" s="2">
        <v>0.60899999999999999</v>
      </c>
      <c r="F276" s="2">
        <v>1</v>
      </c>
    </row>
    <row r="277" spans="1:6" ht="14.25" customHeight="1">
      <c r="A277" s="2">
        <v>25</v>
      </c>
      <c r="B277" s="2">
        <v>276</v>
      </c>
      <c r="C277" s="2">
        <v>8</v>
      </c>
      <c r="D277" s="2">
        <v>1</v>
      </c>
      <c r="E277" s="2">
        <v>1.212</v>
      </c>
      <c r="F277" s="2">
        <v>1</v>
      </c>
    </row>
    <row r="278" spans="1:6" ht="14.25" customHeight="1">
      <c r="A278" s="2">
        <v>25</v>
      </c>
      <c r="B278" s="2">
        <v>277</v>
      </c>
      <c r="C278" s="2">
        <v>2</v>
      </c>
      <c r="D278" s="2">
        <v>0</v>
      </c>
      <c r="E278" s="2">
        <v>1.262</v>
      </c>
      <c r="F278" s="2">
        <v>2</v>
      </c>
    </row>
    <row r="279" spans="1:6" ht="14.25" customHeight="1">
      <c r="A279" s="2">
        <v>25</v>
      </c>
      <c r="B279" s="2">
        <v>278</v>
      </c>
      <c r="C279" s="2">
        <v>7</v>
      </c>
      <c r="D279" s="2">
        <v>1</v>
      </c>
      <c r="E279" s="2">
        <v>0.73399999999999999</v>
      </c>
      <c r="F279" s="2">
        <v>1</v>
      </c>
    </row>
    <row r="280" spans="1:6" ht="14.25" customHeight="1">
      <c r="A280" s="2">
        <v>25</v>
      </c>
      <c r="B280" s="2">
        <v>279</v>
      </c>
      <c r="C280" s="2">
        <v>5</v>
      </c>
      <c r="D280" s="2">
        <v>1</v>
      </c>
      <c r="E280" s="2">
        <v>1.603</v>
      </c>
      <c r="F280" s="2">
        <v>2</v>
      </c>
    </row>
    <row r="281" spans="1:6" ht="14.25" customHeight="1">
      <c r="A281" s="2">
        <v>25</v>
      </c>
      <c r="B281" s="2">
        <v>280</v>
      </c>
      <c r="C281" s="2">
        <v>3</v>
      </c>
      <c r="D281" s="2">
        <v>1</v>
      </c>
      <c r="E281" s="2">
        <v>1.333</v>
      </c>
      <c r="F281" s="2">
        <v>2</v>
      </c>
    </row>
    <row r="282" spans="1:6" ht="14.25" customHeight="1">
      <c r="A282" s="2">
        <v>25</v>
      </c>
      <c r="B282" s="2">
        <v>281</v>
      </c>
      <c r="C282" s="2">
        <v>5</v>
      </c>
      <c r="D282" s="2">
        <v>1</v>
      </c>
      <c r="E282" s="2">
        <v>0.95499999999999996</v>
      </c>
      <c r="F282" s="2">
        <v>2</v>
      </c>
    </row>
    <row r="283" spans="1:6" ht="14.25" customHeight="1">
      <c r="A283" s="2">
        <v>25</v>
      </c>
      <c r="B283" s="2">
        <v>282</v>
      </c>
      <c r="C283" s="2">
        <v>8</v>
      </c>
      <c r="E283" s="2">
        <v>2</v>
      </c>
    </row>
    <row r="284" spans="1:6" ht="14.25" customHeight="1">
      <c r="A284" s="2">
        <v>25</v>
      </c>
      <c r="B284" s="2">
        <v>283</v>
      </c>
      <c r="C284" s="2">
        <v>2</v>
      </c>
      <c r="D284" s="2">
        <v>1</v>
      </c>
      <c r="E284" s="2">
        <v>1.2330000000000001</v>
      </c>
      <c r="F284" s="2">
        <v>2</v>
      </c>
    </row>
    <row r="285" spans="1:6" ht="14.25" customHeight="1">
      <c r="A285" s="2">
        <v>25</v>
      </c>
      <c r="B285" s="2">
        <v>284</v>
      </c>
      <c r="C285" s="2">
        <v>5</v>
      </c>
      <c r="D285" s="2">
        <v>0</v>
      </c>
      <c r="E285" s="2">
        <v>0.47399999999999998</v>
      </c>
      <c r="F285" s="2">
        <v>1</v>
      </c>
    </row>
    <row r="286" spans="1:6" ht="14.25" customHeight="1">
      <c r="A286" s="2">
        <v>25</v>
      </c>
      <c r="B286" s="2">
        <v>285</v>
      </c>
      <c r="C286" s="2">
        <v>1</v>
      </c>
      <c r="D286" s="2">
        <v>0</v>
      </c>
      <c r="E286" s="2">
        <v>1.1539999999999999</v>
      </c>
      <c r="F286" s="2">
        <v>2</v>
      </c>
    </row>
    <row r="287" spans="1:6" ht="14.25" customHeight="1">
      <c r="A287" s="2">
        <v>25</v>
      </c>
      <c r="B287" s="2">
        <v>286</v>
      </c>
      <c r="C287" s="2">
        <v>4</v>
      </c>
      <c r="D287" s="2">
        <v>0</v>
      </c>
      <c r="E287" s="2">
        <v>0.54100000000000004</v>
      </c>
      <c r="F287" s="2">
        <v>1</v>
      </c>
    </row>
    <row r="288" spans="1:6" ht="14.25" customHeight="1">
      <c r="A288" s="2">
        <v>25</v>
      </c>
      <c r="B288" s="2">
        <v>287</v>
      </c>
      <c r="C288" s="2">
        <v>5</v>
      </c>
      <c r="D288" s="2">
        <v>0</v>
      </c>
      <c r="E288" s="2">
        <v>0.70599999999999996</v>
      </c>
      <c r="F288" s="2">
        <v>2</v>
      </c>
    </row>
    <row r="289" spans="1:6" ht="14.25" customHeight="1">
      <c r="A289" s="2">
        <v>25</v>
      </c>
      <c r="B289" s="2">
        <v>288</v>
      </c>
      <c r="C289" s="2">
        <v>2</v>
      </c>
      <c r="D289" s="2">
        <v>1</v>
      </c>
      <c r="E289" s="2">
        <v>1.75</v>
      </c>
      <c r="F289" s="2">
        <v>2</v>
      </c>
    </row>
    <row r="290" spans="1:6" ht="14.25" customHeight="1">
      <c r="A290" s="2">
        <v>25</v>
      </c>
      <c r="B290" s="2">
        <v>289</v>
      </c>
      <c r="C290" s="2">
        <v>7</v>
      </c>
      <c r="D290" s="2">
        <v>1</v>
      </c>
      <c r="E290" s="2">
        <v>0.75600000000000001</v>
      </c>
      <c r="F290" s="2">
        <v>1</v>
      </c>
    </row>
    <row r="291" spans="1:6" ht="14.25" customHeight="1">
      <c r="A291" s="2">
        <v>25</v>
      </c>
      <c r="B291" s="2">
        <v>290</v>
      </c>
      <c r="C291" s="2">
        <v>4</v>
      </c>
      <c r="D291" s="2">
        <v>1</v>
      </c>
      <c r="E291" s="2">
        <v>0.85499999999999998</v>
      </c>
      <c r="F291" s="2">
        <v>2</v>
      </c>
    </row>
    <row r="292" spans="1:6" ht="14.25" customHeight="1">
      <c r="A292" s="2">
        <v>25</v>
      </c>
      <c r="B292" s="2">
        <v>291</v>
      </c>
      <c r="C292" s="2">
        <v>7</v>
      </c>
      <c r="D292" s="2">
        <v>1</v>
      </c>
      <c r="E292" s="2">
        <v>1.68</v>
      </c>
      <c r="F292" s="2">
        <v>2</v>
      </c>
    </row>
    <row r="293" spans="1:6" ht="14.25" customHeight="1">
      <c r="A293" s="2">
        <v>25</v>
      </c>
      <c r="B293" s="2">
        <v>292</v>
      </c>
      <c r="C293" s="2">
        <v>2</v>
      </c>
      <c r="D293" s="2">
        <v>0</v>
      </c>
      <c r="E293" s="2">
        <v>0.72699999999999998</v>
      </c>
      <c r="F293" s="2">
        <v>1</v>
      </c>
    </row>
    <row r="294" spans="1:6" ht="14.25" customHeight="1">
      <c r="A294" s="2">
        <v>25</v>
      </c>
      <c r="B294" s="2">
        <v>293</v>
      </c>
      <c r="C294" s="2">
        <v>8</v>
      </c>
      <c r="E294" s="2">
        <v>2</v>
      </c>
    </row>
    <row r="295" spans="1:6" ht="14.25" customHeight="1">
      <c r="A295" s="2">
        <v>25</v>
      </c>
      <c r="B295" s="2">
        <v>294</v>
      </c>
      <c r="C295" s="2">
        <v>3</v>
      </c>
      <c r="D295" s="2">
        <v>0</v>
      </c>
      <c r="E295" s="2">
        <v>1.1519999999999999</v>
      </c>
      <c r="F295" s="2">
        <v>2</v>
      </c>
    </row>
    <row r="296" spans="1:6" ht="14.25" customHeight="1">
      <c r="A296" s="2">
        <v>25</v>
      </c>
      <c r="B296" s="2">
        <v>295</v>
      </c>
      <c r="C296" s="2">
        <v>6</v>
      </c>
      <c r="D296" s="2">
        <v>1</v>
      </c>
      <c r="E296" s="2">
        <v>0.54800000000000004</v>
      </c>
      <c r="F296" s="2">
        <v>2</v>
      </c>
    </row>
    <row r="297" spans="1:6" ht="14.25" customHeight="1">
      <c r="A297" s="2">
        <v>25</v>
      </c>
      <c r="B297" s="2">
        <v>296</v>
      </c>
      <c r="C297" s="2">
        <v>8</v>
      </c>
      <c r="E297" s="2">
        <v>2</v>
      </c>
    </row>
    <row r="298" spans="1:6" ht="14.25" customHeight="1">
      <c r="A298" s="2">
        <v>25</v>
      </c>
      <c r="B298" s="2">
        <v>297</v>
      </c>
      <c r="C298" s="2">
        <v>1</v>
      </c>
      <c r="D298" s="2">
        <v>0</v>
      </c>
      <c r="E298" s="2">
        <v>1.482</v>
      </c>
      <c r="F298" s="2">
        <v>1</v>
      </c>
    </row>
    <row r="299" spans="1:6" ht="14.25" customHeight="1">
      <c r="A299" s="2">
        <v>25</v>
      </c>
      <c r="B299" s="2">
        <v>298</v>
      </c>
      <c r="C299" s="2">
        <v>4</v>
      </c>
      <c r="E299" s="2">
        <v>2</v>
      </c>
    </row>
    <row r="300" spans="1:6" ht="14.25" customHeight="1">
      <c r="A300" s="2">
        <v>25</v>
      </c>
      <c r="B300" s="2">
        <v>299</v>
      </c>
      <c r="C300" s="2">
        <v>6</v>
      </c>
      <c r="D300" s="2">
        <v>0</v>
      </c>
      <c r="E300" s="2">
        <v>1.6040000000000001</v>
      </c>
      <c r="F300" s="2">
        <v>1</v>
      </c>
    </row>
    <row r="301" spans="1:6" ht="14.25" customHeight="1">
      <c r="A301" s="2">
        <v>25</v>
      </c>
      <c r="B301" s="2">
        <v>300</v>
      </c>
      <c r="C301" s="2">
        <v>1</v>
      </c>
      <c r="D301" s="2">
        <v>1</v>
      </c>
      <c r="E301" s="2">
        <v>0.86799999999999999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26</v>
      </c>
      <c r="I1" s="2">
        <v>101</v>
      </c>
      <c r="J1" s="2">
        <v>1</v>
      </c>
      <c r="K1" s="2">
        <v>1</v>
      </c>
      <c r="L1" s="2">
        <v>1.7050000000000001</v>
      </c>
      <c r="M1" s="2">
        <v>1</v>
      </c>
    </row>
    <row r="2" spans="1:25" ht="14.25" customHeight="1">
      <c r="A2" s="2">
        <v>26</v>
      </c>
      <c r="B2" s="2">
        <v>1</v>
      </c>
      <c r="C2" s="2">
        <v>6</v>
      </c>
      <c r="E2" s="2">
        <v>2.0009999999999999</v>
      </c>
      <c r="H2" s="2">
        <v>26</v>
      </c>
      <c r="I2" s="2">
        <v>102</v>
      </c>
      <c r="J2" s="2">
        <v>8</v>
      </c>
      <c r="K2" s="2">
        <v>1</v>
      </c>
      <c r="L2" s="2">
        <v>1.2450000000000001</v>
      </c>
      <c r="M2" s="2">
        <v>1</v>
      </c>
    </row>
    <row r="3" spans="1:25" ht="14.25" customHeight="1">
      <c r="A3" s="2">
        <v>26</v>
      </c>
      <c r="B3" s="2">
        <v>2</v>
      </c>
      <c r="C3" s="2">
        <v>1</v>
      </c>
      <c r="E3" s="2">
        <v>2.0009999999999999</v>
      </c>
      <c r="H3" s="2">
        <v>26</v>
      </c>
      <c r="I3" s="2">
        <v>103</v>
      </c>
      <c r="J3" s="2">
        <v>4</v>
      </c>
      <c r="K3" s="2">
        <v>1</v>
      </c>
      <c r="L3" s="2">
        <v>0.70199999999999996</v>
      </c>
      <c r="M3" s="2">
        <v>1</v>
      </c>
    </row>
    <row r="4" spans="1:25" ht="14.25" customHeight="1">
      <c r="A4" s="2">
        <v>26</v>
      </c>
      <c r="B4" s="2">
        <v>3</v>
      </c>
      <c r="C4" s="2">
        <v>6</v>
      </c>
      <c r="D4" s="2">
        <v>0</v>
      </c>
      <c r="E4" s="2">
        <v>0.53900000000000003</v>
      </c>
      <c r="F4" s="2">
        <v>2</v>
      </c>
      <c r="H4" s="2">
        <v>26</v>
      </c>
      <c r="I4" s="2">
        <v>104</v>
      </c>
      <c r="J4" s="2">
        <v>5</v>
      </c>
      <c r="K4" s="2">
        <v>0</v>
      </c>
      <c r="L4" s="2">
        <v>1.6120000000000001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26</v>
      </c>
      <c r="B5" s="2">
        <v>4</v>
      </c>
      <c r="C5" s="2">
        <v>2</v>
      </c>
      <c r="D5" s="2">
        <v>0</v>
      </c>
      <c r="E5" s="2">
        <v>0.38400000000000001</v>
      </c>
      <c r="F5" s="2">
        <v>1</v>
      </c>
      <c r="H5" s="2">
        <v>26</v>
      </c>
      <c r="I5" s="2">
        <v>105</v>
      </c>
      <c r="J5" s="2">
        <v>2</v>
      </c>
      <c r="K5" s="2">
        <v>0</v>
      </c>
      <c r="L5" s="2">
        <v>0.76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26</v>
      </c>
      <c r="B6" s="2">
        <v>5</v>
      </c>
      <c r="C6" s="2">
        <v>3</v>
      </c>
      <c r="D6" s="2">
        <v>0</v>
      </c>
      <c r="E6" s="2">
        <v>1.4239999999999999</v>
      </c>
      <c r="F6" s="2">
        <v>2</v>
      </c>
      <c r="H6" s="2">
        <v>26</v>
      </c>
      <c r="I6" s="2">
        <v>106</v>
      </c>
      <c r="J6" s="2">
        <v>5</v>
      </c>
      <c r="K6" s="2">
        <v>1</v>
      </c>
      <c r="L6" s="2">
        <v>0.53700000000000003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26</v>
      </c>
      <c r="B7" s="2">
        <v>6</v>
      </c>
      <c r="C7" s="2">
        <v>2</v>
      </c>
      <c r="D7" s="2">
        <v>1</v>
      </c>
      <c r="E7" s="2">
        <v>1.609</v>
      </c>
      <c r="F7" s="2">
        <v>2</v>
      </c>
      <c r="H7" s="2">
        <v>26</v>
      </c>
      <c r="I7" s="2">
        <v>107</v>
      </c>
      <c r="J7" s="2">
        <v>2</v>
      </c>
      <c r="K7" s="2">
        <v>1</v>
      </c>
      <c r="L7" s="2">
        <v>1.165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26</v>
      </c>
      <c r="B8" s="2">
        <v>7</v>
      </c>
      <c r="C8" s="2">
        <v>5</v>
      </c>
      <c r="E8" s="2">
        <v>2.0009999999999999</v>
      </c>
      <c r="H8" s="2">
        <v>26</v>
      </c>
      <c r="I8" s="2">
        <v>108</v>
      </c>
      <c r="J8" s="2">
        <v>8</v>
      </c>
      <c r="K8" s="2">
        <v>1</v>
      </c>
      <c r="L8" s="2">
        <v>0.51400000000000001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26</v>
      </c>
      <c r="B9" s="2">
        <v>8</v>
      </c>
      <c r="C9" s="2">
        <v>2</v>
      </c>
      <c r="D9" s="2">
        <v>1</v>
      </c>
      <c r="E9" s="2">
        <v>0.79900000000000004</v>
      </c>
      <c r="F9" s="2">
        <v>2</v>
      </c>
      <c r="H9" s="2">
        <v>26</v>
      </c>
      <c r="I9" s="2">
        <v>109</v>
      </c>
      <c r="J9" s="2">
        <v>2</v>
      </c>
      <c r="K9" s="2">
        <v>1</v>
      </c>
      <c r="L9" s="2">
        <v>0.57499999999999996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26</v>
      </c>
      <c r="B10" s="2">
        <v>9</v>
      </c>
      <c r="C10" s="2">
        <v>5</v>
      </c>
      <c r="D10" s="2">
        <v>1</v>
      </c>
      <c r="E10" s="2">
        <v>0.84099999999999997</v>
      </c>
      <c r="F10" s="2">
        <v>1</v>
      </c>
      <c r="H10" s="2">
        <v>26</v>
      </c>
      <c r="I10" s="2">
        <v>110</v>
      </c>
      <c r="J10" s="2">
        <v>7</v>
      </c>
      <c r="K10" s="2">
        <v>1</v>
      </c>
      <c r="L10" s="2">
        <v>0.47499999999999998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26</v>
      </c>
      <c r="B11" s="2">
        <v>10</v>
      </c>
      <c r="C11" s="2">
        <v>7</v>
      </c>
      <c r="D11" s="2">
        <v>1</v>
      </c>
      <c r="E11" s="2">
        <v>1.496</v>
      </c>
      <c r="F11" s="2">
        <v>2</v>
      </c>
      <c r="H11" s="2">
        <v>26</v>
      </c>
      <c r="I11" s="2">
        <v>111</v>
      </c>
      <c r="J11" s="2">
        <v>3</v>
      </c>
      <c r="K11" s="2">
        <v>1</v>
      </c>
      <c r="L11" s="2">
        <v>0.57599999999999996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26</v>
      </c>
      <c r="B12" s="2">
        <v>11</v>
      </c>
      <c r="C12" s="2">
        <v>1</v>
      </c>
      <c r="D12" s="2">
        <v>0</v>
      </c>
      <c r="E12" s="2">
        <v>1.8029999999999999</v>
      </c>
      <c r="F12" s="2">
        <v>2</v>
      </c>
      <c r="H12" s="2">
        <v>26</v>
      </c>
      <c r="I12" s="2">
        <v>112</v>
      </c>
      <c r="J12" s="2">
        <v>6</v>
      </c>
      <c r="K12" s="2">
        <v>1</v>
      </c>
      <c r="L12" s="2">
        <v>0.55900000000000005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26</v>
      </c>
      <c r="B13" s="2">
        <v>12</v>
      </c>
      <c r="C13" s="2">
        <v>2</v>
      </c>
      <c r="D13" s="2">
        <v>1</v>
      </c>
      <c r="E13" s="2">
        <v>1.145</v>
      </c>
      <c r="F13" s="2">
        <v>2</v>
      </c>
      <c r="H13" s="2">
        <v>26</v>
      </c>
      <c r="I13" s="2">
        <v>113</v>
      </c>
      <c r="J13" s="2">
        <v>4</v>
      </c>
      <c r="K13" s="2">
        <v>1</v>
      </c>
      <c r="L13" s="2">
        <v>0.54400000000000004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26</v>
      </c>
      <c r="B14" s="2">
        <v>13</v>
      </c>
      <c r="C14" s="2">
        <v>5</v>
      </c>
      <c r="D14" s="2">
        <v>1</v>
      </c>
      <c r="E14" s="2">
        <v>0.85</v>
      </c>
      <c r="F14" s="2">
        <v>1</v>
      </c>
      <c r="H14" s="2">
        <v>26</v>
      </c>
      <c r="I14" s="2">
        <v>114</v>
      </c>
      <c r="J14" s="2">
        <v>1</v>
      </c>
      <c r="K14" s="2">
        <v>1</v>
      </c>
      <c r="L14" s="2">
        <v>0.44400000000000001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26</v>
      </c>
      <c r="B15" s="2">
        <v>14</v>
      </c>
      <c r="C15" s="2">
        <v>7</v>
      </c>
      <c r="D15" s="2">
        <v>0</v>
      </c>
      <c r="E15" s="2">
        <v>1.1559999999999999</v>
      </c>
      <c r="F15" s="2">
        <v>1</v>
      </c>
      <c r="H15" s="2">
        <v>26</v>
      </c>
      <c r="I15" s="2">
        <v>115</v>
      </c>
      <c r="J15" s="2">
        <v>7</v>
      </c>
      <c r="K15" s="2">
        <v>1</v>
      </c>
      <c r="L15" s="2">
        <v>0.61299999999999999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26</v>
      </c>
      <c r="B16" s="2">
        <v>15</v>
      </c>
      <c r="C16" s="2">
        <v>3</v>
      </c>
      <c r="D16" s="2">
        <v>1</v>
      </c>
      <c r="E16" s="2">
        <v>1.593</v>
      </c>
      <c r="F16" s="2">
        <v>1</v>
      </c>
      <c r="H16" s="2">
        <v>26</v>
      </c>
      <c r="I16" s="2">
        <v>116</v>
      </c>
      <c r="J16" s="2">
        <v>2</v>
      </c>
      <c r="K16" s="2">
        <v>1</v>
      </c>
      <c r="L16" s="2">
        <v>0.439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26</v>
      </c>
      <c r="B17" s="2">
        <v>16</v>
      </c>
      <c r="C17" s="2">
        <v>8</v>
      </c>
      <c r="D17" s="2">
        <v>1</v>
      </c>
      <c r="E17" s="2">
        <v>0.77900000000000003</v>
      </c>
      <c r="F17" s="2">
        <v>2</v>
      </c>
      <c r="H17" s="2">
        <v>26</v>
      </c>
      <c r="I17" s="2">
        <v>117</v>
      </c>
      <c r="J17" s="2">
        <v>6</v>
      </c>
      <c r="K17" s="2">
        <v>0</v>
      </c>
      <c r="L17" s="2">
        <v>0.52300000000000002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7.2900000000000009</v>
      </c>
      <c r="P17" s="3">
        <f t="shared" ref="P17:P22" si="1">(P6*COUNTIF($J$1:$J$101,P$16) - COUNTIFS($J$1:$J$101,P$16,$K$1:$K$101,"=1"))^2</f>
        <v>0.48999999999999899</v>
      </c>
      <c r="Q17" s="3">
        <f t="shared" ref="Q17:Q22" si="2">(Q6*COUNTIF($J$1:$J$101,Q$16) - COUNTIFS($J$1:$J$101,Q$16,$K$1:$K$101,"=0"))^2</f>
        <v>11.559999999999999</v>
      </c>
      <c r="R17" s="3">
        <f t="shared" ref="R17:R22" si="3">(R6*COUNTIF($J$1:$J$101,R$16) - COUNTIFS($J$1:$J$101,R$16,$K$1:$K$101,"=1"))^2</f>
        <v>9.0000000000000427E-2</v>
      </c>
      <c r="S17" s="3">
        <f t="shared" ref="S17:T17" si="4">(S6*COUNTIF($J$1:$J$101,S$16) - COUNTIFS($J$1:$J$101,S$16,$K$1:$K$101,"=0"))^2</f>
        <v>7.2900000000000009</v>
      </c>
      <c r="T17" s="3">
        <f t="shared" si="4"/>
        <v>7.2900000000000009</v>
      </c>
      <c r="U17" s="3">
        <f t="shared" ref="U17:V17" si="5">(U6*COUNTIF($J$1:$J$101,U$16) - COUNTIFS($J$1:$J$101,U$16,$K$1:$K$101,"=1"))^2</f>
        <v>2.7224999999999984</v>
      </c>
      <c r="V17" s="3">
        <f t="shared" si="5"/>
        <v>0.42249999999999932</v>
      </c>
      <c r="W17" s="4"/>
      <c r="X17" s="4"/>
      <c r="Y17" s="4"/>
    </row>
    <row r="18" spans="1:25" ht="14.25" customHeight="1">
      <c r="A18" s="2">
        <v>26</v>
      </c>
      <c r="B18" s="2">
        <v>17</v>
      </c>
      <c r="C18" s="2">
        <v>7</v>
      </c>
      <c r="D18" s="2">
        <v>0</v>
      </c>
      <c r="E18" s="2">
        <v>1.444</v>
      </c>
      <c r="F18" s="2">
        <v>1</v>
      </c>
      <c r="H18" s="2">
        <v>26</v>
      </c>
      <c r="I18" s="2">
        <v>118</v>
      </c>
      <c r="J18" s="2">
        <v>3</v>
      </c>
      <c r="K18" s="2">
        <v>1</v>
      </c>
      <c r="L18" s="2">
        <v>0.92</v>
      </c>
      <c r="M18" s="2">
        <v>2</v>
      </c>
      <c r="N18" s="3">
        <v>2</v>
      </c>
      <c r="O18" s="3">
        <f t="shared" si="0"/>
        <v>7.2900000000000009</v>
      </c>
      <c r="P18" s="3">
        <f t="shared" si="1"/>
        <v>22.090000000000003</v>
      </c>
      <c r="Q18" s="6">
        <f t="shared" si="2"/>
        <v>4</v>
      </c>
      <c r="R18" s="3">
        <f t="shared" si="3"/>
        <v>9.0000000000000427E-2</v>
      </c>
      <c r="S18" s="6">
        <f t="shared" ref="S18:T18" si="6">(S7*COUNTIF($J$1:$J$101,S$16) - COUNTIFS($J$1:$J$101,S$16,$K$1:$K$101,"=0"))^2</f>
        <v>7.2900000000000009</v>
      </c>
      <c r="T18" s="6">
        <f t="shared" si="6"/>
        <v>7.2900000000000009</v>
      </c>
      <c r="U18" s="6">
        <f t="shared" ref="U18:V18" si="7">(U7*COUNTIF($J$1:$J$101,U$16) - COUNTIFS($J$1:$J$101,U$16,$K$1:$K$101,"=1"))^2</f>
        <v>2.7224999999999984</v>
      </c>
      <c r="V18" s="6">
        <f t="shared" si="7"/>
        <v>0.42249999999999932</v>
      </c>
      <c r="W18" s="4"/>
      <c r="X18" s="4"/>
      <c r="Y18" s="4"/>
    </row>
    <row r="19" spans="1:25" ht="14.25" customHeight="1">
      <c r="A19" s="2">
        <v>26</v>
      </c>
      <c r="B19" s="2">
        <v>18</v>
      </c>
      <c r="C19" s="2">
        <v>8</v>
      </c>
      <c r="D19" s="2">
        <v>1</v>
      </c>
      <c r="E19" s="2">
        <v>0.91700000000000004</v>
      </c>
      <c r="F19" s="2">
        <v>2</v>
      </c>
      <c r="H19" s="2">
        <v>26</v>
      </c>
      <c r="I19" s="2">
        <v>119</v>
      </c>
      <c r="J19" s="2">
        <v>2</v>
      </c>
      <c r="K19" s="2">
        <v>1</v>
      </c>
      <c r="L19" s="2">
        <v>0.86699999999999999</v>
      </c>
      <c r="M19" s="2">
        <v>1</v>
      </c>
      <c r="N19" s="3">
        <v>3</v>
      </c>
      <c r="O19" s="3">
        <f t="shared" si="0"/>
        <v>7.2900000000000009</v>
      </c>
      <c r="P19" s="3">
        <f t="shared" si="1"/>
        <v>0.48999999999999899</v>
      </c>
      <c r="Q19" s="3">
        <f t="shared" si="2"/>
        <v>11.559999999999999</v>
      </c>
      <c r="R19" s="3">
        <f t="shared" si="3"/>
        <v>9.0000000000000427E-2</v>
      </c>
      <c r="S19" s="6">
        <f t="shared" ref="S19:T19" si="8">(S8*COUNTIF($J$1:$J$101,S$16) - COUNTIFS($J$1:$J$101,S$16,$K$1:$K$101,"=0"))^2</f>
        <v>7.2900000000000009</v>
      </c>
      <c r="T19" s="6">
        <f t="shared" si="8"/>
        <v>7.2899999999999965</v>
      </c>
      <c r="U19" s="3">
        <f t="shared" ref="U19:V19" si="9">(U8*COUNTIF($J$1:$J$101,U$16) - COUNTIFS($J$1:$J$101,U$16,$K$1:$K$101,"=1"))^2</f>
        <v>21.622500000000002</v>
      </c>
      <c r="V19" s="6">
        <f t="shared" si="9"/>
        <v>0.42249999999999932</v>
      </c>
      <c r="W19" s="4"/>
      <c r="X19" s="4"/>
      <c r="Y19" s="4"/>
    </row>
    <row r="20" spans="1:25" ht="14.25" customHeight="1">
      <c r="A20" s="2">
        <v>26</v>
      </c>
      <c r="B20" s="2">
        <v>19</v>
      </c>
      <c r="C20" s="2">
        <v>6</v>
      </c>
      <c r="D20" s="2">
        <v>1</v>
      </c>
      <c r="E20" s="2">
        <v>0.61099999999999999</v>
      </c>
      <c r="F20" s="2">
        <v>1</v>
      </c>
      <c r="H20" s="2">
        <v>26</v>
      </c>
      <c r="I20" s="2">
        <v>120</v>
      </c>
      <c r="J20" s="2">
        <v>5</v>
      </c>
      <c r="K20" s="2">
        <v>1</v>
      </c>
      <c r="L20" s="2">
        <v>0.38600000000000001</v>
      </c>
      <c r="M20" s="2">
        <v>2</v>
      </c>
      <c r="N20" s="3">
        <v>4</v>
      </c>
      <c r="O20" s="3">
        <f t="shared" si="0"/>
        <v>0</v>
      </c>
      <c r="P20" s="3">
        <f t="shared" si="1"/>
        <v>4</v>
      </c>
      <c r="Q20" s="3">
        <f t="shared" si="2"/>
        <v>1</v>
      </c>
      <c r="R20" s="3">
        <f t="shared" si="3"/>
        <v>9</v>
      </c>
      <c r="S20" s="6">
        <f t="shared" ref="S20:T20" si="10">(S9*COUNTIF($J$1:$J$101,S$16) - COUNTIFS($J$1:$J$101,S$16,$K$1:$K$101,"=0"))^2</f>
        <v>7.2900000000000009</v>
      </c>
      <c r="T20" s="6">
        <f t="shared" si="10"/>
        <v>7.2900000000000009</v>
      </c>
      <c r="U20" s="6">
        <f t="shared" ref="U20:V20" si="11">(U9*COUNTIF($J$1:$J$101,U$16) - COUNTIFS($J$1:$J$101,U$16,$K$1:$K$101,"=1"))^2</f>
        <v>2.7224999999999984</v>
      </c>
      <c r="V20" s="6">
        <f t="shared" si="11"/>
        <v>0.42249999999999932</v>
      </c>
      <c r="W20" s="4"/>
      <c r="X20" s="4"/>
      <c r="Y20" s="4"/>
    </row>
    <row r="21" spans="1:25" ht="14.25" customHeight="1">
      <c r="A21" s="2">
        <v>26</v>
      </c>
      <c r="B21" s="2">
        <v>20</v>
      </c>
      <c r="C21" s="2">
        <v>4</v>
      </c>
      <c r="D21" s="2">
        <v>0</v>
      </c>
      <c r="E21" s="2">
        <v>0.79800000000000004</v>
      </c>
      <c r="F21" s="2">
        <v>1</v>
      </c>
      <c r="H21" s="2">
        <v>26</v>
      </c>
      <c r="I21" s="2">
        <v>121</v>
      </c>
      <c r="J21" s="2">
        <v>1</v>
      </c>
      <c r="K21" s="2">
        <v>0</v>
      </c>
      <c r="L21" s="2">
        <v>0.38900000000000001</v>
      </c>
      <c r="M21" s="2">
        <v>1</v>
      </c>
      <c r="N21" s="3">
        <v>5</v>
      </c>
      <c r="O21" s="3">
        <f t="shared" si="0"/>
        <v>7.2900000000000009</v>
      </c>
      <c r="P21" s="3">
        <f t="shared" si="1"/>
        <v>0.48999999999999899</v>
      </c>
      <c r="Q21" s="3">
        <f t="shared" si="2"/>
        <v>11.559999999999999</v>
      </c>
      <c r="R21" s="3">
        <f t="shared" si="3"/>
        <v>9.0000000000000427E-2</v>
      </c>
      <c r="S21" s="6">
        <f t="shared" ref="S21:T21" si="12">(S10*COUNTIF($J$1:$J$101,S$16) - COUNTIFS($J$1:$J$101,S$16,$K$1:$K$101,"=0"))^2</f>
        <v>0</v>
      </c>
      <c r="T21" s="6">
        <f t="shared" si="12"/>
        <v>0</v>
      </c>
      <c r="U21" s="6">
        <f t="shared" ref="U21:V21" si="13">(U10*COUNTIF($J$1:$J$101,U$16) - COUNTIFS($J$1:$J$101,U$16,$K$1:$K$101,"=1"))^2</f>
        <v>2.25</v>
      </c>
      <c r="V21" s="6">
        <f t="shared" si="13"/>
        <v>6.25</v>
      </c>
      <c r="W21" s="4"/>
      <c r="X21" s="4"/>
      <c r="Y21" s="4"/>
    </row>
    <row r="22" spans="1:25" ht="14.25" customHeight="1">
      <c r="A22" s="2">
        <v>26</v>
      </c>
      <c r="B22" s="2">
        <v>21</v>
      </c>
      <c r="C22" s="2">
        <v>8</v>
      </c>
      <c r="D22" s="2">
        <v>1</v>
      </c>
      <c r="E22" s="2">
        <v>1.2789999999999999</v>
      </c>
      <c r="F22" s="2">
        <v>2</v>
      </c>
      <c r="H22" s="2">
        <v>26</v>
      </c>
      <c r="I22" s="2">
        <v>122</v>
      </c>
      <c r="J22" s="2">
        <v>3</v>
      </c>
      <c r="K22" s="2">
        <v>0</v>
      </c>
      <c r="L22" s="2">
        <v>0.54300000000000004</v>
      </c>
      <c r="M22" s="2">
        <v>2</v>
      </c>
      <c r="N22" s="3">
        <v>6</v>
      </c>
      <c r="O22" s="3">
        <f t="shared" si="0"/>
        <v>0</v>
      </c>
      <c r="P22" s="3">
        <f t="shared" si="1"/>
        <v>4</v>
      </c>
      <c r="Q22" s="3">
        <f t="shared" si="2"/>
        <v>1</v>
      </c>
      <c r="R22" s="3">
        <f t="shared" si="3"/>
        <v>9</v>
      </c>
      <c r="S22" s="6">
        <f t="shared" ref="S22:T22" si="14">(S11*COUNTIF($J$1:$J$101,S$16) - COUNTIFS($J$1:$J$101,S$16,$K$1:$K$101,"=0"))^2</f>
        <v>0</v>
      </c>
      <c r="T22" s="6">
        <f t="shared" si="14"/>
        <v>0</v>
      </c>
      <c r="U22" s="6">
        <f t="shared" ref="U22:V22" si="15">(U11*COUNTIF($J$1:$J$101,U$16) - COUNTIFS($J$1:$J$101,U$16,$K$1:$K$101,"=1"))^2</f>
        <v>2.25</v>
      </c>
      <c r="V22" s="6">
        <f t="shared" si="15"/>
        <v>6.25</v>
      </c>
      <c r="W22" s="4"/>
      <c r="X22" s="4"/>
      <c r="Y22" s="4"/>
    </row>
    <row r="23" spans="1:25" ht="14.25" customHeight="1">
      <c r="A23" s="2">
        <v>26</v>
      </c>
      <c r="B23" s="2">
        <v>22</v>
      </c>
      <c r="C23" s="2">
        <v>1</v>
      </c>
      <c r="D23" s="2">
        <v>1</v>
      </c>
      <c r="E23" s="2">
        <v>0.71899999999999997</v>
      </c>
      <c r="F23" s="2">
        <v>1</v>
      </c>
      <c r="H23" s="2">
        <v>26</v>
      </c>
      <c r="I23" s="2">
        <v>123</v>
      </c>
      <c r="J23" s="2">
        <v>7</v>
      </c>
      <c r="K23" s="2">
        <v>0</v>
      </c>
      <c r="L23" s="2">
        <v>1.4370000000000001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26</v>
      </c>
      <c r="B24" s="2">
        <v>23</v>
      </c>
      <c r="C24" s="2">
        <v>3</v>
      </c>
      <c r="D24" s="2">
        <v>0</v>
      </c>
      <c r="E24" s="2">
        <v>0.97199999999999998</v>
      </c>
      <c r="F24" s="2">
        <v>2</v>
      </c>
      <c r="H24" s="2">
        <v>26</v>
      </c>
      <c r="I24" s="2">
        <v>124</v>
      </c>
      <c r="J24" s="2">
        <v>4</v>
      </c>
      <c r="K24" s="2">
        <v>1</v>
      </c>
      <c r="L24" s="2">
        <v>0.45500000000000002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26</v>
      </c>
      <c r="B25" s="2">
        <v>24</v>
      </c>
      <c r="C25" s="2">
        <v>6</v>
      </c>
      <c r="D25" s="2">
        <v>1</v>
      </c>
      <c r="E25" s="2">
        <v>1.343</v>
      </c>
      <c r="F25" s="2">
        <v>1</v>
      </c>
      <c r="H25" s="2">
        <v>26</v>
      </c>
      <c r="I25" s="2">
        <v>125</v>
      </c>
      <c r="J25" s="2">
        <v>3</v>
      </c>
      <c r="K25" s="2">
        <v>0</v>
      </c>
      <c r="L25" s="2">
        <v>0.374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26</v>
      </c>
      <c r="B26" s="2">
        <v>25</v>
      </c>
      <c r="C26" s="2">
        <v>7</v>
      </c>
      <c r="D26" s="2">
        <v>0</v>
      </c>
      <c r="E26" s="2">
        <v>1.413</v>
      </c>
      <c r="F26" s="2">
        <v>1</v>
      </c>
      <c r="H26" s="2">
        <v>26</v>
      </c>
      <c r="I26" s="2">
        <v>126</v>
      </c>
      <c r="J26" s="2">
        <v>1</v>
      </c>
      <c r="K26" s="2">
        <v>0</v>
      </c>
      <c r="L26" s="2">
        <v>0.35199999999999998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26</v>
      </c>
      <c r="B27" s="2">
        <v>26</v>
      </c>
      <c r="C27" s="2">
        <v>4</v>
      </c>
      <c r="E27" s="2">
        <v>2.0009999999999999</v>
      </c>
      <c r="H27" s="2">
        <v>26</v>
      </c>
      <c r="I27" s="2">
        <v>127</v>
      </c>
      <c r="J27" s="2">
        <v>5</v>
      </c>
      <c r="K27" s="2">
        <v>0</v>
      </c>
      <c r="L27" s="2">
        <v>0.35699999999999998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26</v>
      </c>
      <c r="B28" s="2">
        <v>27</v>
      </c>
      <c r="C28" s="2">
        <v>3</v>
      </c>
      <c r="D28" s="2">
        <v>1</v>
      </c>
      <c r="E28" s="2">
        <v>0.68899999999999995</v>
      </c>
      <c r="F28" s="2">
        <v>1</v>
      </c>
      <c r="H28" s="2">
        <v>26</v>
      </c>
      <c r="I28" s="2">
        <v>128</v>
      </c>
      <c r="J28" s="2">
        <v>4</v>
      </c>
      <c r="K28" s="2">
        <v>1</v>
      </c>
      <c r="L28" s="2">
        <v>0.46500000000000002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26</v>
      </c>
      <c r="B29" s="2">
        <v>28</v>
      </c>
      <c r="C29" s="2">
        <v>1</v>
      </c>
      <c r="D29" s="2">
        <v>0</v>
      </c>
      <c r="E29" s="2">
        <v>0.80800000000000005</v>
      </c>
      <c r="F29" s="2">
        <v>2</v>
      </c>
      <c r="H29" s="2">
        <v>26</v>
      </c>
      <c r="I29" s="2">
        <v>129</v>
      </c>
      <c r="J29" s="2">
        <v>6</v>
      </c>
      <c r="K29" s="2">
        <v>0</v>
      </c>
      <c r="L29" s="2">
        <v>0.56100000000000005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26</v>
      </c>
      <c r="B30" s="2">
        <v>29</v>
      </c>
      <c r="C30" s="2">
        <v>8</v>
      </c>
      <c r="D30" s="2">
        <v>1</v>
      </c>
      <c r="E30" s="2">
        <v>0.89</v>
      </c>
      <c r="F30" s="2">
        <v>2</v>
      </c>
      <c r="H30" s="2">
        <v>26</v>
      </c>
      <c r="I30" s="2">
        <v>130</v>
      </c>
      <c r="J30" s="2">
        <v>1</v>
      </c>
      <c r="K30" s="2">
        <v>1</v>
      </c>
      <c r="L30" s="2">
        <v>0.40500000000000003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26</v>
      </c>
      <c r="B31" s="2">
        <v>30</v>
      </c>
      <c r="C31" s="2">
        <v>7</v>
      </c>
      <c r="D31" s="2">
        <v>1</v>
      </c>
      <c r="E31" s="2">
        <v>0.99199999999999999</v>
      </c>
      <c r="F31" s="2">
        <v>2</v>
      </c>
      <c r="H31" s="2">
        <v>26</v>
      </c>
      <c r="I31" s="2">
        <v>131</v>
      </c>
      <c r="J31" s="2">
        <v>3</v>
      </c>
      <c r="K31" s="2">
        <v>0</v>
      </c>
      <c r="L31" s="2">
        <v>0.53400000000000003</v>
      </c>
      <c r="M31" s="2">
        <v>2</v>
      </c>
      <c r="N31" s="3">
        <v>1</v>
      </c>
      <c r="O31" s="3">
        <f t="shared" ref="O31:O36" si="17">SUM(O17:V17)/SUM(O$26:V$26)</f>
        <v>0.11832802547770699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26</v>
      </c>
      <c r="B32" s="2">
        <v>31</v>
      </c>
      <c r="C32" s="2">
        <v>5</v>
      </c>
      <c r="D32" s="2">
        <v>1</v>
      </c>
      <c r="E32" s="2">
        <v>1.282</v>
      </c>
      <c r="F32" s="2">
        <v>1</v>
      </c>
      <c r="H32" s="2">
        <v>26</v>
      </c>
      <c r="I32" s="2">
        <v>132</v>
      </c>
      <c r="J32" s="2">
        <v>2</v>
      </c>
      <c r="K32" s="2">
        <v>1</v>
      </c>
      <c r="L32" s="2">
        <v>1.42</v>
      </c>
      <c r="M32" s="2">
        <v>1</v>
      </c>
      <c r="N32" s="3">
        <v>2</v>
      </c>
      <c r="O32" s="3">
        <f t="shared" si="17"/>
        <v>0.16304140127388536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26</v>
      </c>
      <c r="B33" s="2">
        <v>32</v>
      </c>
      <c r="C33" s="2">
        <v>6</v>
      </c>
      <c r="D33" s="2">
        <v>0</v>
      </c>
      <c r="E33" s="2">
        <v>1.8979999999999999</v>
      </c>
      <c r="F33" s="2">
        <v>2</v>
      </c>
      <c r="H33" s="2">
        <v>26</v>
      </c>
      <c r="I33" s="2">
        <v>133</v>
      </c>
      <c r="J33" s="2">
        <v>4</v>
      </c>
      <c r="K33" s="2">
        <v>1</v>
      </c>
      <c r="L33" s="2">
        <v>1.736</v>
      </c>
      <c r="M33" s="2">
        <v>2</v>
      </c>
      <c r="N33" s="3">
        <v>3</v>
      </c>
      <c r="O33" s="3">
        <f t="shared" si="17"/>
        <v>0.17851910828025477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26</v>
      </c>
      <c r="B34" s="2">
        <v>33</v>
      </c>
      <c r="C34" s="2">
        <v>8</v>
      </c>
      <c r="D34" s="2">
        <v>0</v>
      </c>
      <c r="E34" s="2">
        <v>0.64900000000000002</v>
      </c>
      <c r="F34" s="2">
        <v>1</v>
      </c>
      <c r="H34" s="2">
        <v>26</v>
      </c>
      <c r="I34" s="2">
        <v>134</v>
      </c>
      <c r="J34" s="2">
        <v>5</v>
      </c>
      <c r="K34" s="2">
        <v>1</v>
      </c>
      <c r="L34" s="2">
        <v>1.226</v>
      </c>
      <c r="M34" s="2">
        <v>1</v>
      </c>
      <c r="N34" s="3">
        <v>4</v>
      </c>
      <c r="O34" s="3">
        <f t="shared" si="17"/>
        <v>0.10103503184713374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26</v>
      </c>
      <c r="B35" s="2">
        <v>34</v>
      </c>
      <c r="C35" s="2">
        <v>1</v>
      </c>
      <c r="D35" s="2">
        <v>1</v>
      </c>
      <c r="E35" s="2">
        <v>1.9239999999999999</v>
      </c>
      <c r="F35" s="2">
        <v>1</v>
      </c>
      <c r="H35" s="2">
        <v>26</v>
      </c>
      <c r="I35" s="2">
        <v>135</v>
      </c>
      <c r="J35" s="2">
        <v>7</v>
      </c>
      <c r="K35" s="2">
        <v>1</v>
      </c>
      <c r="L35" s="2">
        <v>1.8520000000000001</v>
      </c>
      <c r="M35" s="2">
        <v>1</v>
      </c>
      <c r="N35" s="3">
        <v>5</v>
      </c>
      <c r="O35" s="3">
        <f t="shared" si="17"/>
        <v>8.8949044585987264E-2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26</v>
      </c>
      <c r="B36" s="2">
        <v>35</v>
      </c>
      <c r="C36" s="2">
        <v>5</v>
      </c>
      <c r="E36" s="2">
        <v>2</v>
      </c>
      <c r="H36" s="2">
        <v>26</v>
      </c>
      <c r="I36" s="2">
        <v>136</v>
      </c>
      <c r="J36" s="2">
        <v>8</v>
      </c>
      <c r="K36" s="2">
        <v>1</v>
      </c>
      <c r="L36" s="2">
        <v>1.2210000000000001</v>
      </c>
      <c r="M36" s="2">
        <v>2</v>
      </c>
      <c r="N36" s="3">
        <v>6</v>
      </c>
      <c r="O36" s="3">
        <f t="shared" si="17"/>
        <v>7.1656050955414011E-2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26</v>
      </c>
      <c r="B37" s="2">
        <v>36</v>
      </c>
      <c r="C37" s="2">
        <v>4</v>
      </c>
      <c r="D37" s="2">
        <v>1</v>
      </c>
      <c r="E37" s="2">
        <v>1.0409999999999999</v>
      </c>
      <c r="F37" s="2">
        <v>2</v>
      </c>
      <c r="H37" s="2">
        <v>26</v>
      </c>
      <c r="I37" s="2">
        <v>137</v>
      </c>
      <c r="J37" s="2">
        <v>3</v>
      </c>
      <c r="K37" s="2">
        <v>0</v>
      </c>
      <c r="L37" s="2">
        <v>1.175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26</v>
      </c>
      <c r="B38" s="2">
        <v>37</v>
      </c>
      <c r="C38" s="2">
        <v>2</v>
      </c>
      <c r="D38" s="2">
        <v>1</v>
      </c>
      <c r="E38" s="2">
        <v>0.78500000000000003</v>
      </c>
      <c r="F38" s="2">
        <v>2</v>
      </c>
      <c r="H38" s="2">
        <v>26</v>
      </c>
      <c r="I38" s="2">
        <v>138</v>
      </c>
      <c r="J38" s="2">
        <v>8</v>
      </c>
      <c r="K38" s="2">
        <v>1</v>
      </c>
      <c r="L38" s="2">
        <v>1.474</v>
      </c>
      <c r="M38" s="2">
        <v>2</v>
      </c>
    </row>
    <row r="39" spans="1:25" ht="14.25" customHeight="1">
      <c r="A39" s="2">
        <v>26</v>
      </c>
      <c r="B39" s="2">
        <v>38</v>
      </c>
      <c r="C39" s="2">
        <v>4</v>
      </c>
      <c r="D39" s="2">
        <v>0</v>
      </c>
      <c r="E39" s="2">
        <v>0.50800000000000001</v>
      </c>
      <c r="F39" s="2">
        <v>1</v>
      </c>
      <c r="H39" s="2">
        <v>26</v>
      </c>
      <c r="I39" s="2">
        <v>139</v>
      </c>
      <c r="J39" s="2">
        <v>6</v>
      </c>
      <c r="L39" s="2">
        <v>2</v>
      </c>
    </row>
    <row r="40" spans="1:25" ht="14.25" customHeight="1">
      <c r="A40" s="2">
        <v>26</v>
      </c>
      <c r="B40" s="2">
        <v>39</v>
      </c>
      <c r="C40" s="2">
        <v>3</v>
      </c>
      <c r="D40" s="2">
        <v>0</v>
      </c>
      <c r="E40" s="2">
        <v>0.626</v>
      </c>
      <c r="F40" s="2">
        <v>2</v>
      </c>
      <c r="H40" s="2">
        <v>26</v>
      </c>
      <c r="I40" s="2">
        <v>140</v>
      </c>
      <c r="J40" s="2">
        <v>8</v>
      </c>
      <c r="K40" s="2">
        <v>1</v>
      </c>
      <c r="L40" s="2">
        <v>0.94</v>
      </c>
      <c r="M40" s="2">
        <v>2</v>
      </c>
    </row>
    <row r="41" spans="1:25" ht="14.25" customHeight="1">
      <c r="A41" s="2">
        <v>26</v>
      </c>
      <c r="B41" s="2">
        <v>40</v>
      </c>
      <c r="C41" s="2">
        <v>8</v>
      </c>
      <c r="D41" s="2">
        <v>1</v>
      </c>
      <c r="E41" s="2">
        <v>0.76300000000000001</v>
      </c>
      <c r="F41" s="2">
        <v>2</v>
      </c>
      <c r="H41" s="2">
        <v>26</v>
      </c>
      <c r="I41" s="2">
        <v>141</v>
      </c>
      <c r="J41" s="2">
        <v>7</v>
      </c>
      <c r="K41" s="2">
        <v>0</v>
      </c>
      <c r="L41" s="2">
        <v>0.88800000000000001</v>
      </c>
      <c r="M41" s="2">
        <v>1</v>
      </c>
    </row>
    <row r="42" spans="1:25" ht="14.25" customHeight="1">
      <c r="A42" s="2">
        <v>26</v>
      </c>
      <c r="B42" s="2">
        <v>41</v>
      </c>
      <c r="C42" s="2">
        <v>7</v>
      </c>
      <c r="D42" s="2">
        <v>1</v>
      </c>
      <c r="E42" s="2">
        <v>0.69499999999999995</v>
      </c>
      <c r="F42" s="2">
        <v>2</v>
      </c>
      <c r="H42" s="2">
        <v>26</v>
      </c>
      <c r="I42" s="2">
        <v>142</v>
      </c>
      <c r="J42" s="2">
        <v>1</v>
      </c>
      <c r="K42" s="2">
        <v>0</v>
      </c>
      <c r="L42" s="2">
        <v>1.1180000000000001</v>
      </c>
      <c r="M42" s="2">
        <v>1</v>
      </c>
    </row>
    <row r="43" spans="1:25" ht="14.25" customHeight="1">
      <c r="A43" s="2">
        <v>26</v>
      </c>
      <c r="B43" s="2">
        <v>42</v>
      </c>
      <c r="C43" s="2">
        <v>2</v>
      </c>
      <c r="D43" s="2">
        <v>1</v>
      </c>
      <c r="E43" s="2">
        <v>1.911</v>
      </c>
      <c r="F43" s="2">
        <v>2</v>
      </c>
      <c r="H43" s="2">
        <v>26</v>
      </c>
      <c r="I43" s="2">
        <v>143</v>
      </c>
      <c r="J43" s="2">
        <v>8</v>
      </c>
      <c r="K43" s="2">
        <v>1</v>
      </c>
      <c r="L43" s="2">
        <v>0.86099999999999999</v>
      </c>
      <c r="M43" s="2">
        <v>2</v>
      </c>
    </row>
    <row r="44" spans="1:25" ht="14.25" customHeight="1">
      <c r="A44" s="2">
        <v>26</v>
      </c>
      <c r="B44" s="2">
        <v>43</v>
      </c>
      <c r="C44" s="2">
        <v>4</v>
      </c>
      <c r="D44" s="2">
        <v>1</v>
      </c>
      <c r="E44" s="2">
        <v>1.4039999999999999</v>
      </c>
      <c r="F44" s="2">
        <v>2</v>
      </c>
      <c r="H44" s="2">
        <v>26</v>
      </c>
      <c r="I44" s="2">
        <v>144</v>
      </c>
      <c r="J44" s="2">
        <v>7</v>
      </c>
      <c r="K44" s="2">
        <v>1</v>
      </c>
      <c r="L44" s="2">
        <v>1.19</v>
      </c>
      <c r="M44" s="2">
        <v>2</v>
      </c>
    </row>
    <row r="45" spans="1:25" ht="14.25" customHeight="1">
      <c r="A45" s="2">
        <v>26</v>
      </c>
      <c r="B45" s="2">
        <v>44</v>
      </c>
      <c r="C45" s="2">
        <v>8</v>
      </c>
      <c r="D45" s="2">
        <v>1</v>
      </c>
      <c r="E45" s="2">
        <v>1.2150000000000001</v>
      </c>
      <c r="F45" s="2">
        <v>2</v>
      </c>
      <c r="H45" s="2">
        <v>26</v>
      </c>
      <c r="I45" s="2">
        <v>145</v>
      </c>
      <c r="J45" s="2">
        <v>8</v>
      </c>
      <c r="K45" s="2">
        <v>0</v>
      </c>
      <c r="L45" s="2">
        <v>0.68700000000000006</v>
      </c>
      <c r="M45" s="2">
        <v>2</v>
      </c>
    </row>
    <row r="46" spans="1:25" ht="14.25" customHeight="1">
      <c r="A46" s="2">
        <v>26</v>
      </c>
      <c r="B46" s="2">
        <v>45</v>
      </c>
      <c r="C46" s="2">
        <v>1</v>
      </c>
      <c r="D46" s="2">
        <v>0</v>
      </c>
      <c r="E46" s="2">
        <v>0.93600000000000005</v>
      </c>
      <c r="F46" s="2">
        <v>2</v>
      </c>
      <c r="H46" s="2">
        <v>26</v>
      </c>
      <c r="I46" s="2">
        <v>146</v>
      </c>
      <c r="J46" s="2">
        <v>4</v>
      </c>
      <c r="K46" s="2">
        <v>1</v>
      </c>
      <c r="L46" s="2">
        <v>0.35699999999999998</v>
      </c>
      <c r="M46" s="2">
        <v>1</v>
      </c>
    </row>
    <row r="47" spans="1:25" ht="14.25" customHeight="1">
      <c r="A47" s="2">
        <v>26</v>
      </c>
      <c r="B47" s="2">
        <v>46</v>
      </c>
      <c r="C47" s="2">
        <v>3</v>
      </c>
      <c r="D47" s="2">
        <v>1</v>
      </c>
      <c r="E47" s="2">
        <v>0.57299999999999995</v>
      </c>
      <c r="F47" s="2">
        <v>1</v>
      </c>
      <c r="H47" s="2">
        <v>26</v>
      </c>
      <c r="I47" s="2">
        <v>147</v>
      </c>
      <c r="J47" s="2">
        <v>7</v>
      </c>
      <c r="K47" s="2">
        <v>1</v>
      </c>
      <c r="L47" s="2">
        <v>0.33</v>
      </c>
      <c r="M47" s="2">
        <v>1</v>
      </c>
    </row>
    <row r="48" spans="1:25" ht="14.25" customHeight="1">
      <c r="A48" s="2">
        <v>26</v>
      </c>
      <c r="B48" s="2">
        <v>47</v>
      </c>
      <c r="C48" s="2">
        <v>6</v>
      </c>
      <c r="D48" s="2">
        <v>1</v>
      </c>
      <c r="E48" s="2">
        <v>0.66400000000000003</v>
      </c>
      <c r="F48" s="2">
        <v>1</v>
      </c>
      <c r="H48" s="2">
        <v>26</v>
      </c>
      <c r="I48" s="2">
        <v>148</v>
      </c>
      <c r="J48" s="2">
        <v>6</v>
      </c>
      <c r="K48" s="2">
        <v>1</v>
      </c>
      <c r="L48" s="2">
        <v>0.51100000000000001</v>
      </c>
      <c r="M48" s="2">
        <v>2</v>
      </c>
    </row>
    <row r="49" spans="1:13" ht="14.25" customHeight="1">
      <c r="A49" s="2">
        <v>26</v>
      </c>
      <c r="B49" s="2">
        <v>48</v>
      </c>
      <c r="C49" s="2">
        <v>4</v>
      </c>
      <c r="D49" s="2">
        <v>0</v>
      </c>
      <c r="E49" s="2">
        <v>0.61099999999999999</v>
      </c>
      <c r="F49" s="2">
        <v>1</v>
      </c>
      <c r="H49" s="2">
        <v>26</v>
      </c>
      <c r="I49" s="2">
        <v>149</v>
      </c>
      <c r="J49" s="2">
        <v>5</v>
      </c>
      <c r="K49" s="2">
        <v>0</v>
      </c>
      <c r="L49" s="2">
        <v>0.80700000000000005</v>
      </c>
      <c r="M49" s="2">
        <v>2</v>
      </c>
    </row>
    <row r="50" spans="1:13" ht="14.25" customHeight="1">
      <c r="A50" s="2">
        <v>26</v>
      </c>
      <c r="B50" s="2">
        <v>49</v>
      </c>
      <c r="C50" s="2">
        <v>5</v>
      </c>
      <c r="D50" s="2">
        <v>0</v>
      </c>
      <c r="E50" s="2">
        <v>0.59299999999999997</v>
      </c>
      <c r="F50" s="2">
        <v>2</v>
      </c>
      <c r="H50" s="2">
        <v>26</v>
      </c>
      <c r="I50" s="2">
        <v>150</v>
      </c>
      <c r="J50" s="2">
        <v>6</v>
      </c>
      <c r="K50" s="2">
        <v>0</v>
      </c>
      <c r="L50" s="2">
        <v>0.318</v>
      </c>
      <c r="M50" s="2">
        <v>1</v>
      </c>
    </row>
    <row r="51" spans="1:13" ht="14.25" customHeight="1">
      <c r="A51" s="2">
        <v>26</v>
      </c>
      <c r="B51" s="2">
        <v>50</v>
      </c>
      <c r="C51" s="2">
        <v>7</v>
      </c>
      <c r="D51" s="2">
        <v>0</v>
      </c>
      <c r="E51" s="2">
        <v>0.87</v>
      </c>
      <c r="F51" s="2">
        <v>1</v>
      </c>
    </row>
    <row r="52" spans="1:13" ht="14.25" customHeight="1">
      <c r="A52" s="2">
        <v>26</v>
      </c>
      <c r="B52" s="2">
        <v>51</v>
      </c>
      <c r="C52" s="2">
        <v>5</v>
      </c>
      <c r="D52" s="2">
        <v>0</v>
      </c>
      <c r="E52" s="2">
        <v>1.476</v>
      </c>
      <c r="F52" s="2">
        <v>2</v>
      </c>
    </row>
    <row r="53" spans="1:13" ht="14.25" customHeight="1">
      <c r="A53" s="2">
        <v>26</v>
      </c>
      <c r="B53" s="2">
        <v>52</v>
      </c>
      <c r="C53" s="2">
        <v>3</v>
      </c>
      <c r="D53" s="2">
        <v>1</v>
      </c>
      <c r="E53" s="2">
        <v>1.32</v>
      </c>
      <c r="F53" s="2">
        <v>1</v>
      </c>
    </row>
    <row r="54" spans="1:13" ht="14.25" customHeight="1">
      <c r="A54" s="2">
        <v>26</v>
      </c>
      <c r="B54" s="2">
        <v>53</v>
      </c>
      <c r="C54" s="2">
        <v>7</v>
      </c>
      <c r="D54" s="2">
        <v>1</v>
      </c>
      <c r="E54" s="2">
        <v>0.83099999999999996</v>
      </c>
      <c r="F54" s="2">
        <v>1</v>
      </c>
    </row>
    <row r="55" spans="1:13" ht="14.25" customHeight="1">
      <c r="A55" s="2">
        <v>26</v>
      </c>
      <c r="B55" s="2">
        <v>54</v>
      </c>
      <c r="C55" s="2">
        <v>3</v>
      </c>
      <c r="D55" s="2">
        <v>0</v>
      </c>
      <c r="E55" s="2">
        <v>0.64700000000000002</v>
      </c>
      <c r="F55" s="2">
        <v>1</v>
      </c>
    </row>
    <row r="56" spans="1:13" ht="14.25" customHeight="1">
      <c r="A56" s="2">
        <v>26</v>
      </c>
      <c r="B56" s="2">
        <v>55</v>
      </c>
      <c r="C56" s="2">
        <v>2</v>
      </c>
      <c r="D56" s="2">
        <v>0</v>
      </c>
      <c r="E56" s="2">
        <v>0.312</v>
      </c>
      <c r="F56" s="2">
        <v>2</v>
      </c>
    </row>
    <row r="57" spans="1:13" ht="14.25" customHeight="1">
      <c r="A57" s="2">
        <v>26</v>
      </c>
      <c r="B57" s="2">
        <v>56</v>
      </c>
      <c r="C57" s="2">
        <v>4</v>
      </c>
      <c r="D57" s="2">
        <v>0</v>
      </c>
      <c r="E57" s="2">
        <v>0.59</v>
      </c>
      <c r="F57" s="2">
        <v>1</v>
      </c>
    </row>
    <row r="58" spans="1:13" ht="14.25" customHeight="1">
      <c r="A58" s="2">
        <v>26</v>
      </c>
      <c r="B58" s="2">
        <v>57</v>
      </c>
      <c r="C58" s="2">
        <v>6</v>
      </c>
      <c r="D58" s="2">
        <v>0</v>
      </c>
      <c r="E58" s="2">
        <v>0.52100000000000002</v>
      </c>
      <c r="F58" s="2">
        <v>2</v>
      </c>
    </row>
    <row r="59" spans="1:13" ht="14.25" customHeight="1">
      <c r="A59" s="2">
        <v>26</v>
      </c>
      <c r="B59" s="2">
        <v>58</v>
      </c>
      <c r="C59" s="2">
        <v>5</v>
      </c>
      <c r="D59" s="2">
        <v>1</v>
      </c>
      <c r="E59" s="2">
        <v>1.286</v>
      </c>
      <c r="F59" s="2">
        <v>2</v>
      </c>
    </row>
    <row r="60" spans="1:13" ht="14.25" customHeight="1">
      <c r="A60" s="2">
        <v>26</v>
      </c>
      <c r="B60" s="2">
        <v>59</v>
      </c>
      <c r="C60" s="2">
        <v>4</v>
      </c>
      <c r="D60" s="2">
        <v>1</v>
      </c>
      <c r="E60" s="2">
        <v>0.53300000000000003</v>
      </c>
      <c r="F60" s="2">
        <v>1</v>
      </c>
    </row>
    <row r="61" spans="1:13" ht="14.25" customHeight="1">
      <c r="A61" s="2">
        <v>26</v>
      </c>
      <c r="B61" s="2">
        <v>60</v>
      </c>
      <c r="C61" s="2">
        <v>7</v>
      </c>
      <c r="D61" s="2">
        <v>1</v>
      </c>
      <c r="E61" s="2">
        <v>0.441</v>
      </c>
      <c r="F61" s="2">
        <v>2</v>
      </c>
    </row>
    <row r="62" spans="1:13" ht="14.25" customHeight="1">
      <c r="A62" s="2">
        <v>26</v>
      </c>
      <c r="B62" s="2">
        <v>61</v>
      </c>
      <c r="C62" s="2">
        <v>4</v>
      </c>
      <c r="D62" s="2">
        <v>1</v>
      </c>
      <c r="E62" s="2">
        <v>0.44900000000000001</v>
      </c>
      <c r="F62" s="2">
        <v>1</v>
      </c>
    </row>
    <row r="63" spans="1:13" ht="14.25" customHeight="1">
      <c r="A63" s="2">
        <v>26</v>
      </c>
      <c r="B63" s="2">
        <v>62</v>
      </c>
      <c r="C63" s="2">
        <v>2</v>
      </c>
      <c r="D63" s="2">
        <v>1</v>
      </c>
      <c r="E63" s="2">
        <v>0.748</v>
      </c>
      <c r="F63" s="2">
        <v>2</v>
      </c>
    </row>
    <row r="64" spans="1:13" ht="14.25" customHeight="1">
      <c r="A64" s="2">
        <v>26</v>
      </c>
      <c r="B64" s="2">
        <v>63</v>
      </c>
      <c r="C64" s="2">
        <v>8</v>
      </c>
      <c r="D64" s="2">
        <v>1</v>
      </c>
      <c r="E64" s="2">
        <v>0.502</v>
      </c>
      <c r="F64" s="2">
        <v>1</v>
      </c>
    </row>
    <row r="65" spans="1:6" ht="14.25" customHeight="1">
      <c r="A65" s="2">
        <v>26</v>
      </c>
      <c r="B65" s="2">
        <v>64</v>
      </c>
      <c r="C65" s="2">
        <v>1</v>
      </c>
      <c r="D65" s="2">
        <v>1</v>
      </c>
      <c r="E65" s="2">
        <v>0.621</v>
      </c>
      <c r="F65" s="2">
        <v>2</v>
      </c>
    </row>
    <row r="66" spans="1:6" ht="14.25" customHeight="1">
      <c r="A66" s="2">
        <v>26</v>
      </c>
      <c r="B66" s="2">
        <v>65</v>
      </c>
      <c r="C66" s="2">
        <v>7</v>
      </c>
      <c r="D66" s="2">
        <v>1</v>
      </c>
      <c r="E66" s="2">
        <v>0.437</v>
      </c>
      <c r="F66" s="2">
        <v>1</v>
      </c>
    </row>
    <row r="67" spans="1:6" ht="14.25" customHeight="1">
      <c r="A67" s="2">
        <v>26</v>
      </c>
      <c r="B67" s="2">
        <v>66</v>
      </c>
      <c r="C67" s="2">
        <v>5</v>
      </c>
      <c r="D67" s="2">
        <v>1</v>
      </c>
      <c r="E67" s="2">
        <v>0.438</v>
      </c>
      <c r="F67" s="2">
        <v>2</v>
      </c>
    </row>
    <row r="68" spans="1:6" ht="14.25" customHeight="1">
      <c r="A68" s="2">
        <v>26</v>
      </c>
      <c r="B68" s="2">
        <v>67</v>
      </c>
      <c r="C68" s="2">
        <v>8</v>
      </c>
      <c r="D68" s="2">
        <v>0</v>
      </c>
      <c r="E68" s="2">
        <v>0.73399999999999999</v>
      </c>
      <c r="F68" s="2">
        <v>1</v>
      </c>
    </row>
    <row r="69" spans="1:6" ht="14.25" customHeight="1">
      <c r="A69" s="2">
        <v>26</v>
      </c>
      <c r="B69" s="2">
        <v>68</v>
      </c>
      <c r="C69" s="2">
        <v>1</v>
      </c>
      <c r="E69" s="2">
        <v>2</v>
      </c>
    </row>
    <row r="70" spans="1:6" ht="14.25" customHeight="1">
      <c r="A70" s="2">
        <v>26</v>
      </c>
      <c r="B70" s="2">
        <v>69</v>
      </c>
      <c r="C70" s="2">
        <v>6</v>
      </c>
      <c r="D70" s="2">
        <v>1</v>
      </c>
      <c r="E70" s="2">
        <v>0.56599999999999995</v>
      </c>
      <c r="F70" s="2">
        <v>1</v>
      </c>
    </row>
    <row r="71" spans="1:6" ht="14.25" customHeight="1">
      <c r="A71" s="2">
        <v>26</v>
      </c>
      <c r="B71" s="2">
        <v>70</v>
      </c>
      <c r="C71" s="2">
        <v>5</v>
      </c>
      <c r="D71" s="2">
        <v>1</v>
      </c>
      <c r="E71" s="2">
        <v>0.434</v>
      </c>
      <c r="F71" s="2">
        <v>2</v>
      </c>
    </row>
    <row r="72" spans="1:6" ht="14.25" customHeight="1">
      <c r="A72" s="2">
        <v>26</v>
      </c>
      <c r="B72" s="2">
        <v>71</v>
      </c>
      <c r="C72" s="2">
        <v>3</v>
      </c>
      <c r="D72" s="2">
        <v>0</v>
      </c>
      <c r="E72" s="2">
        <v>0.34799999999999998</v>
      </c>
      <c r="F72" s="2">
        <v>1</v>
      </c>
    </row>
    <row r="73" spans="1:6" ht="14.25" customHeight="1">
      <c r="A73" s="2">
        <v>26</v>
      </c>
      <c r="B73" s="2">
        <v>72</v>
      </c>
      <c r="C73" s="2">
        <v>7</v>
      </c>
      <c r="D73" s="2">
        <v>0</v>
      </c>
      <c r="E73" s="2">
        <v>1.1759999999999999</v>
      </c>
      <c r="F73" s="2">
        <v>2</v>
      </c>
    </row>
    <row r="74" spans="1:6" ht="14.25" customHeight="1">
      <c r="A74" s="2">
        <v>26</v>
      </c>
      <c r="B74" s="2">
        <v>73</v>
      </c>
      <c r="C74" s="2">
        <v>6</v>
      </c>
      <c r="D74" s="2">
        <v>0</v>
      </c>
      <c r="E74" s="2">
        <v>0.41899999999999998</v>
      </c>
      <c r="F74" s="2">
        <v>2</v>
      </c>
    </row>
    <row r="75" spans="1:6" ht="14.25" customHeight="1">
      <c r="A75" s="2">
        <v>26</v>
      </c>
      <c r="B75" s="2">
        <v>74</v>
      </c>
      <c r="C75" s="2">
        <v>1</v>
      </c>
      <c r="D75" s="2">
        <v>0</v>
      </c>
      <c r="E75" s="2">
        <v>0.36499999999999999</v>
      </c>
      <c r="F75" s="2">
        <v>2</v>
      </c>
    </row>
    <row r="76" spans="1:6" ht="14.25" customHeight="1">
      <c r="A76" s="2">
        <v>26</v>
      </c>
      <c r="B76" s="2">
        <v>75</v>
      </c>
      <c r="C76" s="2">
        <v>2</v>
      </c>
      <c r="D76" s="2">
        <v>1</v>
      </c>
      <c r="E76" s="2">
        <v>0.33100000000000002</v>
      </c>
      <c r="F76" s="2">
        <v>2</v>
      </c>
    </row>
    <row r="77" spans="1:6" ht="14.25" customHeight="1">
      <c r="A77" s="2">
        <v>26</v>
      </c>
      <c r="B77" s="2">
        <v>76</v>
      </c>
      <c r="C77" s="2">
        <v>7</v>
      </c>
      <c r="D77" s="2">
        <v>1</v>
      </c>
      <c r="E77" s="2">
        <v>0.41299999999999998</v>
      </c>
      <c r="F77" s="2">
        <v>2</v>
      </c>
    </row>
    <row r="78" spans="1:6" ht="14.25" customHeight="1">
      <c r="A78" s="2">
        <v>26</v>
      </c>
      <c r="B78" s="2">
        <v>77</v>
      </c>
      <c r="C78" s="2">
        <v>5</v>
      </c>
      <c r="D78" s="2">
        <v>0</v>
      </c>
      <c r="E78" s="2">
        <v>0.32</v>
      </c>
      <c r="F78" s="2">
        <v>2</v>
      </c>
    </row>
    <row r="79" spans="1:6" ht="14.25" customHeight="1">
      <c r="A79" s="2">
        <v>26</v>
      </c>
      <c r="B79" s="2">
        <v>78</v>
      </c>
      <c r="C79" s="2">
        <v>8</v>
      </c>
      <c r="D79" s="2">
        <v>1</v>
      </c>
      <c r="E79" s="2">
        <v>0.46100000000000002</v>
      </c>
      <c r="F79" s="2">
        <v>1</v>
      </c>
    </row>
    <row r="80" spans="1:6" ht="14.25" customHeight="1">
      <c r="A80" s="2">
        <v>26</v>
      </c>
      <c r="B80" s="2">
        <v>79</v>
      </c>
      <c r="C80" s="2">
        <v>6</v>
      </c>
      <c r="D80" s="2">
        <v>0</v>
      </c>
      <c r="E80" s="2">
        <v>1.141</v>
      </c>
      <c r="F80" s="2">
        <v>1</v>
      </c>
    </row>
    <row r="81" spans="1:6" ht="14.25" customHeight="1">
      <c r="A81" s="2">
        <v>26</v>
      </c>
      <c r="B81" s="2">
        <v>80</v>
      </c>
      <c r="C81" s="2">
        <v>2</v>
      </c>
      <c r="D81" s="2">
        <v>1</v>
      </c>
      <c r="E81" s="2">
        <v>0.34</v>
      </c>
      <c r="F81" s="2">
        <v>2</v>
      </c>
    </row>
    <row r="82" spans="1:6" ht="14.25" customHeight="1">
      <c r="A82" s="2">
        <v>26</v>
      </c>
      <c r="B82" s="2">
        <v>81</v>
      </c>
      <c r="C82" s="2">
        <v>4</v>
      </c>
      <c r="D82" s="2">
        <v>1</v>
      </c>
      <c r="E82" s="2">
        <v>0.36599999999999999</v>
      </c>
      <c r="F82" s="2">
        <v>1</v>
      </c>
    </row>
    <row r="83" spans="1:6" ht="14.25" customHeight="1">
      <c r="A83" s="2">
        <v>26</v>
      </c>
      <c r="B83" s="2">
        <v>82</v>
      </c>
      <c r="C83" s="2">
        <v>3</v>
      </c>
      <c r="D83" s="2">
        <v>1</v>
      </c>
      <c r="E83" s="2">
        <v>0.66900000000000004</v>
      </c>
      <c r="F83" s="2">
        <v>1</v>
      </c>
    </row>
    <row r="84" spans="1:6" ht="14.25" customHeight="1">
      <c r="A84" s="2">
        <v>26</v>
      </c>
      <c r="B84" s="2">
        <v>83</v>
      </c>
      <c r="C84" s="2">
        <v>6</v>
      </c>
      <c r="D84" s="2">
        <v>1</v>
      </c>
      <c r="E84" s="2">
        <v>0.91400000000000003</v>
      </c>
      <c r="F84" s="2">
        <v>2</v>
      </c>
    </row>
    <row r="85" spans="1:6" ht="14.25" customHeight="1">
      <c r="A85" s="2">
        <v>26</v>
      </c>
      <c r="B85" s="2">
        <v>84</v>
      </c>
      <c r="C85" s="2">
        <v>8</v>
      </c>
      <c r="D85" s="2">
        <v>0</v>
      </c>
      <c r="E85" s="2">
        <v>0.61599999999999999</v>
      </c>
      <c r="F85" s="2">
        <v>2</v>
      </c>
    </row>
    <row r="86" spans="1:6" ht="14.25" customHeight="1">
      <c r="A86" s="2">
        <v>26</v>
      </c>
      <c r="B86" s="2">
        <v>85</v>
      </c>
      <c r="C86" s="2">
        <v>3</v>
      </c>
      <c r="D86" s="2">
        <v>1</v>
      </c>
      <c r="E86" s="2">
        <v>0.78500000000000003</v>
      </c>
      <c r="F86" s="2">
        <v>1</v>
      </c>
    </row>
    <row r="87" spans="1:6" ht="14.25" customHeight="1">
      <c r="A87" s="2">
        <v>26</v>
      </c>
      <c r="B87" s="2">
        <v>86</v>
      </c>
      <c r="C87" s="2">
        <v>4</v>
      </c>
      <c r="D87" s="2">
        <v>1</v>
      </c>
      <c r="E87" s="2">
        <v>0.46800000000000003</v>
      </c>
      <c r="F87" s="2">
        <v>2</v>
      </c>
    </row>
    <row r="88" spans="1:6" ht="14.25" customHeight="1">
      <c r="A88" s="2">
        <v>26</v>
      </c>
      <c r="B88" s="2">
        <v>87</v>
      </c>
      <c r="C88" s="2">
        <v>2</v>
      </c>
      <c r="D88" s="2">
        <v>1</v>
      </c>
      <c r="E88" s="2">
        <v>0.50900000000000001</v>
      </c>
      <c r="F88" s="2">
        <v>2</v>
      </c>
    </row>
    <row r="89" spans="1:6" ht="14.25" customHeight="1">
      <c r="A89" s="2">
        <v>26</v>
      </c>
      <c r="B89" s="2">
        <v>88</v>
      </c>
      <c r="C89" s="2">
        <v>7</v>
      </c>
      <c r="D89" s="2">
        <v>0</v>
      </c>
      <c r="E89" s="2">
        <v>0.35499999999999998</v>
      </c>
      <c r="F89" s="2">
        <v>1</v>
      </c>
    </row>
    <row r="90" spans="1:6" ht="14.25" customHeight="1">
      <c r="A90" s="2">
        <v>26</v>
      </c>
      <c r="B90" s="2">
        <v>89</v>
      </c>
      <c r="C90" s="2">
        <v>6</v>
      </c>
      <c r="D90" s="2">
        <v>1</v>
      </c>
      <c r="E90" s="2">
        <v>0.59099999999999997</v>
      </c>
      <c r="F90" s="2">
        <v>1</v>
      </c>
    </row>
    <row r="91" spans="1:6" ht="14.25" customHeight="1">
      <c r="A91" s="2">
        <v>26</v>
      </c>
      <c r="B91" s="2">
        <v>90</v>
      </c>
      <c r="C91" s="2">
        <v>8</v>
      </c>
      <c r="D91" s="2">
        <v>0</v>
      </c>
      <c r="E91" s="2">
        <v>0.36099999999999999</v>
      </c>
      <c r="F91" s="2">
        <v>1</v>
      </c>
    </row>
    <row r="92" spans="1:6" ht="14.25" customHeight="1">
      <c r="A92" s="2">
        <v>26</v>
      </c>
      <c r="B92" s="2">
        <v>91</v>
      </c>
      <c r="C92" s="2">
        <v>1</v>
      </c>
      <c r="D92" s="2">
        <v>0</v>
      </c>
      <c r="E92" s="2">
        <v>0.66900000000000004</v>
      </c>
      <c r="F92" s="2">
        <v>1</v>
      </c>
    </row>
    <row r="93" spans="1:6" ht="14.25" customHeight="1">
      <c r="A93" s="2">
        <v>26</v>
      </c>
      <c r="B93" s="2">
        <v>92</v>
      </c>
      <c r="C93" s="2">
        <v>3</v>
      </c>
      <c r="D93" s="2">
        <v>0</v>
      </c>
      <c r="E93" s="2">
        <v>0.501</v>
      </c>
      <c r="F93" s="2">
        <v>1</v>
      </c>
    </row>
    <row r="94" spans="1:6" ht="14.25" customHeight="1">
      <c r="A94" s="2">
        <v>26</v>
      </c>
      <c r="B94" s="2">
        <v>93</v>
      </c>
      <c r="C94" s="2">
        <v>8</v>
      </c>
      <c r="D94" s="2">
        <v>0</v>
      </c>
      <c r="E94" s="2">
        <v>0.36299999999999999</v>
      </c>
      <c r="F94" s="2">
        <v>1</v>
      </c>
    </row>
    <row r="95" spans="1:6" ht="14.25" customHeight="1">
      <c r="A95" s="2">
        <v>26</v>
      </c>
      <c r="B95" s="2">
        <v>94</v>
      </c>
      <c r="C95" s="2">
        <v>1</v>
      </c>
      <c r="D95" s="2">
        <v>1</v>
      </c>
      <c r="E95" s="2">
        <v>0.47099999999999997</v>
      </c>
      <c r="F95" s="2">
        <v>2</v>
      </c>
    </row>
    <row r="96" spans="1:6" ht="14.25" customHeight="1">
      <c r="A96" s="2">
        <v>26</v>
      </c>
      <c r="B96" s="2">
        <v>95</v>
      </c>
      <c r="C96" s="2">
        <v>8</v>
      </c>
      <c r="D96" s="2">
        <v>1</v>
      </c>
      <c r="E96" s="2">
        <v>0.42199999999999999</v>
      </c>
      <c r="F96" s="2">
        <v>1</v>
      </c>
    </row>
    <row r="97" spans="1:6" ht="14.25" customHeight="1">
      <c r="A97" s="2">
        <v>26</v>
      </c>
      <c r="B97" s="2">
        <v>96</v>
      </c>
      <c r="C97" s="2">
        <v>4</v>
      </c>
      <c r="D97" s="2">
        <v>0</v>
      </c>
      <c r="E97" s="2">
        <v>0.99099999999999999</v>
      </c>
      <c r="F97" s="2">
        <v>2</v>
      </c>
    </row>
    <row r="98" spans="1:6" ht="14.25" customHeight="1">
      <c r="A98" s="2">
        <v>26</v>
      </c>
      <c r="B98" s="2">
        <v>97</v>
      </c>
      <c r="C98" s="2">
        <v>7</v>
      </c>
      <c r="D98" s="2">
        <v>1</v>
      </c>
      <c r="E98" s="2">
        <v>0.39300000000000002</v>
      </c>
      <c r="F98" s="2">
        <v>1</v>
      </c>
    </row>
    <row r="99" spans="1:6" ht="14.25" customHeight="1">
      <c r="A99" s="2">
        <v>26</v>
      </c>
      <c r="B99" s="2">
        <v>98</v>
      </c>
      <c r="C99" s="2">
        <v>2</v>
      </c>
      <c r="D99" s="2">
        <v>0</v>
      </c>
      <c r="E99" s="2">
        <v>0.4</v>
      </c>
      <c r="F99" s="2">
        <v>1</v>
      </c>
    </row>
    <row r="100" spans="1:6" ht="14.25" customHeight="1">
      <c r="A100" s="2">
        <v>26</v>
      </c>
      <c r="B100" s="2">
        <v>99</v>
      </c>
      <c r="C100" s="2">
        <v>5</v>
      </c>
      <c r="D100" s="2">
        <v>0</v>
      </c>
      <c r="E100" s="2">
        <v>0.54400000000000004</v>
      </c>
      <c r="F100" s="2">
        <v>2</v>
      </c>
    </row>
    <row r="101" spans="1:6" ht="14.25" customHeight="1">
      <c r="A101" s="2">
        <v>26</v>
      </c>
      <c r="B101" s="2">
        <v>100</v>
      </c>
      <c r="C101" s="2">
        <v>1</v>
      </c>
      <c r="D101" s="2">
        <v>1</v>
      </c>
      <c r="E101" s="2">
        <v>0.89100000000000001</v>
      </c>
      <c r="F101" s="2">
        <v>2</v>
      </c>
    </row>
    <row r="102" spans="1:6" ht="14.25" customHeight="1">
      <c r="A102" s="2">
        <v>26</v>
      </c>
      <c r="B102" s="2">
        <v>101</v>
      </c>
      <c r="C102" s="2">
        <v>1</v>
      </c>
      <c r="D102" s="2">
        <v>1</v>
      </c>
      <c r="E102" s="2">
        <v>1.7050000000000001</v>
      </c>
      <c r="F102" s="2">
        <v>1</v>
      </c>
    </row>
    <row r="103" spans="1:6" ht="14.25" customHeight="1">
      <c r="A103" s="2">
        <v>26</v>
      </c>
      <c r="B103" s="2">
        <v>102</v>
      </c>
      <c r="C103" s="2">
        <v>8</v>
      </c>
      <c r="D103" s="2">
        <v>1</v>
      </c>
      <c r="E103" s="2">
        <v>1.2450000000000001</v>
      </c>
      <c r="F103" s="2">
        <v>1</v>
      </c>
    </row>
    <row r="104" spans="1:6" ht="14.25" customHeight="1">
      <c r="A104" s="2">
        <v>26</v>
      </c>
      <c r="B104" s="2">
        <v>103</v>
      </c>
      <c r="C104" s="2">
        <v>4</v>
      </c>
      <c r="D104" s="2">
        <v>1</v>
      </c>
      <c r="E104" s="2">
        <v>0.70199999999999996</v>
      </c>
      <c r="F104" s="2">
        <v>1</v>
      </c>
    </row>
    <row r="105" spans="1:6" ht="14.25" customHeight="1">
      <c r="A105" s="2">
        <v>26</v>
      </c>
      <c r="B105" s="2">
        <v>104</v>
      </c>
      <c r="C105" s="2">
        <v>5</v>
      </c>
      <c r="D105" s="2">
        <v>0</v>
      </c>
      <c r="E105" s="2">
        <v>1.6120000000000001</v>
      </c>
      <c r="F105" s="2">
        <v>1</v>
      </c>
    </row>
    <row r="106" spans="1:6" ht="14.25" customHeight="1">
      <c r="A106" s="2">
        <v>26</v>
      </c>
      <c r="B106" s="2">
        <v>105</v>
      </c>
      <c r="C106" s="2">
        <v>2</v>
      </c>
      <c r="D106" s="2">
        <v>0</v>
      </c>
      <c r="E106" s="2">
        <v>0.76</v>
      </c>
      <c r="F106" s="2">
        <v>2</v>
      </c>
    </row>
    <row r="107" spans="1:6" ht="14.25" customHeight="1">
      <c r="A107" s="2">
        <v>26</v>
      </c>
      <c r="B107" s="2">
        <v>106</v>
      </c>
      <c r="C107" s="2">
        <v>5</v>
      </c>
      <c r="D107" s="2">
        <v>1</v>
      </c>
      <c r="E107" s="2">
        <v>0.53700000000000003</v>
      </c>
      <c r="F107" s="2">
        <v>2</v>
      </c>
    </row>
    <row r="108" spans="1:6" ht="14.25" customHeight="1">
      <c r="A108" s="2">
        <v>26</v>
      </c>
      <c r="B108" s="2">
        <v>107</v>
      </c>
      <c r="C108" s="2">
        <v>2</v>
      </c>
      <c r="D108" s="2">
        <v>1</v>
      </c>
      <c r="E108" s="2">
        <v>1.165</v>
      </c>
      <c r="F108" s="2">
        <v>1</v>
      </c>
    </row>
    <row r="109" spans="1:6" ht="14.25" customHeight="1">
      <c r="A109" s="2">
        <v>26</v>
      </c>
      <c r="B109" s="2">
        <v>108</v>
      </c>
      <c r="C109" s="2">
        <v>8</v>
      </c>
      <c r="D109" s="2">
        <v>1</v>
      </c>
      <c r="E109" s="2">
        <v>0.51400000000000001</v>
      </c>
      <c r="F109" s="2">
        <v>2</v>
      </c>
    </row>
    <row r="110" spans="1:6" ht="14.25" customHeight="1">
      <c r="A110" s="2">
        <v>26</v>
      </c>
      <c r="B110" s="2">
        <v>109</v>
      </c>
      <c r="C110" s="2">
        <v>2</v>
      </c>
      <c r="D110" s="2">
        <v>1</v>
      </c>
      <c r="E110" s="2">
        <v>0.57499999999999996</v>
      </c>
      <c r="F110" s="2">
        <v>1</v>
      </c>
    </row>
    <row r="111" spans="1:6" ht="14.25" customHeight="1">
      <c r="A111" s="2">
        <v>26</v>
      </c>
      <c r="B111" s="2">
        <v>110</v>
      </c>
      <c r="C111" s="2">
        <v>7</v>
      </c>
      <c r="D111" s="2">
        <v>1</v>
      </c>
      <c r="E111" s="2">
        <v>0.47499999999999998</v>
      </c>
      <c r="F111" s="2">
        <v>2</v>
      </c>
    </row>
    <row r="112" spans="1:6" ht="14.25" customHeight="1">
      <c r="A112" s="2">
        <v>26</v>
      </c>
      <c r="B112" s="2">
        <v>111</v>
      </c>
      <c r="C112" s="2">
        <v>3</v>
      </c>
      <c r="D112" s="2">
        <v>1</v>
      </c>
      <c r="E112" s="2">
        <v>0.57599999999999996</v>
      </c>
      <c r="F112" s="2">
        <v>1</v>
      </c>
    </row>
    <row r="113" spans="1:6" ht="14.25" customHeight="1">
      <c r="A113" s="2">
        <v>26</v>
      </c>
      <c r="B113" s="2">
        <v>112</v>
      </c>
      <c r="C113" s="2">
        <v>6</v>
      </c>
      <c r="D113" s="2">
        <v>1</v>
      </c>
      <c r="E113" s="2">
        <v>0.55900000000000005</v>
      </c>
      <c r="F113" s="2">
        <v>2</v>
      </c>
    </row>
    <row r="114" spans="1:6" ht="14.25" customHeight="1">
      <c r="A114" s="2">
        <v>26</v>
      </c>
      <c r="B114" s="2">
        <v>113</v>
      </c>
      <c r="C114" s="2">
        <v>4</v>
      </c>
      <c r="D114" s="2">
        <v>1</v>
      </c>
      <c r="E114" s="2">
        <v>0.54400000000000004</v>
      </c>
      <c r="F114" s="2">
        <v>1</v>
      </c>
    </row>
    <row r="115" spans="1:6" ht="14.25" customHeight="1">
      <c r="A115" s="2">
        <v>26</v>
      </c>
      <c r="B115" s="2">
        <v>114</v>
      </c>
      <c r="C115" s="2">
        <v>1</v>
      </c>
      <c r="D115" s="2">
        <v>1</v>
      </c>
      <c r="E115" s="2">
        <v>0.44400000000000001</v>
      </c>
      <c r="F115" s="2">
        <v>2</v>
      </c>
    </row>
    <row r="116" spans="1:6" ht="14.25" customHeight="1">
      <c r="A116" s="2">
        <v>26</v>
      </c>
      <c r="B116" s="2">
        <v>115</v>
      </c>
      <c r="C116" s="2">
        <v>7</v>
      </c>
      <c r="D116" s="2">
        <v>1</v>
      </c>
      <c r="E116" s="2">
        <v>0.61299999999999999</v>
      </c>
      <c r="F116" s="2">
        <v>1</v>
      </c>
    </row>
    <row r="117" spans="1:6" ht="14.25" customHeight="1">
      <c r="A117" s="2">
        <v>26</v>
      </c>
      <c r="B117" s="2">
        <v>116</v>
      </c>
      <c r="C117" s="2">
        <v>2</v>
      </c>
      <c r="D117" s="2">
        <v>1</v>
      </c>
      <c r="E117" s="2">
        <v>0.439</v>
      </c>
      <c r="F117" s="2">
        <v>2</v>
      </c>
    </row>
    <row r="118" spans="1:6" ht="14.25" customHeight="1">
      <c r="A118" s="2">
        <v>26</v>
      </c>
      <c r="B118" s="2">
        <v>117</v>
      </c>
      <c r="C118" s="2">
        <v>6</v>
      </c>
      <c r="D118" s="2">
        <v>0</v>
      </c>
      <c r="E118" s="2">
        <v>0.52300000000000002</v>
      </c>
      <c r="F118" s="2">
        <v>1</v>
      </c>
    </row>
    <row r="119" spans="1:6" ht="14.25" customHeight="1">
      <c r="A119" s="2">
        <v>26</v>
      </c>
      <c r="B119" s="2">
        <v>118</v>
      </c>
      <c r="C119" s="2">
        <v>3</v>
      </c>
      <c r="D119" s="2">
        <v>1</v>
      </c>
      <c r="E119" s="2">
        <v>0.92</v>
      </c>
      <c r="F119" s="2">
        <v>2</v>
      </c>
    </row>
    <row r="120" spans="1:6" ht="14.25" customHeight="1">
      <c r="A120" s="2">
        <v>26</v>
      </c>
      <c r="B120" s="2">
        <v>119</v>
      </c>
      <c r="C120" s="2">
        <v>2</v>
      </c>
      <c r="D120" s="2">
        <v>1</v>
      </c>
      <c r="E120" s="2">
        <v>0.86699999999999999</v>
      </c>
      <c r="F120" s="2">
        <v>1</v>
      </c>
    </row>
    <row r="121" spans="1:6" ht="14.25" customHeight="1">
      <c r="A121" s="2">
        <v>26</v>
      </c>
      <c r="B121" s="2">
        <v>120</v>
      </c>
      <c r="C121" s="2">
        <v>5</v>
      </c>
      <c r="D121" s="2">
        <v>1</v>
      </c>
      <c r="E121" s="2">
        <v>0.38600000000000001</v>
      </c>
      <c r="F121" s="2">
        <v>2</v>
      </c>
    </row>
    <row r="122" spans="1:6" ht="14.25" customHeight="1">
      <c r="A122" s="2">
        <v>26</v>
      </c>
      <c r="B122" s="2">
        <v>121</v>
      </c>
      <c r="C122" s="2">
        <v>1</v>
      </c>
      <c r="D122" s="2">
        <v>0</v>
      </c>
      <c r="E122" s="2">
        <v>0.38900000000000001</v>
      </c>
      <c r="F122" s="2">
        <v>1</v>
      </c>
    </row>
    <row r="123" spans="1:6" ht="14.25" customHeight="1">
      <c r="A123" s="2">
        <v>26</v>
      </c>
      <c r="B123" s="2">
        <v>122</v>
      </c>
      <c r="C123" s="2">
        <v>3</v>
      </c>
      <c r="D123" s="2">
        <v>0</v>
      </c>
      <c r="E123" s="2">
        <v>0.54300000000000004</v>
      </c>
      <c r="F123" s="2">
        <v>2</v>
      </c>
    </row>
    <row r="124" spans="1:6" ht="14.25" customHeight="1">
      <c r="A124" s="2">
        <v>26</v>
      </c>
      <c r="B124" s="2">
        <v>123</v>
      </c>
      <c r="C124" s="2">
        <v>7</v>
      </c>
      <c r="D124" s="2">
        <v>0</v>
      </c>
      <c r="E124" s="2">
        <v>1.4370000000000001</v>
      </c>
      <c r="F124" s="2">
        <v>2</v>
      </c>
    </row>
    <row r="125" spans="1:6" ht="14.25" customHeight="1">
      <c r="A125" s="2">
        <v>26</v>
      </c>
      <c r="B125" s="2">
        <v>124</v>
      </c>
      <c r="C125" s="2">
        <v>4</v>
      </c>
      <c r="D125" s="2">
        <v>1</v>
      </c>
      <c r="E125" s="2">
        <v>0.45500000000000002</v>
      </c>
      <c r="F125" s="2">
        <v>1</v>
      </c>
    </row>
    <row r="126" spans="1:6" ht="14.25" customHeight="1">
      <c r="A126" s="2">
        <v>26</v>
      </c>
      <c r="B126" s="2">
        <v>125</v>
      </c>
      <c r="C126" s="2">
        <v>3</v>
      </c>
      <c r="D126" s="2">
        <v>0</v>
      </c>
      <c r="E126" s="2">
        <v>0.374</v>
      </c>
      <c r="F126" s="2">
        <v>1</v>
      </c>
    </row>
    <row r="127" spans="1:6" ht="14.25" customHeight="1">
      <c r="A127" s="2">
        <v>26</v>
      </c>
      <c r="B127" s="2">
        <v>126</v>
      </c>
      <c r="C127" s="2">
        <v>1</v>
      </c>
      <c r="D127" s="2">
        <v>0</v>
      </c>
      <c r="E127" s="2">
        <v>0.35199999999999998</v>
      </c>
      <c r="F127" s="2">
        <v>1</v>
      </c>
    </row>
    <row r="128" spans="1:6" ht="14.25" customHeight="1">
      <c r="A128" s="2">
        <v>26</v>
      </c>
      <c r="B128" s="2">
        <v>127</v>
      </c>
      <c r="C128" s="2">
        <v>5</v>
      </c>
      <c r="D128" s="2">
        <v>0</v>
      </c>
      <c r="E128" s="2">
        <v>0.35699999999999998</v>
      </c>
      <c r="F128" s="2">
        <v>2</v>
      </c>
    </row>
    <row r="129" spans="1:6" ht="14.25" customHeight="1">
      <c r="A129" s="2">
        <v>26</v>
      </c>
      <c r="B129" s="2">
        <v>128</v>
      </c>
      <c r="C129" s="2">
        <v>4</v>
      </c>
      <c r="D129" s="2">
        <v>1</v>
      </c>
      <c r="E129" s="2">
        <v>0.46500000000000002</v>
      </c>
      <c r="F129" s="2">
        <v>1</v>
      </c>
    </row>
    <row r="130" spans="1:6" ht="14.25" customHeight="1">
      <c r="A130" s="2">
        <v>26</v>
      </c>
      <c r="B130" s="2">
        <v>129</v>
      </c>
      <c r="C130" s="2">
        <v>6</v>
      </c>
      <c r="D130" s="2">
        <v>0</v>
      </c>
      <c r="E130" s="2">
        <v>0.56100000000000005</v>
      </c>
      <c r="F130" s="2">
        <v>1</v>
      </c>
    </row>
    <row r="131" spans="1:6" ht="14.25" customHeight="1">
      <c r="A131" s="2">
        <v>26</v>
      </c>
      <c r="B131" s="2">
        <v>130</v>
      </c>
      <c r="C131" s="2">
        <v>1</v>
      </c>
      <c r="D131" s="2">
        <v>1</v>
      </c>
      <c r="E131" s="2">
        <v>0.40500000000000003</v>
      </c>
      <c r="F131" s="2">
        <v>2</v>
      </c>
    </row>
    <row r="132" spans="1:6" ht="14.25" customHeight="1">
      <c r="A132" s="2">
        <v>26</v>
      </c>
      <c r="B132" s="2">
        <v>131</v>
      </c>
      <c r="C132" s="2">
        <v>3</v>
      </c>
      <c r="D132" s="2">
        <v>0</v>
      </c>
      <c r="E132" s="2">
        <v>0.53400000000000003</v>
      </c>
      <c r="F132" s="2">
        <v>2</v>
      </c>
    </row>
    <row r="133" spans="1:6" ht="14.25" customHeight="1">
      <c r="A133" s="2">
        <v>26</v>
      </c>
      <c r="B133" s="2">
        <v>132</v>
      </c>
      <c r="C133" s="2">
        <v>2</v>
      </c>
      <c r="D133" s="2">
        <v>1</v>
      </c>
      <c r="E133" s="2">
        <v>1.42</v>
      </c>
      <c r="F133" s="2">
        <v>1</v>
      </c>
    </row>
    <row r="134" spans="1:6" ht="14.25" customHeight="1">
      <c r="A134" s="2">
        <v>26</v>
      </c>
      <c r="B134" s="2">
        <v>133</v>
      </c>
      <c r="C134" s="2">
        <v>4</v>
      </c>
      <c r="D134" s="2">
        <v>1</v>
      </c>
      <c r="E134" s="2">
        <v>1.736</v>
      </c>
      <c r="F134" s="2">
        <v>2</v>
      </c>
    </row>
    <row r="135" spans="1:6" ht="14.25" customHeight="1">
      <c r="A135" s="2">
        <v>26</v>
      </c>
      <c r="B135" s="2">
        <v>134</v>
      </c>
      <c r="C135" s="2">
        <v>5</v>
      </c>
      <c r="D135" s="2">
        <v>1</v>
      </c>
      <c r="E135" s="2">
        <v>1.226</v>
      </c>
      <c r="F135" s="2">
        <v>1</v>
      </c>
    </row>
    <row r="136" spans="1:6" ht="14.25" customHeight="1">
      <c r="A136" s="2">
        <v>26</v>
      </c>
      <c r="B136" s="2">
        <v>135</v>
      </c>
      <c r="C136" s="2">
        <v>7</v>
      </c>
      <c r="D136" s="2">
        <v>1</v>
      </c>
      <c r="E136" s="2">
        <v>1.8520000000000001</v>
      </c>
      <c r="F136" s="2">
        <v>1</v>
      </c>
    </row>
    <row r="137" spans="1:6" ht="14.25" customHeight="1">
      <c r="A137" s="2">
        <v>26</v>
      </c>
      <c r="B137" s="2">
        <v>136</v>
      </c>
      <c r="C137" s="2">
        <v>8</v>
      </c>
      <c r="D137" s="2">
        <v>1</v>
      </c>
      <c r="E137" s="2">
        <v>1.2210000000000001</v>
      </c>
      <c r="F137" s="2">
        <v>2</v>
      </c>
    </row>
    <row r="138" spans="1:6" ht="14.25" customHeight="1">
      <c r="A138" s="2">
        <v>26</v>
      </c>
      <c r="B138" s="2">
        <v>137</v>
      </c>
      <c r="C138" s="2">
        <v>3</v>
      </c>
      <c r="D138" s="2">
        <v>0</v>
      </c>
      <c r="E138" s="2">
        <v>1.175</v>
      </c>
      <c r="F138" s="2">
        <v>1</v>
      </c>
    </row>
    <row r="139" spans="1:6" ht="14.25" customHeight="1">
      <c r="A139" s="2">
        <v>26</v>
      </c>
      <c r="B139" s="2">
        <v>138</v>
      </c>
      <c r="C139" s="2">
        <v>8</v>
      </c>
      <c r="D139" s="2">
        <v>1</v>
      </c>
      <c r="E139" s="2">
        <v>1.474</v>
      </c>
      <c r="F139" s="2">
        <v>2</v>
      </c>
    </row>
    <row r="140" spans="1:6" ht="14.25" customHeight="1">
      <c r="A140" s="2">
        <v>26</v>
      </c>
      <c r="B140" s="2">
        <v>139</v>
      </c>
      <c r="C140" s="2">
        <v>6</v>
      </c>
      <c r="E140" s="2">
        <v>2</v>
      </c>
    </row>
    <row r="141" spans="1:6" ht="14.25" customHeight="1">
      <c r="A141" s="2">
        <v>26</v>
      </c>
      <c r="B141" s="2">
        <v>140</v>
      </c>
      <c r="C141" s="2">
        <v>8</v>
      </c>
      <c r="D141" s="2">
        <v>1</v>
      </c>
      <c r="E141" s="2">
        <v>0.94</v>
      </c>
      <c r="F141" s="2">
        <v>2</v>
      </c>
    </row>
    <row r="142" spans="1:6" ht="14.25" customHeight="1">
      <c r="A142" s="2">
        <v>26</v>
      </c>
      <c r="B142" s="2">
        <v>141</v>
      </c>
      <c r="C142" s="2">
        <v>7</v>
      </c>
      <c r="D142" s="2">
        <v>0</v>
      </c>
      <c r="E142" s="2">
        <v>0.88800000000000001</v>
      </c>
      <c r="F142" s="2">
        <v>1</v>
      </c>
    </row>
    <row r="143" spans="1:6" ht="14.25" customHeight="1">
      <c r="A143" s="2">
        <v>26</v>
      </c>
      <c r="B143" s="2">
        <v>142</v>
      </c>
      <c r="C143" s="2">
        <v>1</v>
      </c>
      <c r="D143" s="2">
        <v>0</v>
      </c>
      <c r="E143" s="2">
        <v>1.1180000000000001</v>
      </c>
      <c r="F143" s="2">
        <v>1</v>
      </c>
    </row>
    <row r="144" spans="1:6" ht="14.25" customHeight="1">
      <c r="A144" s="2">
        <v>26</v>
      </c>
      <c r="B144" s="2">
        <v>143</v>
      </c>
      <c r="C144" s="2">
        <v>8</v>
      </c>
      <c r="D144" s="2">
        <v>1</v>
      </c>
      <c r="E144" s="2">
        <v>0.86099999999999999</v>
      </c>
      <c r="F144" s="2">
        <v>2</v>
      </c>
    </row>
    <row r="145" spans="1:6" ht="14.25" customHeight="1">
      <c r="A145" s="2">
        <v>26</v>
      </c>
      <c r="B145" s="2">
        <v>144</v>
      </c>
      <c r="C145" s="2">
        <v>7</v>
      </c>
      <c r="D145" s="2">
        <v>1</v>
      </c>
      <c r="E145" s="2">
        <v>1.19</v>
      </c>
      <c r="F145" s="2">
        <v>2</v>
      </c>
    </row>
    <row r="146" spans="1:6" ht="14.25" customHeight="1">
      <c r="A146" s="2">
        <v>26</v>
      </c>
      <c r="B146" s="2">
        <v>145</v>
      </c>
      <c r="C146" s="2">
        <v>8</v>
      </c>
      <c r="D146" s="2">
        <v>0</v>
      </c>
      <c r="E146" s="2">
        <v>0.68700000000000006</v>
      </c>
      <c r="F146" s="2">
        <v>2</v>
      </c>
    </row>
    <row r="147" spans="1:6" ht="14.25" customHeight="1">
      <c r="A147" s="2">
        <v>26</v>
      </c>
      <c r="B147" s="2">
        <v>146</v>
      </c>
      <c r="C147" s="2">
        <v>4</v>
      </c>
      <c r="D147" s="2">
        <v>1</v>
      </c>
      <c r="E147" s="2">
        <v>0.35699999999999998</v>
      </c>
      <c r="F147" s="2">
        <v>1</v>
      </c>
    </row>
    <row r="148" spans="1:6" ht="14.25" customHeight="1">
      <c r="A148" s="2">
        <v>26</v>
      </c>
      <c r="B148" s="2">
        <v>147</v>
      </c>
      <c r="C148" s="2">
        <v>7</v>
      </c>
      <c r="D148" s="2">
        <v>1</v>
      </c>
      <c r="E148" s="2">
        <v>0.33</v>
      </c>
      <c r="F148" s="2">
        <v>1</v>
      </c>
    </row>
    <row r="149" spans="1:6" ht="14.25" customHeight="1">
      <c r="A149" s="2">
        <v>26</v>
      </c>
      <c r="B149" s="2">
        <v>148</v>
      </c>
      <c r="C149" s="2">
        <v>6</v>
      </c>
      <c r="D149" s="2">
        <v>1</v>
      </c>
      <c r="E149" s="2">
        <v>0.51100000000000001</v>
      </c>
      <c r="F149" s="2">
        <v>2</v>
      </c>
    </row>
    <row r="150" spans="1:6" ht="14.25" customHeight="1">
      <c r="A150" s="2">
        <v>26</v>
      </c>
      <c r="B150" s="2">
        <v>149</v>
      </c>
      <c r="C150" s="2">
        <v>5</v>
      </c>
      <c r="D150" s="2">
        <v>0</v>
      </c>
      <c r="E150" s="2">
        <v>0.80700000000000005</v>
      </c>
      <c r="F150" s="2">
        <v>2</v>
      </c>
    </row>
    <row r="151" spans="1:6" ht="14.25" customHeight="1">
      <c r="A151" s="2">
        <v>26</v>
      </c>
      <c r="B151" s="2">
        <v>150</v>
      </c>
      <c r="C151" s="2">
        <v>6</v>
      </c>
      <c r="D151" s="2">
        <v>0</v>
      </c>
      <c r="E151" s="2">
        <v>0.318</v>
      </c>
      <c r="F151" s="2">
        <v>1</v>
      </c>
    </row>
    <row r="152" spans="1:6" ht="14.25" customHeight="1">
      <c r="A152" s="2">
        <v>26</v>
      </c>
      <c r="B152" s="2">
        <v>151</v>
      </c>
      <c r="C152" s="2">
        <v>8</v>
      </c>
      <c r="D152" s="2">
        <v>1</v>
      </c>
      <c r="E152" s="2">
        <v>1.3</v>
      </c>
      <c r="F152" s="2">
        <v>1</v>
      </c>
    </row>
    <row r="153" spans="1:6" ht="14.25" customHeight="1">
      <c r="A153" s="2">
        <v>26</v>
      </c>
      <c r="B153" s="2">
        <v>152</v>
      </c>
      <c r="C153" s="2">
        <v>2</v>
      </c>
      <c r="D153" s="2">
        <v>1</v>
      </c>
      <c r="E153" s="2">
        <v>0.97799999999999998</v>
      </c>
      <c r="F153" s="2">
        <v>1</v>
      </c>
    </row>
    <row r="154" spans="1:6" ht="14.25" customHeight="1">
      <c r="A154" s="2">
        <v>26</v>
      </c>
      <c r="B154" s="2">
        <v>153</v>
      </c>
      <c r="C154" s="2">
        <v>6</v>
      </c>
      <c r="D154" s="2">
        <v>1</v>
      </c>
      <c r="E154" s="2">
        <v>0.61799999999999999</v>
      </c>
      <c r="F154" s="2">
        <v>1</v>
      </c>
    </row>
    <row r="155" spans="1:6" ht="14.25" customHeight="1">
      <c r="A155" s="2">
        <v>26</v>
      </c>
      <c r="B155" s="2">
        <v>154</v>
      </c>
      <c r="C155" s="2">
        <v>2</v>
      </c>
      <c r="D155" s="2">
        <v>0</v>
      </c>
      <c r="E155" s="2">
        <v>0.70299999999999996</v>
      </c>
      <c r="F155" s="2">
        <v>1</v>
      </c>
    </row>
    <row r="156" spans="1:6" ht="14.25" customHeight="1">
      <c r="A156" s="2">
        <v>26</v>
      </c>
      <c r="B156" s="2">
        <v>155</v>
      </c>
      <c r="C156" s="2">
        <v>5</v>
      </c>
      <c r="D156" s="2">
        <v>0</v>
      </c>
      <c r="E156" s="2">
        <v>0.49</v>
      </c>
      <c r="F156" s="2">
        <v>2</v>
      </c>
    </row>
    <row r="157" spans="1:6" ht="14.25" customHeight="1">
      <c r="A157" s="2">
        <v>26</v>
      </c>
      <c r="B157" s="2">
        <v>156</v>
      </c>
      <c r="C157" s="2">
        <v>8</v>
      </c>
      <c r="D157" s="2">
        <v>1</v>
      </c>
      <c r="E157" s="2">
        <v>1.081</v>
      </c>
      <c r="F157" s="2">
        <v>2</v>
      </c>
    </row>
    <row r="158" spans="1:6" ht="14.25" customHeight="1">
      <c r="A158" s="2">
        <v>26</v>
      </c>
      <c r="B158" s="2">
        <v>157</v>
      </c>
      <c r="C158" s="2">
        <v>3</v>
      </c>
      <c r="D158" s="2">
        <v>1</v>
      </c>
      <c r="E158" s="2">
        <v>1.155</v>
      </c>
      <c r="F158" s="2">
        <v>1</v>
      </c>
    </row>
    <row r="159" spans="1:6" ht="14.25" customHeight="1">
      <c r="A159" s="2">
        <v>26</v>
      </c>
      <c r="B159" s="2">
        <v>158</v>
      </c>
      <c r="C159" s="2">
        <v>1</v>
      </c>
      <c r="D159" s="2">
        <v>0</v>
      </c>
      <c r="E159" s="2">
        <v>0.501</v>
      </c>
      <c r="F159" s="2">
        <v>1</v>
      </c>
    </row>
    <row r="160" spans="1:6" ht="14.25" customHeight="1">
      <c r="A160" s="2">
        <v>26</v>
      </c>
      <c r="B160" s="2">
        <v>159</v>
      </c>
      <c r="C160" s="2">
        <v>6</v>
      </c>
      <c r="D160" s="2">
        <v>1</v>
      </c>
      <c r="E160" s="2">
        <v>0.65100000000000002</v>
      </c>
      <c r="F160" s="2">
        <v>1</v>
      </c>
    </row>
    <row r="161" spans="1:6" ht="14.25" customHeight="1">
      <c r="A161" s="2">
        <v>26</v>
      </c>
      <c r="B161" s="2">
        <v>160</v>
      </c>
      <c r="C161" s="2">
        <v>1</v>
      </c>
      <c r="D161" s="2">
        <v>1</v>
      </c>
      <c r="E161" s="2">
        <v>0.40300000000000002</v>
      </c>
      <c r="F161" s="2">
        <v>2</v>
      </c>
    </row>
    <row r="162" spans="1:6" ht="14.25" customHeight="1">
      <c r="A162" s="2">
        <v>26</v>
      </c>
      <c r="B162" s="2">
        <v>161</v>
      </c>
      <c r="C162" s="2">
        <v>3</v>
      </c>
      <c r="D162" s="2">
        <v>1</v>
      </c>
      <c r="E162" s="2">
        <v>0.51700000000000002</v>
      </c>
      <c r="F162" s="2">
        <v>1</v>
      </c>
    </row>
    <row r="163" spans="1:6" ht="14.25" customHeight="1">
      <c r="A163" s="2">
        <v>26</v>
      </c>
      <c r="B163" s="2">
        <v>162</v>
      </c>
      <c r="C163" s="2">
        <v>4</v>
      </c>
      <c r="D163" s="2">
        <v>0</v>
      </c>
      <c r="E163" s="2">
        <v>1.093</v>
      </c>
      <c r="F163" s="2">
        <v>1</v>
      </c>
    </row>
    <row r="164" spans="1:6" ht="14.25" customHeight="1">
      <c r="A164" s="2">
        <v>26</v>
      </c>
      <c r="B164" s="2">
        <v>163</v>
      </c>
      <c r="C164" s="2">
        <v>1</v>
      </c>
      <c r="D164" s="2">
        <v>0</v>
      </c>
      <c r="E164" s="2">
        <v>0.95599999999999996</v>
      </c>
      <c r="F164" s="2">
        <v>2</v>
      </c>
    </row>
    <row r="165" spans="1:6" ht="14.25" customHeight="1">
      <c r="A165" s="2">
        <v>26</v>
      </c>
      <c r="B165" s="2">
        <v>164</v>
      </c>
      <c r="C165" s="2">
        <v>5</v>
      </c>
      <c r="D165" s="2">
        <v>1</v>
      </c>
      <c r="E165" s="2">
        <v>0.58199999999999996</v>
      </c>
      <c r="F165" s="2">
        <v>2</v>
      </c>
    </row>
    <row r="166" spans="1:6" ht="14.25" customHeight="1">
      <c r="A166" s="2">
        <v>26</v>
      </c>
      <c r="B166" s="2">
        <v>165</v>
      </c>
      <c r="C166" s="2">
        <v>3</v>
      </c>
      <c r="D166" s="2">
        <v>1</v>
      </c>
      <c r="E166" s="2">
        <v>0.33200000000000002</v>
      </c>
      <c r="F166" s="2">
        <v>1</v>
      </c>
    </row>
    <row r="167" spans="1:6" ht="14.25" customHeight="1">
      <c r="A167" s="2">
        <v>26</v>
      </c>
      <c r="B167" s="2">
        <v>166</v>
      </c>
      <c r="C167" s="2">
        <v>7</v>
      </c>
      <c r="D167" s="2">
        <v>1</v>
      </c>
      <c r="E167" s="2">
        <v>0.45900000000000002</v>
      </c>
      <c r="F167" s="2">
        <v>2</v>
      </c>
    </row>
    <row r="168" spans="1:6" ht="14.25" customHeight="1">
      <c r="A168" s="2">
        <v>26</v>
      </c>
      <c r="B168" s="2">
        <v>167</v>
      </c>
      <c r="C168" s="2">
        <v>3</v>
      </c>
      <c r="D168" s="2">
        <v>0</v>
      </c>
      <c r="E168" s="2">
        <v>0.58799999999999997</v>
      </c>
      <c r="F168" s="2">
        <v>1</v>
      </c>
    </row>
    <row r="169" spans="1:6" ht="14.25" customHeight="1">
      <c r="A169" s="2">
        <v>26</v>
      </c>
      <c r="B169" s="2">
        <v>168</v>
      </c>
      <c r="C169" s="2">
        <v>7</v>
      </c>
      <c r="D169" s="2">
        <v>1</v>
      </c>
      <c r="E169" s="2">
        <v>0.93400000000000005</v>
      </c>
      <c r="F169" s="2">
        <v>2</v>
      </c>
    </row>
    <row r="170" spans="1:6" ht="14.25" customHeight="1">
      <c r="A170" s="2">
        <v>26</v>
      </c>
      <c r="B170" s="2">
        <v>169</v>
      </c>
      <c r="C170" s="2">
        <v>1</v>
      </c>
      <c r="D170" s="2">
        <v>1</v>
      </c>
      <c r="E170" s="2">
        <v>0.40300000000000002</v>
      </c>
      <c r="F170" s="2">
        <v>1</v>
      </c>
    </row>
    <row r="171" spans="1:6" ht="14.25" customHeight="1">
      <c r="A171" s="2">
        <v>26</v>
      </c>
      <c r="B171" s="2">
        <v>170</v>
      </c>
      <c r="C171" s="2">
        <v>5</v>
      </c>
      <c r="D171" s="2">
        <v>1</v>
      </c>
      <c r="E171" s="2">
        <v>0.83599999999999997</v>
      </c>
      <c r="F171" s="2">
        <v>2</v>
      </c>
    </row>
    <row r="172" spans="1:6" ht="14.25" customHeight="1">
      <c r="A172" s="2">
        <v>26</v>
      </c>
      <c r="B172" s="2">
        <v>171</v>
      </c>
      <c r="C172" s="2">
        <v>4</v>
      </c>
      <c r="D172" s="2">
        <v>0</v>
      </c>
      <c r="E172" s="2">
        <v>0.47799999999999998</v>
      </c>
      <c r="F172" s="2">
        <v>1</v>
      </c>
    </row>
    <row r="173" spans="1:6" ht="14.25" customHeight="1">
      <c r="A173" s="2">
        <v>26</v>
      </c>
      <c r="B173" s="2">
        <v>172</v>
      </c>
      <c r="C173" s="2">
        <v>7</v>
      </c>
      <c r="D173" s="2">
        <v>1</v>
      </c>
      <c r="E173" s="2">
        <v>0.40799999999999997</v>
      </c>
      <c r="F173" s="2">
        <v>1</v>
      </c>
    </row>
    <row r="174" spans="1:6" ht="14.25" customHeight="1">
      <c r="A174" s="2">
        <v>26</v>
      </c>
      <c r="B174" s="2">
        <v>173</v>
      </c>
      <c r="C174" s="2">
        <v>6</v>
      </c>
      <c r="D174" s="2">
        <v>0</v>
      </c>
      <c r="E174" s="2">
        <v>0.31</v>
      </c>
      <c r="F174" s="2">
        <v>2</v>
      </c>
    </row>
    <row r="175" spans="1:6" ht="14.25" customHeight="1">
      <c r="A175" s="2">
        <v>26</v>
      </c>
      <c r="B175" s="2">
        <v>174</v>
      </c>
      <c r="C175" s="2">
        <v>2</v>
      </c>
      <c r="D175" s="2">
        <v>1</v>
      </c>
      <c r="E175" s="2">
        <v>1.1890000000000001</v>
      </c>
      <c r="F175" s="2">
        <v>1</v>
      </c>
    </row>
    <row r="176" spans="1:6" ht="14.25" customHeight="1">
      <c r="A176" s="2">
        <v>26</v>
      </c>
      <c r="B176" s="2">
        <v>175</v>
      </c>
      <c r="C176" s="2">
        <v>4</v>
      </c>
      <c r="D176" s="2">
        <v>1</v>
      </c>
      <c r="E176" s="2">
        <v>1.4790000000000001</v>
      </c>
      <c r="F176" s="2">
        <v>2</v>
      </c>
    </row>
    <row r="177" spans="1:6" ht="14.25" customHeight="1">
      <c r="A177" s="2">
        <v>26</v>
      </c>
      <c r="B177" s="2">
        <v>176</v>
      </c>
      <c r="C177" s="2">
        <v>3</v>
      </c>
      <c r="D177" s="2">
        <v>0</v>
      </c>
      <c r="E177" s="2">
        <v>0.86199999999999999</v>
      </c>
      <c r="F177" s="2">
        <v>1</v>
      </c>
    </row>
    <row r="178" spans="1:6" ht="14.25" customHeight="1">
      <c r="A178" s="2">
        <v>26</v>
      </c>
      <c r="B178" s="2">
        <v>177</v>
      </c>
      <c r="C178" s="2">
        <v>8</v>
      </c>
      <c r="D178" s="2">
        <v>1</v>
      </c>
      <c r="E178" s="2">
        <v>1.222</v>
      </c>
      <c r="F178" s="2">
        <v>1</v>
      </c>
    </row>
    <row r="179" spans="1:6" ht="14.25" customHeight="1">
      <c r="A179" s="2">
        <v>26</v>
      </c>
      <c r="B179" s="2">
        <v>178</v>
      </c>
      <c r="C179" s="2">
        <v>5</v>
      </c>
      <c r="D179" s="2">
        <v>1</v>
      </c>
      <c r="E179" s="2">
        <v>0.89500000000000002</v>
      </c>
      <c r="F179" s="2">
        <v>1</v>
      </c>
    </row>
    <row r="180" spans="1:6" ht="14.25" customHeight="1">
      <c r="A180" s="2">
        <v>26</v>
      </c>
      <c r="B180" s="2">
        <v>179</v>
      </c>
      <c r="C180" s="2">
        <v>7</v>
      </c>
      <c r="D180" s="2">
        <v>1</v>
      </c>
      <c r="E180" s="2">
        <v>1.232</v>
      </c>
      <c r="F180" s="2">
        <v>2</v>
      </c>
    </row>
    <row r="181" spans="1:6" ht="14.25" customHeight="1">
      <c r="A181" s="2">
        <v>26</v>
      </c>
      <c r="B181" s="2">
        <v>180</v>
      </c>
      <c r="C181" s="2">
        <v>8</v>
      </c>
      <c r="D181" s="2">
        <v>0</v>
      </c>
      <c r="E181" s="2">
        <v>0.91900000000000004</v>
      </c>
      <c r="F181" s="2">
        <v>1</v>
      </c>
    </row>
    <row r="182" spans="1:6" ht="14.25" customHeight="1">
      <c r="A182" s="2">
        <v>26</v>
      </c>
      <c r="B182" s="2">
        <v>181</v>
      </c>
      <c r="C182" s="2">
        <v>5</v>
      </c>
      <c r="D182" s="2">
        <v>1</v>
      </c>
      <c r="E182" s="2">
        <v>0.5</v>
      </c>
      <c r="F182" s="2">
        <v>1</v>
      </c>
    </row>
    <row r="183" spans="1:6" ht="14.25" customHeight="1">
      <c r="A183" s="2">
        <v>26</v>
      </c>
      <c r="B183" s="2">
        <v>182</v>
      </c>
      <c r="C183" s="2">
        <v>4</v>
      </c>
      <c r="D183" s="2">
        <v>1</v>
      </c>
      <c r="E183" s="2">
        <v>0.68500000000000005</v>
      </c>
      <c r="F183" s="2">
        <v>1</v>
      </c>
    </row>
    <row r="184" spans="1:6" ht="14.25" customHeight="1">
      <c r="A184" s="2">
        <v>26</v>
      </c>
      <c r="B184" s="2">
        <v>183</v>
      </c>
      <c r="C184" s="2">
        <v>3</v>
      </c>
      <c r="D184" s="2">
        <v>1</v>
      </c>
      <c r="E184" s="2">
        <v>0.60099999999999998</v>
      </c>
      <c r="F184" s="2">
        <v>2</v>
      </c>
    </row>
    <row r="185" spans="1:6" ht="14.25" customHeight="1">
      <c r="A185" s="2">
        <v>26</v>
      </c>
      <c r="B185" s="2">
        <v>184</v>
      </c>
      <c r="C185" s="2">
        <v>8</v>
      </c>
      <c r="D185" s="2">
        <v>0</v>
      </c>
      <c r="E185" s="2">
        <v>0.56399999999999995</v>
      </c>
      <c r="F185" s="2">
        <v>2</v>
      </c>
    </row>
    <row r="186" spans="1:6" ht="14.25" customHeight="1">
      <c r="A186" s="2">
        <v>26</v>
      </c>
      <c r="B186" s="2">
        <v>185</v>
      </c>
      <c r="C186" s="2">
        <v>6</v>
      </c>
      <c r="D186" s="2">
        <v>1</v>
      </c>
      <c r="E186" s="2">
        <v>0.432</v>
      </c>
      <c r="F186" s="2">
        <v>1</v>
      </c>
    </row>
    <row r="187" spans="1:6" ht="14.25" customHeight="1">
      <c r="A187" s="2">
        <v>26</v>
      </c>
      <c r="B187" s="2">
        <v>186</v>
      </c>
      <c r="C187" s="2">
        <v>2</v>
      </c>
      <c r="D187" s="2">
        <v>0</v>
      </c>
      <c r="E187" s="2">
        <v>0.59299999999999997</v>
      </c>
      <c r="F187" s="2">
        <v>1</v>
      </c>
    </row>
    <row r="188" spans="1:6" ht="14.25" customHeight="1">
      <c r="A188" s="2">
        <v>26</v>
      </c>
      <c r="B188" s="2">
        <v>187</v>
      </c>
      <c r="C188" s="2">
        <v>4</v>
      </c>
      <c r="D188" s="2">
        <v>1</v>
      </c>
      <c r="E188" s="2">
        <v>0.437</v>
      </c>
      <c r="F188" s="2">
        <v>2</v>
      </c>
    </row>
    <row r="189" spans="1:6" ht="14.25" customHeight="1">
      <c r="A189" s="2">
        <v>26</v>
      </c>
      <c r="B189" s="2">
        <v>188</v>
      </c>
      <c r="C189" s="2">
        <v>1</v>
      </c>
      <c r="D189" s="2">
        <v>1</v>
      </c>
      <c r="E189" s="2">
        <v>0.47699999999999998</v>
      </c>
      <c r="F189" s="2">
        <v>2</v>
      </c>
    </row>
    <row r="190" spans="1:6" ht="14.25" customHeight="1">
      <c r="A190" s="2">
        <v>26</v>
      </c>
      <c r="B190" s="2">
        <v>189</v>
      </c>
      <c r="C190" s="2">
        <v>7</v>
      </c>
      <c r="D190" s="2">
        <v>1</v>
      </c>
      <c r="E190" s="2">
        <v>0.78</v>
      </c>
      <c r="F190" s="2">
        <v>1</v>
      </c>
    </row>
    <row r="191" spans="1:6" ht="14.25" customHeight="1">
      <c r="A191" s="2">
        <v>26</v>
      </c>
      <c r="B191" s="2">
        <v>190</v>
      </c>
      <c r="C191" s="2">
        <v>2</v>
      </c>
      <c r="D191" s="2">
        <v>0</v>
      </c>
      <c r="E191" s="2">
        <v>1.1279999999999999</v>
      </c>
      <c r="F191" s="2">
        <v>1</v>
      </c>
    </row>
    <row r="192" spans="1:6" ht="14.25" customHeight="1">
      <c r="A192" s="2">
        <v>26</v>
      </c>
      <c r="B192" s="2">
        <v>191</v>
      </c>
      <c r="C192" s="2">
        <v>4</v>
      </c>
      <c r="D192" s="2">
        <v>0</v>
      </c>
      <c r="E192" s="2">
        <v>0.50900000000000001</v>
      </c>
      <c r="F192" s="2">
        <v>1</v>
      </c>
    </row>
    <row r="193" spans="1:6" ht="14.25" customHeight="1">
      <c r="A193" s="2">
        <v>26</v>
      </c>
      <c r="B193" s="2">
        <v>192</v>
      </c>
      <c r="C193" s="2">
        <v>7</v>
      </c>
      <c r="D193" s="2">
        <v>0</v>
      </c>
      <c r="E193" s="2">
        <v>0.36199999999999999</v>
      </c>
      <c r="F193" s="2">
        <v>1</v>
      </c>
    </row>
    <row r="194" spans="1:6" ht="14.25" customHeight="1">
      <c r="A194" s="2">
        <v>26</v>
      </c>
      <c r="B194" s="2">
        <v>193</v>
      </c>
      <c r="C194" s="2">
        <v>2</v>
      </c>
      <c r="D194" s="2">
        <v>0</v>
      </c>
      <c r="E194" s="2">
        <v>0.34300000000000003</v>
      </c>
      <c r="F194" s="2">
        <v>1</v>
      </c>
    </row>
    <row r="195" spans="1:6" ht="14.25" customHeight="1">
      <c r="A195" s="2">
        <v>26</v>
      </c>
      <c r="B195" s="2">
        <v>194</v>
      </c>
      <c r="C195" s="2">
        <v>1</v>
      </c>
      <c r="D195" s="2">
        <v>0</v>
      </c>
      <c r="E195" s="2">
        <v>0.57999999999999996</v>
      </c>
      <c r="F195" s="2">
        <v>1</v>
      </c>
    </row>
    <row r="196" spans="1:6" ht="14.25" customHeight="1">
      <c r="A196" s="2">
        <v>26</v>
      </c>
      <c r="B196" s="2">
        <v>195</v>
      </c>
      <c r="C196" s="2">
        <v>7</v>
      </c>
      <c r="D196" s="2">
        <v>1</v>
      </c>
      <c r="E196" s="2">
        <v>0.35099999999999998</v>
      </c>
      <c r="F196" s="2">
        <v>1</v>
      </c>
    </row>
    <row r="197" spans="1:6" ht="14.25" customHeight="1">
      <c r="A197" s="2">
        <v>26</v>
      </c>
      <c r="B197" s="2">
        <v>196</v>
      </c>
      <c r="C197" s="2">
        <v>6</v>
      </c>
      <c r="D197" s="2">
        <v>1</v>
      </c>
      <c r="E197" s="2">
        <v>0.83399999999999996</v>
      </c>
      <c r="F197" s="2">
        <v>1</v>
      </c>
    </row>
    <row r="198" spans="1:6" ht="14.25" customHeight="1">
      <c r="A198" s="2">
        <v>26</v>
      </c>
      <c r="B198" s="2">
        <v>197</v>
      </c>
      <c r="C198" s="2">
        <v>8</v>
      </c>
      <c r="D198" s="2">
        <v>1</v>
      </c>
      <c r="E198" s="2">
        <v>0.78700000000000003</v>
      </c>
      <c r="F198" s="2">
        <v>1</v>
      </c>
    </row>
    <row r="199" spans="1:6" ht="14.25" customHeight="1">
      <c r="A199" s="2">
        <v>26</v>
      </c>
      <c r="B199" s="2">
        <v>198</v>
      </c>
      <c r="C199" s="2">
        <v>5</v>
      </c>
      <c r="D199" s="2">
        <v>1</v>
      </c>
      <c r="E199" s="2">
        <v>1.1739999999999999</v>
      </c>
      <c r="F199" s="2">
        <v>2</v>
      </c>
    </row>
    <row r="200" spans="1:6" ht="14.25" customHeight="1">
      <c r="A200" s="2">
        <v>26</v>
      </c>
      <c r="B200" s="2">
        <v>199</v>
      </c>
      <c r="C200" s="2">
        <v>8</v>
      </c>
      <c r="D200" s="2">
        <v>1</v>
      </c>
      <c r="E200" s="2">
        <v>1.1850000000000001</v>
      </c>
      <c r="F200" s="2">
        <v>1</v>
      </c>
    </row>
    <row r="201" spans="1:6" ht="14.25" customHeight="1">
      <c r="A201" s="2">
        <v>26</v>
      </c>
      <c r="B201" s="2">
        <v>200</v>
      </c>
      <c r="C201" s="2">
        <v>6</v>
      </c>
      <c r="E201" s="2">
        <v>2</v>
      </c>
    </row>
    <row r="202" spans="1:6" ht="14.25" customHeight="1">
      <c r="A202" s="2">
        <v>26</v>
      </c>
      <c r="B202" s="2">
        <v>201</v>
      </c>
      <c r="C202" s="2">
        <v>8</v>
      </c>
      <c r="D202" s="2">
        <v>1</v>
      </c>
      <c r="E202" s="2">
        <v>0.65200000000000002</v>
      </c>
      <c r="F202" s="2">
        <v>1</v>
      </c>
    </row>
    <row r="203" spans="1:6" ht="14.25" customHeight="1">
      <c r="A203" s="2">
        <v>26</v>
      </c>
      <c r="B203" s="2">
        <v>202</v>
      </c>
      <c r="C203" s="2">
        <v>5</v>
      </c>
      <c r="D203" s="2">
        <v>1</v>
      </c>
      <c r="E203" s="2">
        <v>0.66</v>
      </c>
      <c r="F203" s="2">
        <v>1</v>
      </c>
    </row>
    <row r="204" spans="1:6" ht="14.25" customHeight="1">
      <c r="A204" s="2">
        <v>26</v>
      </c>
      <c r="B204" s="2">
        <v>203</v>
      </c>
      <c r="C204" s="2">
        <v>3</v>
      </c>
      <c r="D204" s="2">
        <v>1</v>
      </c>
      <c r="E204" s="2">
        <v>1.052</v>
      </c>
      <c r="F204" s="2">
        <v>1</v>
      </c>
    </row>
    <row r="205" spans="1:6" ht="14.25" customHeight="1">
      <c r="A205" s="2">
        <v>26</v>
      </c>
      <c r="B205" s="2">
        <v>204</v>
      </c>
      <c r="C205" s="2">
        <v>5</v>
      </c>
      <c r="D205" s="2">
        <v>0</v>
      </c>
      <c r="E205" s="2">
        <v>0.77200000000000002</v>
      </c>
      <c r="F205" s="2">
        <v>1</v>
      </c>
    </row>
    <row r="206" spans="1:6" ht="14.25" customHeight="1">
      <c r="A206" s="2">
        <v>26</v>
      </c>
      <c r="B206" s="2">
        <v>205</v>
      </c>
      <c r="C206" s="2">
        <v>1</v>
      </c>
      <c r="D206" s="2">
        <v>0</v>
      </c>
      <c r="E206" s="2">
        <v>0.35199999999999998</v>
      </c>
      <c r="F206" s="2">
        <v>2</v>
      </c>
    </row>
    <row r="207" spans="1:6" ht="14.25" customHeight="1">
      <c r="A207" s="2">
        <v>26</v>
      </c>
      <c r="B207" s="2">
        <v>206</v>
      </c>
      <c r="C207" s="2">
        <v>3</v>
      </c>
      <c r="D207" s="2">
        <v>0</v>
      </c>
      <c r="E207" s="2">
        <v>0.5</v>
      </c>
      <c r="F207" s="2">
        <v>1</v>
      </c>
    </row>
    <row r="208" spans="1:6" ht="14.25" customHeight="1">
      <c r="A208" s="2">
        <v>26</v>
      </c>
      <c r="B208" s="2">
        <v>207</v>
      </c>
      <c r="C208" s="2">
        <v>2</v>
      </c>
      <c r="D208" s="2">
        <v>1</v>
      </c>
      <c r="E208" s="2">
        <v>0.99399999999999999</v>
      </c>
      <c r="F208" s="2">
        <v>1</v>
      </c>
    </row>
    <row r="209" spans="1:6" ht="14.25" customHeight="1">
      <c r="A209" s="2">
        <v>26</v>
      </c>
      <c r="B209" s="2">
        <v>208</v>
      </c>
      <c r="C209" s="2">
        <v>6</v>
      </c>
      <c r="D209" s="2">
        <v>0</v>
      </c>
      <c r="E209" s="2">
        <v>0.70199999999999996</v>
      </c>
      <c r="F209" s="2">
        <v>1</v>
      </c>
    </row>
    <row r="210" spans="1:6" ht="14.25" customHeight="1">
      <c r="A210" s="2">
        <v>26</v>
      </c>
      <c r="B210" s="2">
        <v>209</v>
      </c>
      <c r="C210" s="2">
        <v>5</v>
      </c>
      <c r="D210" s="2">
        <v>1</v>
      </c>
      <c r="E210" s="2">
        <v>0.70099999999999996</v>
      </c>
      <c r="F210" s="2">
        <v>1</v>
      </c>
    </row>
    <row r="211" spans="1:6" ht="14.25" customHeight="1">
      <c r="A211" s="2">
        <v>26</v>
      </c>
      <c r="B211" s="2">
        <v>210</v>
      </c>
      <c r="C211" s="2">
        <v>4</v>
      </c>
      <c r="D211" s="2">
        <v>0</v>
      </c>
      <c r="E211" s="2">
        <v>0.49099999999999999</v>
      </c>
      <c r="F211" s="2">
        <v>1</v>
      </c>
    </row>
    <row r="212" spans="1:6" ht="14.25" customHeight="1">
      <c r="A212" s="2">
        <v>26</v>
      </c>
      <c r="B212" s="2">
        <v>211</v>
      </c>
      <c r="C212" s="2">
        <v>3</v>
      </c>
      <c r="D212" s="2">
        <v>1</v>
      </c>
      <c r="E212" s="2">
        <v>0.66</v>
      </c>
      <c r="F212" s="2">
        <v>1</v>
      </c>
    </row>
    <row r="213" spans="1:6" ht="14.25" customHeight="1">
      <c r="A213" s="2">
        <v>26</v>
      </c>
      <c r="B213" s="2">
        <v>212</v>
      </c>
      <c r="C213" s="2">
        <v>7</v>
      </c>
      <c r="D213" s="2">
        <v>0</v>
      </c>
      <c r="E213" s="2">
        <v>0.89600000000000002</v>
      </c>
      <c r="F213" s="2">
        <v>1</v>
      </c>
    </row>
    <row r="214" spans="1:6" ht="14.25" customHeight="1">
      <c r="A214" s="2">
        <v>26</v>
      </c>
      <c r="B214" s="2">
        <v>213</v>
      </c>
      <c r="C214" s="2">
        <v>8</v>
      </c>
      <c r="D214" s="2">
        <v>1</v>
      </c>
      <c r="E214" s="2">
        <v>0.96699999999999997</v>
      </c>
      <c r="F214" s="2">
        <v>1</v>
      </c>
    </row>
    <row r="215" spans="1:6" ht="14.25" customHeight="1">
      <c r="A215" s="2">
        <v>26</v>
      </c>
      <c r="B215" s="2">
        <v>214</v>
      </c>
      <c r="C215" s="2">
        <v>4</v>
      </c>
      <c r="D215" s="2">
        <v>1</v>
      </c>
      <c r="E215" s="2">
        <v>0.63500000000000001</v>
      </c>
      <c r="F215" s="2">
        <v>2</v>
      </c>
    </row>
    <row r="216" spans="1:6" ht="14.25" customHeight="1">
      <c r="A216" s="2">
        <v>26</v>
      </c>
      <c r="B216" s="2">
        <v>215</v>
      </c>
      <c r="C216" s="2">
        <v>8</v>
      </c>
      <c r="D216" s="2">
        <v>1</v>
      </c>
      <c r="E216" s="2">
        <v>0.73199999999999998</v>
      </c>
      <c r="F216" s="2">
        <v>1</v>
      </c>
    </row>
    <row r="217" spans="1:6" ht="14.25" customHeight="1">
      <c r="A217" s="2">
        <v>26</v>
      </c>
      <c r="B217" s="2">
        <v>216</v>
      </c>
      <c r="C217" s="2">
        <v>1</v>
      </c>
      <c r="D217" s="2">
        <v>1</v>
      </c>
      <c r="E217" s="2">
        <v>0.49299999999999999</v>
      </c>
      <c r="F217" s="2">
        <v>2</v>
      </c>
    </row>
    <row r="218" spans="1:6" ht="14.25" customHeight="1">
      <c r="A218" s="2">
        <v>26</v>
      </c>
      <c r="B218" s="2">
        <v>217</v>
      </c>
      <c r="C218" s="2">
        <v>7</v>
      </c>
      <c r="D218" s="2">
        <v>0</v>
      </c>
      <c r="E218" s="2">
        <v>0.72799999999999998</v>
      </c>
      <c r="F218" s="2">
        <v>1</v>
      </c>
    </row>
    <row r="219" spans="1:6" ht="14.25" customHeight="1">
      <c r="A219" s="2">
        <v>26</v>
      </c>
      <c r="B219" s="2">
        <v>218</v>
      </c>
      <c r="C219" s="2">
        <v>2</v>
      </c>
      <c r="D219" s="2">
        <v>0</v>
      </c>
      <c r="E219" s="2">
        <v>0.54</v>
      </c>
      <c r="F219" s="2">
        <v>1</v>
      </c>
    </row>
    <row r="220" spans="1:6" ht="14.25" customHeight="1">
      <c r="A220" s="2">
        <v>26</v>
      </c>
      <c r="B220" s="2">
        <v>219</v>
      </c>
      <c r="C220" s="2">
        <v>6</v>
      </c>
      <c r="D220" s="2">
        <v>0</v>
      </c>
      <c r="E220" s="2">
        <v>0.33300000000000002</v>
      </c>
      <c r="F220" s="2">
        <v>2</v>
      </c>
    </row>
    <row r="221" spans="1:6" ht="14.25" customHeight="1">
      <c r="A221" s="2">
        <v>26</v>
      </c>
      <c r="B221" s="2">
        <v>220</v>
      </c>
      <c r="C221" s="2">
        <v>2</v>
      </c>
      <c r="D221" s="2">
        <v>1</v>
      </c>
      <c r="E221" s="2">
        <v>1.9750000000000001</v>
      </c>
      <c r="F221" s="2">
        <v>2</v>
      </c>
    </row>
    <row r="222" spans="1:6" ht="14.25" customHeight="1">
      <c r="A222" s="2">
        <v>26</v>
      </c>
      <c r="B222" s="2">
        <v>221</v>
      </c>
      <c r="C222" s="2">
        <v>1</v>
      </c>
      <c r="D222" s="2">
        <v>1</v>
      </c>
      <c r="E222" s="2">
        <v>0.72199999999999998</v>
      </c>
      <c r="F222" s="2">
        <v>2</v>
      </c>
    </row>
    <row r="223" spans="1:6" ht="14.25" customHeight="1">
      <c r="A223" s="2">
        <v>26</v>
      </c>
      <c r="B223" s="2">
        <v>222</v>
      </c>
      <c r="C223" s="2">
        <v>4</v>
      </c>
      <c r="D223" s="2">
        <v>1</v>
      </c>
      <c r="E223" s="2">
        <v>0.72699999999999998</v>
      </c>
      <c r="F223" s="2">
        <v>1</v>
      </c>
    </row>
    <row r="224" spans="1:6" ht="14.25" customHeight="1">
      <c r="A224" s="2">
        <v>26</v>
      </c>
      <c r="B224" s="2">
        <v>223</v>
      </c>
      <c r="C224" s="2">
        <v>3</v>
      </c>
      <c r="D224" s="2">
        <v>1</v>
      </c>
      <c r="E224" s="2">
        <v>1.784</v>
      </c>
      <c r="F224" s="2">
        <v>1</v>
      </c>
    </row>
    <row r="225" spans="1:6" ht="14.25" customHeight="1">
      <c r="A225" s="2">
        <v>26</v>
      </c>
      <c r="B225" s="2">
        <v>224</v>
      </c>
      <c r="C225" s="2">
        <v>4</v>
      </c>
      <c r="D225" s="2">
        <v>1</v>
      </c>
      <c r="E225" s="2">
        <v>0.52</v>
      </c>
      <c r="F225" s="2">
        <v>1</v>
      </c>
    </row>
    <row r="226" spans="1:6" ht="14.25" customHeight="1">
      <c r="A226" s="2">
        <v>26</v>
      </c>
      <c r="B226" s="2">
        <v>225</v>
      </c>
      <c r="C226" s="2">
        <v>6</v>
      </c>
      <c r="D226" s="2">
        <v>1</v>
      </c>
      <c r="E226" s="2">
        <v>0.70899999999999996</v>
      </c>
      <c r="F226" s="2">
        <v>2</v>
      </c>
    </row>
    <row r="227" spans="1:6" ht="14.25" customHeight="1">
      <c r="A227" s="2">
        <v>26</v>
      </c>
      <c r="B227" s="2">
        <v>226</v>
      </c>
      <c r="C227" s="2">
        <v>7</v>
      </c>
      <c r="D227" s="2">
        <v>1</v>
      </c>
      <c r="E227" s="2">
        <v>0.58699999999999997</v>
      </c>
      <c r="F227" s="2">
        <v>2</v>
      </c>
    </row>
    <row r="228" spans="1:6" ht="14.25" customHeight="1">
      <c r="A228" s="2">
        <v>26</v>
      </c>
      <c r="B228" s="2">
        <v>227</v>
      </c>
      <c r="C228" s="2">
        <v>5</v>
      </c>
      <c r="D228" s="2">
        <v>1</v>
      </c>
      <c r="E228" s="2">
        <v>0.71699999999999997</v>
      </c>
      <c r="F228" s="2">
        <v>1</v>
      </c>
    </row>
    <row r="229" spans="1:6" ht="14.25" customHeight="1">
      <c r="A229" s="2">
        <v>26</v>
      </c>
      <c r="B229" s="2">
        <v>228</v>
      </c>
      <c r="C229" s="2">
        <v>7</v>
      </c>
      <c r="D229" s="2">
        <v>1</v>
      </c>
      <c r="E229" s="2">
        <v>0.69099999999999995</v>
      </c>
      <c r="F229" s="2">
        <v>1</v>
      </c>
    </row>
    <row r="230" spans="1:6" ht="14.25" customHeight="1">
      <c r="A230" s="2">
        <v>26</v>
      </c>
      <c r="B230" s="2">
        <v>229</v>
      </c>
      <c r="C230" s="2">
        <v>1</v>
      </c>
      <c r="D230" s="2">
        <v>1</v>
      </c>
      <c r="E230" s="2">
        <v>1.3939999999999999</v>
      </c>
      <c r="F230" s="2">
        <v>2</v>
      </c>
    </row>
    <row r="231" spans="1:6" ht="14.25" customHeight="1">
      <c r="A231" s="2">
        <v>26</v>
      </c>
      <c r="B231" s="2">
        <v>230</v>
      </c>
      <c r="C231" s="2">
        <v>3</v>
      </c>
      <c r="D231" s="2">
        <v>1</v>
      </c>
      <c r="E231" s="2">
        <v>1.036</v>
      </c>
      <c r="F231" s="2">
        <v>2</v>
      </c>
    </row>
    <row r="232" spans="1:6" ht="14.25" customHeight="1">
      <c r="A232" s="2">
        <v>26</v>
      </c>
      <c r="B232" s="2">
        <v>231</v>
      </c>
      <c r="C232" s="2">
        <v>7</v>
      </c>
      <c r="D232" s="2">
        <v>1</v>
      </c>
      <c r="E232" s="2">
        <v>0.71699999999999997</v>
      </c>
      <c r="F232" s="2">
        <v>1</v>
      </c>
    </row>
    <row r="233" spans="1:6" ht="14.25" customHeight="1">
      <c r="A233" s="2">
        <v>26</v>
      </c>
      <c r="B233" s="2">
        <v>232</v>
      </c>
      <c r="C233" s="2">
        <v>6</v>
      </c>
      <c r="D233" s="2">
        <v>1</v>
      </c>
      <c r="E233" s="2">
        <v>1.0029999999999999</v>
      </c>
      <c r="F233" s="2">
        <v>1</v>
      </c>
    </row>
    <row r="234" spans="1:6" ht="14.25" customHeight="1">
      <c r="A234" s="2">
        <v>26</v>
      </c>
      <c r="B234" s="2">
        <v>233</v>
      </c>
      <c r="C234" s="2">
        <v>8</v>
      </c>
      <c r="D234" s="2">
        <v>1</v>
      </c>
      <c r="E234" s="2">
        <v>0.59799999999999998</v>
      </c>
      <c r="F234" s="2">
        <v>2</v>
      </c>
    </row>
    <row r="235" spans="1:6" ht="14.25" customHeight="1">
      <c r="A235" s="2">
        <v>26</v>
      </c>
      <c r="B235" s="2">
        <v>234</v>
      </c>
      <c r="C235" s="2">
        <v>1</v>
      </c>
      <c r="D235" s="2">
        <v>0</v>
      </c>
      <c r="E235" s="2">
        <v>0.77600000000000002</v>
      </c>
      <c r="F235" s="2">
        <v>2</v>
      </c>
    </row>
    <row r="236" spans="1:6" ht="14.25" customHeight="1">
      <c r="A236" s="2">
        <v>26</v>
      </c>
      <c r="B236" s="2">
        <v>235</v>
      </c>
      <c r="C236" s="2">
        <v>5</v>
      </c>
      <c r="D236" s="2">
        <v>1</v>
      </c>
      <c r="E236" s="2">
        <v>0.41199999999999998</v>
      </c>
      <c r="F236" s="2">
        <v>1</v>
      </c>
    </row>
    <row r="237" spans="1:6" ht="14.25" customHeight="1">
      <c r="A237" s="2">
        <v>26</v>
      </c>
      <c r="B237" s="2">
        <v>236</v>
      </c>
      <c r="C237" s="2">
        <v>7</v>
      </c>
      <c r="D237" s="2">
        <v>0</v>
      </c>
      <c r="E237" s="2">
        <v>0.88500000000000001</v>
      </c>
      <c r="F237" s="2">
        <v>1</v>
      </c>
    </row>
    <row r="238" spans="1:6" ht="14.25" customHeight="1">
      <c r="A238" s="2">
        <v>26</v>
      </c>
      <c r="B238" s="2">
        <v>237</v>
      </c>
      <c r="C238" s="2">
        <v>8</v>
      </c>
      <c r="D238" s="2">
        <v>0</v>
      </c>
      <c r="E238" s="2">
        <v>0.58699999999999997</v>
      </c>
      <c r="F238" s="2">
        <v>1</v>
      </c>
    </row>
    <row r="239" spans="1:6" ht="14.25" customHeight="1">
      <c r="A239" s="2">
        <v>26</v>
      </c>
      <c r="B239" s="2">
        <v>238</v>
      </c>
      <c r="C239" s="2">
        <v>2</v>
      </c>
      <c r="D239" s="2">
        <v>1</v>
      </c>
      <c r="E239" s="2">
        <v>0.47799999999999998</v>
      </c>
      <c r="F239" s="2">
        <v>2</v>
      </c>
    </row>
    <row r="240" spans="1:6" ht="14.25" customHeight="1">
      <c r="A240" s="2">
        <v>26</v>
      </c>
      <c r="B240" s="2">
        <v>239</v>
      </c>
      <c r="C240" s="2">
        <v>1</v>
      </c>
      <c r="D240" s="2">
        <v>0</v>
      </c>
      <c r="E240" s="2">
        <v>1.8540000000000001</v>
      </c>
      <c r="F240" s="2">
        <v>2</v>
      </c>
    </row>
    <row r="241" spans="1:6" ht="14.25" customHeight="1">
      <c r="A241" s="2">
        <v>26</v>
      </c>
      <c r="B241" s="2">
        <v>240</v>
      </c>
      <c r="C241" s="2">
        <v>5</v>
      </c>
      <c r="D241" s="2">
        <v>0</v>
      </c>
      <c r="E241" s="2">
        <v>0.92200000000000004</v>
      </c>
      <c r="F241" s="2">
        <v>1</v>
      </c>
    </row>
    <row r="242" spans="1:6" ht="14.25" customHeight="1">
      <c r="A242" s="2">
        <v>26</v>
      </c>
      <c r="B242" s="2">
        <v>241</v>
      </c>
      <c r="C242" s="2">
        <v>8</v>
      </c>
      <c r="D242" s="2">
        <v>0</v>
      </c>
      <c r="E242" s="2">
        <v>1.163</v>
      </c>
      <c r="F242" s="2">
        <v>1</v>
      </c>
    </row>
    <row r="243" spans="1:6" ht="14.25" customHeight="1">
      <c r="A243" s="2">
        <v>26</v>
      </c>
      <c r="B243" s="2">
        <v>242</v>
      </c>
      <c r="C243" s="2">
        <v>3</v>
      </c>
      <c r="D243" s="2">
        <v>0</v>
      </c>
      <c r="E243" s="2">
        <v>0.81499999999999995</v>
      </c>
      <c r="F243" s="2">
        <v>1</v>
      </c>
    </row>
    <row r="244" spans="1:6" ht="14.25" customHeight="1">
      <c r="A244" s="2">
        <v>26</v>
      </c>
      <c r="B244" s="2">
        <v>243</v>
      </c>
      <c r="C244" s="2">
        <v>8</v>
      </c>
      <c r="D244" s="2">
        <v>0</v>
      </c>
      <c r="E244" s="2">
        <v>0.77</v>
      </c>
      <c r="F244" s="2">
        <v>1</v>
      </c>
    </row>
    <row r="245" spans="1:6" ht="14.25" customHeight="1">
      <c r="A245" s="2">
        <v>26</v>
      </c>
      <c r="B245" s="2">
        <v>244</v>
      </c>
      <c r="C245" s="2">
        <v>6</v>
      </c>
      <c r="D245" s="2">
        <v>1</v>
      </c>
      <c r="E245" s="2">
        <v>0.58099999999999996</v>
      </c>
      <c r="F245" s="2">
        <v>2</v>
      </c>
    </row>
    <row r="246" spans="1:6" ht="14.25" customHeight="1">
      <c r="A246" s="2">
        <v>26</v>
      </c>
      <c r="B246" s="2">
        <v>245</v>
      </c>
      <c r="C246" s="2">
        <v>4</v>
      </c>
      <c r="D246" s="2">
        <v>0</v>
      </c>
      <c r="E246" s="2">
        <v>0.53700000000000003</v>
      </c>
      <c r="F246" s="2">
        <v>2</v>
      </c>
    </row>
    <row r="247" spans="1:6" ht="14.25" customHeight="1">
      <c r="A247" s="2">
        <v>26</v>
      </c>
      <c r="B247" s="2">
        <v>246</v>
      </c>
      <c r="C247" s="2">
        <v>2</v>
      </c>
      <c r="D247" s="2">
        <v>0</v>
      </c>
      <c r="E247" s="2">
        <v>1.365</v>
      </c>
      <c r="F247" s="2">
        <v>2</v>
      </c>
    </row>
    <row r="248" spans="1:6" ht="14.25" customHeight="1">
      <c r="A248" s="2">
        <v>26</v>
      </c>
      <c r="B248" s="2">
        <v>247</v>
      </c>
      <c r="C248" s="2">
        <v>6</v>
      </c>
      <c r="D248" s="2">
        <v>1</v>
      </c>
      <c r="E248" s="2">
        <v>0.374</v>
      </c>
      <c r="F248" s="2">
        <v>1</v>
      </c>
    </row>
    <row r="249" spans="1:6" ht="14.25" customHeight="1">
      <c r="A249" s="2">
        <v>26</v>
      </c>
      <c r="B249" s="2">
        <v>248</v>
      </c>
      <c r="C249" s="2">
        <v>4</v>
      </c>
      <c r="D249" s="2">
        <v>1</v>
      </c>
      <c r="E249" s="2">
        <v>1.34</v>
      </c>
      <c r="F249" s="2">
        <v>2</v>
      </c>
    </row>
    <row r="250" spans="1:6" ht="14.25" customHeight="1">
      <c r="A250" s="2">
        <v>26</v>
      </c>
      <c r="B250" s="2">
        <v>249</v>
      </c>
      <c r="C250" s="2">
        <v>2</v>
      </c>
      <c r="D250" s="2">
        <v>1</v>
      </c>
      <c r="E250" s="2">
        <v>0.61799999999999999</v>
      </c>
      <c r="F250" s="2">
        <v>1</v>
      </c>
    </row>
    <row r="251" spans="1:6" ht="14.25" customHeight="1">
      <c r="A251" s="2">
        <v>26</v>
      </c>
      <c r="B251" s="2">
        <v>250</v>
      </c>
      <c r="C251" s="2">
        <v>7</v>
      </c>
      <c r="D251" s="2">
        <v>1</v>
      </c>
      <c r="E251" s="2">
        <v>1.29</v>
      </c>
      <c r="F251" s="2">
        <v>2</v>
      </c>
    </row>
    <row r="252" spans="1:6" ht="14.25" customHeight="1">
      <c r="A252" s="2">
        <v>26</v>
      </c>
      <c r="B252" s="2">
        <v>251</v>
      </c>
      <c r="C252" s="2">
        <v>4</v>
      </c>
      <c r="D252" s="2">
        <v>1</v>
      </c>
      <c r="E252" s="2">
        <v>0.85399999999999998</v>
      </c>
      <c r="F252" s="2">
        <v>1</v>
      </c>
    </row>
    <row r="253" spans="1:6" ht="14.25" customHeight="1">
      <c r="A253" s="2">
        <v>26</v>
      </c>
      <c r="B253" s="2">
        <v>252</v>
      </c>
      <c r="C253" s="2">
        <v>2</v>
      </c>
      <c r="D253" s="2">
        <v>1</v>
      </c>
      <c r="E253" s="2">
        <v>1.1259999999999999</v>
      </c>
      <c r="F253" s="2">
        <v>1</v>
      </c>
    </row>
    <row r="254" spans="1:6" ht="14.25" customHeight="1">
      <c r="A254" s="2">
        <v>26</v>
      </c>
      <c r="B254" s="2">
        <v>253</v>
      </c>
      <c r="C254" s="2">
        <v>8</v>
      </c>
      <c r="D254" s="2">
        <v>1</v>
      </c>
      <c r="E254" s="2">
        <v>0.76300000000000001</v>
      </c>
      <c r="F254" s="2">
        <v>1</v>
      </c>
    </row>
    <row r="255" spans="1:6" ht="14.25" customHeight="1">
      <c r="A255" s="2">
        <v>26</v>
      </c>
      <c r="B255" s="2">
        <v>254</v>
      </c>
      <c r="C255" s="2">
        <v>7</v>
      </c>
      <c r="D255" s="2">
        <v>0</v>
      </c>
      <c r="E255" s="2">
        <v>0.95099999999999996</v>
      </c>
      <c r="F255" s="2">
        <v>1</v>
      </c>
    </row>
    <row r="256" spans="1:6" ht="14.25" customHeight="1">
      <c r="A256" s="2">
        <v>26</v>
      </c>
      <c r="B256" s="2">
        <v>255</v>
      </c>
      <c r="C256" s="2">
        <v>6</v>
      </c>
      <c r="D256" s="2">
        <v>0</v>
      </c>
      <c r="E256" s="2">
        <v>0.86699999999999999</v>
      </c>
      <c r="F256" s="2">
        <v>2</v>
      </c>
    </row>
    <row r="257" spans="1:6" ht="14.25" customHeight="1">
      <c r="A257" s="2">
        <v>26</v>
      </c>
      <c r="B257" s="2">
        <v>256</v>
      </c>
      <c r="C257" s="2">
        <v>1</v>
      </c>
      <c r="D257" s="2">
        <v>0</v>
      </c>
      <c r="E257" s="2">
        <v>0.62</v>
      </c>
      <c r="F257" s="2">
        <v>1</v>
      </c>
    </row>
    <row r="258" spans="1:6" ht="14.25" customHeight="1">
      <c r="A258" s="2">
        <v>26</v>
      </c>
      <c r="B258" s="2">
        <v>257</v>
      </c>
      <c r="C258" s="2">
        <v>5</v>
      </c>
      <c r="D258" s="2">
        <v>1</v>
      </c>
      <c r="E258" s="2">
        <v>0.877</v>
      </c>
      <c r="F258" s="2">
        <v>1</v>
      </c>
    </row>
    <row r="259" spans="1:6" ht="14.25" customHeight="1">
      <c r="A259" s="2">
        <v>26</v>
      </c>
      <c r="B259" s="2">
        <v>258</v>
      </c>
      <c r="C259" s="2">
        <v>3</v>
      </c>
      <c r="D259" s="2">
        <v>0</v>
      </c>
      <c r="E259" s="2">
        <v>1.0289999999999999</v>
      </c>
      <c r="F259" s="2">
        <v>1</v>
      </c>
    </row>
    <row r="260" spans="1:6" ht="14.25" customHeight="1">
      <c r="A260" s="2">
        <v>26</v>
      </c>
      <c r="B260" s="2">
        <v>259</v>
      </c>
      <c r="C260" s="2">
        <v>8</v>
      </c>
      <c r="D260" s="2">
        <v>1</v>
      </c>
      <c r="E260" s="2">
        <v>0.44600000000000001</v>
      </c>
      <c r="F260" s="2">
        <v>1</v>
      </c>
    </row>
    <row r="261" spans="1:6" ht="14.25" customHeight="1">
      <c r="A261" s="2">
        <v>26</v>
      </c>
      <c r="B261" s="2">
        <v>260</v>
      </c>
      <c r="C261" s="2">
        <v>4</v>
      </c>
      <c r="D261" s="2">
        <v>1</v>
      </c>
      <c r="E261" s="2">
        <v>0.45400000000000001</v>
      </c>
      <c r="F261" s="2">
        <v>2</v>
      </c>
    </row>
    <row r="262" spans="1:6" ht="14.25" customHeight="1">
      <c r="A262" s="2">
        <v>26</v>
      </c>
      <c r="B262" s="2">
        <v>261</v>
      </c>
      <c r="C262" s="2">
        <v>6</v>
      </c>
      <c r="D262" s="2">
        <v>1</v>
      </c>
      <c r="E262" s="2">
        <v>0.59399999999999997</v>
      </c>
      <c r="F262" s="2">
        <v>1</v>
      </c>
    </row>
    <row r="263" spans="1:6" ht="14.25" customHeight="1">
      <c r="A263" s="2">
        <v>26</v>
      </c>
      <c r="B263" s="2">
        <v>262</v>
      </c>
      <c r="C263" s="2">
        <v>2</v>
      </c>
      <c r="D263" s="2">
        <v>1</v>
      </c>
      <c r="E263" s="2">
        <v>1.012</v>
      </c>
      <c r="F263" s="2">
        <v>2</v>
      </c>
    </row>
    <row r="264" spans="1:6" ht="14.25" customHeight="1">
      <c r="A264" s="2">
        <v>26</v>
      </c>
      <c r="B264" s="2">
        <v>263</v>
      </c>
      <c r="C264" s="2">
        <v>4</v>
      </c>
      <c r="D264" s="2">
        <v>1</v>
      </c>
      <c r="E264" s="2">
        <v>0.35299999999999998</v>
      </c>
      <c r="F264" s="2">
        <v>1</v>
      </c>
    </row>
    <row r="265" spans="1:6" ht="14.25" customHeight="1">
      <c r="A265" s="2">
        <v>26</v>
      </c>
      <c r="B265" s="2">
        <v>264</v>
      </c>
      <c r="C265" s="2">
        <v>7</v>
      </c>
      <c r="D265" s="2">
        <v>1</v>
      </c>
      <c r="E265" s="2">
        <v>0.44500000000000001</v>
      </c>
      <c r="F265" s="2">
        <v>2</v>
      </c>
    </row>
    <row r="266" spans="1:6" ht="14.25" customHeight="1">
      <c r="A266" s="2">
        <v>26</v>
      </c>
      <c r="B266" s="2">
        <v>265</v>
      </c>
      <c r="C266" s="2">
        <v>5</v>
      </c>
      <c r="D266" s="2">
        <v>1</v>
      </c>
      <c r="E266" s="2">
        <v>1.0629999999999999</v>
      </c>
      <c r="F266" s="2">
        <v>1</v>
      </c>
    </row>
    <row r="267" spans="1:6" ht="14.25" customHeight="1">
      <c r="A267" s="2">
        <v>26</v>
      </c>
      <c r="B267" s="2">
        <v>266</v>
      </c>
      <c r="C267" s="2">
        <v>3</v>
      </c>
      <c r="D267" s="2">
        <v>1</v>
      </c>
      <c r="E267" s="2">
        <v>0.67100000000000004</v>
      </c>
      <c r="F267" s="2">
        <v>2</v>
      </c>
    </row>
    <row r="268" spans="1:6" ht="14.25" customHeight="1">
      <c r="A268" s="2">
        <v>26</v>
      </c>
      <c r="B268" s="2">
        <v>267</v>
      </c>
      <c r="C268" s="2">
        <v>4</v>
      </c>
      <c r="D268" s="2">
        <v>0</v>
      </c>
      <c r="E268" s="2">
        <v>0.48499999999999999</v>
      </c>
      <c r="F268" s="2">
        <v>1</v>
      </c>
    </row>
    <row r="269" spans="1:6" ht="14.25" customHeight="1">
      <c r="A269" s="2">
        <v>26</v>
      </c>
      <c r="B269" s="2">
        <v>268</v>
      </c>
      <c r="C269" s="2">
        <v>6</v>
      </c>
      <c r="D269" s="2">
        <v>1</v>
      </c>
      <c r="E269" s="2">
        <v>0.53300000000000003</v>
      </c>
      <c r="F269" s="2">
        <v>2</v>
      </c>
    </row>
    <row r="270" spans="1:6" ht="14.25" customHeight="1">
      <c r="A270" s="2">
        <v>26</v>
      </c>
      <c r="B270" s="2">
        <v>269</v>
      </c>
      <c r="C270" s="2">
        <v>1</v>
      </c>
      <c r="D270" s="2">
        <v>0</v>
      </c>
      <c r="E270" s="2">
        <v>0.40100000000000002</v>
      </c>
      <c r="F270" s="2">
        <v>2</v>
      </c>
    </row>
    <row r="271" spans="1:6" ht="14.25" customHeight="1">
      <c r="A271" s="2">
        <v>26</v>
      </c>
      <c r="B271" s="2">
        <v>270</v>
      </c>
      <c r="C271" s="2">
        <v>2</v>
      </c>
      <c r="D271" s="2">
        <v>1</v>
      </c>
      <c r="E271" s="2">
        <v>0.628</v>
      </c>
      <c r="F271" s="2">
        <v>2</v>
      </c>
    </row>
    <row r="272" spans="1:6" ht="14.25" customHeight="1">
      <c r="A272" s="2">
        <v>26</v>
      </c>
      <c r="B272" s="2">
        <v>271</v>
      </c>
      <c r="C272" s="2">
        <v>8</v>
      </c>
      <c r="D272" s="2">
        <v>0</v>
      </c>
      <c r="E272" s="2">
        <v>0.56200000000000006</v>
      </c>
      <c r="F272" s="2">
        <v>1</v>
      </c>
    </row>
    <row r="273" spans="1:6" ht="14.25" customHeight="1">
      <c r="A273" s="2">
        <v>26</v>
      </c>
      <c r="B273" s="2">
        <v>272</v>
      </c>
      <c r="C273" s="2">
        <v>5</v>
      </c>
      <c r="D273" s="2">
        <v>1</v>
      </c>
      <c r="E273" s="2">
        <v>0.60899999999999999</v>
      </c>
      <c r="F273" s="2">
        <v>1</v>
      </c>
    </row>
    <row r="274" spans="1:6" ht="14.25" customHeight="1">
      <c r="A274" s="2">
        <v>26</v>
      </c>
      <c r="B274" s="2">
        <v>273</v>
      </c>
      <c r="C274" s="2">
        <v>8</v>
      </c>
      <c r="D274" s="2">
        <v>1</v>
      </c>
      <c r="E274" s="2">
        <v>1.8280000000000001</v>
      </c>
      <c r="F274" s="2">
        <v>1</v>
      </c>
    </row>
    <row r="275" spans="1:6" ht="14.25" customHeight="1">
      <c r="A275" s="2">
        <v>26</v>
      </c>
      <c r="B275" s="2">
        <v>274</v>
      </c>
      <c r="C275" s="2">
        <v>7</v>
      </c>
      <c r="D275" s="2">
        <v>1</v>
      </c>
      <c r="E275" s="2">
        <v>0.94899999999999995</v>
      </c>
      <c r="F275" s="2">
        <v>1</v>
      </c>
    </row>
    <row r="276" spans="1:6" ht="14.25" customHeight="1">
      <c r="A276" s="2">
        <v>26</v>
      </c>
      <c r="B276" s="2">
        <v>275</v>
      </c>
      <c r="C276" s="2">
        <v>8</v>
      </c>
      <c r="D276" s="2">
        <v>1</v>
      </c>
      <c r="E276" s="2">
        <v>0.497</v>
      </c>
      <c r="F276" s="2">
        <v>2</v>
      </c>
    </row>
    <row r="277" spans="1:6" ht="14.25" customHeight="1">
      <c r="A277" s="2">
        <v>26</v>
      </c>
      <c r="B277" s="2">
        <v>276</v>
      </c>
      <c r="C277" s="2">
        <v>5</v>
      </c>
      <c r="D277" s="2">
        <v>1</v>
      </c>
      <c r="E277" s="2">
        <v>0.60499999999999998</v>
      </c>
      <c r="F277" s="2">
        <v>2</v>
      </c>
    </row>
    <row r="278" spans="1:6" ht="14.25" customHeight="1">
      <c r="A278" s="2">
        <v>26</v>
      </c>
      <c r="B278" s="2">
        <v>277</v>
      </c>
      <c r="C278" s="2">
        <v>6</v>
      </c>
      <c r="D278" s="2">
        <v>0</v>
      </c>
      <c r="E278" s="2">
        <v>0.39400000000000002</v>
      </c>
      <c r="F278" s="2">
        <v>2</v>
      </c>
    </row>
    <row r="279" spans="1:6" ht="14.25" customHeight="1">
      <c r="A279" s="2">
        <v>26</v>
      </c>
      <c r="B279" s="2">
        <v>278</v>
      </c>
      <c r="C279" s="2">
        <v>3</v>
      </c>
      <c r="D279" s="2">
        <v>1</v>
      </c>
      <c r="E279" s="2">
        <v>1.5249999999999999</v>
      </c>
      <c r="F279" s="2">
        <v>1</v>
      </c>
    </row>
    <row r="280" spans="1:6" ht="14.25" customHeight="1">
      <c r="A280" s="2">
        <v>26</v>
      </c>
      <c r="B280" s="2">
        <v>279</v>
      </c>
      <c r="C280" s="2">
        <v>7</v>
      </c>
      <c r="D280" s="2">
        <v>1</v>
      </c>
      <c r="E280" s="2">
        <v>0.81899999999999995</v>
      </c>
      <c r="F280" s="2">
        <v>2</v>
      </c>
    </row>
    <row r="281" spans="1:6" ht="14.25" customHeight="1">
      <c r="A281" s="2">
        <v>26</v>
      </c>
      <c r="B281" s="2">
        <v>280</v>
      </c>
      <c r="C281" s="2">
        <v>2</v>
      </c>
      <c r="D281" s="2">
        <v>1</v>
      </c>
      <c r="E281" s="2">
        <v>0.60399999999999998</v>
      </c>
      <c r="F281" s="2">
        <v>2</v>
      </c>
    </row>
    <row r="282" spans="1:6" ht="14.25" customHeight="1">
      <c r="A282" s="2">
        <v>26</v>
      </c>
      <c r="B282" s="2">
        <v>281</v>
      </c>
      <c r="C282" s="2">
        <v>8</v>
      </c>
      <c r="D282" s="2">
        <v>1</v>
      </c>
      <c r="E282" s="2">
        <v>0.42899999999999999</v>
      </c>
      <c r="F282" s="2">
        <v>1</v>
      </c>
    </row>
    <row r="283" spans="1:6" ht="14.25" customHeight="1">
      <c r="A283" s="2">
        <v>26</v>
      </c>
      <c r="B283" s="2">
        <v>282</v>
      </c>
      <c r="C283" s="2">
        <v>6</v>
      </c>
      <c r="D283" s="2">
        <v>1</v>
      </c>
      <c r="E283" s="2">
        <v>0.45500000000000002</v>
      </c>
      <c r="F283" s="2">
        <v>1</v>
      </c>
    </row>
    <row r="284" spans="1:6" ht="14.25" customHeight="1">
      <c r="A284" s="2">
        <v>26</v>
      </c>
      <c r="B284" s="2">
        <v>283</v>
      </c>
      <c r="C284" s="2">
        <v>2</v>
      </c>
      <c r="D284" s="2">
        <v>1</v>
      </c>
      <c r="E284" s="2">
        <v>0.30299999999999999</v>
      </c>
      <c r="F284" s="2">
        <v>2</v>
      </c>
    </row>
    <row r="285" spans="1:6" ht="14.25" customHeight="1">
      <c r="A285" s="2">
        <v>26</v>
      </c>
      <c r="B285" s="2">
        <v>284</v>
      </c>
      <c r="C285" s="2">
        <v>6</v>
      </c>
      <c r="D285" s="2">
        <v>0</v>
      </c>
      <c r="E285" s="2">
        <v>0.437</v>
      </c>
      <c r="F285" s="2">
        <v>2</v>
      </c>
    </row>
    <row r="286" spans="1:6" ht="14.25" customHeight="1">
      <c r="A286" s="2">
        <v>26</v>
      </c>
      <c r="B286" s="2">
        <v>285</v>
      </c>
      <c r="C286" s="2">
        <v>4</v>
      </c>
      <c r="D286" s="2">
        <v>1</v>
      </c>
      <c r="E286" s="2">
        <v>0.53400000000000003</v>
      </c>
      <c r="F286" s="2">
        <v>1</v>
      </c>
    </row>
    <row r="287" spans="1:6" ht="14.25" customHeight="1">
      <c r="A287" s="2">
        <v>26</v>
      </c>
      <c r="B287" s="2">
        <v>286</v>
      </c>
      <c r="C287" s="2">
        <v>1</v>
      </c>
      <c r="D287" s="2">
        <v>1</v>
      </c>
      <c r="E287" s="2">
        <v>0.83499999999999996</v>
      </c>
      <c r="F287" s="2">
        <v>2</v>
      </c>
    </row>
    <row r="288" spans="1:6" ht="14.25" customHeight="1">
      <c r="A288" s="2">
        <v>26</v>
      </c>
      <c r="B288" s="2">
        <v>287</v>
      </c>
      <c r="C288" s="2">
        <v>3</v>
      </c>
      <c r="D288" s="2">
        <v>0</v>
      </c>
      <c r="E288" s="2">
        <v>1.536</v>
      </c>
      <c r="F288" s="2">
        <v>1</v>
      </c>
    </row>
    <row r="289" spans="1:6" ht="14.25" customHeight="1">
      <c r="A289" s="2">
        <v>26</v>
      </c>
      <c r="B289" s="2">
        <v>288</v>
      </c>
      <c r="C289" s="2">
        <v>7</v>
      </c>
      <c r="D289" s="2">
        <v>1</v>
      </c>
      <c r="E289" s="2">
        <v>0.64100000000000001</v>
      </c>
      <c r="F289" s="2">
        <v>2</v>
      </c>
    </row>
    <row r="290" spans="1:6" ht="14.25" customHeight="1">
      <c r="A290" s="2">
        <v>26</v>
      </c>
      <c r="B290" s="2">
        <v>289</v>
      </c>
      <c r="C290" s="2">
        <v>2</v>
      </c>
      <c r="D290" s="2">
        <v>1</v>
      </c>
      <c r="E290" s="2">
        <v>1.355</v>
      </c>
      <c r="F290" s="2">
        <v>1</v>
      </c>
    </row>
    <row r="291" spans="1:6" ht="14.25" customHeight="1">
      <c r="A291" s="2">
        <v>26</v>
      </c>
      <c r="B291" s="2">
        <v>290</v>
      </c>
      <c r="C291" s="2">
        <v>4</v>
      </c>
      <c r="D291" s="2">
        <v>1</v>
      </c>
      <c r="E291" s="2">
        <v>1.974</v>
      </c>
      <c r="F291" s="2">
        <v>2</v>
      </c>
    </row>
    <row r="292" spans="1:6" ht="14.25" customHeight="1">
      <c r="A292" s="2">
        <v>26</v>
      </c>
      <c r="B292" s="2">
        <v>291</v>
      </c>
      <c r="C292" s="2">
        <v>1</v>
      </c>
      <c r="D292" s="2">
        <v>0</v>
      </c>
      <c r="E292" s="2">
        <v>1.3220000000000001</v>
      </c>
      <c r="F292" s="2">
        <v>1</v>
      </c>
    </row>
    <row r="293" spans="1:6" ht="14.25" customHeight="1">
      <c r="A293" s="2">
        <v>26</v>
      </c>
      <c r="B293" s="2">
        <v>292</v>
      </c>
      <c r="C293" s="2">
        <v>8</v>
      </c>
      <c r="D293" s="2">
        <v>0</v>
      </c>
      <c r="E293" s="2">
        <v>0.81200000000000006</v>
      </c>
      <c r="F293" s="2">
        <v>1</v>
      </c>
    </row>
    <row r="294" spans="1:6" ht="14.25" customHeight="1">
      <c r="A294" s="2">
        <v>26</v>
      </c>
      <c r="B294" s="2">
        <v>293</v>
      </c>
      <c r="C294" s="2">
        <v>7</v>
      </c>
      <c r="D294" s="2">
        <v>1</v>
      </c>
      <c r="E294" s="2">
        <v>1.056</v>
      </c>
      <c r="F294" s="2">
        <v>2</v>
      </c>
    </row>
    <row r="295" spans="1:6" ht="14.25" customHeight="1">
      <c r="A295" s="2">
        <v>26</v>
      </c>
      <c r="B295" s="2">
        <v>294</v>
      </c>
      <c r="C295" s="2">
        <v>3</v>
      </c>
      <c r="D295" s="2">
        <v>1</v>
      </c>
      <c r="E295" s="2">
        <v>0.73599999999999999</v>
      </c>
      <c r="F295" s="2">
        <v>2</v>
      </c>
    </row>
    <row r="296" spans="1:6" ht="14.25" customHeight="1">
      <c r="A296" s="2">
        <v>26</v>
      </c>
      <c r="B296" s="2">
        <v>295</v>
      </c>
      <c r="C296" s="2">
        <v>1</v>
      </c>
      <c r="D296" s="2">
        <v>1</v>
      </c>
      <c r="E296" s="2">
        <v>1.014</v>
      </c>
      <c r="F296" s="2">
        <v>1</v>
      </c>
    </row>
    <row r="297" spans="1:6" ht="14.25" customHeight="1">
      <c r="A297" s="2">
        <v>26</v>
      </c>
      <c r="B297" s="2">
        <v>296</v>
      </c>
      <c r="C297" s="2">
        <v>5</v>
      </c>
      <c r="D297" s="2">
        <v>1</v>
      </c>
      <c r="E297" s="2">
        <v>0.621</v>
      </c>
      <c r="F297" s="2">
        <v>1</v>
      </c>
    </row>
    <row r="298" spans="1:6" ht="14.25" customHeight="1">
      <c r="A298" s="2">
        <v>26</v>
      </c>
      <c r="B298" s="2">
        <v>297</v>
      </c>
      <c r="C298" s="2">
        <v>1</v>
      </c>
      <c r="D298" s="2">
        <v>1</v>
      </c>
      <c r="E298" s="2">
        <v>0.624</v>
      </c>
      <c r="F298" s="2">
        <v>1</v>
      </c>
    </row>
    <row r="299" spans="1:6" ht="14.25" customHeight="1">
      <c r="A299" s="2">
        <v>26</v>
      </c>
      <c r="B299" s="2">
        <v>298</v>
      </c>
      <c r="C299" s="2">
        <v>5</v>
      </c>
      <c r="D299" s="2">
        <v>1</v>
      </c>
      <c r="E299" s="2">
        <v>0.81</v>
      </c>
      <c r="F299" s="2">
        <v>2</v>
      </c>
    </row>
    <row r="300" spans="1:6" ht="14.25" customHeight="1">
      <c r="A300" s="2">
        <v>26</v>
      </c>
      <c r="B300" s="2">
        <v>299</v>
      </c>
      <c r="C300" s="2">
        <v>7</v>
      </c>
      <c r="D300" s="2">
        <v>1</v>
      </c>
      <c r="E300" s="2">
        <v>1.292</v>
      </c>
      <c r="F300" s="2">
        <v>1</v>
      </c>
    </row>
    <row r="301" spans="1:6" ht="14.25" customHeight="1">
      <c r="A301" s="2">
        <v>26</v>
      </c>
      <c r="B301" s="2">
        <v>300</v>
      </c>
      <c r="C301" s="2">
        <v>3</v>
      </c>
      <c r="D301" s="2">
        <v>1</v>
      </c>
      <c r="E301" s="2">
        <v>1.155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27</v>
      </c>
      <c r="I1" s="2">
        <v>251</v>
      </c>
      <c r="J1" s="2">
        <v>1</v>
      </c>
      <c r="K1" s="2">
        <v>1</v>
      </c>
      <c r="L1" s="2">
        <v>1.242</v>
      </c>
      <c r="M1" s="2">
        <v>1</v>
      </c>
    </row>
    <row r="2" spans="1:22" ht="14.25" customHeight="1">
      <c r="A2" s="2">
        <v>27</v>
      </c>
      <c r="B2" s="2">
        <v>1</v>
      </c>
      <c r="C2" s="2">
        <v>8</v>
      </c>
      <c r="D2" s="2">
        <v>0</v>
      </c>
      <c r="E2" s="2">
        <v>1.7210000000000001</v>
      </c>
      <c r="F2" s="2">
        <v>2</v>
      </c>
      <c r="H2" s="2">
        <v>27</v>
      </c>
      <c r="I2" s="2">
        <v>252</v>
      </c>
      <c r="J2" s="2">
        <v>4</v>
      </c>
      <c r="K2" s="2">
        <v>1</v>
      </c>
      <c r="L2" s="2">
        <v>0.752</v>
      </c>
      <c r="M2" s="2">
        <v>2</v>
      </c>
    </row>
    <row r="3" spans="1:22" ht="14.25" customHeight="1">
      <c r="A3" s="2">
        <v>27</v>
      </c>
      <c r="B3" s="2">
        <v>2</v>
      </c>
      <c r="C3" s="2">
        <v>5</v>
      </c>
      <c r="D3" s="2">
        <v>0</v>
      </c>
      <c r="E3" s="2">
        <v>1.952</v>
      </c>
      <c r="F3" s="2">
        <v>1</v>
      </c>
      <c r="H3" s="2">
        <v>27</v>
      </c>
      <c r="I3" s="2">
        <v>253</v>
      </c>
      <c r="J3" s="2">
        <v>3</v>
      </c>
      <c r="K3" s="2">
        <v>1</v>
      </c>
      <c r="L3" s="2">
        <v>1.1950000000000001</v>
      </c>
      <c r="M3" s="2">
        <v>2</v>
      </c>
    </row>
    <row r="4" spans="1:22" ht="14.25" customHeight="1">
      <c r="A4" s="2">
        <v>27</v>
      </c>
      <c r="B4" s="2">
        <v>3</v>
      </c>
      <c r="C4" s="2">
        <v>6</v>
      </c>
      <c r="D4" s="2">
        <v>0</v>
      </c>
      <c r="E4" s="2">
        <v>1.8520000000000001</v>
      </c>
      <c r="F4" s="2">
        <v>1</v>
      </c>
      <c r="H4" s="2">
        <v>27</v>
      </c>
      <c r="I4" s="2">
        <v>254</v>
      </c>
      <c r="J4" s="2">
        <v>2</v>
      </c>
      <c r="K4" s="2">
        <v>1</v>
      </c>
      <c r="L4" s="2">
        <v>0.71599999999999997</v>
      </c>
      <c r="M4" s="2">
        <v>2</v>
      </c>
      <c r="O4" s="2" t="s">
        <v>6</v>
      </c>
    </row>
    <row r="5" spans="1:22" ht="14.25" customHeight="1">
      <c r="A5" s="2">
        <v>27</v>
      </c>
      <c r="B5" s="2">
        <v>4</v>
      </c>
      <c r="C5" s="2">
        <v>5</v>
      </c>
      <c r="E5" s="2">
        <v>2.0009999999999999</v>
      </c>
      <c r="H5" s="2">
        <v>27</v>
      </c>
      <c r="I5" s="2">
        <v>255</v>
      </c>
      <c r="J5" s="2">
        <v>7</v>
      </c>
      <c r="K5" s="2">
        <v>1</v>
      </c>
      <c r="L5" s="2">
        <v>1.4330000000000001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27</v>
      </c>
      <c r="B6" s="2">
        <v>5</v>
      </c>
      <c r="C6" s="2">
        <v>4</v>
      </c>
      <c r="D6" s="2">
        <v>0</v>
      </c>
      <c r="E6" s="2">
        <v>0.66300000000000003</v>
      </c>
      <c r="F6" s="2">
        <v>2</v>
      </c>
      <c r="H6" s="2">
        <v>27</v>
      </c>
      <c r="I6" s="2">
        <v>256</v>
      </c>
      <c r="J6" s="2">
        <v>5</v>
      </c>
      <c r="K6" s="2">
        <v>1</v>
      </c>
      <c r="L6" s="2">
        <v>0.76900000000000002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27</v>
      </c>
      <c r="B7" s="2">
        <v>6</v>
      </c>
      <c r="C7" s="2">
        <v>6</v>
      </c>
      <c r="D7" s="2">
        <v>1</v>
      </c>
      <c r="E7" s="2">
        <v>1.2090000000000001</v>
      </c>
      <c r="F7" s="2">
        <v>2</v>
      </c>
      <c r="H7" s="2">
        <v>27</v>
      </c>
      <c r="I7" s="2">
        <v>257</v>
      </c>
      <c r="J7" s="2">
        <v>4</v>
      </c>
      <c r="K7" s="2">
        <v>0</v>
      </c>
      <c r="L7" s="2">
        <v>0.66700000000000004</v>
      </c>
      <c r="M7" s="2">
        <v>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27</v>
      </c>
      <c r="B8" s="2">
        <v>7</v>
      </c>
      <c r="C8" s="2">
        <v>2</v>
      </c>
      <c r="D8" s="2">
        <v>1</v>
      </c>
      <c r="E8" s="2">
        <v>1.46</v>
      </c>
      <c r="F8" s="2">
        <v>1</v>
      </c>
      <c r="H8" s="2">
        <v>27</v>
      </c>
      <c r="I8" s="2">
        <v>258</v>
      </c>
      <c r="J8" s="2">
        <v>5</v>
      </c>
      <c r="K8" s="2">
        <v>1</v>
      </c>
      <c r="L8" s="2">
        <v>0.90600000000000003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27</v>
      </c>
      <c r="B9" s="2">
        <v>8</v>
      </c>
      <c r="C9" s="2">
        <v>6</v>
      </c>
      <c r="D9" s="2">
        <v>1</v>
      </c>
      <c r="E9" s="2">
        <v>1.2170000000000001</v>
      </c>
      <c r="F9" s="2">
        <v>2</v>
      </c>
      <c r="H9" s="2">
        <v>27</v>
      </c>
      <c r="I9" s="2">
        <v>259</v>
      </c>
      <c r="J9" s="2">
        <v>6</v>
      </c>
      <c r="K9" s="2">
        <v>1</v>
      </c>
      <c r="L9" s="2">
        <v>0.83499999999999996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27</v>
      </c>
      <c r="B10" s="2">
        <v>9</v>
      </c>
      <c r="C10" s="2">
        <v>4</v>
      </c>
      <c r="D10" s="2">
        <v>1</v>
      </c>
      <c r="E10" s="2">
        <v>1.004</v>
      </c>
      <c r="F10" s="2">
        <v>1</v>
      </c>
      <c r="H10" s="2">
        <v>27</v>
      </c>
      <c r="I10" s="2">
        <v>260</v>
      </c>
      <c r="J10" s="2">
        <v>8</v>
      </c>
      <c r="K10" s="2">
        <v>1</v>
      </c>
      <c r="L10" s="2">
        <v>0.84799999999999998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27</v>
      </c>
      <c r="B11" s="2">
        <v>10</v>
      </c>
      <c r="C11" s="2">
        <v>5</v>
      </c>
      <c r="D11" s="2">
        <v>0</v>
      </c>
      <c r="E11" s="2">
        <v>1.6459999999999999</v>
      </c>
      <c r="F11" s="2">
        <v>1</v>
      </c>
      <c r="H11" s="2">
        <v>27</v>
      </c>
      <c r="I11" s="2">
        <v>261</v>
      </c>
      <c r="J11" s="2">
        <v>3</v>
      </c>
      <c r="K11" s="2">
        <v>0</v>
      </c>
      <c r="L11" s="2">
        <v>0.71599999999999997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27</v>
      </c>
      <c r="B12" s="2">
        <v>11</v>
      </c>
      <c r="C12" s="2">
        <v>3</v>
      </c>
      <c r="D12" s="2">
        <v>1</v>
      </c>
      <c r="E12" s="2">
        <v>1.155</v>
      </c>
      <c r="F12" s="2">
        <v>2</v>
      </c>
      <c r="H12" s="2">
        <v>27</v>
      </c>
      <c r="I12" s="2">
        <v>262</v>
      </c>
      <c r="J12" s="2">
        <v>1</v>
      </c>
      <c r="K12" s="2">
        <v>1</v>
      </c>
      <c r="L12" s="2">
        <v>1.2270000000000001</v>
      </c>
      <c r="M12" s="2">
        <v>1</v>
      </c>
    </row>
    <row r="13" spans="1:22" ht="14.25" customHeight="1">
      <c r="A13" s="2">
        <v>27</v>
      </c>
      <c r="B13" s="2">
        <v>12</v>
      </c>
      <c r="C13" s="2">
        <v>2</v>
      </c>
      <c r="D13" s="2">
        <v>1</v>
      </c>
      <c r="E13" s="2">
        <v>1.284</v>
      </c>
      <c r="F13" s="2">
        <v>1</v>
      </c>
      <c r="H13" s="2">
        <v>27</v>
      </c>
      <c r="I13" s="2">
        <v>263</v>
      </c>
      <c r="J13" s="2">
        <v>8</v>
      </c>
      <c r="K13" s="2">
        <v>1</v>
      </c>
      <c r="L13" s="2">
        <v>0.872</v>
      </c>
      <c r="M13" s="2">
        <v>1</v>
      </c>
    </row>
    <row r="14" spans="1:22" ht="14.25" customHeight="1">
      <c r="A14" s="2">
        <v>27</v>
      </c>
      <c r="B14" s="2">
        <v>13</v>
      </c>
      <c r="C14" s="2">
        <v>8</v>
      </c>
      <c r="D14" s="2">
        <v>0</v>
      </c>
      <c r="E14" s="2">
        <v>1.171</v>
      </c>
      <c r="F14" s="2">
        <v>2</v>
      </c>
      <c r="H14" s="2">
        <v>27</v>
      </c>
      <c r="I14" s="2">
        <v>264</v>
      </c>
      <c r="J14" s="2">
        <v>6</v>
      </c>
      <c r="K14" s="2">
        <v>1</v>
      </c>
      <c r="L14" s="2">
        <v>1.5089999999999999</v>
      </c>
      <c r="M14" s="2">
        <v>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27</v>
      </c>
      <c r="B15" s="2">
        <v>14</v>
      </c>
      <c r="C15" s="2">
        <v>2</v>
      </c>
      <c r="D15" s="2">
        <v>1</v>
      </c>
      <c r="E15" s="2">
        <v>1.038</v>
      </c>
      <c r="F15" s="2">
        <v>1</v>
      </c>
      <c r="H15" s="2">
        <v>27</v>
      </c>
      <c r="I15" s="2">
        <v>265</v>
      </c>
      <c r="J15" s="2">
        <v>2</v>
      </c>
      <c r="K15" s="2">
        <v>1</v>
      </c>
      <c r="L15" s="2">
        <v>0.95699999999999996</v>
      </c>
      <c r="M15" s="2">
        <v>2</v>
      </c>
      <c r="O15" s="2" t="s">
        <v>9</v>
      </c>
    </row>
    <row r="16" spans="1:22" ht="14.25" customHeight="1">
      <c r="A16" s="2">
        <v>27</v>
      </c>
      <c r="B16" s="2">
        <v>15</v>
      </c>
      <c r="C16" s="2">
        <v>6</v>
      </c>
      <c r="D16" s="2">
        <v>1</v>
      </c>
      <c r="E16" s="2">
        <v>1.3779999999999999</v>
      </c>
      <c r="F16" s="2">
        <v>2</v>
      </c>
      <c r="H16" s="2">
        <v>27</v>
      </c>
      <c r="I16" s="2">
        <v>266</v>
      </c>
      <c r="J16" s="2">
        <v>7</v>
      </c>
      <c r="K16" s="2">
        <v>1</v>
      </c>
      <c r="L16" s="2">
        <v>1.367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27</v>
      </c>
      <c r="B17" s="2">
        <v>16</v>
      </c>
      <c r="C17" s="2">
        <v>1</v>
      </c>
      <c r="E17" s="2">
        <v>2</v>
      </c>
      <c r="H17" s="2">
        <v>27</v>
      </c>
      <c r="I17" s="2">
        <v>267</v>
      </c>
      <c r="J17" s="2">
        <v>6</v>
      </c>
      <c r="K17" s="2">
        <v>1</v>
      </c>
      <c r="L17" s="2">
        <v>0.76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0.12250000000000037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0.48999999999999899</v>
      </c>
      <c r="R17" s="2">
        <f t="shared" ref="R17:R22" si="3">(R6*COUNTIF($J$1:$J$100,R$16) - COUNTIFS($J$1:$J$100,R$16,$K$1:$K$100,"=0"))^2</f>
        <v>2.8899999999999997</v>
      </c>
      <c r="S17" s="2">
        <f t="shared" ref="S17:T17" si="4">(S6*COUNTIF($J$1:$J$100,S$16) - COUNTIFS($J$1:$J$100,S$16,$K$1:$K$100,"=1"))^2</f>
        <v>0.48999999999999899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0.42249999999999988</v>
      </c>
      <c r="V17" s="2">
        <f t="shared" si="5"/>
        <v>9.0000000000000024E-2</v>
      </c>
    </row>
    <row r="18" spans="1:22" ht="14.25" customHeight="1">
      <c r="A18" s="2">
        <v>27</v>
      </c>
      <c r="B18" s="2">
        <v>17</v>
      </c>
      <c r="C18" s="2">
        <v>5</v>
      </c>
      <c r="D18" s="2">
        <v>0</v>
      </c>
      <c r="E18" s="2">
        <v>1.4550000000000001</v>
      </c>
      <c r="F18" s="2">
        <v>1</v>
      </c>
      <c r="H18" s="2">
        <v>27</v>
      </c>
      <c r="I18" s="2">
        <v>268</v>
      </c>
      <c r="J18" s="2">
        <v>4</v>
      </c>
      <c r="K18" s="2">
        <v>0</v>
      </c>
      <c r="L18" s="2">
        <v>0.63800000000000001</v>
      </c>
      <c r="M18" s="2">
        <v>1</v>
      </c>
      <c r="N18" s="2">
        <v>2</v>
      </c>
      <c r="O18" s="2">
        <f t="shared" si="0"/>
        <v>0.12250000000000037</v>
      </c>
      <c r="P18" s="2">
        <f t="shared" si="1"/>
        <v>32.489999999999995</v>
      </c>
      <c r="Q18" s="2">
        <f t="shared" si="2"/>
        <v>22.090000000000003</v>
      </c>
      <c r="R18" s="2">
        <f t="shared" si="3"/>
        <v>2.8899999999999997</v>
      </c>
      <c r="S18" s="2">
        <f t="shared" ref="S18:T18" si="6">(S7*COUNTIF($J$1:$J$100,S$16) - COUNTIFS($J$1:$J$100,S$16,$K$1:$K$100,"=1"))^2</f>
        <v>0.48999999999999899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0.42249999999999988</v>
      </c>
      <c r="V18" s="2">
        <f t="shared" si="7"/>
        <v>9.0000000000000024E-2</v>
      </c>
    </row>
    <row r="19" spans="1:22" ht="14.25" customHeight="1">
      <c r="A19" s="2">
        <v>27</v>
      </c>
      <c r="B19" s="2">
        <v>18</v>
      </c>
      <c r="C19" s="2">
        <v>3</v>
      </c>
      <c r="D19" s="2">
        <v>1</v>
      </c>
      <c r="E19" s="2">
        <v>1.0389999999999999</v>
      </c>
      <c r="F19" s="2">
        <v>2</v>
      </c>
      <c r="H19" s="2">
        <v>27</v>
      </c>
      <c r="I19" s="2">
        <v>269</v>
      </c>
      <c r="J19" s="2">
        <v>3</v>
      </c>
      <c r="K19" s="2">
        <v>1</v>
      </c>
      <c r="L19" s="2">
        <v>0.64200000000000002</v>
      </c>
      <c r="M19" s="2">
        <v>1</v>
      </c>
      <c r="N19" s="2">
        <v>3</v>
      </c>
      <c r="O19" s="2">
        <f t="shared" si="0"/>
        <v>0.12250000000000037</v>
      </c>
      <c r="P19" s="2">
        <f t="shared" si="1"/>
        <v>9.0000000000000024E-2</v>
      </c>
      <c r="Q19" s="2">
        <f t="shared" si="2"/>
        <v>0.48999999999999899</v>
      </c>
      <c r="R19" s="2">
        <f t="shared" si="3"/>
        <v>2.8899999999999997</v>
      </c>
      <c r="S19" s="2">
        <f t="shared" ref="S19:T19" si="8">(S8*COUNTIF($J$1:$J$100,S$16) - COUNTIFS($J$1:$J$100,S$16,$K$1:$K$100,"=1"))^2</f>
        <v>0.48999999999999899</v>
      </c>
      <c r="T19" s="2">
        <f t="shared" si="8"/>
        <v>32.49</v>
      </c>
      <c r="U19" s="2">
        <f t="shared" ref="U19:V19" si="9">(U8*COUNTIF($J$1:$J$100,U$16) - COUNTIFS($J$1:$J$100,U$16,$K$1:$K$100,"=0"))^2</f>
        <v>31.922499999999992</v>
      </c>
      <c r="V19" s="2">
        <f t="shared" si="9"/>
        <v>9.0000000000000024E-2</v>
      </c>
    </row>
    <row r="20" spans="1:22" ht="14.25" customHeight="1">
      <c r="A20" s="2">
        <v>27</v>
      </c>
      <c r="B20" s="2">
        <v>19</v>
      </c>
      <c r="C20" s="2">
        <v>8</v>
      </c>
      <c r="D20" s="2">
        <v>1</v>
      </c>
      <c r="E20" s="2">
        <v>1.649</v>
      </c>
      <c r="F20" s="2">
        <v>1</v>
      </c>
      <c r="H20" s="2">
        <v>27</v>
      </c>
      <c r="I20" s="2">
        <v>270</v>
      </c>
      <c r="J20" s="2">
        <v>7</v>
      </c>
      <c r="K20" s="2">
        <v>1</v>
      </c>
      <c r="L20" s="2">
        <v>1.4910000000000001</v>
      </c>
      <c r="M20" s="2">
        <v>2</v>
      </c>
      <c r="N20" s="2">
        <v>4</v>
      </c>
      <c r="O20" s="2">
        <f t="shared" si="0"/>
        <v>12.25</v>
      </c>
      <c r="P20" s="2">
        <f t="shared" si="1"/>
        <v>9</v>
      </c>
      <c r="Q20" s="2">
        <f t="shared" si="2"/>
        <v>4</v>
      </c>
      <c r="R20" s="2">
        <f t="shared" si="3"/>
        <v>1</v>
      </c>
      <c r="S20" s="2">
        <f t="shared" ref="S20:T20" si="10">(S9*COUNTIF($J$1:$J$100,S$16) - COUNTIFS($J$1:$J$100,S$16,$K$1:$K$100,"=1"))^2</f>
        <v>0.48999999999999899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0.42249999999999988</v>
      </c>
      <c r="V20" s="2">
        <f t="shared" si="11"/>
        <v>9.0000000000000024E-2</v>
      </c>
    </row>
    <row r="21" spans="1:22" ht="14.25" customHeight="1">
      <c r="A21" s="2">
        <v>27</v>
      </c>
      <c r="B21" s="2">
        <v>20</v>
      </c>
      <c r="C21" s="2">
        <v>1</v>
      </c>
      <c r="D21" s="2">
        <v>1</v>
      </c>
      <c r="E21" s="2">
        <v>1.5369999999999999</v>
      </c>
      <c r="F21" s="2">
        <v>2</v>
      </c>
      <c r="H21" s="2">
        <v>27</v>
      </c>
      <c r="I21" s="2">
        <v>271</v>
      </c>
      <c r="J21" s="2">
        <v>8</v>
      </c>
      <c r="K21" s="2">
        <v>1</v>
      </c>
      <c r="L21" s="2">
        <v>0.48499999999999999</v>
      </c>
      <c r="M21" s="2">
        <v>1</v>
      </c>
      <c r="N21" s="2">
        <v>5</v>
      </c>
      <c r="O21" s="2">
        <f t="shared" si="0"/>
        <v>0.12250000000000037</v>
      </c>
      <c r="P21" s="2">
        <f t="shared" si="1"/>
        <v>9.0000000000000024E-2</v>
      </c>
      <c r="Q21" s="2">
        <f t="shared" si="2"/>
        <v>0.48999999999999899</v>
      </c>
      <c r="R21" s="2">
        <f t="shared" si="3"/>
        <v>2.8899999999999997</v>
      </c>
      <c r="S21" s="2">
        <f t="shared" ref="S21:T21" si="12">(S10*COUNTIF($J$1:$J$100,S$16) - COUNTIFS($J$1:$J$100,S$16,$K$1:$K$100,"=1"))^2</f>
        <v>4</v>
      </c>
      <c r="T21" s="2">
        <f t="shared" si="12"/>
        <v>9</v>
      </c>
      <c r="U21" s="2">
        <f t="shared" ref="U21:V21" si="13">(U10*COUNTIF($J$1:$J$100,U$16) - COUNTIFS($J$1:$J$100,U$16,$K$1:$K$100,"=0"))^2</f>
        <v>6.25</v>
      </c>
      <c r="V21" s="2">
        <f t="shared" si="13"/>
        <v>9</v>
      </c>
    </row>
    <row r="22" spans="1:22" ht="14.25" customHeight="1">
      <c r="A22" s="2">
        <v>27</v>
      </c>
      <c r="B22" s="2">
        <v>21</v>
      </c>
      <c r="C22" s="2">
        <v>4</v>
      </c>
      <c r="D22" s="2">
        <v>1</v>
      </c>
      <c r="E22" s="2">
        <v>0.96299999999999997</v>
      </c>
      <c r="F22" s="2">
        <v>1</v>
      </c>
      <c r="H22" s="2">
        <v>27</v>
      </c>
      <c r="I22" s="2">
        <v>272</v>
      </c>
      <c r="J22" s="2">
        <v>7</v>
      </c>
      <c r="K22" s="2">
        <v>0</v>
      </c>
      <c r="L22" s="2">
        <v>0.78300000000000003</v>
      </c>
      <c r="M22" s="2">
        <v>1</v>
      </c>
      <c r="N22" s="2">
        <v>6</v>
      </c>
      <c r="O22" s="2">
        <f t="shared" si="0"/>
        <v>12.25</v>
      </c>
      <c r="P22" s="2">
        <f t="shared" si="1"/>
        <v>9</v>
      </c>
      <c r="Q22" s="2">
        <f t="shared" si="2"/>
        <v>4</v>
      </c>
      <c r="R22" s="2">
        <f t="shared" si="3"/>
        <v>1</v>
      </c>
      <c r="S22" s="2">
        <f t="shared" ref="S22:T22" si="14">(S11*COUNTIF($J$1:$J$100,S$16) - COUNTIFS($J$1:$J$100,S$16,$K$1:$K$100,"=1"))^2</f>
        <v>4</v>
      </c>
      <c r="T22" s="2">
        <f t="shared" si="14"/>
        <v>9</v>
      </c>
      <c r="U22" s="2">
        <f t="shared" ref="U22:V22" si="15">(U11*COUNTIF($J$1:$J$100,U$16) - COUNTIFS($J$1:$J$100,U$16,$K$1:$K$100,"=0"))^2</f>
        <v>6.25</v>
      </c>
      <c r="V22" s="2">
        <f t="shared" si="15"/>
        <v>9</v>
      </c>
    </row>
    <row r="23" spans="1:22" ht="14.25" customHeight="1">
      <c r="A23" s="2">
        <v>27</v>
      </c>
      <c r="B23" s="2">
        <v>22</v>
      </c>
      <c r="C23" s="2">
        <v>3</v>
      </c>
      <c r="D23" s="2">
        <v>1</v>
      </c>
      <c r="E23" s="2">
        <v>1.696</v>
      </c>
      <c r="F23" s="2">
        <v>2</v>
      </c>
      <c r="H23" s="2">
        <v>27</v>
      </c>
      <c r="I23" s="2">
        <v>273</v>
      </c>
      <c r="J23" s="2">
        <v>5</v>
      </c>
      <c r="K23" s="2">
        <v>1</v>
      </c>
      <c r="L23" s="2">
        <v>0.442</v>
      </c>
      <c r="M23" s="2">
        <v>1</v>
      </c>
    </row>
    <row r="24" spans="1:22" ht="14.25" customHeight="1">
      <c r="A24" s="2">
        <v>27</v>
      </c>
      <c r="B24" s="2">
        <v>23</v>
      </c>
      <c r="C24" s="2">
        <v>8</v>
      </c>
      <c r="D24" s="2">
        <v>1</v>
      </c>
      <c r="E24" s="2">
        <v>0.80700000000000005</v>
      </c>
      <c r="F24" s="2">
        <v>1</v>
      </c>
      <c r="H24" s="2">
        <v>27</v>
      </c>
      <c r="I24" s="2">
        <v>274</v>
      </c>
      <c r="J24" s="2">
        <v>1</v>
      </c>
      <c r="K24" s="2">
        <v>1</v>
      </c>
      <c r="L24" s="2">
        <v>1.0609999999999999</v>
      </c>
      <c r="M24" s="2">
        <v>2</v>
      </c>
    </row>
    <row r="25" spans="1:22" ht="14.25" customHeight="1">
      <c r="A25" s="2">
        <v>27</v>
      </c>
      <c r="B25" s="2">
        <v>24</v>
      </c>
      <c r="C25" s="2">
        <v>1</v>
      </c>
      <c r="D25" s="2">
        <v>1</v>
      </c>
      <c r="E25" s="2">
        <v>1.0269999999999999</v>
      </c>
      <c r="F25" s="2">
        <v>2</v>
      </c>
      <c r="H25" s="2">
        <v>27</v>
      </c>
      <c r="I25" s="2">
        <v>275</v>
      </c>
      <c r="J25" s="2">
        <v>4</v>
      </c>
      <c r="K25" s="2">
        <v>1</v>
      </c>
      <c r="L25" s="2">
        <v>1.4339999999999999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27</v>
      </c>
      <c r="B26" s="2">
        <v>25</v>
      </c>
      <c r="C26" s="2">
        <v>2</v>
      </c>
      <c r="D26" s="2">
        <v>1</v>
      </c>
      <c r="E26" s="2">
        <v>0.66900000000000004</v>
      </c>
      <c r="F26" s="2">
        <v>1</v>
      </c>
      <c r="H26" s="2">
        <v>27</v>
      </c>
      <c r="I26" s="2">
        <v>276</v>
      </c>
      <c r="J26" s="2">
        <v>1</v>
      </c>
      <c r="K26" s="2">
        <v>1</v>
      </c>
      <c r="L26" s="2">
        <v>0.64600000000000002</v>
      </c>
      <c r="M26" s="2">
        <v>1</v>
      </c>
      <c r="O26" s="2">
        <f t="shared" ref="O26:V26" si="16">COUNTIF($J$1:$J$100,O$16)^2</f>
        <v>49</v>
      </c>
      <c r="P26" s="2">
        <f t="shared" si="16"/>
        <v>36</v>
      </c>
      <c r="Q26" s="2">
        <f t="shared" si="16"/>
        <v>36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49</v>
      </c>
      <c r="V26" s="2">
        <f t="shared" si="16"/>
        <v>36</v>
      </c>
    </row>
    <row r="27" spans="1:22" ht="14.25" customHeight="1">
      <c r="A27" s="2">
        <v>27</v>
      </c>
      <c r="B27" s="2">
        <v>26</v>
      </c>
      <c r="C27" s="2">
        <v>7</v>
      </c>
      <c r="D27" s="2">
        <v>0</v>
      </c>
      <c r="E27" s="2">
        <v>0.68200000000000005</v>
      </c>
      <c r="F27" s="2">
        <v>2</v>
      </c>
      <c r="H27" s="2">
        <v>27</v>
      </c>
      <c r="I27" s="2">
        <v>277</v>
      </c>
      <c r="J27" s="2">
        <v>3</v>
      </c>
      <c r="K27" s="2">
        <v>1</v>
      </c>
      <c r="L27" s="2">
        <v>1.2350000000000001</v>
      </c>
      <c r="M27" s="2">
        <v>2</v>
      </c>
    </row>
    <row r="28" spans="1:22" ht="14.25" customHeight="1">
      <c r="A28" s="2">
        <v>27</v>
      </c>
      <c r="B28" s="2">
        <v>27</v>
      </c>
      <c r="C28" s="2">
        <v>6</v>
      </c>
      <c r="D28" s="2">
        <v>0</v>
      </c>
      <c r="E28" s="2">
        <v>1.468</v>
      </c>
      <c r="F28" s="2">
        <v>1</v>
      </c>
      <c r="H28" s="2">
        <v>27</v>
      </c>
      <c r="I28" s="2">
        <v>278</v>
      </c>
      <c r="J28" s="2">
        <v>5</v>
      </c>
      <c r="K28" s="2">
        <v>1</v>
      </c>
      <c r="L28" s="2">
        <v>1.202</v>
      </c>
      <c r="M28" s="2">
        <v>2</v>
      </c>
    </row>
    <row r="29" spans="1:22" ht="14.25" customHeight="1">
      <c r="A29" s="2">
        <v>27</v>
      </c>
      <c r="B29" s="2">
        <v>28</v>
      </c>
      <c r="C29" s="2">
        <v>1</v>
      </c>
      <c r="D29" s="2">
        <v>0</v>
      </c>
      <c r="E29" s="2">
        <v>0.89200000000000002</v>
      </c>
      <c r="F29" s="2">
        <v>1</v>
      </c>
      <c r="H29" s="2">
        <v>27</v>
      </c>
      <c r="I29" s="2">
        <v>279</v>
      </c>
      <c r="J29" s="2">
        <v>3</v>
      </c>
      <c r="K29" s="2">
        <v>1</v>
      </c>
      <c r="L29" s="2">
        <v>0.77200000000000002</v>
      </c>
      <c r="M29" s="2">
        <v>2</v>
      </c>
    </row>
    <row r="30" spans="1:22" ht="14.25" customHeight="1">
      <c r="A30" s="2">
        <v>27</v>
      </c>
      <c r="B30" s="2">
        <v>29</v>
      </c>
      <c r="C30" s="2">
        <v>6</v>
      </c>
      <c r="D30" s="2">
        <v>0</v>
      </c>
      <c r="E30" s="2">
        <v>0.77800000000000002</v>
      </c>
      <c r="F30" s="2">
        <v>1</v>
      </c>
      <c r="H30" s="2">
        <v>27</v>
      </c>
      <c r="I30" s="2">
        <v>280</v>
      </c>
      <c r="J30" s="2">
        <v>4</v>
      </c>
      <c r="K30" s="2">
        <v>1</v>
      </c>
      <c r="L30" s="2">
        <v>1.651</v>
      </c>
      <c r="M30" s="2">
        <v>1</v>
      </c>
    </row>
    <row r="31" spans="1:22" ht="14.25" customHeight="1">
      <c r="A31" s="2">
        <v>27</v>
      </c>
      <c r="B31" s="2">
        <v>30</v>
      </c>
      <c r="C31" s="2">
        <v>4</v>
      </c>
      <c r="D31" s="2">
        <v>0</v>
      </c>
      <c r="E31" s="2">
        <v>0.628</v>
      </c>
      <c r="F31" s="2">
        <v>2</v>
      </c>
      <c r="H31" s="2">
        <v>27</v>
      </c>
      <c r="I31" s="2">
        <v>281</v>
      </c>
      <c r="J31" s="2">
        <v>2</v>
      </c>
      <c r="K31" s="2">
        <v>1</v>
      </c>
      <c r="L31" s="2">
        <v>0.70499999999999996</v>
      </c>
      <c r="M31" s="2">
        <v>1</v>
      </c>
      <c r="N31" s="2">
        <v>1</v>
      </c>
      <c r="O31" s="2">
        <f t="shared" ref="O31:O36" si="17">SUM(O17:V17)/(SUM($O$26:$V$26))</f>
        <v>1.4920382165605092E-2</v>
      </c>
    </row>
    <row r="32" spans="1:22" ht="14.25" customHeight="1">
      <c r="A32" s="2">
        <v>27</v>
      </c>
      <c r="B32" s="2">
        <v>31</v>
      </c>
      <c r="C32" s="2">
        <v>7</v>
      </c>
      <c r="D32" s="2">
        <v>0</v>
      </c>
      <c r="E32" s="2">
        <v>1.9510000000000001</v>
      </c>
      <c r="F32" s="2">
        <v>2</v>
      </c>
      <c r="H32" s="2">
        <v>27</v>
      </c>
      <c r="I32" s="2">
        <v>282</v>
      </c>
      <c r="J32" s="2">
        <v>6</v>
      </c>
      <c r="K32" s="2">
        <v>1</v>
      </c>
      <c r="L32" s="2">
        <v>1.012</v>
      </c>
      <c r="M32" s="2">
        <v>2</v>
      </c>
      <c r="N32" s="2">
        <v>2</v>
      </c>
      <c r="O32" s="2">
        <f t="shared" si="17"/>
        <v>0.18689490445859874</v>
      </c>
    </row>
    <row r="33" spans="1:20" ht="14.25" customHeight="1">
      <c r="A33" s="2">
        <v>27</v>
      </c>
      <c r="B33" s="2">
        <v>32</v>
      </c>
      <c r="C33" s="2">
        <v>3</v>
      </c>
      <c r="D33" s="2">
        <v>1</v>
      </c>
      <c r="E33" s="2">
        <v>1.889</v>
      </c>
      <c r="F33" s="2">
        <v>2</v>
      </c>
      <c r="H33" s="2">
        <v>27</v>
      </c>
      <c r="I33" s="2">
        <v>283</v>
      </c>
      <c r="J33" s="2">
        <v>4</v>
      </c>
      <c r="K33" s="2">
        <v>1</v>
      </c>
      <c r="L33" s="2">
        <v>0.61399999999999999</v>
      </c>
      <c r="M33" s="2">
        <v>1</v>
      </c>
      <c r="N33" s="2">
        <v>3</v>
      </c>
      <c r="O33" s="2">
        <f t="shared" si="17"/>
        <v>0.21842356687898087</v>
      </c>
    </row>
    <row r="34" spans="1:20" ht="14.25" customHeight="1">
      <c r="A34" s="2">
        <v>27</v>
      </c>
      <c r="B34" s="2">
        <v>33</v>
      </c>
      <c r="C34" s="2">
        <v>7</v>
      </c>
      <c r="D34" s="2">
        <v>0</v>
      </c>
      <c r="E34" s="2">
        <v>0.95399999999999996</v>
      </c>
      <c r="F34" s="2">
        <v>2</v>
      </c>
      <c r="H34" s="2">
        <v>27</v>
      </c>
      <c r="I34" s="2">
        <v>284</v>
      </c>
      <c r="J34" s="2">
        <v>2</v>
      </c>
      <c r="K34" s="2">
        <v>1</v>
      </c>
      <c r="L34" s="2">
        <v>1.0629999999999999</v>
      </c>
      <c r="M34" s="2">
        <v>1</v>
      </c>
      <c r="N34" s="2">
        <v>4</v>
      </c>
      <c r="O34" s="2">
        <f t="shared" si="17"/>
        <v>8.7078025477707002E-2</v>
      </c>
    </row>
    <row r="35" spans="1:20" ht="14.25" customHeight="1">
      <c r="A35" s="2">
        <v>27</v>
      </c>
      <c r="B35" s="2">
        <v>34</v>
      </c>
      <c r="C35" s="2">
        <v>2</v>
      </c>
      <c r="D35" s="2">
        <v>1</v>
      </c>
      <c r="E35" s="2">
        <v>1.3240000000000001</v>
      </c>
      <c r="F35" s="2">
        <v>1</v>
      </c>
      <c r="H35" s="2">
        <v>27</v>
      </c>
      <c r="I35" s="2">
        <v>285</v>
      </c>
      <c r="J35" s="2">
        <v>1</v>
      </c>
      <c r="K35" s="2">
        <v>1</v>
      </c>
      <c r="L35" s="2">
        <v>1.0569999999999999</v>
      </c>
      <c r="M35" s="2">
        <v>2</v>
      </c>
      <c r="N35" s="2">
        <v>5</v>
      </c>
      <c r="O35" s="2">
        <f t="shared" si="17"/>
        <v>0.10140923566878982</v>
      </c>
    </row>
    <row r="36" spans="1:20" ht="14.25" customHeight="1">
      <c r="A36" s="2">
        <v>27</v>
      </c>
      <c r="B36" s="2">
        <v>35</v>
      </c>
      <c r="C36" s="2">
        <v>1</v>
      </c>
      <c r="E36" s="2">
        <v>2</v>
      </c>
      <c r="H36" s="2">
        <v>27</v>
      </c>
      <c r="I36" s="2">
        <v>286</v>
      </c>
      <c r="J36" s="2">
        <v>3</v>
      </c>
      <c r="K36" s="2">
        <v>1</v>
      </c>
      <c r="L36" s="2">
        <v>0.78400000000000003</v>
      </c>
      <c r="M36" s="2">
        <v>1</v>
      </c>
      <c r="N36" s="2">
        <v>6</v>
      </c>
      <c r="O36" s="2">
        <f t="shared" si="17"/>
        <v>0.17356687898089171</v>
      </c>
    </row>
    <row r="37" spans="1:20" ht="14.25" customHeight="1">
      <c r="A37" s="2">
        <v>27</v>
      </c>
      <c r="B37" s="2">
        <v>36</v>
      </c>
      <c r="C37" s="2">
        <v>8</v>
      </c>
      <c r="D37" s="2">
        <v>0</v>
      </c>
      <c r="E37" s="2">
        <v>0.70799999999999996</v>
      </c>
      <c r="F37" s="2">
        <v>2</v>
      </c>
      <c r="H37" s="2">
        <v>27</v>
      </c>
      <c r="I37" s="2">
        <v>287</v>
      </c>
      <c r="J37" s="2">
        <v>7</v>
      </c>
      <c r="K37" s="2">
        <v>1</v>
      </c>
      <c r="L37" s="2">
        <v>0.58699999999999997</v>
      </c>
      <c r="M37" s="2">
        <v>1</v>
      </c>
    </row>
    <row r="38" spans="1:20" ht="14.25" customHeight="1">
      <c r="A38" s="2">
        <v>27</v>
      </c>
      <c r="B38" s="2">
        <v>37</v>
      </c>
      <c r="C38" s="2">
        <v>7</v>
      </c>
      <c r="D38" s="2">
        <v>1</v>
      </c>
      <c r="E38" s="2">
        <v>0.46700000000000003</v>
      </c>
      <c r="F38" s="2">
        <v>1</v>
      </c>
      <c r="H38" s="2">
        <v>27</v>
      </c>
      <c r="I38" s="2">
        <v>288</v>
      </c>
      <c r="J38" s="2">
        <v>2</v>
      </c>
      <c r="K38" s="2">
        <v>1</v>
      </c>
      <c r="L38" s="2">
        <v>1.069</v>
      </c>
      <c r="M38" s="2">
        <v>2</v>
      </c>
    </row>
    <row r="39" spans="1:20" ht="14.25" customHeight="1">
      <c r="A39" s="2">
        <v>27</v>
      </c>
      <c r="B39" s="2">
        <v>38</v>
      </c>
      <c r="C39" s="2">
        <v>1</v>
      </c>
      <c r="D39" s="2">
        <v>1</v>
      </c>
      <c r="E39" s="2">
        <v>0.95399999999999996</v>
      </c>
      <c r="F39" s="2">
        <v>2</v>
      </c>
      <c r="H39" s="2">
        <v>27</v>
      </c>
      <c r="I39" s="2">
        <v>289</v>
      </c>
      <c r="J39" s="2">
        <v>5</v>
      </c>
      <c r="K39" s="2">
        <v>1</v>
      </c>
      <c r="L39" s="2">
        <v>0.77</v>
      </c>
      <c r="M39" s="2">
        <v>2</v>
      </c>
      <c r="O39" s="2">
        <v>0.13641719745222927</v>
      </c>
      <c r="P39" s="2">
        <v>2.6544585987261136E-2</v>
      </c>
    </row>
    <row r="40" spans="1:20" ht="14.25" customHeight="1">
      <c r="A40" s="2">
        <v>27</v>
      </c>
      <c r="B40" s="2">
        <v>39</v>
      </c>
      <c r="C40" s="2">
        <v>5</v>
      </c>
      <c r="D40" s="2">
        <v>0</v>
      </c>
      <c r="E40" s="2">
        <v>0.52900000000000003</v>
      </c>
      <c r="F40" s="2">
        <v>1</v>
      </c>
      <c r="H40" s="2">
        <v>27</v>
      </c>
      <c r="I40" s="2">
        <v>290</v>
      </c>
      <c r="J40" s="2">
        <v>1</v>
      </c>
      <c r="K40" s="2">
        <v>1</v>
      </c>
      <c r="L40" s="2">
        <v>0.82399999999999995</v>
      </c>
      <c r="M40" s="2">
        <v>2</v>
      </c>
      <c r="O40" s="2">
        <v>0.29119426751592353</v>
      </c>
      <c r="P40" s="2">
        <v>0.16412420382165605</v>
      </c>
    </row>
    <row r="41" spans="1:20" ht="14.25" customHeight="1">
      <c r="A41" s="2">
        <v>27</v>
      </c>
      <c r="B41" s="2">
        <v>40</v>
      </c>
      <c r="C41" s="2">
        <v>1</v>
      </c>
      <c r="D41" s="2">
        <v>1</v>
      </c>
      <c r="E41" s="2">
        <v>1.46</v>
      </c>
      <c r="F41" s="2">
        <v>2</v>
      </c>
      <c r="H41" s="2">
        <v>27</v>
      </c>
      <c r="I41" s="2">
        <v>291</v>
      </c>
      <c r="J41" s="2">
        <v>2</v>
      </c>
      <c r="K41" s="2">
        <v>1</v>
      </c>
      <c r="L41" s="2">
        <v>0.48199999999999998</v>
      </c>
      <c r="M41" s="2">
        <v>1</v>
      </c>
      <c r="O41" s="2">
        <v>0.15648089171974522</v>
      </c>
      <c r="P41" s="2">
        <v>0.21285031847133756</v>
      </c>
    </row>
    <row r="42" spans="1:20" ht="14.25" customHeight="1">
      <c r="A42" s="2">
        <v>27</v>
      </c>
      <c r="B42" s="2">
        <v>41</v>
      </c>
      <c r="C42" s="2">
        <v>7</v>
      </c>
      <c r="D42" s="2">
        <v>1</v>
      </c>
      <c r="E42" s="2">
        <v>0.878</v>
      </c>
      <c r="F42" s="2">
        <v>1</v>
      </c>
      <c r="H42" s="2">
        <v>27</v>
      </c>
      <c r="I42" s="2">
        <v>292</v>
      </c>
      <c r="J42" s="2">
        <v>7</v>
      </c>
      <c r="K42" s="2">
        <v>1</v>
      </c>
      <c r="L42" s="2">
        <v>0.99</v>
      </c>
      <c r="M42" s="2">
        <v>1</v>
      </c>
      <c r="O42" s="2">
        <v>0.13261942675159233</v>
      </c>
      <c r="P42" s="2">
        <v>6.2874203821656038E-2</v>
      </c>
    </row>
    <row r="43" spans="1:20" ht="14.25" customHeight="1">
      <c r="A43" s="2">
        <v>27</v>
      </c>
      <c r="B43" s="2">
        <v>42</v>
      </c>
      <c r="C43" s="2">
        <v>4</v>
      </c>
      <c r="D43" s="2">
        <v>0</v>
      </c>
      <c r="E43" s="2">
        <v>1.9870000000000001</v>
      </c>
      <c r="F43" s="2">
        <v>2</v>
      </c>
      <c r="H43" s="2">
        <v>27</v>
      </c>
      <c r="I43" s="2">
        <v>293</v>
      </c>
      <c r="J43" s="2">
        <v>6</v>
      </c>
      <c r="K43" s="2">
        <v>1</v>
      </c>
      <c r="L43" s="2">
        <v>0.80100000000000005</v>
      </c>
      <c r="M43" s="2">
        <v>1</v>
      </c>
      <c r="O43" s="2">
        <v>4.5199044585987259E-2</v>
      </c>
      <c r="P43" s="2">
        <v>9.5835987261146505E-2</v>
      </c>
    </row>
    <row r="44" spans="1:20" ht="14.25" customHeight="1">
      <c r="A44" s="2">
        <v>27</v>
      </c>
      <c r="B44" s="2">
        <v>43</v>
      </c>
      <c r="C44" s="2">
        <v>7</v>
      </c>
      <c r="D44" s="2">
        <v>1</v>
      </c>
      <c r="E44" s="2">
        <v>1.208</v>
      </c>
      <c r="F44" s="2">
        <v>1</v>
      </c>
      <c r="H44" s="2">
        <v>27</v>
      </c>
      <c r="I44" s="2">
        <v>294</v>
      </c>
      <c r="J44" s="2">
        <v>5</v>
      </c>
      <c r="K44" s="2">
        <v>0</v>
      </c>
      <c r="L44" s="2">
        <v>0.73899999999999999</v>
      </c>
      <c r="M44" s="2">
        <v>1</v>
      </c>
      <c r="O44" s="2">
        <v>4.1401273885350316E-2</v>
      </c>
      <c r="P44" s="2">
        <v>0.1321656050955414</v>
      </c>
    </row>
    <row r="45" spans="1:20" ht="14.25" customHeight="1">
      <c r="A45" s="2">
        <v>27</v>
      </c>
      <c r="B45" s="2">
        <v>44</v>
      </c>
      <c r="C45" s="2">
        <v>3</v>
      </c>
      <c r="D45" s="2">
        <v>1</v>
      </c>
      <c r="E45" s="2">
        <v>1.6479999999999999</v>
      </c>
      <c r="F45" s="2">
        <v>2</v>
      </c>
      <c r="H45" s="2">
        <v>27</v>
      </c>
      <c r="I45" s="2">
        <v>295</v>
      </c>
      <c r="J45" s="2">
        <v>8</v>
      </c>
      <c r="K45" s="2">
        <v>1</v>
      </c>
      <c r="L45" s="2">
        <v>1.0069999999999999</v>
      </c>
      <c r="M45" s="2">
        <v>1</v>
      </c>
    </row>
    <row r="46" spans="1:20" ht="14.25" customHeight="1">
      <c r="A46" s="2">
        <v>27</v>
      </c>
      <c r="B46" s="2">
        <v>45</v>
      </c>
      <c r="C46" s="2">
        <v>7</v>
      </c>
      <c r="D46" s="2">
        <v>1</v>
      </c>
      <c r="E46" s="2">
        <v>0.67900000000000005</v>
      </c>
      <c r="F46" s="2">
        <v>1</v>
      </c>
      <c r="H46" s="2">
        <v>27</v>
      </c>
      <c r="I46" s="2">
        <v>296</v>
      </c>
      <c r="J46" s="2">
        <v>7</v>
      </c>
      <c r="K46" s="2">
        <v>1</v>
      </c>
      <c r="L46" s="2">
        <v>0.97399999999999998</v>
      </c>
      <c r="M46" s="2">
        <v>1</v>
      </c>
      <c r="O46" s="2">
        <v>0.20695859872611463</v>
      </c>
      <c r="P46" s="2">
        <v>9.1353503184713344E-2</v>
      </c>
      <c r="Q46" s="2">
        <v>0.10568471337579616</v>
      </c>
      <c r="R46" s="2">
        <v>3.1799363057324836E-2</v>
      </c>
      <c r="S46" s="2">
        <v>4.7722929936305711E-2</v>
      </c>
      <c r="T46" s="2">
        <v>1.4920382165605092E-2</v>
      </c>
    </row>
    <row r="47" spans="1:20" ht="14.25" customHeight="1">
      <c r="A47" s="2">
        <v>27</v>
      </c>
      <c r="B47" s="2">
        <v>46</v>
      </c>
      <c r="C47" s="2">
        <v>4</v>
      </c>
      <c r="D47" s="2">
        <v>0</v>
      </c>
      <c r="E47" s="2">
        <v>1.4390000000000001</v>
      </c>
      <c r="F47" s="2">
        <v>2</v>
      </c>
      <c r="H47" s="2">
        <v>27</v>
      </c>
      <c r="I47" s="2">
        <v>297</v>
      </c>
      <c r="J47" s="2">
        <v>8</v>
      </c>
      <c r="K47" s="2">
        <v>1</v>
      </c>
      <c r="L47" s="2">
        <v>0.69899999999999995</v>
      </c>
      <c r="M47" s="2">
        <v>1</v>
      </c>
      <c r="O47" s="2">
        <v>0.3789331210191082</v>
      </c>
      <c r="P47" s="2">
        <v>0.22893312101910826</v>
      </c>
      <c r="Q47" s="2">
        <v>0.14007961783439488</v>
      </c>
      <c r="R47" s="2">
        <v>0.13498407643312105</v>
      </c>
      <c r="S47" s="2">
        <v>0.15090764331210191</v>
      </c>
      <c r="T47" s="2">
        <v>0.18689490445859874</v>
      </c>
    </row>
    <row r="48" spans="1:20" ht="14.25" customHeight="1">
      <c r="A48" s="2">
        <v>27</v>
      </c>
      <c r="B48" s="2">
        <v>47</v>
      </c>
      <c r="C48" s="2">
        <v>8</v>
      </c>
      <c r="D48" s="2">
        <v>1</v>
      </c>
      <c r="E48" s="2">
        <v>1.4590000000000001</v>
      </c>
      <c r="F48" s="2">
        <v>1</v>
      </c>
      <c r="H48" s="2">
        <v>27</v>
      </c>
      <c r="I48" s="2">
        <v>298</v>
      </c>
      <c r="J48" s="2">
        <v>1</v>
      </c>
      <c r="K48" s="2">
        <v>1</v>
      </c>
      <c r="L48" s="2">
        <v>1.2250000000000001</v>
      </c>
      <c r="M48" s="2">
        <v>1</v>
      </c>
      <c r="O48" s="2">
        <v>0.22702229299363055</v>
      </c>
      <c r="P48" s="2">
        <v>0.11141719745222928</v>
      </c>
      <c r="Q48" s="2">
        <v>0.19453821656050954</v>
      </c>
      <c r="R48" s="2">
        <v>0.19517515923566878</v>
      </c>
      <c r="S48" s="2">
        <v>0.21683121019108278</v>
      </c>
      <c r="T48" s="2">
        <v>0.21842356687898087</v>
      </c>
    </row>
    <row r="49" spans="1:20" ht="14.25" customHeight="1">
      <c r="A49" s="2">
        <v>27</v>
      </c>
      <c r="B49" s="2">
        <v>48</v>
      </c>
      <c r="C49" s="2">
        <v>2</v>
      </c>
      <c r="D49" s="2">
        <v>0</v>
      </c>
      <c r="E49" s="2">
        <v>1.3120000000000001</v>
      </c>
      <c r="F49" s="2">
        <v>2</v>
      </c>
      <c r="H49" s="2">
        <v>27</v>
      </c>
      <c r="I49" s="2">
        <v>299</v>
      </c>
      <c r="J49" s="2">
        <v>6</v>
      </c>
      <c r="K49" s="2">
        <v>1</v>
      </c>
      <c r="L49" s="2">
        <v>1.0469999999999999</v>
      </c>
      <c r="M49" s="2">
        <v>2</v>
      </c>
      <c r="O49" s="2">
        <v>0.18453025477707002</v>
      </c>
      <c r="P49" s="2">
        <v>0.10618630573248405</v>
      </c>
      <c r="Q49" s="2">
        <v>7.1791401273885336E-2</v>
      </c>
      <c r="R49" s="2">
        <v>4.6632165605095539E-2</v>
      </c>
      <c r="S49" s="2">
        <v>4.8224522292993614E-2</v>
      </c>
      <c r="T49" s="2">
        <v>8.7078025477707002E-2</v>
      </c>
    </row>
    <row r="50" spans="1:20" ht="14.25" customHeight="1">
      <c r="A50" s="2">
        <v>27</v>
      </c>
      <c r="B50" s="2">
        <v>49</v>
      </c>
      <c r="C50" s="2">
        <v>5</v>
      </c>
      <c r="D50" s="2">
        <v>1</v>
      </c>
      <c r="E50" s="2">
        <v>1.5660000000000001</v>
      </c>
      <c r="F50" s="2">
        <v>2</v>
      </c>
      <c r="H50" s="2">
        <v>27</v>
      </c>
      <c r="I50" s="2">
        <v>300</v>
      </c>
      <c r="J50" s="2">
        <v>8</v>
      </c>
      <c r="K50" s="2">
        <v>1</v>
      </c>
      <c r="L50" s="2">
        <v>0.94299999999999995</v>
      </c>
      <c r="M50" s="2">
        <v>2</v>
      </c>
      <c r="O50" s="2">
        <v>8.1345541401273883E-2</v>
      </c>
      <c r="P50" s="2">
        <v>3.4530254777070057E-2</v>
      </c>
      <c r="Q50" s="2">
        <v>8.3256369426751589E-2</v>
      </c>
      <c r="R50" s="2">
        <v>9.822452229299361E-2</v>
      </c>
      <c r="S50" s="2">
        <v>9.9816878980891713E-2</v>
      </c>
      <c r="T50" s="2">
        <v>0.10140923566878982</v>
      </c>
    </row>
    <row r="51" spans="1:20" ht="14.25" customHeight="1">
      <c r="A51" s="2">
        <v>27</v>
      </c>
      <c r="B51" s="2">
        <v>50</v>
      </c>
      <c r="C51" s="2">
        <v>3</v>
      </c>
      <c r="D51" s="2">
        <v>1</v>
      </c>
      <c r="E51" s="2">
        <v>1.651</v>
      </c>
      <c r="F51" s="2">
        <v>2</v>
      </c>
      <c r="O51" s="2">
        <v>5.89171974522293E-2</v>
      </c>
      <c r="P51" s="2">
        <v>4.9363057324840767E-2</v>
      </c>
      <c r="Q51" s="2">
        <v>4.9363057324840767E-2</v>
      </c>
      <c r="R51" s="2">
        <v>0.11305732484076433</v>
      </c>
      <c r="S51" s="2">
        <v>0.10031847133757962</v>
      </c>
      <c r="T51" s="2">
        <v>0.17356687898089171</v>
      </c>
    </row>
    <row r="52" spans="1:20" ht="14.25" customHeight="1">
      <c r="A52" s="2">
        <v>27</v>
      </c>
      <c r="B52" s="2">
        <v>51</v>
      </c>
      <c r="C52" s="2">
        <v>6</v>
      </c>
      <c r="D52" s="2">
        <v>1</v>
      </c>
      <c r="E52" s="2">
        <v>1.119</v>
      </c>
      <c r="F52" s="2">
        <v>1</v>
      </c>
    </row>
    <row r="53" spans="1:20" ht="14.25" customHeight="1">
      <c r="A53" s="2">
        <v>27</v>
      </c>
      <c r="B53" s="2">
        <v>52</v>
      </c>
      <c r="C53" s="2">
        <v>2</v>
      </c>
      <c r="D53" s="2">
        <v>0</v>
      </c>
      <c r="E53" s="2">
        <v>1.647</v>
      </c>
      <c r="F53" s="2">
        <v>1</v>
      </c>
    </row>
    <row r="54" spans="1:20" ht="14.25" customHeight="1">
      <c r="A54" s="2">
        <v>27</v>
      </c>
      <c r="B54" s="2">
        <v>53</v>
      </c>
      <c r="C54" s="2">
        <v>4</v>
      </c>
      <c r="D54" s="2">
        <v>1</v>
      </c>
      <c r="E54" s="2">
        <v>0.94399999999999995</v>
      </c>
      <c r="F54" s="2">
        <v>2</v>
      </c>
    </row>
    <row r="55" spans="1:20" ht="14.25" customHeight="1">
      <c r="A55" s="2">
        <v>27</v>
      </c>
      <c r="B55" s="2">
        <v>54</v>
      </c>
      <c r="C55" s="2">
        <v>6</v>
      </c>
      <c r="D55" s="2">
        <v>0</v>
      </c>
      <c r="E55" s="2">
        <v>1.034</v>
      </c>
      <c r="F55" s="2">
        <v>1</v>
      </c>
    </row>
    <row r="56" spans="1:20" ht="14.25" customHeight="1">
      <c r="A56" s="2">
        <v>27</v>
      </c>
      <c r="B56" s="2">
        <v>55</v>
      </c>
      <c r="C56" s="2">
        <v>8</v>
      </c>
      <c r="D56" s="2">
        <v>1</v>
      </c>
      <c r="E56" s="2">
        <v>1.371</v>
      </c>
      <c r="F56" s="2">
        <v>1</v>
      </c>
    </row>
    <row r="57" spans="1:20" ht="14.25" customHeight="1">
      <c r="A57" s="2">
        <v>27</v>
      </c>
      <c r="B57" s="2">
        <v>56</v>
      </c>
      <c r="C57" s="2">
        <v>2</v>
      </c>
      <c r="D57" s="2">
        <v>1</v>
      </c>
      <c r="E57" s="2">
        <v>0.82499999999999996</v>
      </c>
      <c r="F57" s="2">
        <v>2</v>
      </c>
    </row>
    <row r="58" spans="1:20" ht="14.25" customHeight="1">
      <c r="A58" s="2">
        <v>27</v>
      </c>
      <c r="B58" s="2">
        <v>57</v>
      </c>
      <c r="C58" s="2">
        <v>1</v>
      </c>
      <c r="D58" s="2">
        <v>0</v>
      </c>
      <c r="E58" s="2">
        <v>0.81599999999999995</v>
      </c>
      <c r="F58" s="2">
        <v>2</v>
      </c>
    </row>
    <row r="59" spans="1:20" ht="14.25" customHeight="1">
      <c r="A59" s="2">
        <v>27</v>
      </c>
      <c r="B59" s="2">
        <v>58</v>
      </c>
      <c r="C59" s="2">
        <v>5</v>
      </c>
      <c r="D59" s="2">
        <v>1</v>
      </c>
      <c r="E59" s="2">
        <v>1.2030000000000001</v>
      </c>
      <c r="F59" s="2">
        <v>2</v>
      </c>
    </row>
    <row r="60" spans="1:20" ht="14.25" customHeight="1">
      <c r="A60" s="2">
        <v>27</v>
      </c>
      <c r="B60" s="2">
        <v>59</v>
      </c>
      <c r="C60" s="2">
        <v>8</v>
      </c>
      <c r="D60" s="2">
        <v>0</v>
      </c>
      <c r="E60" s="2">
        <v>1.1639999999999999</v>
      </c>
      <c r="F60" s="2">
        <v>2</v>
      </c>
    </row>
    <row r="61" spans="1:20" ht="14.25" customHeight="1">
      <c r="A61" s="2">
        <v>27</v>
      </c>
      <c r="B61" s="2">
        <v>60</v>
      </c>
      <c r="C61" s="2">
        <v>7</v>
      </c>
      <c r="D61" s="2">
        <v>0</v>
      </c>
      <c r="E61" s="2">
        <v>1.411</v>
      </c>
      <c r="F61" s="2">
        <v>1</v>
      </c>
    </row>
    <row r="62" spans="1:20" ht="14.25" customHeight="1">
      <c r="A62" s="2">
        <v>27</v>
      </c>
      <c r="B62" s="2">
        <v>61</v>
      </c>
      <c r="C62" s="2">
        <v>4</v>
      </c>
      <c r="D62" s="2">
        <v>1</v>
      </c>
      <c r="E62" s="2">
        <v>1.056</v>
      </c>
      <c r="F62" s="2">
        <v>2</v>
      </c>
    </row>
    <row r="63" spans="1:20" ht="14.25" customHeight="1">
      <c r="A63" s="2">
        <v>27</v>
      </c>
      <c r="B63" s="2">
        <v>62</v>
      </c>
      <c r="C63" s="2">
        <v>7</v>
      </c>
      <c r="D63" s="2">
        <v>0</v>
      </c>
      <c r="E63" s="2">
        <v>1.1299999999999999</v>
      </c>
      <c r="F63" s="2">
        <v>2</v>
      </c>
    </row>
    <row r="64" spans="1:20" ht="14.25" customHeight="1">
      <c r="A64" s="2">
        <v>27</v>
      </c>
      <c r="B64" s="2">
        <v>63</v>
      </c>
      <c r="C64" s="2">
        <v>2</v>
      </c>
      <c r="D64" s="2">
        <v>0</v>
      </c>
      <c r="E64" s="2">
        <v>0.76500000000000001</v>
      </c>
      <c r="F64" s="2">
        <v>2</v>
      </c>
    </row>
    <row r="65" spans="1:6" ht="14.25" customHeight="1">
      <c r="A65" s="2">
        <v>27</v>
      </c>
      <c r="B65" s="2">
        <v>64</v>
      </c>
      <c r="C65" s="2">
        <v>5</v>
      </c>
      <c r="D65" s="2">
        <v>0</v>
      </c>
      <c r="E65" s="2">
        <v>0.83199999999999996</v>
      </c>
      <c r="F65" s="2">
        <v>2</v>
      </c>
    </row>
    <row r="66" spans="1:6" ht="14.25" customHeight="1">
      <c r="A66" s="2">
        <v>27</v>
      </c>
      <c r="B66" s="2">
        <v>65</v>
      </c>
      <c r="C66" s="2">
        <v>1</v>
      </c>
      <c r="D66" s="2">
        <v>1</v>
      </c>
      <c r="E66" s="2">
        <v>1.5620000000000001</v>
      </c>
      <c r="F66" s="2">
        <v>2</v>
      </c>
    </row>
    <row r="67" spans="1:6" ht="14.25" customHeight="1">
      <c r="A67" s="2">
        <v>27</v>
      </c>
      <c r="B67" s="2">
        <v>66</v>
      </c>
      <c r="C67" s="2">
        <v>8</v>
      </c>
      <c r="D67" s="2">
        <v>1</v>
      </c>
      <c r="E67" s="2">
        <v>1.462</v>
      </c>
      <c r="F67" s="2">
        <v>2</v>
      </c>
    </row>
    <row r="68" spans="1:6" ht="14.25" customHeight="1">
      <c r="A68" s="2">
        <v>27</v>
      </c>
      <c r="B68" s="2">
        <v>67</v>
      </c>
      <c r="C68" s="2">
        <v>1</v>
      </c>
      <c r="D68" s="2">
        <v>1</v>
      </c>
      <c r="E68" s="2">
        <v>1.3839999999999999</v>
      </c>
      <c r="F68" s="2">
        <v>2</v>
      </c>
    </row>
    <row r="69" spans="1:6" ht="14.25" customHeight="1">
      <c r="A69" s="2">
        <v>27</v>
      </c>
      <c r="B69" s="2">
        <v>68</v>
      </c>
      <c r="C69" s="2">
        <v>5</v>
      </c>
      <c r="D69" s="2">
        <v>1</v>
      </c>
      <c r="E69" s="2">
        <v>1.052</v>
      </c>
      <c r="F69" s="2">
        <v>2</v>
      </c>
    </row>
    <row r="70" spans="1:6" ht="14.25" customHeight="1">
      <c r="A70" s="2">
        <v>27</v>
      </c>
      <c r="B70" s="2">
        <v>69</v>
      </c>
      <c r="C70" s="2">
        <v>2</v>
      </c>
      <c r="D70" s="2">
        <v>1</v>
      </c>
      <c r="E70" s="2">
        <v>0.83399999999999996</v>
      </c>
      <c r="F70" s="2">
        <v>1</v>
      </c>
    </row>
    <row r="71" spans="1:6" ht="14.25" customHeight="1">
      <c r="A71" s="2">
        <v>27</v>
      </c>
      <c r="B71" s="2">
        <v>70</v>
      </c>
      <c r="C71" s="2">
        <v>7</v>
      </c>
      <c r="D71" s="2">
        <v>1</v>
      </c>
      <c r="E71" s="2">
        <v>1.0680000000000001</v>
      </c>
      <c r="F71" s="2">
        <v>2</v>
      </c>
    </row>
    <row r="72" spans="1:6" ht="14.25" customHeight="1">
      <c r="A72" s="2">
        <v>27</v>
      </c>
      <c r="B72" s="2">
        <v>71</v>
      </c>
      <c r="C72" s="2">
        <v>1</v>
      </c>
      <c r="D72" s="2">
        <v>1</v>
      </c>
      <c r="E72" s="2">
        <v>1.1559999999999999</v>
      </c>
      <c r="F72" s="2">
        <v>1</v>
      </c>
    </row>
    <row r="73" spans="1:6" ht="14.25" customHeight="1">
      <c r="A73" s="2">
        <v>27</v>
      </c>
      <c r="B73" s="2">
        <v>72</v>
      </c>
      <c r="C73" s="2">
        <v>7</v>
      </c>
      <c r="D73" s="2">
        <v>0</v>
      </c>
      <c r="E73" s="2">
        <v>0.83899999999999997</v>
      </c>
      <c r="F73" s="2">
        <v>1</v>
      </c>
    </row>
    <row r="74" spans="1:6" ht="14.25" customHeight="1">
      <c r="A74" s="2">
        <v>27</v>
      </c>
      <c r="B74" s="2">
        <v>73</v>
      </c>
      <c r="C74" s="2">
        <v>1</v>
      </c>
      <c r="D74" s="2">
        <v>1</v>
      </c>
      <c r="E74" s="2">
        <v>1.1379999999999999</v>
      </c>
      <c r="F74" s="2">
        <v>1</v>
      </c>
    </row>
    <row r="75" spans="1:6" ht="14.25" customHeight="1">
      <c r="A75" s="2">
        <v>27</v>
      </c>
      <c r="B75" s="2">
        <v>74</v>
      </c>
      <c r="C75" s="2">
        <v>5</v>
      </c>
      <c r="D75" s="2">
        <v>1</v>
      </c>
      <c r="E75" s="2">
        <v>1.212</v>
      </c>
      <c r="F75" s="2">
        <v>2</v>
      </c>
    </row>
    <row r="76" spans="1:6" ht="14.25" customHeight="1">
      <c r="A76" s="2">
        <v>27</v>
      </c>
      <c r="B76" s="2">
        <v>75</v>
      </c>
      <c r="C76" s="2">
        <v>4</v>
      </c>
      <c r="D76" s="2">
        <v>0</v>
      </c>
      <c r="E76" s="2">
        <v>1.038</v>
      </c>
      <c r="F76" s="2">
        <v>2</v>
      </c>
    </row>
    <row r="77" spans="1:6" ht="14.25" customHeight="1">
      <c r="A77" s="2">
        <v>27</v>
      </c>
      <c r="B77" s="2">
        <v>76</v>
      </c>
      <c r="C77" s="2">
        <v>3</v>
      </c>
      <c r="D77" s="2">
        <v>1</v>
      </c>
      <c r="E77" s="2">
        <v>1.2150000000000001</v>
      </c>
      <c r="F77" s="2">
        <v>1</v>
      </c>
    </row>
    <row r="78" spans="1:6" ht="14.25" customHeight="1">
      <c r="A78" s="2">
        <v>27</v>
      </c>
      <c r="B78" s="2">
        <v>77</v>
      </c>
      <c r="C78" s="2">
        <v>7</v>
      </c>
      <c r="D78" s="2">
        <v>1</v>
      </c>
      <c r="E78" s="2">
        <v>0.72099999999999997</v>
      </c>
      <c r="F78" s="2">
        <v>2</v>
      </c>
    </row>
    <row r="79" spans="1:6" ht="14.25" customHeight="1">
      <c r="A79" s="2">
        <v>27</v>
      </c>
      <c r="B79" s="2">
        <v>78</v>
      </c>
      <c r="C79" s="2">
        <v>4</v>
      </c>
      <c r="D79" s="2">
        <v>1</v>
      </c>
      <c r="E79" s="2">
        <v>1.4410000000000001</v>
      </c>
      <c r="F79" s="2">
        <v>2</v>
      </c>
    </row>
    <row r="80" spans="1:6" ht="14.25" customHeight="1">
      <c r="A80" s="2">
        <v>27</v>
      </c>
      <c r="B80" s="2">
        <v>79</v>
      </c>
      <c r="C80" s="2">
        <v>6</v>
      </c>
      <c r="D80" s="2">
        <v>1</v>
      </c>
      <c r="E80" s="2">
        <v>0.73899999999999999</v>
      </c>
      <c r="F80" s="2">
        <v>2</v>
      </c>
    </row>
    <row r="81" spans="1:6" ht="14.25" customHeight="1">
      <c r="A81" s="2">
        <v>27</v>
      </c>
      <c r="B81" s="2">
        <v>80</v>
      </c>
      <c r="C81" s="2">
        <v>3</v>
      </c>
      <c r="D81" s="2">
        <v>1</v>
      </c>
      <c r="E81" s="2">
        <v>1.1000000000000001</v>
      </c>
      <c r="F81" s="2">
        <v>1</v>
      </c>
    </row>
    <row r="82" spans="1:6" ht="14.25" customHeight="1">
      <c r="A82" s="2">
        <v>27</v>
      </c>
      <c r="B82" s="2">
        <v>81</v>
      </c>
      <c r="C82" s="2">
        <v>6</v>
      </c>
      <c r="D82" s="2">
        <v>1</v>
      </c>
      <c r="E82" s="2">
        <v>1.2030000000000001</v>
      </c>
      <c r="F82" s="2">
        <v>1</v>
      </c>
    </row>
    <row r="83" spans="1:6" ht="14.25" customHeight="1">
      <c r="A83" s="2">
        <v>27</v>
      </c>
      <c r="B83" s="2">
        <v>82</v>
      </c>
      <c r="C83" s="2">
        <v>8</v>
      </c>
      <c r="D83" s="2">
        <v>0</v>
      </c>
      <c r="E83" s="2">
        <v>1.157</v>
      </c>
      <c r="F83" s="2">
        <v>1</v>
      </c>
    </row>
    <row r="84" spans="1:6" ht="14.25" customHeight="1">
      <c r="A84" s="2">
        <v>27</v>
      </c>
      <c r="B84" s="2">
        <v>83</v>
      </c>
      <c r="C84" s="2">
        <v>2</v>
      </c>
      <c r="D84" s="2">
        <v>1</v>
      </c>
      <c r="E84" s="2">
        <v>0.88800000000000001</v>
      </c>
      <c r="F84" s="2">
        <v>1</v>
      </c>
    </row>
    <row r="85" spans="1:6" ht="14.25" customHeight="1">
      <c r="A85" s="2">
        <v>27</v>
      </c>
      <c r="B85" s="2">
        <v>84</v>
      </c>
      <c r="C85" s="2">
        <v>4</v>
      </c>
      <c r="D85" s="2">
        <v>0</v>
      </c>
      <c r="E85" s="2">
        <v>0.753</v>
      </c>
      <c r="F85" s="2">
        <v>2</v>
      </c>
    </row>
    <row r="86" spans="1:6" ht="14.25" customHeight="1">
      <c r="A86" s="2">
        <v>27</v>
      </c>
      <c r="B86" s="2">
        <v>85</v>
      </c>
      <c r="C86" s="2">
        <v>8</v>
      </c>
      <c r="D86" s="2">
        <v>1</v>
      </c>
      <c r="E86" s="2">
        <v>1.1319999999999999</v>
      </c>
      <c r="F86" s="2">
        <v>2</v>
      </c>
    </row>
    <row r="87" spans="1:6" ht="14.25" customHeight="1">
      <c r="A87" s="2">
        <v>27</v>
      </c>
      <c r="B87" s="2">
        <v>86</v>
      </c>
      <c r="C87" s="2">
        <v>7</v>
      </c>
      <c r="D87" s="2">
        <v>1</v>
      </c>
      <c r="E87" s="2">
        <v>0.99299999999999999</v>
      </c>
      <c r="F87" s="2">
        <v>1</v>
      </c>
    </row>
    <row r="88" spans="1:6" ht="14.25" customHeight="1">
      <c r="A88" s="2">
        <v>27</v>
      </c>
      <c r="B88" s="2">
        <v>87</v>
      </c>
      <c r="C88" s="2">
        <v>3</v>
      </c>
      <c r="D88" s="2">
        <v>1</v>
      </c>
      <c r="E88" s="2">
        <v>1.012</v>
      </c>
      <c r="F88" s="2">
        <v>1</v>
      </c>
    </row>
    <row r="89" spans="1:6" ht="14.25" customHeight="1">
      <c r="A89" s="2">
        <v>27</v>
      </c>
      <c r="B89" s="2">
        <v>88</v>
      </c>
      <c r="C89" s="2">
        <v>1</v>
      </c>
      <c r="D89" s="2">
        <v>1</v>
      </c>
      <c r="E89" s="2">
        <v>0.82199999999999995</v>
      </c>
      <c r="F89" s="2">
        <v>2</v>
      </c>
    </row>
    <row r="90" spans="1:6" ht="14.25" customHeight="1">
      <c r="A90" s="2">
        <v>27</v>
      </c>
      <c r="B90" s="2">
        <v>89</v>
      </c>
      <c r="C90" s="2">
        <v>5</v>
      </c>
      <c r="D90" s="2">
        <v>0</v>
      </c>
      <c r="E90" s="2">
        <v>1.5509999999999999</v>
      </c>
      <c r="F90" s="2">
        <v>1</v>
      </c>
    </row>
    <row r="91" spans="1:6" ht="14.25" customHeight="1">
      <c r="A91" s="2">
        <v>27</v>
      </c>
      <c r="B91" s="2">
        <v>90</v>
      </c>
      <c r="C91" s="2">
        <v>3</v>
      </c>
      <c r="D91" s="2">
        <v>1</v>
      </c>
      <c r="E91" s="2">
        <v>0.94799999999999995</v>
      </c>
      <c r="F91" s="2">
        <v>2</v>
      </c>
    </row>
    <row r="92" spans="1:6" ht="14.25" customHeight="1">
      <c r="A92" s="2">
        <v>27</v>
      </c>
      <c r="B92" s="2">
        <v>91</v>
      </c>
      <c r="C92" s="2">
        <v>8</v>
      </c>
      <c r="D92" s="2">
        <v>1</v>
      </c>
      <c r="E92" s="2">
        <v>0.78700000000000003</v>
      </c>
      <c r="F92" s="2">
        <v>1</v>
      </c>
    </row>
    <row r="93" spans="1:6" ht="14.25" customHeight="1">
      <c r="A93" s="2">
        <v>27</v>
      </c>
      <c r="B93" s="2">
        <v>92</v>
      </c>
      <c r="C93" s="2">
        <v>5</v>
      </c>
      <c r="D93" s="2">
        <v>1</v>
      </c>
      <c r="E93" s="2">
        <v>0.91600000000000004</v>
      </c>
      <c r="F93" s="2">
        <v>1</v>
      </c>
    </row>
    <row r="94" spans="1:6" ht="14.25" customHeight="1">
      <c r="A94" s="2">
        <v>27</v>
      </c>
      <c r="B94" s="2">
        <v>93</v>
      </c>
      <c r="C94" s="2">
        <v>3</v>
      </c>
      <c r="D94" s="2">
        <v>1</v>
      </c>
      <c r="E94" s="2">
        <v>0.63600000000000001</v>
      </c>
      <c r="F94" s="2">
        <v>1</v>
      </c>
    </row>
    <row r="95" spans="1:6" ht="14.25" customHeight="1">
      <c r="A95" s="2">
        <v>27</v>
      </c>
      <c r="B95" s="2">
        <v>94</v>
      </c>
      <c r="C95" s="2">
        <v>1</v>
      </c>
      <c r="D95" s="2">
        <v>0</v>
      </c>
      <c r="E95" s="2">
        <v>0.96399999999999997</v>
      </c>
      <c r="F95" s="2">
        <v>1</v>
      </c>
    </row>
    <row r="96" spans="1:6" ht="14.25" customHeight="1">
      <c r="A96" s="2">
        <v>27</v>
      </c>
      <c r="B96" s="2">
        <v>95</v>
      </c>
      <c r="C96" s="2">
        <v>4</v>
      </c>
      <c r="D96" s="2">
        <v>1</v>
      </c>
      <c r="E96" s="2">
        <v>0.71099999999999997</v>
      </c>
      <c r="F96" s="2">
        <v>1</v>
      </c>
    </row>
    <row r="97" spans="1:6" ht="14.25" customHeight="1">
      <c r="A97" s="2">
        <v>27</v>
      </c>
      <c r="B97" s="2">
        <v>96</v>
      </c>
      <c r="C97" s="2">
        <v>7</v>
      </c>
      <c r="D97" s="2">
        <v>1</v>
      </c>
      <c r="E97" s="2">
        <v>0.77400000000000002</v>
      </c>
      <c r="F97" s="2">
        <v>1</v>
      </c>
    </row>
    <row r="98" spans="1:6" ht="14.25" customHeight="1">
      <c r="A98" s="2">
        <v>27</v>
      </c>
      <c r="B98" s="2">
        <v>97</v>
      </c>
      <c r="C98" s="2">
        <v>2</v>
      </c>
      <c r="D98" s="2">
        <v>1</v>
      </c>
      <c r="E98" s="2">
        <v>1.0409999999999999</v>
      </c>
      <c r="F98" s="2">
        <v>1</v>
      </c>
    </row>
    <row r="99" spans="1:6" ht="14.25" customHeight="1">
      <c r="A99" s="2">
        <v>27</v>
      </c>
      <c r="B99" s="2">
        <v>98</v>
      </c>
      <c r="C99" s="2">
        <v>6</v>
      </c>
      <c r="D99" s="2">
        <v>0</v>
      </c>
      <c r="E99" s="2">
        <v>0.56100000000000005</v>
      </c>
      <c r="F99" s="2">
        <v>2</v>
      </c>
    </row>
    <row r="100" spans="1:6" ht="14.25" customHeight="1">
      <c r="A100" s="2">
        <v>27</v>
      </c>
      <c r="B100" s="2">
        <v>99</v>
      </c>
      <c r="C100" s="2">
        <v>3</v>
      </c>
      <c r="D100" s="2">
        <v>1</v>
      </c>
      <c r="E100" s="2">
        <v>0.84599999999999997</v>
      </c>
      <c r="F100" s="2">
        <v>2</v>
      </c>
    </row>
    <row r="101" spans="1:6" ht="14.25" customHeight="1">
      <c r="A101" s="2">
        <v>27</v>
      </c>
      <c r="B101" s="2">
        <v>100</v>
      </c>
      <c r="C101" s="2">
        <v>6</v>
      </c>
      <c r="D101" s="2">
        <v>0</v>
      </c>
      <c r="E101" s="2">
        <v>1.222</v>
      </c>
      <c r="F101" s="2">
        <v>1</v>
      </c>
    </row>
    <row r="102" spans="1:6" ht="14.25" customHeight="1">
      <c r="A102" s="2">
        <v>27</v>
      </c>
      <c r="B102" s="2">
        <v>101</v>
      </c>
      <c r="C102" s="2">
        <v>6</v>
      </c>
      <c r="D102" s="2">
        <v>1</v>
      </c>
      <c r="E102" s="2">
        <v>1.1970000000000001</v>
      </c>
      <c r="F102" s="2">
        <v>1</v>
      </c>
    </row>
    <row r="103" spans="1:6" ht="14.25" customHeight="1">
      <c r="A103" s="2">
        <v>27</v>
      </c>
      <c r="B103" s="2">
        <v>102</v>
      </c>
      <c r="C103" s="2">
        <v>1</v>
      </c>
      <c r="D103" s="2">
        <v>1</v>
      </c>
      <c r="E103" s="2">
        <v>0.64800000000000002</v>
      </c>
      <c r="F103" s="2">
        <v>2</v>
      </c>
    </row>
    <row r="104" spans="1:6" ht="14.25" customHeight="1">
      <c r="A104" s="2">
        <v>27</v>
      </c>
      <c r="B104" s="2">
        <v>103</v>
      </c>
      <c r="C104" s="2">
        <v>4</v>
      </c>
      <c r="D104" s="2">
        <v>1</v>
      </c>
      <c r="E104" s="2">
        <v>0.64700000000000002</v>
      </c>
      <c r="F104" s="2">
        <v>2</v>
      </c>
    </row>
    <row r="105" spans="1:6" ht="14.25" customHeight="1">
      <c r="A105" s="2">
        <v>27</v>
      </c>
      <c r="B105" s="2">
        <v>104</v>
      </c>
      <c r="C105" s="2">
        <v>8</v>
      </c>
      <c r="D105" s="2">
        <v>1</v>
      </c>
      <c r="E105" s="2">
        <v>0.55200000000000005</v>
      </c>
      <c r="F105" s="2">
        <v>2</v>
      </c>
    </row>
    <row r="106" spans="1:6" ht="14.25" customHeight="1">
      <c r="A106" s="2">
        <v>27</v>
      </c>
      <c r="B106" s="2">
        <v>105</v>
      </c>
      <c r="C106" s="2">
        <v>5</v>
      </c>
      <c r="D106" s="2">
        <v>1</v>
      </c>
      <c r="E106" s="2">
        <v>1.2190000000000001</v>
      </c>
      <c r="F106" s="2">
        <v>1</v>
      </c>
    </row>
    <row r="107" spans="1:6" ht="14.25" customHeight="1">
      <c r="A107" s="2">
        <v>27</v>
      </c>
      <c r="B107" s="2">
        <v>106</v>
      </c>
      <c r="C107" s="2">
        <v>1</v>
      </c>
      <c r="D107" s="2">
        <v>1</v>
      </c>
      <c r="E107" s="2">
        <v>0.60399999999999998</v>
      </c>
      <c r="F107" s="2">
        <v>2</v>
      </c>
    </row>
    <row r="108" spans="1:6" ht="14.25" customHeight="1">
      <c r="A108" s="2">
        <v>27</v>
      </c>
      <c r="B108" s="2">
        <v>107</v>
      </c>
      <c r="C108" s="2">
        <v>7</v>
      </c>
      <c r="D108" s="2">
        <v>0</v>
      </c>
      <c r="E108" s="2">
        <v>0.64500000000000002</v>
      </c>
      <c r="F108" s="2">
        <v>2</v>
      </c>
    </row>
    <row r="109" spans="1:6" ht="14.25" customHeight="1">
      <c r="A109" s="2">
        <v>27</v>
      </c>
      <c r="B109" s="2">
        <v>108</v>
      </c>
      <c r="C109" s="2">
        <v>1</v>
      </c>
      <c r="D109" s="2">
        <v>1</v>
      </c>
      <c r="E109" s="2">
        <v>0.71099999999999997</v>
      </c>
      <c r="F109" s="2">
        <v>2</v>
      </c>
    </row>
    <row r="110" spans="1:6" ht="14.25" customHeight="1">
      <c r="A110" s="2">
        <v>27</v>
      </c>
      <c r="B110" s="2">
        <v>109</v>
      </c>
      <c r="C110" s="2">
        <v>7</v>
      </c>
      <c r="D110" s="2">
        <v>1</v>
      </c>
      <c r="E110" s="2">
        <v>1.1080000000000001</v>
      </c>
      <c r="F110" s="2">
        <v>1</v>
      </c>
    </row>
    <row r="111" spans="1:6" ht="14.25" customHeight="1">
      <c r="A111" s="2">
        <v>27</v>
      </c>
      <c r="B111" s="2">
        <v>110</v>
      </c>
      <c r="C111" s="2">
        <v>2</v>
      </c>
      <c r="D111" s="2">
        <v>1</v>
      </c>
      <c r="E111" s="2">
        <v>1.37</v>
      </c>
      <c r="F111" s="2">
        <v>2</v>
      </c>
    </row>
    <row r="112" spans="1:6" ht="14.25" customHeight="1">
      <c r="A112" s="2">
        <v>27</v>
      </c>
      <c r="B112" s="2">
        <v>111</v>
      </c>
      <c r="C112" s="2">
        <v>1</v>
      </c>
      <c r="D112" s="2">
        <v>0</v>
      </c>
      <c r="E112" s="2">
        <v>0.82</v>
      </c>
      <c r="F112" s="2">
        <v>1</v>
      </c>
    </row>
    <row r="113" spans="1:6" ht="14.25" customHeight="1">
      <c r="A113" s="2">
        <v>27</v>
      </c>
      <c r="B113" s="2">
        <v>112</v>
      </c>
      <c r="C113" s="2">
        <v>7</v>
      </c>
      <c r="D113" s="2">
        <v>0</v>
      </c>
      <c r="E113" s="2">
        <v>1.1339999999999999</v>
      </c>
      <c r="F113" s="2">
        <v>2</v>
      </c>
    </row>
    <row r="114" spans="1:6" ht="14.25" customHeight="1">
      <c r="A114" s="2">
        <v>27</v>
      </c>
      <c r="B114" s="2">
        <v>113</v>
      </c>
      <c r="C114" s="2">
        <v>4</v>
      </c>
      <c r="D114" s="2">
        <v>1</v>
      </c>
      <c r="E114" s="2">
        <v>0.93799999999999994</v>
      </c>
      <c r="F114" s="2">
        <v>1</v>
      </c>
    </row>
    <row r="115" spans="1:6" ht="14.25" customHeight="1">
      <c r="A115" s="2">
        <v>27</v>
      </c>
      <c r="B115" s="2">
        <v>114</v>
      </c>
      <c r="C115" s="2">
        <v>3</v>
      </c>
      <c r="D115" s="2">
        <v>0</v>
      </c>
      <c r="E115" s="2">
        <v>0.59</v>
      </c>
      <c r="F115" s="2">
        <v>2</v>
      </c>
    </row>
    <row r="116" spans="1:6" ht="14.25" customHeight="1">
      <c r="A116" s="2">
        <v>27</v>
      </c>
      <c r="B116" s="2">
        <v>115</v>
      </c>
      <c r="C116" s="2">
        <v>1</v>
      </c>
      <c r="D116" s="2">
        <v>1</v>
      </c>
      <c r="E116" s="2">
        <v>0.79400000000000004</v>
      </c>
      <c r="F116" s="2">
        <v>2</v>
      </c>
    </row>
    <row r="117" spans="1:6" ht="14.25" customHeight="1">
      <c r="A117" s="2">
        <v>27</v>
      </c>
      <c r="B117" s="2">
        <v>116</v>
      </c>
      <c r="C117" s="2">
        <v>2</v>
      </c>
      <c r="D117" s="2">
        <v>0</v>
      </c>
      <c r="E117" s="2">
        <v>0.55600000000000005</v>
      </c>
      <c r="F117" s="2">
        <v>1</v>
      </c>
    </row>
    <row r="118" spans="1:6" ht="14.25" customHeight="1">
      <c r="A118" s="2">
        <v>27</v>
      </c>
      <c r="B118" s="2">
        <v>117</v>
      </c>
      <c r="C118" s="2">
        <v>4</v>
      </c>
      <c r="D118" s="2">
        <v>1</v>
      </c>
      <c r="E118" s="2">
        <v>0.73099999999999998</v>
      </c>
      <c r="F118" s="2">
        <v>2</v>
      </c>
    </row>
    <row r="119" spans="1:6" ht="14.25" customHeight="1">
      <c r="A119" s="2">
        <v>27</v>
      </c>
      <c r="B119" s="2">
        <v>118</v>
      </c>
      <c r="C119" s="2">
        <v>8</v>
      </c>
      <c r="D119" s="2">
        <v>0</v>
      </c>
      <c r="E119" s="2">
        <v>0.79800000000000004</v>
      </c>
      <c r="F119" s="2">
        <v>1</v>
      </c>
    </row>
    <row r="120" spans="1:6" ht="14.25" customHeight="1">
      <c r="A120" s="2">
        <v>27</v>
      </c>
      <c r="B120" s="2">
        <v>119</v>
      </c>
      <c r="C120" s="2">
        <v>5</v>
      </c>
      <c r="D120" s="2">
        <v>1</v>
      </c>
      <c r="E120" s="2">
        <v>0.872</v>
      </c>
      <c r="F120" s="2">
        <v>1</v>
      </c>
    </row>
    <row r="121" spans="1:6" ht="14.25" customHeight="1">
      <c r="A121" s="2">
        <v>27</v>
      </c>
      <c r="B121" s="2">
        <v>120</v>
      </c>
      <c r="C121" s="2">
        <v>3</v>
      </c>
      <c r="D121" s="2">
        <v>1</v>
      </c>
      <c r="E121" s="2">
        <v>0.96</v>
      </c>
      <c r="F121" s="2">
        <v>2</v>
      </c>
    </row>
    <row r="122" spans="1:6" ht="14.25" customHeight="1">
      <c r="A122" s="2">
        <v>27</v>
      </c>
      <c r="B122" s="2">
        <v>121</v>
      </c>
      <c r="C122" s="2">
        <v>1</v>
      </c>
      <c r="D122" s="2">
        <v>1</v>
      </c>
      <c r="E122" s="2">
        <v>0.94799999999999995</v>
      </c>
      <c r="F122" s="2">
        <v>1</v>
      </c>
    </row>
    <row r="123" spans="1:6" ht="14.25" customHeight="1">
      <c r="A123" s="2">
        <v>27</v>
      </c>
      <c r="B123" s="2">
        <v>122</v>
      </c>
      <c r="C123" s="2">
        <v>7</v>
      </c>
      <c r="D123" s="2">
        <v>0</v>
      </c>
      <c r="E123" s="2">
        <v>1.0569999999999999</v>
      </c>
      <c r="F123" s="2">
        <v>1</v>
      </c>
    </row>
    <row r="124" spans="1:6" ht="14.25" customHeight="1">
      <c r="A124" s="2">
        <v>27</v>
      </c>
      <c r="B124" s="2">
        <v>123</v>
      </c>
      <c r="C124" s="2">
        <v>5</v>
      </c>
      <c r="D124" s="2">
        <v>1</v>
      </c>
      <c r="E124" s="2">
        <v>1.232</v>
      </c>
      <c r="F124" s="2">
        <v>1</v>
      </c>
    </row>
    <row r="125" spans="1:6" ht="14.25" customHeight="1">
      <c r="A125" s="2">
        <v>27</v>
      </c>
      <c r="B125" s="2">
        <v>124</v>
      </c>
      <c r="C125" s="2">
        <v>6</v>
      </c>
      <c r="D125" s="2">
        <v>1</v>
      </c>
      <c r="E125" s="2">
        <v>0.63300000000000001</v>
      </c>
      <c r="F125" s="2">
        <v>2</v>
      </c>
    </row>
    <row r="126" spans="1:6" ht="14.25" customHeight="1">
      <c r="A126" s="2">
        <v>27</v>
      </c>
      <c r="B126" s="2">
        <v>125</v>
      </c>
      <c r="C126" s="2">
        <v>5</v>
      </c>
      <c r="D126" s="2">
        <v>0</v>
      </c>
      <c r="E126" s="2">
        <v>1.3149999999999999</v>
      </c>
      <c r="F126" s="2">
        <v>2</v>
      </c>
    </row>
    <row r="127" spans="1:6" ht="14.25" customHeight="1">
      <c r="A127" s="2">
        <v>27</v>
      </c>
      <c r="B127" s="2">
        <v>126</v>
      </c>
      <c r="C127" s="2">
        <v>7</v>
      </c>
      <c r="D127" s="2">
        <v>1</v>
      </c>
      <c r="E127" s="2">
        <v>0.76900000000000002</v>
      </c>
      <c r="F127" s="2">
        <v>1</v>
      </c>
    </row>
    <row r="128" spans="1:6" ht="14.25" customHeight="1">
      <c r="A128" s="2">
        <v>27</v>
      </c>
      <c r="B128" s="2">
        <v>127</v>
      </c>
      <c r="C128" s="2">
        <v>3</v>
      </c>
      <c r="D128" s="2">
        <v>1</v>
      </c>
      <c r="E128" s="2">
        <v>1.236</v>
      </c>
      <c r="F128" s="2">
        <v>2</v>
      </c>
    </row>
    <row r="129" spans="1:6" ht="14.25" customHeight="1">
      <c r="A129" s="2">
        <v>27</v>
      </c>
      <c r="B129" s="2">
        <v>128</v>
      </c>
      <c r="C129" s="2">
        <v>2</v>
      </c>
      <c r="D129" s="2">
        <v>1</v>
      </c>
      <c r="E129" s="2">
        <v>1.125</v>
      </c>
      <c r="F129" s="2">
        <v>2</v>
      </c>
    </row>
    <row r="130" spans="1:6" ht="14.25" customHeight="1">
      <c r="A130" s="2">
        <v>27</v>
      </c>
      <c r="B130" s="2">
        <v>129</v>
      </c>
      <c r="C130" s="2">
        <v>5</v>
      </c>
      <c r="D130" s="2">
        <v>1</v>
      </c>
      <c r="E130" s="2">
        <v>0.70799999999999996</v>
      </c>
      <c r="F130" s="2">
        <v>2</v>
      </c>
    </row>
    <row r="131" spans="1:6" ht="14.25" customHeight="1">
      <c r="A131" s="2">
        <v>27</v>
      </c>
      <c r="B131" s="2">
        <v>130</v>
      </c>
      <c r="C131" s="2">
        <v>1</v>
      </c>
      <c r="D131" s="2">
        <v>1</v>
      </c>
      <c r="E131" s="2">
        <v>0.65100000000000002</v>
      </c>
      <c r="F131" s="2">
        <v>1</v>
      </c>
    </row>
    <row r="132" spans="1:6" ht="14.25" customHeight="1">
      <c r="A132" s="2">
        <v>27</v>
      </c>
      <c r="B132" s="2">
        <v>131</v>
      </c>
      <c r="C132" s="2">
        <v>7</v>
      </c>
      <c r="D132" s="2">
        <v>1</v>
      </c>
      <c r="E132" s="2">
        <v>1.0900000000000001</v>
      </c>
      <c r="F132" s="2">
        <v>1</v>
      </c>
    </row>
    <row r="133" spans="1:6" ht="14.25" customHeight="1">
      <c r="A133" s="2">
        <v>27</v>
      </c>
      <c r="B133" s="2">
        <v>132</v>
      </c>
      <c r="C133" s="2">
        <v>3</v>
      </c>
      <c r="D133" s="2">
        <v>0</v>
      </c>
      <c r="E133" s="2">
        <v>1.1439999999999999</v>
      </c>
      <c r="F133" s="2">
        <v>1</v>
      </c>
    </row>
    <row r="134" spans="1:6" ht="14.25" customHeight="1">
      <c r="A134" s="2">
        <v>27</v>
      </c>
      <c r="B134" s="2">
        <v>133</v>
      </c>
      <c r="C134" s="2">
        <v>7</v>
      </c>
      <c r="D134" s="2">
        <v>1</v>
      </c>
      <c r="E134" s="2">
        <v>0.68600000000000005</v>
      </c>
      <c r="F134" s="2">
        <v>1</v>
      </c>
    </row>
    <row r="135" spans="1:6" ht="14.25" customHeight="1">
      <c r="A135" s="2">
        <v>27</v>
      </c>
      <c r="B135" s="2">
        <v>134</v>
      </c>
      <c r="C135" s="2">
        <v>8</v>
      </c>
      <c r="D135" s="2">
        <v>0</v>
      </c>
      <c r="E135" s="2">
        <v>0.86699999999999999</v>
      </c>
      <c r="F135" s="2">
        <v>2</v>
      </c>
    </row>
    <row r="136" spans="1:6" ht="14.25" customHeight="1">
      <c r="A136" s="2">
        <v>27</v>
      </c>
      <c r="B136" s="2">
        <v>135</v>
      </c>
      <c r="C136" s="2">
        <v>2</v>
      </c>
      <c r="D136" s="2">
        <v>0</v>
      </c>
      <c r="E136" s="2">
        <v>0.65100000000000002</v>
      </c>
      <c r="F136" s="2">
        <v>1</v>
      </c>
    </row>
    <row r="137" spans="1:6" ht="14.25" customHeight="1">
      <c r="A137" s="2">
        <v>27</v>
      </c>
      <c r="B137" s="2">
        <v>136</v>
      </c>
      <c r="C137" s="2">
        <v>3</v>
      </c>
      <c r="D137" s="2">
        <v>1</v>
      </c>
      <c r="E137" s="2">
        <v>0.75700000000000001</v>
      </c>
      <c r="F137" s="2">
        <v>1</v>
      </c>
    </row>
    <row r="138" spans="1:6" ht="14.25" customHeight="1">
      <c r="A138" s="2">
        <v>27</v>
      </c>
      <c r="B138" s="2">
        <v>137</v>
      </c>
      <c r="C138" s="2">
        <v>8</v>
      </c>
      <c r="D138" s="2">
        <v>1</v>
      </c>
      <c r="E138" s="2">
        <v>0.70499999999999996</v>
      </c>
      <c r="F138" s="2">
        <v>1</v>
      </c>
    </row>
    <row r="139" spans="1:6" ht="14.25" customHeight="1">
      <c r="A139" s="2">
        <v>27</v>
      </c>
      <c r="B139" s="2">
        <v>138</v>
      </c>
      <c r="C139" s="2">
        <v>6</v>
      </c>
      <c r="D139" s="2">
        <v>0</v>
      </c>
      <c r="E139" s="2">
        <v>1.3819999999999999</v>
      </c>
      <c r="F139" s="2">
        <v>1</v>
      </c>
    </row>
    <row r="140" spans="1:6" ht="14.25" customHeight="1">
      <c r="A140" s="2">
        <v>27</v>
      </c>
      <c r="B140" s="2">
        <v>139</v>
      </c>
      <c r="C140" s="2">
        <v>4</v>
      </c>
      <c r="D140" s="2">
        <v>0</v>
      </c>
      <c r="E140" s="2">
        <v>0.97699999999999998</v>
      </c>
      <c r="F140" s="2">
        <v>1</v>
      </c>
    </row>
    <row r="141" spans="1:6" ht="14.25" customHeight="1">
      <c r="A141" s="2">
        <v>27</v>
      </c>
      <c r="B141" s="2">
        <v>140</v>
      </c>
      <c r="C141" s="2">
        <v>3</v>
      </c>
      <c r="D141" s="2">
        <v>1</v>
      </c>
      <c r="E141" s="2">
        <v>0.89200000000000002</v>
      </c>
      <c r="F141" s="2">
        <v>2</v>
      </c>
    </row>
    <row r="142" spans="1:6" ht="14.25" customHeight="1">
      <c r="A142" s="2">
        <v>27</v>
      </c>
      <c r="B142" s="2">
        <v>141</v>
      </c>
      <c r="C142" s="2">
        <v>5</v>
      </c>
      <c r="D142" s="2">
        <v>1</v>
      </c>
      <c r="E142" s="2">
        <v>0.7</v>
      </c>
      <c r="F142" s="2">
        <v>1</v>
      </c>
    </row>
    <row r="143" spans="1:6" ht="14.25" customHeight="1">
      <c r="A143" s="2">
        <v>27</v>
      </c>
      <c r="B143" s="2">
        <v>142</v>
      </c>
      <c r="C143" s="2">
        <v>4</v>
      </c>
      <c r="D143" s="2">
        <v>0</v>
      </c>
      <c r="E143" s="2">
        <v>1.1220000000000001</v>
      </c>
      <c r="F143" s="2">
        <v>2</v>
      </c>
    </row>
    <row r="144" spans="1:6" ht="14.25" customHeight="1">
      <c r="A144" s="2">
        <v>27</v>
      </c>
      <c r="B144" s="2">
        <v>143</v>
      </c>
      <c r="C144" s="2">
        <v>6</v>
      </c>
      <c r="D144" s="2">
        <v>1</v>
      </c>
      <c r="E144" s="2">
        <v>0.71199999999999997</v>
      </c>
      <c r="F144" s="2">
        <v>1</v>
      </c>
    </row>
    <row r="145" spans="1:6" ht="14.25" customHeight="1">
      <c r="A145" s="2">
        <v>27</v>
      </c>
      <c r="B145" s="2">
        <v>144</v>
      </c>
      <c r="C145" s="2">
        <v>2</v>
      </c>
      <c r="D145" s="2">
        <v>0</v>
      </c>
      <c r="E145" s="2">
        <v>1.0369999999999999</v>
      </c>
      <c r="F145" s="2">
        <v>1</v>
      </c>
    </row>
    <row r="146" spans="1:6" ht="14.25" customHeight="1">
      <c r="A146" s="2">
        <v>27</v>
      </c>
      <c r="B146" s="2">
        <v>145</v>
      </c>
      <c r="C146" s="2">
        <v>6</v>
      </c>
      <c r="D146" s="2">
        <v>1</v>
      </c>
      <c r="E146" s="2">
        <v>0.72</v>
      </c>
      <c r="F146" s="2">
        <v>1</v>
      </c>
    </row>
    <row r="147" spans="1:6" ht="14.25" customHeight="1">
      <c r="A147" s="2">
        <v>27</v>
      </c>
      <c r="B147" s="2">
        <v>146</v>
      </c>
      <c r="C147" s="2">
        <v>8</v>
      </c>
      <c r="D147" s="2">
        <v>1</v>
      </c>
      <c r="E147" s="2">
        <v>1.196</v>
      </c>
      <c r="F147" s="2">
        <v>1</v>
      </c>
    </row>
    <row r="148" spans="1:6" ht="14.25" customHeight="1">
      <c r="A148" s="2">
        <v>27</v>
      </c>
      <c r="B148" s="2">
        <v>147</v>
      </c>
      <c r="C148" s="2">
        <v>2</v>
      </c>
      <c r="D148" s="2">
        <v>1</v>
      </c>
      <c r="E148" s="2">
        <v>0.64800000000000002</v>
      </c>
      <c r="F148" s="2">
        <v>1</v>
      </c>
    </row>
    <row r="149" spans="1:6" ht="14.25" customHeight="1">
      <c r="A149" s="2">
        <v>27</v>
      </c>
      <c r="B149" s="2">
        <v>148</v>
      </c>
      <c r="C149" s="2">
        <v>8</v>
      </c>
      <c r="D149" s="2">
        <v>0</v>
      </c>
      <c r="E149" s="2">
        <v>0.80700000000000005</v>
      </c>
      <c r="F149" s="2">
        <v>2</v>
      </c>
    </row>
    <row r="150" spans="1:6" ht="14.25" customHeight="1">
      <c r="A150" s="2">
        <v>27</v>
      </c>
      <c r="B150" s="2">
        <v>149</v>
      </c>
      <c r="C150" s="2">
        <v>4</v>
      </c>
      <c r="D150" s="2">
        <v>0</v>
      </c>
      <c r="E150" s="2">
        <v>0.72099999999999997</v>
      </c>
      <c r="F150" s="2">
        <v>1</v>
      </c>
    </row>
    <row r="151" spans="1:6" ht="14.25" customHeight="1">
      <c r="A151" s="2">
        <v>27</v>
      </c>
      <c r="B151" s="2">
        <v>150</v>
      </c>
      <c r="C151" s="2">
        <v>6</v>
      </c>
      <c r="D151" s="2">
        <v>1</v>
      </c>
      <c r="E151" s="2">
        <v>1.286</v>
      </c>
      <c r="F151" s="2">
        <v>2</v>
      </c>
    </row>
    <row r="152" spans="1:6" ht="14.25" customHeight="1">
      <c r="A152" s="2">
        <v>27</v>
      </c>
      <c r="B152" s="2">
        <v>151</v>
      </c>
      <c r="C152" s="2">
        <v>6</v>
      </c>
      <c r="D152" s="2">
        <v>1</v>
      </c>
      <c r="E152" s="2">
        <v>1.3220000000000001</v>
      </c>
      <c r="F152" s="2">
        <v>1</v>
      </c>
    </row>
    <row r="153" spans="1:6" ht="14.25" customHeight="1">
      <c r="A153" s="2">
        <v>27</v>
      </c>
      <c r="B153" s="2">
        <v>152</v>
      </c>
      <c r="C153" s="2">
        <v>3</v>
      </c>
      <c r="D153" s="2">
        <v>1</v>
      </c>
      <c r="E153" s="2">
        <v>1.0529999999999999</v>
      </c>
      <c r="F153" s="2">
        <v>2</v>
      </c>
    </row>
    <row r="154" spans="1:6" ht="14.25" customHeight="1">
      <c r="A154" s="2">
        <v>27</v>
      </c>
      <c r="B154" s="2">
        <v>153</v>
      </c>
      <c r="C154" s="2">
        <v>5</v>
      </c>
      <c r="D154" s="2">
        <v>1</v>
      </c>
      <c r="E154" s="2">
        <v>0.72599999999999998</v>
      </c>
      <c r="F154" s="2">
        <v>2</v>
      </c>
    </row>
    <row r="155" spans="1:6" ht="14.25" customHeight="1">
      <c r="A155" s="2">
        <v>27</v>
      </c>
      <c r="B155" s="2">
        <v>154</v>
      </c>
      <c r="C155" s="2">
        <v>8</v>
      </c>
      <c r="D155" s="2">
        <v>1</v>
      </c>
      <c r="E155" s="2">
        <v>1.012</v>
      </c>
      <c r="F155" s="2">
        <v>2</v>
      </c>
    </row>
    <row r="156" spans="1:6" ht="14.25" customHeight="1">
      <c r="A156" s="2">
        <v>27</v>
      </c>
      <c r="B156" s="2">
        <v>155</v>
      </c>
      <c r="C156" s="2">
        <v>5</v>
      </c>
      <c r="D156" s="2">
        <v>1</v>
      </c>
      <c r="E156" s="2">
        <v>0.97199999999999998</v>
      </c>
      <c r="F156" s="2">
        <v>1</v>
      </c>
    </row>
    <row r="157" spans="1:6" ht="14.25" customHeight="1">
      <c r="A157" s="2">
        <v>27</v>
      </c>
      <c r="B157" s="2">
        <v>156</v>
      </c>
      <c r="C157" s="2">
        <v>4</v>
      </c>
      <c r="D157" s="2">
        <v>1</v>
      </c>
      <c r="E157" s="2">
        <v>0.63900000000000001</v>
      </c>
      <c r="F157" s="2">
        <v>2</v>
      </c>
    </row>
    <row r="158" spans="1:6" ht="14.25" customHeight="1">
      <c r="A158" s="2">
        <v>27</v>
      </c>
      <c r="B158" s="2">
        <v>157</v>
      </c>
      <c r="C158" s="2">
        <v>1</v>
      </c>
      <c r="D158" s="2">
        <v>0</v>
      </c>
      <c r="E158" s="2">
        <v>0.76100000000000001</v>
      </c>
      <c r="F158" s="2">
        <v>2</v>
      </c>
    </row>
    <row r="159" spans="1:6" ht="14.25" customHeight="1">
      <c r="A159" s="2">
        <v>27</v>
      </c>
      <c r="B159" s="2">
        <v>158</v>
      </c>
      <c r="C159" s="2">
        <v>4</v>
      </c>
      <c r="D159" s="2">
        <v>1</v>
      </c>
      <c r="E159" s="2">
        <v>1.038</v>
      </c>
      <c r="F159" s="2">
        <v>2</v>
      </c>
    </row>
    <row r="160" spans="1:6" ht="14.25" customHeight="1">
      <c r="A160" s="2">
        <v>27</v>
      </c>
      <c r="B160" s="2">
        <v>159</v>
      </c>
      <c r="C160" s="2">
        <v>3</v>
      </c>
      <c r="D160" s="2">
        <v>0</v>
      </c>
      <c r="E160" s="2">
        <v>1.8939999999999999</v>
      </c>
      <c r="F160" s="2">
        <v>2</v>
      </c>
    </row>
    <row r="161" spans="1:6" ht="14.25" customHeight="1">
      <c r="A161" s="2">
        <v>27</v>
      </c>
      <c r="B161" s="2">
        <v>160</v>
      </c>
      <c r="C161" s="2">
        <v>1</v>
      </c>
      <c r="D161" s="2">
        <v>1</v>
      </c>
      <c r="E161" s="2">
        <v>1.1000000000000001</v>
      </c>
      <c r="F161" s="2">
        <v>2</v>
      </c>
    </row>
    <row r="162" spans="1:6" ht="14.25" customHeight="1">
      <c r="A162" s="2">
        <v>27</v>
      </c>
      <c r="B162" s="2">
        <v>161</v>
      </c>
      <c r="C162" s="2">
        <v>4</v>
      </c>
      <c r="D162" s="2">
        <v>1</v>
      </c>
      <c r="E162" s="2">
        <v>1.611</v>
      </c>
      <c r="F162" s="2">
        <v>2</v>
      </c>
    </row>
    <row r="163" spans="1:6" ht="14.25" customHeight="1">
      <c r="A163" s="2">
        <v>27</v>
      </c>
      <c r="B163" s="2">
        <v>162</v>
      </c>
      <c r="C163" s="2">
        <v>7</v>
      </c>
      <c r="D163" s="2">
        <v>0</v>
      </c>
      <c r="E163" s="2">
        <v>1.0609999999999999</v>
      </c>
      <c r="F163" s="2">
        <v>2</v>
      </c>
    </row>
    <row r="164" spans="1:6" ht="14.25" customHeight="1">
      <c r="A164" s="2">
        <v>27</v>
      </c>
      <c r="B164" s="2">
        <v>163</v>
      </c>
      <c r="C164" s="2">
        <v>6</v>
      </c>
      <c r="D164" s="2">
        <v>1</v>
      </c>
      <c r="E164" s="2">
        <v>0.85899999999999999</v>
      </c>
      <c r="F164" s="2">
        <v>1</v>
      </c>
    </row>
    <row r="165" spans="1:6" ht="14.25" customHeight="1">
      <c r="A165" s="2">
        <v>27</v>
      </c>
      <c r="B165" s="2">
        <v>164</v>
      </c>
      <c r="C165" s="2">
        <v>1</v>
      </c>
      <c r="D165" s="2">
        <v>1</v>
      </c>
      <c r="E165" s="2">
        <v>0.60199999999999998</v>
      </c>
      <c r="F165" s="2">
        <v>1</v>
      </c>
    </row>
    <row r="166" spans="1:6" ht="14.25" customHeight="1">
      <c r="A166" s="2">
        <v>27</v>
      </c>
      <c r="B166" s="2">
        <v>165</v>
      </c>
      <c r="C166" s="2">
        <v>4</v>
      </c>
      <c r="D166" s="2">
        <v>1</v>
      </c>
      <c r="E166" s="2">
        <v>1.046</v>
      </c>
      <c r="F166" s="2">
        <v>2</v>
      </c>
    </row>
    <row r="167" spans="1:6" ht="14.25" customHeight="1">
      <c r="A167" s="2">
        <v>27</v>
      </c>
      <c r="B167" s="2">
        <v>166</v>
      </c>
      <c r="C167" s="2">
        <v>7</v>
      </c>
      <c r="D167" s="2">
        <v>1</v>
      </c>
      <c r="E167" s="2">
        <v>1.397</v>
      </c>
      <c r="F167" s="2">
        <v>2</v>
      </c>
    </row>
    <row r="168" spans="1:6" ht="14.25" customHeight="1">
      <c r="A168" s="2">
        <v>27</v>
      </c>
      <c r="B168" s="2">
        <v>167</v>
      </c>
      <c r="C168" s="2">
        <v>2</v>
      </c>
      <c r="D168" s="2">
        <v>1</v>
      </c>
      <c r="E168" s="2">
        <v>0.96799999999999997</v>
      </c>
      <c r="F168" s="2">
        <v>2</v>
      </c>
    </row>
    <row r="169" spans="1:6" ht="14.25" customHeight="1">
      <c r="A169" s="2">
        <v>27</v>
      </c>
      <c r="B169" s="2">
        <v>168</v>
      </c>
      <c r="C169" s="2">
        <v>7</v>
      </c>
      <c r="D169" s="2">
        <v>0</v>
      </c>
      <c r="E169" s="2">
        <v>1.244</v>
      </c>
      <c r="F169" s="2">
        <v>1</v>
      </c>
    </row>
    <row r="170" spans="1:6" ht="14.25" customHeight="1">
      <c r="A170" s="2">
        <v>27</v>
      </c>
      <c r="B170" s="2">
        <v>169</v>
      </c>
      <c r="C170" s="2">
        <v>5</v>
      </c>
      <c r="D170" s="2">
        <v>1</v>
      </c>
      <c r="E170" s="2">
        <v>0.76500000000000001</v>
      </c>
      <c r="F170" s="2">
        <v>1</v>
      </c>
    </row>
    <row r="171" spans="1:6" ht="14.25" customHeight="1">
      <c r="A171" s="2">
        <v>27</v>
      </c>
      <c r="B171" s="2">
        <v>170</v>
      </c>
      <c r="C171" s="2">
        <v>8</v>
      </c>
      <c r="D171" s="2">
        <v>0</v>
      </c>
      <c r="E171" s="2">
        <v>1.36</v>
      </c>
      <c r="F171" s="2">
        <v>1</v>
      </c>
    </row>
    <row r="172" spans="1:6" ht="14.25" customHeight="1">
      <c r="A172" s="2">
        <v>27</v>
      </c>
      <c r="B172" s="2">
        <v>171</v>
      </c>
      <c r="C172" s="2">
        <v>5</v>
      </c>
      <c r="D172" s="2">
        <v>1</v>
      </c>
      <c r="E172" s="2">
        <v>0.96399999999999997</v>
      </c>
      <c r="F172" s="2">
        <v>1</v>
      </c>
    </row>
    <row r="173" spans="1:6" ht="14.25" customHeight="1">
      <c r="A173" s="2">
        <v>27</v>
      </c>
      <c r="B173" s="2">
        <v>172</v>
      </c>
      <c r="C173" s="2">
        <v>2</v>
      </c>
      <c r="D173" s="2">
        <v>0</v>
      </c>
      <c r="E173" s="2">
        <v>1.1180000000000001</v>
      </c>
      <c r="F173" s="2">
        <v>1</v>
      </c>
    </row>
    <row r="174" spans="1:6" ht="14.25" customHeight="1">
      <c r="A174" s="2">
        <v>27</v>
      </c>
      <c r="B174" s="2">
        <v>173</v>
      </c>
      <c r="C174" s="2">
        <v>1</v>
      </c>
      <c r="D174" s="2">
        <v>1</v>
      </c>
      <c r="E174" s="2">
        <v>0.81299999999999994</v>
      </c>
      <c r="F174" s="2">
        <v>1</v>
      </c>
    </row>
    <row r="175" spans="1:6" ht="14.25" customHeight="1">
      <c r="A175" s="2">
        <v>27</v>
      </c>
      <c r="B175" s="2">
        <v>174</v>
      </c>
      <c r="C175" s="2">
        <v>7</v>
      </c>
      <c r="D175" s="2">
        <v>1</v>
      </c>
      <c r="E175" s="2">
        <v>1.2589999999999999</v>
      </c>
      <c r="F175" s="2">
        <v>2</v>
      </c>
    </row>
    <row r="176" spans="1:6" ht="14.25" customHeight="1">
      <c r="A176" s="2">
        <v>27</v>
      </c>
      <c r="B176" s="2">
        <v>175</v>
      </c>
      <c r="C176" s="2">
        <v>3</v>
      </c>
      <c r="D176" s="2">
        <v>1</v>
      </c>
      <c r="E176" s="2">
        <v>0.94699999999999995</v>
      </c>
      <c r="F176" s="2">
        <v>1</v>
      </c>
    </row>
    <row r="177" spans="1:6" ht="14.25" customHeight="1">
      <c r="A177" s="2">
        <v>27</v>
      </c>
      <c r="B177" s="2">
        <v>176</v>
      </c>
      <c r="C177" s="2">
        <v>8</v>
      </c>
      <c r="D177" s="2">
        <v>1</v>
      </c>
      <c r="E177" s="2">
        <v>0.64300000000000002</v>
      </c>
      <c r="F177" s="2">
        <v>1</v>
      </c>
    </row>
    <row r="178" spans="1:6" ht="14.25" customHeight="1">
      <c r="A178" s="2">
        <v>27</v>
      </c>
      <c r="B178" s="2">
        <v>177</v>
      </c>
      <c r="C178" s="2">
        <v>1</v>
      </c>
      <c r="D178" s="2">
        <v>1</v>
      </c>
      <c r="E178" s="2">
        <v>1.306</v>
      </c>
      <c r="F178" s="2">
        <v>2</v>
      </c>
    </row>
    <row r="179" spans="1:6" ht="14.25" customHeight="1">
      <c r="A179" s="2">
        <v>27</v>
      </c>
      <c r="B179" s="2">
        <v>178</v>
      </c>
      <c r="C179" s="2">
        <v>6</v>
      </c>
      <c r="D179" s="2">
        <v>1</v>
      </c>
      <c r="E179" s="2">
        <v>1.1279999999999999</v>
      </c>
      <c r="F179" s="2">
        <v>2</v>
      </c>
    </row>
    <row r="180" spans="1:6" ht="14.25" customHeight="1">
      <c r="A180" s="2">
        <v>27</v>
      </c>
      <c r="B180" s="2">
        <v>179</v>
      </c>
      <c r="C180" s="2">
        <v>1</v>
      </c>
      <c r="D180" s="2">
        <v>0</v>
      </c>
      <c r="E180" s="2">
        <v>1.363</v>
      </c>
      <c r="F180" s="2">
        <v>1</v>
      </c>
    </row>
    <row r="181" spans="1:6" ht="14.25" customHeight="1">
      <c r="A181" s="2">
        <v>27</v>
      </c>
      <c r="B181" s="2">
        <v>180</v>
      </c>
      <c r="C181" s="2">
        <v>6</v>
      </c>
      <c r="D181" s="2">
        <v>1</v>
      </c>
      <c r="E181" s="2">
        <v>1.105</v>
      </c>
      <c r="F181" s="2">
        <v>1</v>
      </c>
    </row>
    <row r="182" spans="1:6" ht="14.25" customHeight="1">
      <c r="A182" s="2">
        <v>27</v>
      </c>
      <c r="B182" s="2">
        <v>181</v>
      </c>
      <c r="C182" s="2">
        <v>8</v>
      </c>
      <c r="D182" s="2">
        <v>1</v>
      </c>
      <c r="E182" s="2">
        <v>0.76</v>
      </c>
      <c r="F182" s="2">
        <v>1</v>
      </c>
    </row>
    <row r="183" spans="1:6" ht="14.25" customHeight="1">
      <c r="A183" s="2">
        <v>27</v>
      </c>
      <c r="B183" s="2">
        <v>182</v>
      </c>
      <c r="C183" s="2">
        <v>3</v>
      </c>
      <c r="D183" s="2">
        <v>0</v>
      </c>
      <c r="E183" s="2">
        <v>1.083</v>
      </c>
      <c r="F183" s="2">
        <v>1</v>
      </c>
    </row>
    <row r="184" spans="1:6" ht="14.25" customHeight="1">
      <c r="A184" s="2">
        <v>27</v>
      </c>
      <c r="B184" s="2">
        <v>183</v>
      </c>
      <c r="C184" s="2">
        <v>7</v>
      </c>
      <c r="D184" s="2">
        <v>1</v>
      </c>
      <c r="E184" s="2">
        <v>0.73699999999999999</v>
      </c>
      <c r="F184" s="2">
        <v>1</v>
      </c>
    </row>
    <row r="185" spans="1:6" ht="14.25" customHeight="1">
      <c r="A185" s="2">
        <v>27</v>
      </c>
      <c r="B185" s="2">
        <v>184</v>
      </c>
      <c r="C185" s="2">
        <v>3</v>
      </c>
      <c r="D185" s="2">
        <v>1</v>
      </c>
      <c r="E185" s="2">
        <v>1.3160000000000001</v>
      </c>
      <c r="F185" s="2">
        <v>1</v>
      </c>
    </row>
    <row r="186" spans="1:6" ht="14.25" customHeight="1">
      <c r="A186" s="2">
        <v>27</v>
      </c>
      <c r="B186" s="2">
        <v>185</v>
      </c>
      <c r="C186" s="2">
        <v>2</v>
      </c>
      <c r="D186" s="2">
        <v>1</v>
      </c>
      <c r="E186" s="2">
        <v>0.81200000000000006</v>
      </c>
      <c r="F186" s="2">
        <v>2</v>
      </c>
    </row>
    <row r="187" spans="1:6" ht="14.25" customHeight="1">
      <c r="A187" s="2">
        <v>27</v>
      </c>
      <c r="B187" s="2">
        <v>186</v>
      </c>
      <c r="C187" s="2">
        <v>7</v>
      </c>
      <c r="D187" s="2">
        <v>1</v>
      </c>
      <c r="E187" s="2">
        <v>0.69399999999999995</v>
      </c>
      <c r="F187" s="2">
        <v>1</v>
      </c>
    </row>
    <row r="188" spans="1:6" ht="14.25" customHeight="1">
      <c r="A188" s="2">
        <v>27</v>
      </c>
      <c r="B188" s="2">
        <v>187</v>
      </c>
      <c r="C188" s="2">
        <v>4</v>
      </c>
      <c r="D188" s="2">
        <v>1</v>
      </c>
      <c r="E188" s="2">
        <v>0.64500000000000002</v>
      </c>
      <c r="F188" s="2">
        <v>1</v>
      </c>
    </row>
    <row r="189" spans="1:6" ht="14.25" customHeight="1">
      <c r="A189" s="2">
        <v>27</v>
      </c>
      <c r="B189" s="2">
        <v>188</v>
      </c>
      <c r="C189" s="2">
        <v>1</v>
      </c>
      <c r="D189" s="2">
        <v>1</v>
      </c>
      <c r="E189" s="2">
        <v>1.133</v>
      </c>
      <c r="F189" s="2">
        <v>2</v>
      </c>
    </row>
    <row r="190" spans="1:6" ht="14.25" customHeight="1">
      <c r="A190" s="2">
        <v>27</v>
      </c>
      <c r="B190" s="2">
        <v>189</v>
      </c>
      <c r="C190" s="2">
        <v>8</v>
      </c>
      <c r="D190" s="2">
        <v>1</v>
      </c>
      <c r="E190" s="2">
        <v>1.0580000000000001</v>
      </c>
      <c r="F190" s="2">
        <v>2</v>
      </c>
    </row>
    <row r="191" spans="1:6" ht="14.25" customHeight="1">
      <c r="A191" s="2">
        <v>27</v>
      </c>
      <c r="B191" s="2">
        <v>190</v>
      </c>
      <c r="C191" s="2">
        <v>6</v>
      </c>
      <c r="D191" s="2">
        <v>1</v>
      </c>
      <c r="E191" s="2">
        <v>1.0900000000000001</v>
      </c>
      <c r="F191" s="2">
        <v>2</v>
      </c>
    </row>
    <row r="192" spans="1:6" ht="14.25" customHeight="1">
      <c r="A192" s="2">
        <v>27</v>
      </c>
      <c r="B192" s="2">
        <v>191</v>
      </c>
      <c r="C192" s="2">
        <v>5</v>
      </c>
      <c r="D192" s="2">
        <v>1</v>
      </c>
      <c r="E192" s="2">
        <v>0.64900000000000002</v>
      </c>
      <c r="F192" s="2">
        <v>1</v>
      </c>
    </row>
    <row r="193" spans="1:6" ht="14.25" customHeight="1">
      <c r="A193" s="2">
        <v>27</v>
      </c>
      <c r="B193" s="2">
        <v>192</v>
      </c>
      <c r="C193" s="2">
        <v>8</v>
      </c>
      <c r="D193" s="2">
        <v>1</v>
      </c>
      <c r="E193" s="2">
        <v>0.67300000000000004</v>
      </c>
      <c r="F193" s="2">
        <v>1</v>
      </c>
    </row>
    <row r="194" spans="1:6" ht="14.25" customHeight="1">
      <c r="A194" s="2">
        <v>27</v>
      </c>
      <c r="B194" s="2">
        <v>193</v>
      </c>
      <c r="C194" s="2">
        <v>2</v>
      </c>
      <c r="D194" s="2">
        <v>1</v>
      </c>
      <c r="E194" s="2">
        <v>0.48699999999999999</v>
      </c>
      <c r="F194" s="2">
        <v>1</v>
      </c>
    </row>
    <row r="195" spans="1:6" ht="14.25" customHeight="1">
      <c r="A195" s="2">
        <v>27</v>
      </c>
      <c r="B195" s="2">
        <v>194</v>
      </c>
      <c r="C195" s="2">
        <v>3</v>
      </c>
      <c r="D195" s="2">
        <v>1</v>
      </c>
      <c r="E195" s="2">
        <v>1.103</v>
      </c>
      <c r="F195" s="2">
        <v>2</v>
      </c>
    </row>
    <row r="196" spans="1:6" ht="14.25" customHeight="1">
      <c r="A196" s="2">
        <v>27</v>
      </c>
      <c r="B196" s="2">
        <v>195</v>
      </c>
      <c r="C196" s="2">
        <v>2</v>
      </c>
      <c r="D196" s="2">
        <v>1</v>
      </c>
      <c r="E196" s="2">
        <v>0.66100000000000003</v>
      </c>
      <c r="F196" s="2">
        <v>1</v>
      </c>
    </row>
    <row r="197" spans="1:6" ht="14.25" customHeight="1">
      <c r="A197" s="2">
        <v>27</v>
      </c>
      <c r="B197" s="2">
        <v>196</v>
      </c>
      <c r="C197" s="2">
        <v>7</v>
      </c>
      <c r="D197" s="2">
        <v>1</v>
      </c>
      <c r="E197" s="2">
        <v>1.0529999999999999</v>
      </c>
      <c r="F197" s="2">
        <v>1</v>
      </c>
    </row>
    <row r="198" spans="1:6" ht="14.25" customHeight="1">
      <c r="A198" s="2">
        <v>27</v>
      </c>
      <c r="B198" s="2">
        <v>197</v>
      </c>
      <c r="C198" s="2">
        <v>6</v>
      </c>
      <c r="D198" s="2">
        <v>1</v>
      </c>
      <c r="E198" s="2">
        <v>0.70899999999999996</v>
      </c>
      <c r="F198" s="2">
        <v>1</v>
      </c>
    </row>
    <row r="199" spans="1:6" ht="14.25" customHeight="1">
      <c r="A199" s="2">
        <v>27</v>
      </c>
      <c r="B199" s="2">
        <v>198</v>
      </c>
      <c r="C199" s="2">
        <v>4</v>
      </c>
      <c r="D199" s="2">
        <v>0</v>
      </c>
      <c r="E199" s="2">
        <v>1.0589999999999999</v>
      </c>
      <c r="F199" s="2">
        <v>2</v>
      </c>
    </row>
    <row r="200" spans="1:6" ht="14.25" customHeight="1">
      <c r="A200" s="2">
        <v>27</v>
      </c>
      <c r="B200" s="2">
        <v>199</v>
      </c>
      <c r="C200" s="2">
        <v>2</v>
      </c>
      <c r="D200" s="2">
        <v>1</v>
      </c>
      <c r="E200" s="2">
        <v>0.85899999999999999</v>
      </c>
      <c r="F200" s="2">
        <v>2</v>
      </c>
    </row>
    <row r="201" spans="1:6" ht="14.25" customHeight="1">
      <c r="A201" s="2">
        <v>27</v>
      </c>
      <c r="B201" s="2">
        <v>200</v>
      </c>
      <c r="C201" s="2">
        <v>5</v>
      </c>
      <c r="D201" s="2">
        <v>1</v>
      </c>
      <c r="E201" s="2">
        <v>1.107</v>
      </c>
      <c r="F201" s="2">
        <v>2</v>
      </c>
    </row>
    <row r="202" spans="1:6" ht="14.25" customHeight="1">
      <c r="A202" s="2">
        <v>27</v>
      </c>
      <c r="B202" s="2">
        <v>201</v>
      </c>
      <c r="C202" s="2">
        <v>4</v>
      </c>
      <c r="D202" s="2">
        <v>1</v>
      </c>
      <c r="E202" s="2">
        <v>0.80500000000000005</v>
      </c>
      <c r="F202" s="2">
        <v>1</v>
      </c>
    </row>
    <row r="203" spans="1:6" ht="14.25" customHeight="1">
      <c r="A203" s="2">
        <v>27</v>
      </c>
      <c r="B203" s="2">
        <v>202</v>
      </c>
      <c r="C203" s="2">
        <v>2</v>
      </c>
      <c r="D203" s="2">
        <v>1</v>
      </c>
      <c r="E203" s="2">
        <v>0.79</v>
      </c>
      <c r="F203" s="2">
        <v>2</v>
      </c>
    </row>
    <row r="204" spans="1:6" ht="14.25" customHeight="1">
      <c r="A204" s="2">
        <v>27</v>
      </c>
      <c r="B204" s="2">
        <v>203</v>
      </c>
      <c r="C204" s="2">
        <v>1</v>
      </c>
      <c r="D204" s="2">
        <v>1</v>
      </c>
      <c r="E204" s="2">
        <v>0.89</v>
      </c>
      <c r="F204" s="2">
        <v>2</v>
      </c>
    </row>
    <row r="205" spans="1:6" ht="14.25" customHeight="1">
      <c r="A205" s="2">
        <v>27</v>
      </c>
      <c r="B205" s="2">
        <v>204</v>
      </c>
      <c r="C205" s="2">
        <v>6</v>
      </c>
      <c r="D205" s="2">
        <v>1</v>
      </c>
      <c r="E205" s="2">
        <v>0.48099999999999998</v>
      </c>
      <c r="F205" s="2">
        <v>2</v>
      </c>
    </row>
    <row r="206" spans="1:6" ht="14.25" customHeight="1">
      <c r="A206" s="2">
        <v>27</v>
      </c>
      <c r="B206" s="2">
        <v>205</v>
      </c>
      <c r="C206" s="2">
        <v>2</v>
      </c>
      <c r="D206" s="2">
        <v>1</v>
      </c>
      <c r="E206" s="2">
        <v>0.83599999999999997</v>
      </c>
      <c r="F206" s="2">
        <v>1</v>
      </c>
    </row>
    <row r="207" spans="1:6" ht="14.25" customHeight="1">
      <c r="A207" s="2">
        <v>27</v>
      </c>
      <c r="B207" s="2">
        <v>206</v>
      </c>
      <c r="C207" s="2">
        <v>8</v>
      </c>
      <c r="D207" s="2">
        <v>1</v>
      </c>
      <c r="E207" s="2">
        <v>0.54200000000000004</v>
      </c>
      <c r="F207" s="2">
        <v>2</v>
      </c>
    </row>
    <row r="208" spans="1:6" ht="14.25" customHeight="1">
      <c r="A208" s="2">
        <v>27</v>
      </c>
      <c r="B208" s="2">
        <v>207</v>
      </c>
      <c r="C208" s="2">
        <v>6</v>
      </c>
      <c r="D208" s="2">
        <v>0</v>
      </c>
      <c r="E208" s="2">
        <v>0.65200000000000002</v>
      </c>
      <c r="F208" s="2">
        <v>2</v>
      </c>
    </row>
    <row r="209" spans="1:6" ht="14.25" customHeight="1">
      <c r="A209" s="2">
        <v>27</v>
      </c>
      <c r="B209" s="2">
        <v>208</v>
      </c>
      <c r="C209" s="2">
        <v>7</v>
      </c>
      <c r="D209" s="2">
        <v>1</v>
      </c>
      <c r="E209" s="2">
        <v>0.63500000000000001</v>
      </c>
      <c r="F209" s="2">
        <v>2</v>
      </c>
    </row>
    <row r="210" spans="1:6" ht="14.25" customHeight="1">
      <c r="A210" s="2">
        <v>27</v>
      </c>
      <c r="B210" s="2">
        <v>209</v>
      </c>
      <c r="C210" s="2">
        <v>6</v>
      </c>
      <c r="D210" s="2">
        <v>1</v>
      </c>
      <c r="E210" s="2">
        <v>1.1859999999999999</v>
      </c>
      <c r="F210" s="2">
        <v>1</v>
      </c>
    </row>
    <row r="211" spans="1:6" ht="14.25" customHeight="1">
      <c r="A211" s="2">
        <v>27</v>
      </c>
      <c r="B211" s="2">
        <v>210</v>
      </c>
      <c r="C211" s="2">
        <v>3</v>
      </c>
      <c r="D211" s="2">
        <v>1</v>
      </c>
      <c r="E211" s="2">
        <v>0.91200000000000003</v>
      </c>
      <c r="F211" s="2">
        <v>2</v>
      </c>
    </row>
    <row r="212" spans="1:6" ht="14.25" customHeight="1">
      <c r="A212" s="2">
        <v>27</v>
      </c>
      <c r="B212" s="2">
        <v>211</v>
      </c>
      <c r="C212" s="2">
        <v>1</v>
      </c>
      <c r="D212" s="2">
        <v>0</v>
      </c>
      <c r="E212" s="2">
        <v>0.86399999999999999</v>
      </c>
      <c r="F212" s="2">
        <v>1</v>
      </c>
    </row>
    <row r="213" spans="1:6" ht="14.25" customHeight="1">
      <c r="A213" s="2">
        <v>27</v>
      </c>
      <c r="B213" s="2">
        <v>212</v>
      </c>
      <c r="C213" s="2">
        <v>2</v>
      </c>
      <c r="D213" s="2">
        <v>1</v>
      </c>
      <c r="E213" s="2">
        <v>1.0389999999999999</v>
      </c>
      <c r="F213" s="2">
        <v>1</v>
      </c>
    </row>
    <row r="214" spans="1:6" ht="14.25" customHeight="1">
      <c r="A214" s="2">
        <v>27</v>
      </c>
      <c r="B214" s="2">
        <v>213</v>
      </c>
      <c r="C214" s="2">
        <v>3</v>
      </c>
      <c r="D214" s="2">
        <v>1</v>
      </c>
      <c r="E214" s="2">
        <v>0.93500000000000005</v>
      </c>
      <c r="F214" s="2">
        <v>1</v>
      </c>
    </row>
    <row r="215" spans="1:6" ht="14.25" customHeight="1">
      <c r="A215" s="2">
        <v>27</v>
      </c>
      <c r="B215" s="2">
        <v>214</v>
      </c>
      <c r="C215" s="2">
        <v>4</v>
      </c>
      <c r="D215" s="2">
        <v>1</v>
      </c>
      <c r="E215" s="2">
        <v>1.022</v>
      </c>
      <c r="F215" s="2">
        <v>1</v>
      </c>
    </row>
    <row r="216" spans="1:6" ht="14.25" customHeight="1">
      <c r="A216" s="2">
        <v>27</v>
      </c>
      <c r="B216" s="2">
        <v>215</v>
      </c>
      <c r="C216" s="2">
        <v>7</v>
      </c>
      <c r="D216" s="2">
        <v>1</v>
      </c>
      <c r="E216" s="2">
        <v>1.232</v>
      </c>
      <c r="F216" s="2">
        <v>2</v>
      </c>
    </row>
    <row r="217" spans="1:6" ht="14.25" customHeight="1">
      <c r="A217" s="2">
        <v>27</v>
      </c>
      <c r="B217" s="2">
        <v>216</v>
      </c>
      <c r="C217" s="2">
        <v>5</v>
      </c>
      <c r="D217" s="2">
        <v>0</v>
      </c>
      <c r="E217" s="2">
        <v>1.4330000000000001</v>
      </c>
      <c r="F217" s="2">
        <v>1</v>
      </c>
    </row>
    <row r="218" spans="1:6" ht="14.25" customHeight="1">
      <c r="A218" s="2">
        <v>27</v>
      </c>
      <c r="B218" s="2">
        <v>217</v>
      </c>
      <c r="C218" s="2">
        <v>3</v>
      </c>
      <c r="D218" s="2">
        <v>1</v>
      </c>
      <c r="E218" s="2">
        <v>1.171</v>
      </c>
      <c r="F218" s="2">
        <v>2</v>
      </c>
    </row>
    <row r="219" spans="1:6" ht="14.25" customHeight="1">
      <c r="A219" s="2">
        <v>27</v>
      </c>
      <c r="B219" s="2">
        <v>218</v>
      </c>
      <c r="C219" s="2">
        <v>4</v>
      </c>
      <c r="D219" s="2">
        <v>0</v>
      </c>
      <c r="E219" s="2">
        <v>1.0780000000000001</v>
      </c>
      <c r="F219" s="2">
        <v>1</v>
      </c>
    </row>
    <row r="220" spans="1:6" ht="14.25" customHeight="1">
      <c r="A220" s="2">
        <v>27</v>
      </c>
      <c r="B220" s="2">
        <v>219</v>
      </c>
      <c r="C220" s="2">
        <v>1</v>
      </c>
      <c r="D220" s="2">
        <v>1</v>
      </c>
      <c r="E220" s="2">
        <v>0.98599999999999999</v>
      </c>
      <c r="F220" s="2">
        <v>1</v>
      </c>
    </row>
    <row r="221" spans="1:6" ht="14.25" customHeight="1">
      <c r="A221" s="2">
        <v>27</v>
      </c>
      <c r="B221" s="2">
        <v>220</v>
      </c>
      <c r="C221" s="2">
        <v>2</v>
      </c>
      <c r="D221" s="2">
        <v>1</v>
      </c>
      <c r="E221" s="2">
        <v>1.2869999999999999</v>
      </c>
      <c r="F221" s="2">
        <v>2</v>
      </c>
    </row>
    <row r="222" spans="1:6" ht="14.25" customHeight="1">
      <c r="A222" s="2">
        <v>27</v>
      </c>
      <c r="B222" s="2">
        <v>221</v>
      </c>
      <c r="C222" s="2">
        <v>1</v>
      </c>
      <c r="D222" s="2">
        <v>1</v>
      </c>
      <c r="E222" s="2">
        <v>1.022</v>
      </c>
      <c r="F222" s="2">
        <v>1</v>
      </c>
    </row>
    <row r="223" spans="1:6" ht="14.25" customHeight="1">
      <c r="A223" s="2">
        <v>27</v>
      </c>
      <c r="B223" s="2">
        <v>222</v>
      </c>
      <c r="C223" s="2">
        <v>4</v>
      </c>
      <c r="D223" s="2">
        <v>1</v>
      </c>
      <c r="E223" s="2">
        <v>0.505</v>
      </c>
      <c r="F223" s="2">
        <v>2</v>
      </c>
    </row>
    <row r="224" spans="1:6" ht="14.25" customHeight="1">
      <c r="A224" s="2">
        <v>27</v>
      </c>
      <c r="B224" s="2">
        <v>223</v>
      </c>
      <c r="C224" s="2">
        <v>2</v>
      </c>
      <c r="D224" s="2">
        <v>1</v>
      </c>
      <c r="E224" s="2">
        <v>0.76900000000000002</v>
      </c>
      <c r="F224" s="2">
        <v>1</v>
      </c>
    </row>
    <row r="225" spans="1:6" ht="14.25" customHeight="1">
      <c r="A225" s="2">
        <v>27</v>
      </c>
      <c r="B225" s="2">
        <v>224</v>
      </c>
      <c r="C225" s="2">
        <v>8</v>
      </c>
      <c r="D225" s="2">
        <v>1</v>
      </c>
      <c r="E225" s="2">
        <v>1.0980000000000001</v>
      </c>
      <c r="F225" s="2">
        <v>2</v>
      </c>
    </row>
    <row r="226" spans="1:6" ht="14.25" customHeight="1">
      <c r="A226" s="2">
        <v>27</v>
      </c>
      <c r="B226" s="2">
        <v>225</v>
      </c>
      <c r="C226" s="2">
        <v>5</v>
      </c>
      <c r="D226" s="2">
        <v>0</v>
      </c>
      <c r="E226" s="2">
        <v>0.80800000000000005</v>
      </c>
      <c r="F226" s="2">
        <v>2</v>
      </c>
    </row>
    <row r="227" spans="1:6" ht="14.25" customHeight="1">
      <c r="A227" s="2">
        <v>27</v>
      </c>
      <c r="B227" s="2">
        <v>226</v>
      </c>
      <c r="C227" s="2">
        <v>1</v>
      </c>
      <c r="D227" s="2">
        <v>1</v>
      </c>
      <c r="E227" s="2">
        <v>0.66500000000000004</v>
      </c>
      <c r="F227" s="2">
        <v>1</v>
      </c>
    </row>
    <row r="228" spans="1:6" ht="14.25" customHeight="1">
      <c r="A228" s="2">
        <v>27</v>
      </c>
      <c r="B228" s="2">
        <v>227</v>
      </c>
      <c r="C228" s="2">
        <v>7</v>
      </c>
      <c r="D228" s="2">
        <v>1</v>
      </c>
      <c r="E228" s="2">
        <v>0.77400000000000002</v>
      </c>
      <c r="F228" s="2">
        <v>2</v>
      </c>
    </row>
    <row r="229" spans="1:6" ht="14.25" customHeight="1">
      <c r="A229" s="2">
        <v>27</v>
      </c>
      <c r="B229" s="2">
        <v>228</v>
      </c>
      <c r="C229" s="2">
        <v>5</v>
      </c>
      <c r="D229" s="2">
        <v>1</v>
      </c>
      <c r="E229" s="2">
        <v>0.47499999999999998</v>
      </c>
      <c r="F229" s="2">
        <v>2</v>
      </c>
    </row>
    <row r="230" spans="1:6" ht="14.25" customHeight="1">
      <c r="A230" s="2">
        <v>27</v>
      </c>
      <c r="B230" s="2">
        <v>229</v>
      </c>
      <c r="C230" s="2">
        <v>3</v>
      </c>
      <c r="D230" s="2">
        <v>1</v>
      </c>
      <c r="E230" s="2">
        <v>1.012</v>
      </c>
      <c r="F230" s="2">
        <v>2</v>
      </c>
    </row>
    <row r="231" spans="1:6" ht="14.25" customHeight="1">
      <c r="A231" s="2">
        <v>27</v>
      </c>
      <c r="B231" s="2">
        <v>230</v>
      </c>
      <c r="C231" s="2">
        <v>7</v>
      </c>
      <c r="D231" s="2">
        <v>1</v>
      </c>
      <c r="E231" s="2">
        <v>0.98899999999999999</v>
      </c>
      <c r="F231" s="2">
        <v>1</v>
      </c>
    </row>
    <row r="232" spans="1:6" ht="14.25" customHeight="1">
      <c r="A232" s="2">
        <v>27</v>
      </c>
      <c r="B232" s="2">
        <v>231</v>
      </c>
      <c r="C232" s="2">
        <v>6</v>
      </c>
      <c r="D232" s="2">
        <v>1</v>
      </c>
      <c r="E232" s="2">
        <v>0.97599999999999998</v>
      </c>
      <c r="F232" s="2">
        <v>1</v>
      </c>
    </row>
    <row r="233" spans="1:6" ht="14.25" customHeight="1">
      <c r="A233" s="2">
        <v>27</v>
      </c>
      <c r="B233" s="2">
        <v>232</v>
      </c>
      <c r="C233" s="2">
        <v>2</v>
      </c>
      <c r="D233" s="2">
        <v>0</v>
      </c>
      <c r="E233" s="2">
        <v>0.86699999999999999</v>
      </c>
      <c r="F233" s="2">
        <v>1</v>
      </c>
    </row>
    <row r="234" spans="1:6" ht="14.25" customHeight="1">
      <c r="A234" s="2">
        <v>27</v>
      </c>
      <c r="B234" s="2">
        <v>233</v>
      </c>
      <c r="C234" s="2">
        <v>8</v>
      </c>
      <c r="D234" s="2">
        <v>1</v>
      </c>
      <c r="E234" s="2">
        <v>0.61899999999999999</v>
      </c>
      <c r="F234" s="2">
        <v>1</v>
      </c>
    </row>
    <row r="235" spans="1:6" ht="14.25" customHeight="1">
      <c r="A235" s="2">
        <v>27</v>
      </c>
      <c r="B235" s="2">
        <v>234</v>
      </c>
      <c r="C235" s="2">
        <v>5</v>
      </c>
      <c r="D235" s="2">
        <v>1</v>
      </c>
      <c r="E235" s="2">
        <v>1.595</v>
      </c>
      <c r="F235" s="2">
        <v>1</v>
      </c>
    </row>
    <row r="236" spans="1:6" ht="14.25" customHeight="1">
      <c r="A236" s="2">
        <v>27</v>
      </c>
      <c r="B236" s="2">
        <v>235</v>
      </c>
      <c r="C236" s="2">
        <v>6</v>
      </c>
      <c r="D236" s="2">
        <v>1</v>
      </c>
      <c r="E236" s="2">
        <v>0.56599999999999995</v>
      </c>
      <c r="F236" s="2">
        <v>2</v>
      </c>
    </row>
    <row r="237" spans="1:6" ht="14.25" customHeight="1">
      <c r="A237" s="2">
        <v>27</v>
      </c>
      <c r="B237" s="2">
        <v>236</v>
      </c>
      <c r="C237" s="2">
        <v>1</v>
      </c>
      <c r="D237" s="2">
        <v>1</v>
      </c>
      <c r="E237" s="2">
        <v>0.69799999999999995</v>
      </c>
      <c r="F237" s="2">
        <v>1</v>
      </c>
    </row>
    <row r="238" spans="1:6" ht="14.25" customHeight="1">
      <c r="A238" s="2">
        <v>27</v>
      </c>
      <c r="B238" s="2">
        <v>237</v>
      </c>
      <c r="C238" s="2">
        <v>8</v>
      </c>
      <c r="D238" s="2">
        <v>1</v>
      </c>
      <c r="E238" s="2">
        <v>0.629</v>
      </c>
      <c r="F238" s="2">
        <v>1</v>
      </c>
    </row>
    <row r="239" spans="1:6" ht="14.25" customHeight="1">
      <c r="A239" s="2">
        <v>27</v>
      </c>
      <c r="B239" s="2">
        <v>238</v>
      </c>
      <c r="C239" s="2">
        <v>4</v>
      </c>
      <c r="D239" s="2">
        <v>0</v>
      </c>
      <c r="E239" s="2">
        <v>1.712</v>
      </c>
      <c r="F239" s="2">
        <v>1</v>
      </c>
    </row>
    <row r="240" spans="1:6" ht="14.25" customHeight="1">
      <c r="A240" s="2">
        <v>27</v>
      </c>
      <c r="B240" s="2">
        <v>239</v>
      </c>
      <c r="C240" s="2">
        <v>8</v>
      </c>
      <c r="D240" s="2">
        <v>1</v>
      </c>
      <c r="E240" s="2">
        <v>1.0680000000000001</v>
      </c>
      <c r="F240" s="2">
        <v>2</v>
      </c>
    </row>
    <row r="241" spans="1:6" ht="14.25" customHeight="1">
      <c r="A241" s="2">
        <v>27</v>
      </c>
      <c r="B241" s="2">
        <v>240</v>
      </c>
      <c r="C241" s="2">
        <v>7</v>
      </c>
      <c r="D241" s="2">
        <v>1</v>
      </c>
      <c r="E241" s="2">
        <v>1.325</v>
      </c>
      <c r="F241" s="2">
        <v>2</v>
      </c>
    </row>
    <row r="242" spans="1:6" ht="14.25" customHeight="1">
      <c r="A242" s="2">
        <v>27</v>
      </c>
      <c r="B242" s="2">
        <v>241</v>
      </c>
      <c r="C242" s="2">
        <v>5</v>
      </c>
      <c r="D242" s="2">
        <v>1</v>
      </c>
      <c r="E242" s="2">
        <v>0.77900000000000003</v>
      </c>
      <c r="F242" s="2">
        <v>1</v>
      </c>
    </row>
    <row r="243" spans="1:6" ht="14.25" customHeight="1">
      <c r="A243" s="2">
        <v>27</v>
      </c>
      <c r="B243" s="2">
        <v>242</v>
      </c>
      <c r="C243" s="2">
        <v>6</v>
      </c>
      <c r="D243" s="2">
        <v>1</v>
      </c>
      <c r="E243" s="2">
        <v>1.5129999999999999</v>
      </c>
      <c r="F243" s="2">
        <v>1</v>
      </c>
    </row>
    <row r="244" spans="1:6" ht="14.25" customHeight="1">
      <c r="A244" s="2">
        <v>27</v>
      </c>
      <c r="B244" s="2">
        <v>243</v>
      </c>
      <c r="C244" s="2">
        <v>8</v>
      </c>
      <c r="D244" s="2">
        <v>1</v>
      </c>
      <c r="E244" s="2">
        <v>0.64700000000000002</v>
      </c>
      <c r="F244" s="2">
        <v>1</v>
      </c>
    </row>
    <row r="245" spans="1:6" ht="14.25" customHeight="1">
      <c r="A245" s="2">
        <v>27</v>
      </c>
      <c r="B245" s="2">
        <v>244</v>
      </c>
      <c r="C245" s="2">
        <v>4</v>
      </c>
      <c r="D245" s="2">
        <v>0</v>
      </c>
      <c r="E245" s="2">
        <v>0.86299999999999999</v>
      </c>
      <c r="F245" s="2">
        <v>1</v>
      </c>
    </row>
    <row r="246" spans="1:6" ht="14.25" customHeight="1">
      <c r="A246" s="2">
        <v>27</v>
      </c>
      <c r="B246" s="2">
        <v>245</v>
      </c>
      <c r="C246" s="2">
        <v>1</v>
      </c>
      <c r="D246" s="2">
        <v>1</v>
      </c>
      <c r="E246" s="2">
        <v>0.67500000000000004</v>
      </c>
      <c r="F246" s="2">
        <v>1</v>
      </c>
    </row>
    <row r="247" spans="1:6" ht="14.25" customHeight="1">
      <c r="A247" s="2">
        <v>27</v>
      </c>
      <c r="B247" s="2">
        <v>246</v>
      </c>
      <c r="C247" s="2">
        <v>7</v>
      </c>
      <c r="D247" s="2">
        <v>0</v>
      </c>
      <c r="E247" s="2">
        <v>1.165</v>
      </c>
      <c r="F247" s="2">
        <v>2</v>
      </c>
    </row>
    <row r="248" spans="1:6" ht="14.25" customHeight="1">
      <c r="A248" s="2">
        <v>27</v>
      </c>
      <c r="B248" s="2">
        <v>247</v>
      </c>
      <c r="C248" s="2">
        <v>5</v>
      </c>
      <c r="D248" s="2">
        <v>1</v>
      </c>
      <c r="E248" s="2">
        <v>0.70599999999999996</v>
      </c>
      <c r="F248" s="2">
        <v>1</v>
      </c>
    </row>
    <row r="249" spans="1:6" ht="14.25" customHeight="1">
      <c r="A249" s="2">
        <v>27</v>
      </c>
      <c r="B249" s="2">
        <v>248</v>
      </c>
      <c r="C249" s="2">
        <v>3</v>
      </c>
      <c r="D249" s="2">
        <v>0</v>
      </c>
      <c r="E249" s="2">
        <v>1.296</v>
      </c>
      <c r="F249" s="2">
        <v>2</v>
      </c>
    </row>
    <row r="250" spans="1:6" ht="14.25" customHeight="1">
      <c r="A250" s="2">
        <v>27</v>
      </c>
      <c r="B250" s="2">
        <v>249</v>
      </c>
      <c r="C250" s="2">
        <v>7</v>
      </c>
      <c r="D250" s="2">
        <v>1</v>
      </c>
      <c r="E250" s="2">
        <v>1.123</v>
      </c>
      <c r="F250" s="2">
        <v>2</v>
      </c>
    </row>
    <row r="251" spans="1:6" ht="14.25" customHeight="1">
      <c r="A251" s="2">
        <v>27</v>
      </c>
      <c r="B251" s="2">
        <v>250</v>
      </c>
      <c r="C251" s="2">
        <v>3</v>
      </c>
      <c r="D251" s="2">
        <v>0</v>
      </c>
      <c r="E251" s="2">
        <v>0.82799999999999996</v>
      </c>
      <c r="F251" s="2">
        <v>1</v>
      </c>
    </row>
    <row r="252" spans="1:6" ht="14.25" customHeight="1">
      <c r="A252" s="2">
        <v>27</v>
      </c>
      <c r="B252" s="2">
        <v>251</v>
      </c>
      <c r="C252" s="2">
        <v>1</v>
      </c>
      <c r="D252" s="2">
        <v>1</v>
      </c>
      <c r="E252" s="2">
        <v>1.242</v>
      </c>
      <c r="F252" s="2">
        <v>1</v>
      </c>
    </row>
    <row r="253" spans="1:6" ht="14.25" customHeight="1">
      <c r="A253" s="2">
        <v>27</v>
      </c>
      <c r="B253" s="2">
        <v>252</v>
      </c>
      <c r="C253" s="2">
        <v>4</v>
      </c>
      <c r="D253" s="2">
        <v>1</v>
      </c>
      <c r="E253" s="2">
        <v>0.752</v>
      </c>
      <c r="F253" s="2">
        <v>2</v>
      </c>
    </row>
    <row r="254" spans="1:6" ht="14.25" customHeight="1">
      <c r="A254" s="2">
        <v>27</v>
      </c>
      <c r="B254" s="2">
        <v>253</v>
      </c>
      <c r="C254" s="2">
        <v>3</v>
      </c>
      <c r="D254" s="2">
        <v>1</v>
      </c>
      <c r="E254" s="2">
        <v>1.1950000000000001</v>
      </c>
      <c r="F254" s="2">
        <v>2</v>
      </c>
    </row>
    <row r="255" spans="1:6" ht="14.25" customHeight="1">
      <c r="A255" s="2">
        <v>27</v>
      </c>
      <c r="B255" s="2">
        <v>254</v>
      </c>
      <c r="C255" s="2">
        <v>2</v>
      </c>
      <c r="D255" s="2">
        <v>1</v>
      </c>
      <c r="E255" s="2">
        <v>0.71599999999999997</v>
      </c>
      <c r="F255" s="2">
        <v>2</v>
      </c>
    </row>
    <row r="256" spans="1:6" ht="14.25" customHeight="1">
      <c r="A256" s="2">
        <v>27</v>
      </c>
      <c r="B256" s="2">
        <v>255</v>
      </c>
      <c r="C256" s="2">
        <v>7</v>
      </c>
      <c r="D256" s="2">
        <v>1</v>
      </c>
      <c r="E256" s="2">
        <v>1.4330000000000001</v>
      </c>
      <c r="F256" s="2">
        <v>1</v>
      </c>
    </row>
    <row r="257" spans="1:6" ht="14.25" customHeight="1">
      <c r="A257" s="2">
        <v>27</v>
      </c>
      <c r="B257" s="2">
        <v>256</v>
      </c>
      <c r="C257" s="2">
        <v>5</v>
      </c>
      <c r="D257" s="2">
        <v>1</v>
      </c>
      <c r="E257" s="2">
        <v>0.76900000000000002</v>
      </c>
      <c r="F257" s="2">
        <v>2</v>
      </c>
    </row>
    <row r="258" spans="1:6" ht="14.25" customHeight="1">
      <c r="A258" s="2">
        <v>27</v>
      </c>
      <c r="B258" s="2">
        <v>257</v>
      </c>
      <c r="C258" s="2">
        <v>4</v>
      </c>
      <c r="D258" s="2">
        <v>0</v>
      </c>
      <c r="E258" s="2">
        <v>0.66700000000000004</v>
      </c>
      <c r="F258" s="2">
        <v>2</v>
      </c>
    </row>
    <row r="259" spans="1:6" ht="14.25" customHeight="1">
      <c r="A259" s="2">
        <v>27</v>
      </c>
      <c r="B259" s="2">
        <v>258</v>
      </c>
      <c r="C259" s="2">
        <v>5</v>
      </c>
      <c r="D259" s="2">
        <v>1</v>
      </c>
      <c r="E259" s="2">
        <v>0.90600000000000003</v>
      </c>
      <c r="F259" s="2">
        <v>2</v>
      </c>
    </row>
    <row r="260" spans="1:6" ht="14.25" customHeight="1">
      <c r="A260" s="2">
        <v>27</v>
      </c>
      <c r="B260" s="2">
        <v>259</v>
      </c>
      <c r="C260" s="2">
        <v>6</v>
      </c>
      <c r="D260" s="2">
        <v>1</v>
      </c>
      <c r="E260" s="2">
        <v>0.83499999999999996</v>
      </c>
      <c r="F260" s="2">
        <v>1</v>
      </c>
    </row>
    <row r="261" spans="1:6" ht="14.25" customHeight="1">
      <c r="A261" s="2">
        <v>27</v>
      </c>
      <c r="B261" s="2">
        <v>260</v>
      </c>
      <c r="C261" s="2">
        <v>8</v>
      </c>
      <c r="D261" s="2">
        <v>1</v>
      </c>
      <c r="E261" s="2">
        <v>0.84799999999999998</v>
      </c>
      <c r="F261" s="2">
        <v>2</v>
      </c>
    </row>
    <row r="262" spans="1:6" ht="14.25" customHeight="1">
      <c r="A262" s="2">
        <v>27</v>
      </c>
      <c r="B262" s="2">
        <v>261</v>
      </c>
      <c r="C262" s="2">
        <v>3</v>
      </c>
      <c r="D262" s="2">
        <v>0</v>
      </c>
      <c r="E262" s="2">
        <v>0.71599999999999997</v>
      </c>
      <c r="F262" s="2">
        <v>1</v>
      </c>
    </row>
    <row r="263" spans="1:6" ht="14.25" customHeight="1">
      <c r="A263" s="2">
        <v>27</v>
      </c>
      <c r="B263" s="2">
        <v>262</v>
      </c>
      <c r="C263" s="2">
        <v>1</v>
      </c>
      <c r="D263" s="2">
        <v>1</v>
      </c>
      <c r="E263" s="2">
        <v>1.2270000000000001</v>
      </c>
      <c r="F263" s="2">
        <v>1</v>
      </c>
    </row>
    <row r="264" spans="1:6" ht="14.25" customHeight="1">
      <c r="A264" s="2">
        <v>27</v>
      </c>
      <c r="B264" s="2">
        <v>263</v>
      </c>
      <c r="C264" s="2">
        <v>8</v>
      </c>
      <c r="D264" s="2">
        <v>1</v>
      </c>
      <c r="E264" s="2">
        <v>0.872</v>
      </c>
      <c r="F264" s="2">
        <v>1</v>
      </c>
    </row>
    <row r="265" spans="1:6" ht="14.25" customHeight="1">
      <c r="A265" s="2">
        <v>27</v>
      </c>
      <c r="B265" s="2">
        <v>264</v>
      </c>
      <c r="C265" s="2">
        <v>6</v>
      </c>
      <c r="D265" s="2">
        <v>1</v>
      </c>
      <c r="E265" s="2">
        <v>1.5089999999999999</v>
      </c>
      <c r="F265" s="2">
        <v>1</v>
      </c>
    </row>
    <row r="266" spans="1:6" ht="14.25" customHeight="1">
      <c r="A266" s="2">
        <v>27</v>
      </c>
      <c r="B266" s="2">
        <v>265</v>
      </c>
      <c r="C266" s="2">
        <v>2</v>
      </c>
      <c r="D266" s="2">
        <v>1</v>
      </c>
      <c r="E266" s="2">
        <v>0.95699999999999996</v>
      </c>
      <c r="F266" s="2">
        <v>2</v>
      </c>
    </row>
    <row r="267" spans="1:6" ht="14.25" customHeight="1">
      <c r="A267" s="2">
        <v>27</v>
      </c>
      <c r="B267" s="2">
        <v>266</v>
      </c>
      <c r="C267" s="2">
        <v>7</v>
      </c>
      <c r="D267" s="2">
        <v>1</v>
      </c>
      <c r="E267" s="2">
        <v>1.367</v>
      </c>
      <c r="F267" s="2">
        <v>2</v>
      </c>
    </row>
    <row r="268" spans="1:6" ht="14.25" customHeight="1">
      <c r="A268" s="2">
        <v>27</v>
      </c>
      <c r="B268" s="2">
        <v>267</v>
      </c>
      <c r="C268" s="2">
        <v>6</v>
      </c>
      <c r="D268" s="2">
        <v>1</v>
      </c>
      <c r="E268" s="2">
        <v>0.76</v>
      </c>
      <c r="F268" s="2">
        <v>2</v>
      </c>
    </row>
    <row r="269" spans="1:6" ht="14.25" customHeight="1">
      <c r="A269" s="2">
        <v>27</v>
      </c>
      <c r="B269" s="2">
        <v>268</v>
      </c>
      <c r="C269" s="2">
        <v>4</v>
      </c>
      <c r="D269" s="2">
        <v>0</v>
      </c>
      <c r="E269" s="2">
        <v>0.63800000000000001</v>
      </c>
      <c r="F269" s="2">
        <v>1</v>
      </c>
    </row>
    <row r="270" spans="1:6" ht="14.25" customHeight="1">
      <c r="A270" s="2">
        <v>27</v>
      </c>
      <c r="B270" s="2">
        <v>269</v>
      </c>
      <c r="C270" s="2">
        <v>3</v>
      </c>
      <c r="D270" s="2">
        <v>1</v>
      </c>
      <c r="E270" s="2">
        <v>0.64200000000000002</v>
      </c>
      <c r="F270" s="2">
        <v>1</v>
      </c>
    </row>
    <row r="271" spans="1:6" ht="14.25" customHeight="1">
      <c r="A271" s="2">
        <v>27</v>
      </c>
      <c r="B271" s="2">
        <v>270</v>
      </c>
      <c r="C271" s="2">
        <v>7</v>
      </c>
      <c r="D271" s="2">
        <v>1</v>
      </c>
      <c r="E271" s="2">
        <v>1.4910000000000001</v>
      </c>
      <c r="F271" s="2">
        <v>2</v>
      </c>
    </row>
    <row r="272" spans="1:6" ht="14.25" customHeight="1">
      <c r="A272" s="2">
        <v>27</v>
      </c>
      <c r="B272" s="2">
        <v>271</v>
      </c>
      <c r="C272" s="2">
        <v>8</v>
      </c>
      <c r="D272" s="2">
        <v>1</v>
      </c>
      <c r="E272" s="2">
        <v>0.48499999999999999</v>
      </c>
      <c r="F272" s="2">
        <v>1</v>
      </c>
    </row>
    <row r="273" spans="1:6" ht="14.25" customHeight="1">
      <c r="A273" s="2">
        <v>27</v>
      </c>
      <c r="B273" s="2">
        <v>272</v>
      </c>
      <c r="C273" s="2">
        <v>7</v>
      </c>
      <c r="D273" s="2">
        <v>0</v>
      </c>
      <c r="E273" s="2">
        <v>0.78300000000000003</v>
      </c>
      <c r="F273" s="2">
        <v>1</v>
      </c>
    </row>
    <row r="274" spans="1:6" ht="14.25" customHeight="1">
      <c r="A274" s="2">
        <v>27</v>
      </c>
      <c r="B274" s="2">
        <v>273</v>
      </c>
      <c r="C274" s="2">
        <v>5</v>
      </c>
      <c r="D274" s="2">
        <v>1</v>
      </c>
      <c r="E274" s="2">
        <v>0.442</v>
      </c>
      <c r="F274" s="2">
        <v>1</v>
      </c>
    </row>
    <row r="275" spans="1:6" ht="14.25" customHeight="1">
      <c r="A275" s="2">
        <v>27</v>
      </c>
      <c r="B275" s="2">
        <v>274</v>
      </c>
      <c r="C275" s="2">
        <v>1</v>
      </c>
      <c r="D275" s="2">
        <v>1</v>
      </c>
      <c r="E275" s="2">
        <v>1.0609999999999999</v>
      </c>
      <c r="F275" s="2">
        <v>2</v>
      </c>
    </row>
    <row r="276" spans="1:6" ht="14.25" customHeight="1">
      <c r="A276" s="2">
        <v>27</v>
      </c>
      <c r="B276" s="2">
        <v>275</v>
      </c>
      <c r="C276" s="2">
        <v>4</v>
      </c>
      <c r="D276" s="2">
        <v>1</v>
      </c>
      <c r="E276" s="2">
        <v>1.4339999999999999</v>
      </c>
      <c r="F276" s="2">
        <v>1</v>
      </c>
    </row>
    <row r="277" spans="1:6" ht="14.25" customHeight="1">
      <c r="A277" s="2">
        <v>27</v>
      </c>
      <c r="B277" s="2">
        <v>276</v>
      </c>
      <c r="C277" s="2">
        <v>1</v>
      </c>
      <c r="D277" s="2">
        <v>1</v>
      </c>
      <c r="E277" s="2">
        <v>0.64600000000000002</v>
      </c>
      <c r="F277" s="2">
        <v>1</v>
      </c>
    </row>
    <row r="278" spans="1:6" ht="14.25" customHeight="1">
      <c r="A278" s="2">
        <v>27</v>
      </c>
      <c r="B278" s="2">
        <v>277</v>
      </c>
      <c r="C278" s="2">
        <v>3</v>
      </c>
      <c r="D278" s="2">
        <v>1</v>
      </c>
      <c r="E278" s="2">
        <v>1.2350000000000001</v>
      </c>
      <c r="F278" s="2">
        <v>2</v>
      </c>
    </row>
    <row r="279" spans="1:6" ht="14.25" customHeight="1">
      <c r="A279" s="2">
        <v>27</v>
      </c>
      <c r="B279" s="2">
        <v>278</v>
      </c>
      <c r="C279" s="2">
        <v>5</v>
      </c>
      <c r="D279" s="2">
        <v>1</v>
      </c>
      <c r="E279" s="2">
        <v>1.202</v>
      </c>
      <c r="F279" s="2">
        <v>2</v>
      </c>
    </row>
    <row r="280" spans="1:6" ht="14.25" customHeight="1">
      <c r="A280" s="2">
        <v>27</v>
      </c>
      <c r="B280" s="2">
        <v>279</v>
      </c>
      <c r="C280" s="2">
        <v>3</v>
      </c>
      <c r="D280" s="2">
        <v>1</v>
      </c>
      <c r="E280" s="2">
        <v>0.77200000000000002</v>
      </c>
      <c r="F280" s="2">
        <v>2</v>
      </c>
    </row>
    <row r="281" spans="1:6" ht="14.25" customHeight="1">
      <c r="A281" s="2">
        <v>27</v>
      </c>
      <c r="B281" s="2">
        <v>280</v>
      </c>
      <c r="C281" s="2">
        <v>4</v>
      </c>
      <c r="D281" s="2">
        <v>1</v>
      </c>
      <c r="E281" s="2">
        <v>1.651</v>
      </c>
      <c r="F281" s="2">
        <v>1</v>
      </c>
    </row>
    <row r="282" spans="1:6" ht="14.25" customHeight="1">
      <c r="A282" s="2">
        <v>27</v>
      </c>
      <c r="B282" s="2">
        <v>281</v>
      </c>
      <c r="C282" s="2">
        <v>2</v>
      </c>
      <c r="D282" s="2">
        <v>1</v>
      </c>
      <c r="E282" s="2">
        <v>0.70499999999999996</v>
      </c>
      <c r="F282" s="2">
        <v>1</v>
      </c>
    </row>
    <row r="283" spans="1:6" ht="14.25" customHeight="1">
      <c r="A283" s="2">
        <v>27</v>
      </c>
      <c r="B283" s="2">
        <v>282</v>
      </c>
      <c r="C283" s="2">
        <v>6</v>
      </c>
      <c r="D283" s="2">
        <v>1</v>
      </c>
      <c r="E283" s="2">
        <v>1.012</v>
      </c>
      <c r="F283" s="2">
        <v>2</v>
      </c>
    </row>
    <row r="284" spans="1:6" ht="14.25" customHeight="1">
      <c r="A284" s="2">
        <v>27</v>
      </c>
      <c r="B284" s="2">
        <v>283</v>
      </c>
      <c r="C284" s="2">
        <v>4</v>
      </c>
      <c r="D284" s="2">
        <v>1</v>
      </c>
      <c r="E284" s="2">
        <v>0.61399999999999999</v>
      </c>
      <c r="F284" s="2">
        <v>1</v>
      </c>
    </row>
    <row r="285" spans="1:6" ht="14.25" customHeight="1">
      <c r="A285" s="2">
        <v>27</v>
      </c>
      <c r="B285" s="2">
        <v>284</v>
      </c>
      <c r="C285" s="2">
        <v>2</v>
      </c>
      <c r="D285" s="2">
        <v>1</v>
      </c>
      <c r="E285" s="2">
        <v>1.0629999999999999</v>
      </c>
      <c r="F285" s="2">
        <v>1</v>
      </c>
    </row>
    <row r="286" spans="1:6" ht="14.25" customHeight="1">
      <c r="A286" s="2">
        <v>27</v>
      </c>
      <c r="B286" s="2">
        <v>285</v>
      </c>
      <c r="C286" s="2">
        <v>1</v>
      </c>
      <c r="D286" s="2">
        <v>1</v>
      </c>
      <c r="E286" s="2">
        <v>1.0569999999999999</v>
      </c>
      <c r="F286" s="2">
        <v>2</v>
      </c>
    </row>
    <row r="287" spans="1:6" ht="14.25" customHeight="1">
      <c r="A287" s="2">
        <v>27</v>
      </c>
      <c r="B287" s="2">
        <v>286</v>
      </c>
      <c r="C287" s="2">
        <v>3</v>
      </c>
      <c r="D287" s="2">
        <v>1</v>
      </c>
      <c r="E287" s="2">
        <v>0.78400000000000003</v>
      </c>
      <c r="F287" s="2">
        <v>1</v>
      </c>
    </row>
    <row r="288" spans="1:6" ht="14.25" customHeight="1">
      <c r="A288" s="2">
        <v>27</v>
      </c>
      <c r="B288" s="2">
        <v>287</v>
      </c>
      <c r="C288" s="2">
        <v>7</v>
      </c>
      <c r="D288" s="2">
        <v>1</v>
      </c>
      <c r="E288" s="2">
        <v>0.58699999999999997</v>
      </c>
      <c r="F288" s="2">
        <v>1</v>
      </c>
    </row>
    <row r="289" spans="1:6" ht="14.25" customHeight="1">
      <c r="A289" s="2">
        <v>27</v>
      </c>
      <c r="B289" s="2">
        <v>288</v>
      </c>
      <c r="C289" s="2">
        <v>2</v>
      </c>
      <c r="D289" s="2">
        <v>1</v>
      </c>
      <c r="E289" s="2">
        <v>1.069</v>
      </c>
      <c r="F289" s="2">
        <v>2</v>
      </c>
    </row>
    <row r="290" spans="1:6" ht="14.25" customHeight="1">
      <c r="A290" s="2">
        <v>27</v>
      </c>
      <c r="B290" s="2">
        <v>289</v>
      </c>
      <c r="C290" s="2">
        <v>5</v>
      </c>
      <c r="D290" s="2">
        <v>1</v>
      </c>
      <c r="E290" s="2">
        <v>0.77</v>
      </c>
      <c r="F290" s="2">
        <v>2</v>
      </c>
    </row>
    <row r="291" spans="1:6" ht="14.25" customHeight="1">
      <c r="A291" s="2">
        <v>27</v>
      </c>
      <c r="B291" s="2">
        <v>290</v>
      </c>
      <c r="C291" s="2">
        <v>1</v>
      </c>
      <c r="D291" s="2">
        <v>1</v>
      </c>
      <c r="E291" s="2">
        <v>0.82399999999999995</v>
      </c>
      <c r="F291" s="2">
        <v>2</v>
      </c>
    </row>
    <row r="292" spans="1:6" ht="14.25" customHeight="1">
      <c r="A292" s="2">
        <v>27</v>
      </c>
      <c r="B292" s="2">
        <v>291</v>
      </c>
      <c r="C292" s="2">
        <v>2</v>
      </c>
      <c r="D292" s="2">
        <v>1</v>
      </c>
      <c r="E292" s="2">
        <v>0.48199999999999998</v>
      </c>
      <c r="F292" s="2">
        <v>1</v>
      </c>
    </row>
    <row r="293" spans="1:6" ht="14.25" customHeight="1">
      <c r="A293" s="2">
        <v>27</v>
      </c>
      <c r="B293" s="2">
        <v>292</v>
      </c>
      <c r="C293" s="2">
        <v>7</v>
      </c>
      <c r="D293" s="2">
        <v>1</v>
      </c>
      <c r="E293" s="2">
        <v>0.99</v>
      </c>
      <c r="F293" s="2">
        <v>1</v>
      </c>
    </row>
    <row r="294" spans="1:6" ht="14.25" customHeight="1">
      <c r="A294" s="2">
        <v>27</v>
      </c>
      <c r="B294" s="2">
        <v>293</v>
      </c>
      <c r="C294" s="2">
        <v>6</v>
      </c>
      <c r="D294" s="2">
        <v>1</v>
      </c>
      <c r="E294" s="2">
        <v>0.80100000000000005</v>
      </c>
      <c r="F294" s="2">
        <v>1</v>
      </c>
    </row>
    <row r="295" spans="1:6" ht="14.25" customHeight="1">
      <c r="A295" s="2">
        <v>27</v>
      </c>
      <c r="B295" s="2">
        <v>294</v>
      </c>
      <c r="C295" s="2">
        <v>5</v>
      </c>
      <c r="D295" s="2">
        <v>0</v>
      </c>
      <c r="E295" s="2">
        <v>0.73899999999999999</v>
      </c>
      <c r="F295" s="2">
        <v>1</v>
      </c>
    </row>
    <row r="296" spans="1:6" ht="14.25" customHeight="1">
      <c r="A296" s="2">
        <v>27</v>
      </c>
      <c r="B296" s="2">
        <v>295</v>
      </c>
      <c r="C296" s="2">
        <v>8</v>
      </c>
      <c r="D296" s="2">
        <v>1</v>
      </c>
      <c r="E296" s="2">
        <v>1.0069999999999999</v>
      </c>
      <c r="F296" s="2">
        <v>1</v>
      </c>
    </row>
    <row r="297" spans="1:6" ht="14.25" customHeight="1">
      <c r="A297" s="2">
        <v>27</v>
      </c>
      <c r="B297" s="2">
        <v>296</v>
      </c>
      <c r="C297" s="2">
        <v>7</v>
      </c>
      <c r="D297" s="2">
        <v>1</v>
      </c>
      <c r="E297" s="2">
        <v>0.97399999999999998</v>
      </c>
      <c r="F297" s="2">
        <v>1</v>
      </c>
    </row>
    <row r="298" spans="1:6" ht="14.25" customHeight="1">
      <c r="A298" s="2">
        <v>27</v>
      </c>
      <c r="B298" s="2">
        <v>297</v>
      </c>
      <c r="C298" s="2">
        <v>8</v>
      </c>
      <c r="D298" s="2">
        <v>1</v>
      </c>
      <c r="E298" s="2">
        <v>0.69899999999999995</v>
      </c>
      <c r="F298" s="2">
        <v>1</v>
      </c>
    </row>
    <row r="299" spans="1:6" ht="14.25" customHeight="1">
      <c r="A299" s="2">
        <v>27</v>
      </c>
      <c r="B299" s="2">
        <v>298</v>
      </c>
      <c r="C299" s="2">
        <v>1</v>
      </c>
      <c r="D299" s="2">
        <v>1</v>
      </c>
      <c r="E299" s="2">
        <v>1.2250000000000001</v>
      </c>
      <c r="F299" s="2">
        <v>1</v>
      </c>
    </row>
    <row r="300" spans="1:6" ht="14.25" customHeight="1">
      <c r="A300" s="2">
        <v>27</v>
      </c>
      <c r="B300" s="2">
        <v>299</v>
      </c>
      <c r="C300" s="2">
        <v>6</v>
      </c>
      <c r="D300" s="2">
        <v>1</v>
      </c>
      <c r="E300" s="2">
        <v>1.0469999999999999</v>
      </c>
      <c r="F300" s="2">
        <v>2</v>
      </c>
    </row>
    <row r="301" spans="1:6" ht="14.25" customHeight="1">
      <c r="A301" s="2">
        <v>27</v>
      </c>
      <c r="B301" s="2">
        <v>300</v>
      </c>
      <c r="C301" s="2">
        <v>8</v>
      </c>
      <c r="D301" s="2">
        <v>1</v>
      </c>
      <c r="E301" s="2">
        <v>0.94299999999999995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28</v>
      </c>
      <c r="I1" s="2">
        <v>251</v>
      </c>
      <c r="J1" s="2">
        <v>5</v>
      </c>
      <c r="K1" s="2">
        <v>1</v>
      </c>
      <c r="L1" s="2">
        <v>1.3560000000000001</v>
      </c>
    </row>
    <row r="2" spans="1:22" ht="14.25" customHeight="1">
      <c r="A2" s="2">
        <v>28</v>
      </c>
      <c r="B2" s="2">
        <v>1</v>
      </c>
      <c r="C2" s="2">
        <v>3</v>
      </c>
      <c r="E2" s="2">
        <v>2.0009999999999999</v>
      </c>
      <c r="H2" s="2">
        <v>28</v>
      </c>
      <c r="I2" s="2">
        <v>252</v>
      </c>
      <c r="J2" s="2">
        <v>4</v>
      </c>
      <c r="K2" s="2">
        <v>1</v>
      </c>
      <c r="L2" s="2">
        <v>1.147</v>
      </c>
    </row>
    <row r="3" spans="1:22" ht="14.25" customHeight="1">
      <c r="A3" s="2">
        <v>28</v>
      </c>
      <c r="B3" s="2">
        <v>2</v>
      </c>
      <c r="C3" s="2">
        <v>7</v>
      </c>
      <c r="D3" s="2">
        <v>1</v>
      </c>
      <c r="E3" s="2">
        <v>1.012</v>
      </c>
      <c r="F3" s="2">
        <v>1</v>
      </c>
      <c r="H3" s="2">
        <v>28</v>
      </c>
      <c r="I3" s="2">
        <v>253</v>
      </c>
      <c r="J3" s="2">
        <v>3</v>
      </c>
      <c r="K3" s="2">
        <v>1</v>
      </c>
      <c r="L3" s="2">
        <v>0.86799999999999999</v>
      </c>
    </row>
    <row r="4" spans="1:22" ht="14.25" customHeight="1">
      <c r="A4" s="2">
        <v>28</v>
      </c>
      <c r="B4" s="2">
        <v>3</v>
      </c>
      <c r="C4" s="2">
        <v>3</v>
      </c>
      <c r="D4" s="2">
        <v>1</v>
      </c>
      <c r="E4" s="2">
        <v>0.76600000000000001</v>
      </c>
      <c r="F4" s="2">
        <v>2</v>
      </c>
      <c r="H4" s="2">
        <v>28</v>
      </c>
      <c r="I4" s="2">
        <v>254</v>
      </c>
      <c r="J4" s="2">
        <v>6</v>
      </c>
      <c r="K4" s="2">
        <v>1</v>
      </c>
      <c r="L4" s="2">
        <v>0.85199999999999998</v>
      </c>
      <c r="O4" s="2" t="s">
        <v>6</v>
      </c>
    </row>
    <row r="5" spans="1:22" ht="14.25" customHeight="1">
      <c r="A5" s="2">
        <v>28</v>
      </c>
      <c r="B5" s="2">
        <v>4</v>
      </c>
      <c r="C5" s="2">
        <v>1</v>
      </c>
      <c r="D5" s="2">
        <v>1</v>
      </c>
      <c r="E5" s="2">
        <v>1.0649999999999999</v>
      </c>
      <c r="F5" s="2">
        <v>2</v>
      </c>
      <c r="H5" s="2">
        <v>28</v>
      </c>
      <c r="I5" s="2">
        <v>255</v>
      </c>
      <c r="J5" s="2">
        <v>2</v>
      </c>
      <c r="K5" s="2">
        <v>1</v>
      </c>
      <c r="L5" s="2">
        <v>0.78800000000000003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28</v>
      </c>
      <c r="B6" s="2">
        <v>5</v>
      </c>
      <c r="C6" s="2">
        <v>7</v>
      </c>
      <c r="D6" s="2">
        <v>1</v>
      </c>
      <c r="E6" s="2">
        <v>0.625</v>
      </c>
      <c r="F6" s="2">
        <v>1</v>
      </c>
      <c r="H6" s="2">
        <v>28</v>
      </c>
      <c r="I6" s="2">
        <v>256</v>
      </c>
      <c r="J6" s="2">
        <v>5</v>
      </c>
      <c r="K6" s="2">
        <v>1</v>
      </c>
      <c r="L6" s="2">
        <v>0.875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28</v>
      </c>
      <c r="B7" s="2">
        <v>6</v>
      </c>
      <c r="C7" s="2">
        <v>1</v>
      </c>
      <c r="D7" s="2">
        <v>1</v>
      </c>
      <c r="E7" s="2">
        <v>0.435</v>
      </c>
      <c r="F7" s="2">
        <v>2</v>
      </c>
      <c r="H7" s="2">
        <v>28</v>
      </c>
      <c r="I7" s="2">
        <v>257</v>
      </c>
      <c r="J7" s="2">
        <v>7</v>
      </c>
      <c r="K7" s="2">
        <v>1</v>
      </c>
      <c r="L7" s="2">
        <v>0.85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28</v>
      </c>
      <c r="B8" s="2">
        <v>7</v>
      </c>
      <c r="C8" s="2">
        <v>8</v>
      </c>
      <c r="D8" s="2">
        <v>1</v>
      </c>
      <c r="E8" s="2">
        <v>0.46</v>
      </c>
      <c r="F8" s="2">
        <v>1</v>
      </c>
      <c r="H8" s="2">
        <v>28</v>
      </c>
      <c r="I8" s="2">
        <v>258</v>
      </c>
      <c r="J8" s="2">
        <v>3</v>
      </c>
      <c r="K8" s="2">
        <v>0</v>
      </c>
      <c r="L8" s="2">
        <v>1.907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28</v>
      </c>
      <c r="B9" s="2">
        <v>8</v>
      </c>
      <c r="C9" s="2">
        <v>6</v>
      </c>
      <c r="D9" s="2">
        <v>1</v>
      </c>
      <c r="E9" s="2">
        <v>0.92200000000000004</v>
      </c>
      <c r="F9" s="2">
        <v>2</v>
      </c>
      <c r="H9" s="2">
        <v>28</v>
      </c>
      <c r="I9" s="2">
        <v>259</v>
      </c>
      <c r="J9" s="2">
        <v>1</v>
      </c>
      <c r="K9" s="2">
        <v>1</v>
      </c>
      <c r="L9" s="2">
        <v>0.60099999999999998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28</v>
      </c>
      <c r="B10" s="2">
        <v>9</v>
      </c>
      <c r="C10" s="2">
        <v>4</v>
      </c>
      <c r="D10" s="2">
        <v>1</v>
      </c>
      <c r="E10" s="2">
        <v>1.3120000000000001</v>
      </c>
      <c r="F10" s="2">
        <v>1</v>
      </c>
      <c r="H10" s="2">
        <v>28</v>
      </c>
      <c r="I10" s="2">
        <v>260</v>
      </c>
      <c r="J10" s="2">
        <v>6</v>
      </c>
      <c r="K10" s="2">
        <v>1</v>
      </c>
      <c r="L10" s="2">
        <v>0.75600000000000001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28</v>
      </c>
      <c r="B11" s="2">
        <v>10</v>
      </c>
      <c r="C11" s="2">
        <v>1</v>
      </c>
      <c r="D11" s="2">
        <v>1</v>
      </c>
      <c r="E11" s="2">
        <v>0.58899999999999997</v>
      </c>
      <c r="F11" s="2">
        <v>2</v>
      </c>
      <c r="H11" s="2">
        <v>28</v>
      </c>
      <c r="I11" s="2">
        <v>261</v>
      </c>
      <c r="J11" s="2">
        <v>5</v>
      </c>
      <c r="K11" s="2">
        <v>1</v>
      </c>
      <c r="L11" s="2">
        <v>0.94799999999999995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28</v>
      </c>
      <c r="B12" s="2">
        <v>11</v>
      </c>
      <c r="C12" s="2">
        <v>4</v>
      </c>
      <c r="D12" s="2">
        <v>1</v>
      </c>
      <c r="E12" s="2">
        <v>1.1399999999999999</v>
      </c>
      <c r="F12" s="2">
        <v>1</v>
      </c>
      <c r="H12" s="2">
        <v>28</v>
      </c>
      <c r="I12" s="2">
        <v>262</v>
      </c>
      <c r="J12" s="2">
        <v>2</v>
      </c>
      <c r="K12" s="2">
        <v>1</v>
      </c>
      <c r="L12" s="2">
        <v>1.6080000000000001</v>
      </c>
    </row>
    <row r="13" spans="1:22" ht="14.25" customHeight="1">
      <c r="A13" s="2">
        <v>28</v>
      </c>
      <c r="B13" s="2">
        <v>12</v>
      </c>
      <c r="C13" s="2">
        <v>6</v>
      </c>
      <c r="D13" s="2">
        <v>1</v>
      </c>
      <c r="E13" s="2">
        <v>0.63400000000000001</v>
      </c>
      <c r="F13" s="2">
        <v>2</v>
      </c>
      <c r="H13" s="2">
        <v>28</v>
      </c>
      <c r="I13" s="2">
        <v>263</v>
      </c>
      <c r="J13" s="2">
        <v>4</v>
      </c>
      <c r="K13" s="2">
        <v>1</v>
      </c>
      <c r="L13" s="2">
        <v>0.73399999999999999</v>
      </c>
    </row>
    <row r="14" spans="1:22" ht="14.25" customHeight="1">
      <c r="A14" s="2">
        <v>28</v>
      </c>
      <c r="B14" s="2">
        <v>13</v>
      </c>
      <c r="C14" s="2">
        <v>4</v>
      </c>
      <c r="D14" s="2">
        <v>1</v>
      </c>
      <c r="E14" s="2">
        <v>0.61</v>
      </c>
      <c r="F14" s="2">
        <v>1</v>
      </c>
      <c r="H14" s="2">
        <v>28</v>
      </c>
      <c r="I14" s="2">
        <v>264</v>
      </c>
      <c r="J14" s="2">
        <v>1</v>
      </c>
      <c r="K14" s="2">
        <v>1</v>
      </c>
      <c r="L14" s="2">
        <v>1.1040000000000001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28</v>
      </c>
      <c r="B15" s="2">
        <v>14</v>
      </c>
      <c r="C15" s="2">
        <v>7</v>
      </c>
      <c r="D15" s="2">
        <v>1</v>
      </c>
      <c r="E15" s="2">
        <v>1.2350000000000001</v>
      </c>
      <c r="F15" s="2">
        <v>1</v>
      </c>
      <c r="H15" s="2">
        <v>28</v>
      </c>
      <c r="I15" s="2">
        <v>265</v>
      </c>
      <c r="J15" s="2">
        <v>6</v>
      </c>
      <c r="K15" s="2">
        <v>1</v>
      </c>
      <c r="L15" s="2">
        <v>1.585</v>
      </c>
      <c r="O15" s="2" t="s">
        <v>9</v>
      </c>
    </row>
    <row r="16" spans="1:22" ht="14.25" customHeight="1">
      <c r="A16" s="2">
        <v>28</v>
      </c>
      <c r="B16" s="2">
        <v>15</v>
      </c>
      <c r="C16" s="2">
        <v>5</v>
      </c>
      <c r="D16" s="2">
        <v>1</v>
      </c>
      <c r="E16" s="2">
        <v>1.2929999999999999</v>
      </c>
      <c r="F16" s="2">
        <v>2</v>
      </c>
      <c r="H16" s="2">
        <v>28</v>
      </c>
      <c r="I16" s="2">
        <v>266</v>
      </c>
      <c r="J16" s="2">
        <v>1</v>
      </c>
      <c r="K16" s="2">
        <v>1</v>
      </c>
      <c r="L16" s="2">
        <v>1.109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28</v>
      </c>
      <c r="B17" s="2">
        <v>16</v>
      </c>
      <c r="C17" s="2">
        <v>2</v>
      </c>
      <c r="D17" s="2">
        <v>0</v>
      </c>
      <c r="E17" s="2">
        <v>1.0029999999999999</v>
      </c>
      <c r="F17" s="2">
        <v>2</v>
      </c>
      <c r="H17" s="2">
        <v>28</v>
      </c>
      <c r="I17" s="2">
        <v>267</v>
      </c>
      <c r="J17" s="2">
        <v>4</v>
      </c>
      <c r="K17" s="2">
        <v>1</v>
      </c>
      <c r="L17" s="2">
        <v>0.89900000000000002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0.42249999999999932</v>
      </c>
      <c r="R17" s="2">
        <f t="shared" ref="R17:R22" si="3">(R6*COUNTIF($J$1:$J$100,R$16) - COUNTIFS($J$1:$J$100,R$16,$K$1:$K$100,"=0"))^2</f>
        <v>9.0000000000000024E-2</v>
      </c>
      <c r="S17" s="2">
        <f t="shared" ref="S17:T17" si="4">(S6*COUNTIF($J$1:$J$100,S$16) - COUNTIFS($J$1:$J$100,S$16,$K$1:$K$100,"=1"))^2</f>
        <v>0.12250000000000037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9.0000000000000024E-2</v>
      </c>
    </row>
    <row r="18" spans="1:22" ht="14.25" customHeight="1">
      <c r="A18" s="2">
        <v>28</v>
      </c>
      <c r="B18" s="2">
        <v>17</v>
      </c>
      <c r="C18" s="2">
        <v>6</v>
      </c>
      <c r="D18" s="2">
        <v>1</v>
      </c>
      <c r="E18" s="2">
        <v>0.81899999999999995</v>
      </c>
      <c r="F18" s="2">
        <v>2</v>
      </c>
      <c r="H18" s="2">
        <v>28</v>
      </c>
      <c r="I18" s="2">
        <v>268</v>
      </c>
      <c r="J18" s="2">
        <v>6</v>
      </c>
      <c r="K18" s="2">
        <v>1</v>
      </c>
      <c r="L18" s="2">
        <v>0.79300000000000004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31.922500000000003</v>
      </c>
      <c r="R18" s="2">
        <f t="shared" si="3"/>
        <v>9.0000000000000024E-2</v>
      </c>
      <c r="S18" s="2">
        <f t="shared" ref="S18:T18" si="6">(S7*COUNTIF($J$1:$J$100,S$16) - COUNTIFS($J$1:$J$100,S$16,$K$1:$K$100,"=1"))^2</f>
        <v>0.12250000000000037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9.0000000000000024E-2</v>
      </c>
    </row>
    <row r="19" spans="1:22" ht="14.25" customHeight="1">
      <c r="A19" s="2">
        <v>28</v>
      </c>
      <c r="B19" s="2">
        <v>18</v>
      </c>
      <c r="C19" s="2">
        <v>8</v>
      </c>
      <c r="D19" s="2">
        <v>1</v>
      </c>
      <c r="E19" s="2">
        <v>0.78100000000000003</v>
      </c>
      <c r="F19" s="2">
        <v>1</v>
      </c>
      <c r="H19" s="2">
        <v>28</v>
      </c>
      <c r="I19" s="2">
        <v>269</v>
      </c>
      <c r="J19" s="2">
        <v>1</v>
      </c>
      <c r="K19" s="2">
        <v>1</v>
      </c>
      <c r="L19" s="2">
        <v>1.04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0.42249999999999932</v>
      </c>
      <c r="R19" s="2">
        <f t="shared" si="3"/>
        <v>9.0000000000000024E-2</v>
      </c>
      <c r="S19" s="2">
        <f t="shared" ref="S19:T19" si="8">(S8*COUNTIF($J$1:$J$100,S$16) - COUNTIFS($J$1:$J$100,S$16,$K$1:$K$100,"=1"))^2</f>
        <v>0.12250000000000037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9.0000000000000024E-2</v>
      </c>
    </row>
    <row r="20" spans="1:22" ht="14.25" customHeight="1">
      <c r="A20" s="2">
        <v>28</v>
      </c>
      <c r="B20" s="2">
        <v>19</v>
      </c>
      <c r="C20" s="2">
        <v>2</v>
      </c>
      <c r="D20" s="2">
        <v>0</v>
      </c>
      <c r="E20" s="2">
        <v>0.61599999999999999</v>
      </c>
      <c r="F20" s="2">
        <v>2</v>
      </c>
      <c r="H20" s="2">
        <v>28</v>
      </c>
      <c r="I20" s="2">
        <v>270</v>
      </c>
      <c r="J20" s="2">
        <v>8</v>
      </c>
      <c r="K20" s="2">
        <v>1</v>
      </c>
      <c r="L20" s="2">
        <v>1.613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6.25</v>
      </c>
      <c r="R20" s="2">
        <f t="shared" si="3"/>
        <v>9</v>
      </c>
      <c r="S20" s="2">
        <f t="shared" ref="S20:T20" si="10">(S9*COUNTIF($J$1:$J$100,S$16) - COUNTIFS($J$1:$J$100,S$16,$K$1:$K$100,"=1"))^2</f>
        <v>0.12250000000000037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9.0000000000000024E-2</v>
      </c>
    </row>
    <row r="21" spans="1:22" ht="14.25" customHeight="1">
      <c r="A21" s="2">
        <v>28</v>
      </c>
      <c r="B21" s="2">
        <v>20</v>
      </c>
      <c r="C21" s="2">
        <v>3</v>
      </c>
      <c r="D21" s="2">
        <v>1</v>
      </c>
      <c r="E21" s="2">
        <v>1.401</v>
      </c>
      <c r="F21" s="2">
        <v>2</v>
      </c>
      <c r="H21" s="2">
        <v>28</v>
      </c>
      <c r="I21" s="2">
        <v>271</v>
      </c>
      <c r="J21" s="2">
        <v>5</v>
      </c>
      <c r="K21" s="2">
        <v>1</v>
      </c>
      <c r="L21" s="2">
        <v>0.58199999999999996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0.42249999999999932</v>
      </c>
      <c r="R21" s="2">
        <f t="shared" si="3"/>
        <v>9.0000000000000024E-2</v>
      </c>
      <c r="S21" s="2">
        <f t="shared" ref="S21:T21" si="12">(S10*COUNTIF($J$1:$J$100,S$16) - COUNTIFS($J$1:$J$100,S$16,$K$1:$K$100,"=1"))^2</f>
        <v>12.25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9</v>
      </c>
    </row>
    <row r="22" spans="1:22" ht="14.25" customHeight="1">
      <c r="A22" s="2">
        <v>28</v>
      </c>
      <c r="B22" s="2">
        <v>21</v>
      </c>
      <c r="C22" s="2">
        <v>8</v>
      </c>
      <c r="D22" s="2">
        <v>1</v>
      </c>
      <c r="E22" s="2">
        <v>0.70799999999999996</v>
      </c>
      <c r="F22" s="2">
        <v>1</v>
      </c>
      <c r="H22" s="2">
        <v>28</v>
      </c>
      <c r="I22" s="2">
        <v>272</v>
      </c>
      <c r="J22" s="2">
        <v>8</v>
      </c>
      <c r="K22" s="2">
        <v>1</v>
      </c>
      <c r="L22" s="2">
        <v>1.2330000000000001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6.25</v>
      </c>
      <c r="R22" s="2">
        <f t="shared" si="3"/>
        <v>9</v>
      </c>
      <c r="S22" s="2">
        <f t="shared" ref="S22:T22" si="14">(S11*COUNTIF($J$1:$J$100,S$16) - COUNTIFS($J$1:$J$100,S$16,$K$1:$K$100,"=1"))^2</f>
        <v>12.25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9</v>
      </c>
    </row>
    <row r="23" spans="1:22" ht="14.25" customHeight="1">
      <c r="A23" s="2">
        <v>28</v>
      </c>
      <c r="B23" s="2">
        <v>22</v>
      </c>
      <c r="C23" s="2">
        <v>5</v>
      </c>
      <c r="D23" s="2">
        <v>1</v>
      </c>
      <c r="E23" s="2">
        <v>1.002</v>
      </c>
      <c r="F23" s="2">
        <v>2</v>
      </c>
      <c r="H23" s="2">
        <v>28</v>
      </c>
      <c r="I23" s="2">
        <v>273</v>
      </c>
      <c r="J23" s="2">
        <v>5</v>
      </c>
      <c r="K23" s="2">
        <v>1</v>
      </c>
      <c r="L23" s="2">
        <v>0.98699999999999999</v>
      </c>
    </row>
    <row r="24" spans="1:22" ht="14.25" customHeight="1">
      <c r="A24" s="2">
        <v>28</v>
      </c>
      <c r="B24" s="2">
        <v>23</v>
      </c>
      <c r="C24" s="2">
        <v>8</v>
      </c>
      <c r="D24" s="2">
        <v>1</v>
      </c>
      <c r="E24" s="2">
        <v>0.749</v>
      </c>
      <c r="F24" s="2">
        <v>1</v>
      </c>
      <c r="H24" s="2">
        <v>28</v>
      </c>
      <c r="I24" s="2">
        <v>274</v>
      </c>
      <c r="J24" s="2">
        <v>7</v>
      </c>
      <c r="K24" s="2">
        <v>1</v>
      </c>
      <c r="L24" s="2">
        <v>1.0740000000000001</v>
      </c>
    </row>
    <row r="25" spans="1:22" ht="14.25" customHeight="1">
      <c r="A25" s="2">
        <v>28</v>
      </c>
      <c r="B25" s="2">
        <v>24</v>
      </c>
      <c r="C25" s="2">
        <v>5</v>
      </c>
      <c r="D25" s="2">
        <v>1</v>
      </c>
      <c r="E25" s="2">
        <v>0.73</v>
      </c>
      <c r="F25" s="2">
        <v>2</v>
      </c>
      <c r="H25" s="2">
        <v>28</v>
      </c>
      <c r="I25" s="2">
        <v>275</v>
      </c>
      <c r="J25" s="2">
        <v>3</v>
      </c>
      <c r="K25" s="2">
        <v>1</v>
      </c>
      <c r="L25" s="2">
        <v>1.014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28</v>
      </c>
      <c r="B26" s="2">
        <v>25</v>
      </c>
      <c r="C26" s="2">
        <v>2</v>
      </c>
      <c r="D26" s="2">
        <v>0</v>
      </c>
      <c r="E26" s="2">
        <v>0.75800000000000001</v>
      </c>
      <c r="F26" s="2">
        <v>2</v>
      </c>
      <c r="H26" s="2">
        <v>28</v>
      </c>
      <c r="I26" s="2">
        <v>276</v>
      </c>
      <c r="J26" s="2">
        <v>4</v>
      </c>
      <c r="K26" s="2">
        <v>1</v>
      </c>
      <c r="L26" s="2">
        <v>0.72499999999999998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49</v>
      </c>
      <c r="R26" s="2">
        <f t="shared" si="16"/>
        <v>36</v>
      </c>
      <c r="S26" s="2">
        <f t="shared" si="16"/>
        <v>49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28</v>
      </c>
      <c r="B27" s="2">
        <v>26</v>
      </c>
      <c r="C27" s="2">
        <v>8</v>
      </c>
      <c r="D27" s="2">
        <v>1</v>
      </c>
      <c r="E27" s="2">
        <v>0.76300000000000001</v>
      </c>
      <c r="F27" s="2">
        <v>1</v>
      </c>
      <c r="H27" s="2">
        <v>28</v>
      </c>
      <c r="I27" s="2">
        <v>277</v>
      </c>
      <c r="J27" s="2">
        <v>2</v>
      </c>
      <c r="K27" s="2">
        <v>1</v>
      </c>
      <c r="L27" s="2">
        <v>0.75</v>
      </c>
    </row>
    <row r="28" spans="1:22" ht="14.25" customHeight="1">
      <c r="A28" s="2">
        <v>28</v>
      </c>
      <c r="B28" s="2">
        <v>27</v>
      </c>
      <c r="C28" s="2">
        <v>1</v>
      </c>
      <c r="D28" s="2">
        <v>1</v>
      </c>
      <c r="E28" s="2">
        <v>0.79800000000000004</v>
      </c>
      <c r="F28" s="2">
        <v>2</v>
      </c>
      <c r="H28" s="2">
        <v>28</v>
      </c>
      <c r="I28" s="2">
        <v>278</v>
      </c>
      <c r="J28" s="2">
        <v>8</v>
      </c>
      <c r="K28" s="2">
        <v>1</v>
      </c>
      <c r="L28" s="2">
        <v>1.3540000000000001</v>
      </c>
    </row>
    <row r="29" spans="1:22" ht="14.25" customHeight="1">
      <c r="A29" s="2">
        <v>28</v>
      </c>
      <c r="B29" s="2">
        <v>28</v>
      </c>
      <c r="C29" s="2">
        <v>6</v>
      </c>
      <c r="D29" s="2">
        <v>1</v>
      </c>
      <c r="E29" s="2">
        <v>0.68100000000000005</v>
      </c>
      <c r="F29" s="2">
        <v>2</v>
      </c>
      <c r="H29" s="2">
        <v>28</v>
      </c>
      <c r="I29" s="2">
        <v>279</v>
      </c>
      <c r="J29" s="2">
        <v>5</v>
      </c>
      <c r="K29" s="2">
        <v>1</v>
      </c>
      <c r="L29" s="2">
        <v>0.65200000000000002</v>
      </c>
    </row>
    <row r="30" spans="1:22" ht="14.25" customHeight="1">
      <c r="A30" s="2">
        <v>28</v>
      </c>
      <c r="B30" s="2">
        <v>29</v>
      </c>
      <c r="C30" s="2">
        <v>7</v>
      </c>
      <c r="D30" s="2">
        <v>1</v>
      </c>
      <c r="E30" s="2">
        <v>1.4630000000000001</v>
      </c>
      <c r="F30" s="2">
        <v>1</v>
      </c>
      <c r="H30" s="2">
        <v>28</v>
      </c>
      <c r="I30" s="2">
        <v>280</v>
      </c>
      <c r="J30" s="2">
        <v>3</v>
      </c>
      <c r="K30" s="2">
        <v>1</v>
      </c>
      <c r="L30" s="2">
        <v>0.80400000000000005</v>
      </c>
    </row>
    <row r="31" spans="1:22" ht="14.25" customHeight="1">
      <c r="A31" s="2">
        <v>28</v>
      </c>
      <c r="B31" s="2">
        <v>30</v>
      </c>
      <c r="C31" s="2">
        <v>1</v>
      </c>
      <c r="D31" s="2">
        <v>1</v>
      </c>
      <c r="E31" s="2">
        <v>0.68</v>
      </c>
      <c r="F31" s="2">
        <v>2</v>
      </c>
      <c r="H31" s="2">
        <v>28</v>
      </c>
      <c r="I31" s="2">
        <v>281</v>
      </c>
      <c r="J31" s="2">
        <v>2</v>
      </c>
      <c r="K31" s="2">
        <v>1</v>
      </c>
      <c r="L31" s="2">
        <v>0.78500000000000003</v>
      </c>
      <c r="N31" s="2">
        <v>1</v>
      </c>
      <c r="O31" s="2">
        <f t="shared" ref="O31:O36" si="17">SUM(O17:V17)/(SUM($O$26:$V$26))</f>
        <v>3.4554140127388564E-3</v>
      </c>
    </row>
    <row r="32" spans="1:22" ht="14.25" customHeight="1">
      <c r="A32" s="2">
        <v>28</v>
      </c>
      <c r="B32" s="2">
        <v>31</v>
      </c>
      <c r="C32" s="2">
        <v>7</v>
      </c>
      <c r="D32" s="2">
        <v>1</v>
      </c>
      <c r="E32" s="2">
        <v>0.59199999999999997</v>
      </c>
      <c r="F32" s="2">
        <v>1</v>
      </c>
      <c r="H32" s="2">
        <v>28</v>
      </c>
      <c r="I32" s="2">
        <v>282</v>
      </c>
      <c r="J32" s="2">
        <v>8</v>
      </c>
      <c r="K32" s="2">
        <v>1</v>
      </c>
      <c r="L32" s="2">
        <v>0.85299999999999998</v>
      </c>
      <c r="N32" s="2">
        <v>2</v>
      </c>
      <c r="O32" s="2">
        <f t="shared" si="17"/>
        <v>0.20695859872611469</v>
      </c>
    </row>
    <row r="33" spans="1:15" ht="14.25" customHeight="1">
      <c r="A33" s="2">
        <v>28</v>
      </c>
      <c r="B33" s="2">
        <v>32</v>
      </c>
      <c r="C33" s="2">
        <v>2</v>
      </c>
      <c r="D33" s="2">
        <v>0</v>
      </c>
      <c r="E33" s="2">
        <v>0.66500000000000004</v>
      </c>
      <c r="F33" s="2">
        <v>2</v>
      </c>
      <c r="H33" s="2">
        <v>28</v>
      </c>
      <c r="I33" s="2">
        <v>283</v>
      </c>
      <c r="J33" s="2">
        <v>6</v>
      </c>
      <c r="K33" s="2">
        <v>1</v>
      </c>
      <c r="L33" s="2">
        <v>1.018</v>
      </c>
      <c r="N33" s="2">
        <v>3</v>
      </c>
      <c r="O33" s="2">
        <f t="shared" si="17"/>
        <v>0.20982484076433119</v>
      </c>
    </row>
    <row r="34" spans="1:15" ht="14.25" customHeight="1">
      <c r="A34" s="2">
        <v>28</v>
      </c>
      <c r="B34" s="2">
        <v>33</v>
      </c>
      <c r="C34" s="2">
        <v>3</v>
      </c>
      <c r="D34" s="2">
        <v>0</v>
      </c>
      <c r="E34" s="2">
        <v>0.82499999999999996</v>
      </c>
      <c r="F34" s="2">
        <v>1</v>
      </c>
      <c r="H34" s="2">
        <v>28</v>
      </c>
      <c r="I34" s="2">
        <v>284</v>
      </c>
      <c r="J34" s="2">
        <v>4</v>
      </c>
      <c r="K34" s="2">
        <v>1</v>
      </c>
      <c r="L34" s="2">
        <v>0.77200000000000002</v>
      </c>
      <c r="N34" s="2">
        <v>4</v>
      </c>
      <c r="O34" s="2">
        <f t="shared" si="17"/>
        <v>0.10714171974522296</v>
      </c>
    </row>
    <row r="35" spans="1:15" ht="14.25" customHeight="1">
      <c r="A35" s="2">
        <v>28</v>
      </c>
      <c r="B35" s="2">
        <v>34</v>
      </c>
      <c r="C35" s="2">
        <v>2</v>
      </c>
      <c r="D35" s="2">
        <v>0</v>
      </c>
      <c r="E35" s="2">
        <v>0.68200000000000005</v>
      </c>
      <c r="F35" s="2">
        <v>2</v>
      </c>
      <c r="H35" s="2">
        <v>28</v>
      </c>
      <c r="I35" s="2">
        <v>285</v>
      </c>
      <c r="J35" s="2">
        <v>7</v>
      </c>
      <c r="K35" s="2">
        <v>1</v>
      </c>
      <c r="L35" s="2">
        <v>1.2270000000000001</v>
      </c>
      <c r="N35" s="2">
        <v>5</v>
      </c>
      <c r="O35" s="2">
        <f t="shared" si="17"/>
        <v>0.12720541401273883</v>
      </c>
    </row>
    <row r="36" spans="1:15" ht="14.25" customHeight="1">
      <c r="A36" s="2">
        <v>28</v>
      </c>
      <c r="B36" s="2">
        <v>35</v>
      </c>
      <c r="C36" s="2">
        <v>5</v>
      </c>
      <c r="D36" s="2">
        <v>1</v>
      </c>
      <c r="E36" s="2">
        <v>0.83299999999999996</v>
      </c>
      <c r="F36" s="2">
        <v>2</v>
      </c>
      <c r="H36" s="2">
        <v>28</v>
      </c>
      <c r="I36" s="2">
        <v>286</v>
      </c>
      <c r="J36" s="2">
        <v>8</v>
      </c>
      <c r="K36" s="2">
        <v>1</v>
      </c>
      <c r="L36" s="2">
        <v>0.81299999999999994</v>
      </c>
      <c r="N36" s="2">
        <v>6</v>
      </c>
      <c r="O36" s="2">
        <f t="shared" si="17"/>
        <v>0.23089171974522293</v>
      </c>
    </row>
    <row r="37" spans="1:15" ht="14.25" customHeight="1">
      <c r="A37" s="2">
        <v>28</v>
      </c>
      <c r="B37" s="2">
        <v>36</v>
      </c>
      <c r="C37" s="2">
        <v>3</v>
      </c>
      <c r="D37" s="2">
        <v>0</v>
      </c>
      <c r="E37" s="2">
        <v>0.70699999999999996</v>
      </c>
      <c r="F37" s="2">
        <v>1</v>
      </c>
      <c r="H37" s="2">
        <v>28</v>
      </c>
      <c r="I37" s="2">
        <v>287</v>
      </c>
      <c r="J37" s="2">
        <v>6</v>
      </c>
      <c r="K37" s="2">
        <v>1</v>
      </c>
      <c r="L37" s="2">
        <v>0.75</v>
      </c>
    </row>
    <row r="38" spans="1:15" ht="14.25" customHeight="1">
      <c r="A38" s="2">
        <v>28</v>
      </c>
      <c r="B38" s="2">
        <v>37</v>
      </c>
      <c r="C38" s="2">
        <v>1</v>
      </c>
      <c r="D38" s="2">
        <v>1</v>
      </c>
      <c r="E38" s="2">
        <v>0.74299999999999999</v>
      </c>
      <c r="F38" s="2">
        <v>2</v>
      </c>
      <c r="H38" s="2">
        <v>28</v>
      </c>
      <c r="I38" s="2">
        <v>288</v>
      </c>
      <c r="J38" s="2">
        <v>3</v>
      </c>
      <c r="K38" s="2">
        <v>1</v>
      </c>
      <c r="L38" s="2">
        <v>1.0920000000000001</v>
      </c>
    </row>
    <row r="39" spans="1:15" ht="14.25" customHeight="1">
      <c r="A39" s="2">
        <v>28</v>
      </c>
      <c r="B39" s="2">
        <v>38</v>
      </c>
      <c r="C39" s="2">
        <v>8</v>
      </c>
      <c r="D39" s="2">
        <v>1</v>
      </c>
      <c r="E39" s="2">
        <v>0.72399999999999998</v>
      </c>
      <c r="F39" s="2">
        <v>1</v>
      </c>
      <c r="H39" s="2">
        <v>28</v>
      </c>
      <c r="I39" s="2">
        <v>289</v>
      </c>
      <c r="J39" s="2">
        <v>8</v>
      </c>
      <c r="K39" s="2">
        <v>1</v>
      </c>
      <c r="L39" s="2">
        <v>0.89</v>
      </c>
    </row>
    <row r="40" spans="1:15" ht="14.25" customHeight="1">
      <c r="A40" s="2">
        <v>28</v>
      </c>
      <c r="B40" s="2">
        <v>39</v>
      </c>
      <c r="C40" s="2">
        <v>4</v>
      </c>
      <c r="D40" s="2">
        <v>1</v>
      </c>
      <c r="E40" s="2">
        <v>0.875</v>
      </c>
      <c r="F40" s="2">
        <v>1</v>
      </c>
      <c r="H40" s="2">
        <v>28</v>
      </c>
      <c r="I40" s="2">
        <v>290</v>
      </c>
      <c r="J40" s="2">
        <v>1</v>
      </c>
      <c r="K40" s="2">
        <v>1</v>
      </c>
      <c r="L40" s="2">
        <v>1.302</v>
      </c>
    </row>
    <row r="41" spans="1:15" ht="14.25" customHeight="1">
      <c r="A41" s="2">
        <v>28</v>
      </c>
      <c r="B41" s="2">
        <v>40</v>
      </c>
      <c r="C41" s="2">
        <v>6</v>
      </c>
      <c r="D41" s="2">
        <v>1</v>
      </c>
      <c r="E41" s="2">
        <v>0.72099999999999997</v>
      </c>
      <c r="F41" s="2">
        <v>2</v>
      </c>
      <c r="H41" s="2">
        <v>28</v>
      </c>
      <c r="I41" s="2">
        <v>291</v>
      </c>
      <c r="J41" s="2">
        <v>3</v>
      </c>
      <c r="K41" s="2">
        <v>1</v>
      </c>
      <c r="L41" s="2">
        <v>1.603</v>
      </c>
    </row>
    <row r="42" spans="1:15" ht="14.25" customHeight="1">
      <c r="A42" s="2">
        <v>28</v>
      </c>
      <c r="B42" s="2">
        <v>41</v>
      </c>
      <c r="C42" s="2">
        <v>3</v>
      </c>
      <c r="D42" s="2">
        <v>0</v>
      </c>
      <c r="E42" s="2">
        <v>0.63700000000000001</v>
      </c>
      <c r="F42" s="2">
        <v>1</v>
      </c>
      <c r="H42" s="2">
        <v>28</v>
      </c>
      <c r="I42" s="2">
        <v>292</v>
      </c>
      <c r="J42" s="2">
        <v>7</v>
      </c>
      <c r="K42" s="2">
        <v>1</v>
      </c>
      <c r="L42" s="2">
        <v>1.1739999999999999</v>
      </c>
    </row>
    <row r="43" spans="1:15" ht="14.25" customHeight="1">
      <c r="A43" s="2">
        <v>28</v>
      </c>
      <c r="B43" s="2">
        <v>42</v>
      </c>
      <c r="C43" s="2">
        <v>4</v>
      </c>
      <c r="D43" s="2">
        <v>1</v>
      </c>
      <c r="E43" s="2">
        <v>1.671</v>
      </c>
      <c r="F43" s="2">
        <v>1</v>
      </c>
      <c r="H43" s="2">
        <v>28</v>
      </c>
      <c r="I43" s="2">
        <v>293</v>
      </c>
      <c r="J43" s="2">
        <v>5</v>
      </c>
      <c r="K43" s="2">
        <v>1</v>
      </c>
      <c r="L43" s="2">
        <v>0.91</v>
      </c>
    </row>
    <row r="44" spans="1:15" ht="14.25" customHeight="1">
      <c r="A44" s="2">
        <v>28</v>
      </c>
      <c r="B44" s="2">
        <v>43</v>
      </c>
      <c r="C44" s="2">
        <v>2</v>
      </c>
      <c r="D44" s="2">
        <v>0</v>
      </c>
      <c r="E44" s="2">
        <v>0.81399999999999995</v>
      </c>
      <c r="F44" s="2">
        <v>2</v>
      </c>
      <c r="H44" s="2">
        <v>28</v>
      </c>
      <c r="I44" s="2">
        <v>294</v>
      </c>
      <c r="J44" s="2">
        <v>2</v>
      </c>
      <c r="K44" s="2">
        <v>1</v>
      </c>
      <c r="L44" s="2">
        <v>0.96399999999999997</v>
      </c>
    </row>
    <row r="45" spans="1:15" ht="14.25" customHeight="1">
      <c r="A45" s="2">
        <v>28</v>
      </c>
      <c r="B45" s="2">
        <v>44</v>
      </c>
      <c r="C45" s="2">
        <v>6</v>
      </c>
      <c r="D45" s="2">
        <v>1</v>
      </c>
      <c r="E45" s="2">
        <v>0.58199999999999996</v>
      </c>
      <c r="F45" s="2">
        <v>2</v>
      </c>
      <c r="H45" s="2">
        <v>28</v>
      </c>
      <c r="I45" s="2">
        <v>295</v>
      </c>
      <c r="J45" s="2">
        <v>3</v>
      </c>
      <c r="K45" s="2">
        <v>1</v>
      </c>
      <c r="L45" s="2">
        <v>0.99099999999999999</v>
      </c>
    </row>
    <row r="46" spans="1:15" ht="14.25" customHeight="1">
      <c r="A46" s="2">
        <v>28</v>
      </c>
      <c r="B46" s="2">
        <v>45</v>
      </c>
      <c r="C46" s="2">
        <v>5</v>
      </c>
      <c r="D46" s="2">
        <v>1</v>
      </c>
      <c r="E46" s="2">
        <v>1.1379999999999999</v>
      </c>
      <c r="F46" s="2">
        <v>2</v>
      </c>
      <c r="H46" s="2">
        <v>28</v>
      </c>
      <c r="I46" s="2">
        <v>296</v>
      </c>
      <c r="J46" s="2">
        <v>7</v>
      </c>
      <c r="K46" s="2">
        <v>1</v>
      </c>
      <c r="L46" s="2">
        <v>1.712</v>
      </c>
    </row>
    <row r="47" spans="1:15" ht="14.25" customHeight="1">
      <c r="A47" s="2">
        <v>28</v>
      </c>
      <c r="B47" s="2">
        <v>46</v>
      </c>
      <c r="C47" s="2">
        <v>4</v>
      </c>
      <c r="D47" s="2">
        <v>1</v>
      </c>
      <c r="E47" s="2">
        <v>0.75900000000000001</v>
      </c>
      <c r="F47" s="2">
        <v>1</v>
      </c>
      <c r="H47" s="2">
        <v>28</v>
      </c>
      <c r="I47" s="2">
        <v>297</v>
      </c>
      <c r="J47" s="2">
        <v>4</v>
      </c>
      <c r="K47" s="2">
        <v>1</v>
      </c>
      <c r="L47" s="2">
        <v>0.96199999999999997</v>
      </c>
    </row>
    <row r="48" spans="1:15" ht="14.25" customHeight="1">
      <c r="A48" s="2">
        <v>28</v>
      </c>
      <c r="B48" s="2">
        <v>47</v>
      </c>
      <c r="C48" s="2">
        <v>7</v>
      </c>
      <c r="D48" s="2">
        <v>1</v>
      </c>
      <c r="E48" s="2">
        <v>1.083</v>
      </c>
      <c r="F48" s="2">
        <v>1</v>
      </c>
      <c r="H48" s="2">
        <v>28</v>
      </c>
      <c r="I48" s="2">
        <v>298</v>
      </c>
      <c r="J48" s="2">
        <v>2</v>
      </c>
      <c r="K48" s="2">
        <v>1</v>
      </c>
      <c r="L48" s="2">
        <v>1.4610000000000001</v>
      </c>
    </row>
    <row r="49" spans="1:12" ht="14.25" customHeight="1">
      <c r="A49" s="2">
        <v>28</v>
      </c>
      <c r="B49" s="2">
        <v>48</v>
      </c>
      <c r="C49" s="2">
        <v>5</v>
      </c>
      <c r="D49" s="2">
        <v>1</v>
      </c>
      <c r="E49" s="2">
        <v>0.92400000000000004</v>
      </c>
      <c r="F49" s="2">
        <v>2</v>
      </c>
      <c r="H49" s="2">
        <v>28</v>
      </c>
      <c r="I49" s="2">
        <v>299</v>
      </c>
      <c r="J49" s="2">
        <v>7</v>
      </c>
      <c r="K49" s="2">
        <v>1</v>
      </c>
      <c r="L49" s="2">
        <v>0.91700000000000004</v>
      </c>
    </row>
    <row r="50" spans="1:12" ht="14.25" customHeight="1">
      <c r="A50" s="2">
        <v>28</v>
      </c>
      <c r="B50" s="2">
        <v>49</v>
      </c>
      <c r="C50" s="2">
        <v>3</v>
      </c>
      <c r="D50" s="2">
        <v>0</v>
      </c>
      <c r="E50" s="2">
        <v>0.76800000000000002</v>
      </c>
      <c r="F50" s="2">
        <v>1</v>
      </c>
      <c r="H50" s="2">
        <v>28</v>
      </c>
      <c r="I50" s="2">
        <v>300</v>
      </c>
      <c r="J50" s="2">
        <v>1</v>
      </c>
      <c r="K50" s="2">
        <v>1</v>
      </c>
      <c r="L50" s="2">
        <v>0.63600000000000001</v>
      </c>
    </row>
    <row r="51" spans="1:12" ht="14.25" customHeight="1">
      <c r="A51" s="2">
        <v>28</v>
      </c>
      <c r="B51" s="2">
        <v>50</v>
      </c>
      <c r="C51" s="2">
        <v>5</v>
      </c>
      <c r="D51" s="2">
        <v>1</v>
      </c>
      <c r="E51" s="2">
        <v>0.875</v>
      </c>
      <c r="F51" s="2">
        <v>2</v>
      </c>
    </row>
    <row r="52" spans="1:12" ht="14.25" customHeight="1">
      <c r="A52" s="2">
        <v>28</v>
      </c>
      <c r="B52" s="2">
        <v>51</v>
      </c>
      <c r="C52" s="2">
        <v>5</v>
      </c>
      <c r="D52" s="2">
        <v>1</v>
      </c>
      <c r="E52" s="2">
        <v>1.744</v>
      </c>
      <c r="F52" s="2">
        <v>2</v>
      </c>
    </row>
    <row r="53" spans="1:12" ht="14.25" customHeight="1">
      <c r="A53" s="2">
        <v>28</v>
      </c>
      <c r="B53" s="2">
        <v>52</v>
      </c>
      <c r="C53" s="2">
        <v>8</v>
      </c>
      <c r="D53" s="2">
        <v>1</v>
      </c>
      <c r="E53" s="2">
        <v>0.96299999999999997</v>
      </c>
      <c r="F53" s="2">
        <v>1</v>
      </c>
    </row>
    <row r="54" spans="1:12" ht="14.25" customHeight="1">
      <c r="A54" s="2">
        <v>28</v>
      </c>
      <c r="B54" s="2">
        <v>53</v>
      </c>
      <c r="C54" s="2">
        <v>6</v>
      </c>
      <c r="D54" s="2">
        <v>0</v>
      </c>
      <c r="E54" s="2">
        <v>1.0069999999999999</v>
      </c>
      <c r="F54" s="2">
        <v>1</v>
      </c>
    </row>
    <row r="55" spans="1:12" ht="14.25" customHeight="1">
      <c r="A55" s="2">
        <v>28</v>
      </c>
      <c r="B55" s="2">
        <v>54</v>
      </c>
      <c r="C55" s="2">
        <v>2</v>
      </c>
      <c r="D55" s="2">
        <v>1</v>
      </c>
      <c r="E55" s="2">
        <v>0.65800000000000003</v>
      </c>
      <c r="F55" s="2">
        <v>2</v>
      </c>
    </row>
    <row r="56" spans="1:12" ht="14.25" customHeight="1">
      <c r="A56" s="2">
        <v>28</v>
      </c>
      <c r="B56" s="2">
        <v>55</v>
      </c>
      <c r="C56" s="2">
        <v>7</v>
      </c>
      <c r="D56" s="2">
        <v>1</v>
      </c>
      <c r="E56" s="2">
        <v>0.64900000000000002</v>
      </c>
      <c r="F56" s="2">
        <v>1</v>
      </c>
    </row>
    <row r="57" spans="1:12" ht="14.25" customHeight="1">
      <c r="A57" s="2">
        <v>28</v>
      </c>
      <c r="B57" s="2">
        <v>56</v>
      </c>
      <c r="C57" s="2">
        <v>5</v>
      </c>
      <c r="D57" s="2">
        <v>1</v>
      </c>
      <c r="E57" s="2">
        <v>0.71399999999999997</v>
      </c>
      <c r="F57" s="2">
        <v>2</v>
      </c>
    </row>
    <row r="58" spans="1:12" ht="14.25" customHeight="1">
      <c r="A58" s="2">
        <v>28</v>
      </c>
      <c r="B58" s="2">
        <v>57</v>
      </c>
      <c r="C58" s="2">
        <v>3</v>
      </c>
      <c r="D58" s="2">
        <v>1</v>
      </c>
      <c r="E58" s="2">
        <v>0.68700000000000006</v>
      </c>
      <c r="F58" s="2">
        <v>1</v>
      </c>
    </row>
    <row r="59" spans="1:12" ht="14.25" customHeight="1">
      <c r="A59" s="2">
        <v>28</v>
      </c>
      <c r="B59" s="2">
        <v>58</v>
      </c>
      <c r="C59" s="2">
        <v>8</v>
      </c>
      <c r="D59" s="2">
        <v>1</v>
      </c>
      <c r="E59" s="2">
        <v>0.60699999999999998</v>
      </c>
      <c r="F59" s="2">
        <v>2</v>
      </c>
    </row>
    <row r="60" spans="1:12" ht="14.25" customHeight="1">
      <c r="A60" s="2">
        <v>28</v>
      </c>
      <c r="B60" s="2">
        <v>59</v>
      </c>
      <c r="C60" s="2">
        <v>2</v>
      </c>
      <c r="D60" s="2">
        <v>1</v>
      </c>
      <c r="E60" s="2">
        <v>0.68799999999999994</v>
      </c>
      <c r="F60" s="2">
        <v>1</v>
      </c>
    </row>
    <row r="61" spans="1:12" ht="14.25" customHeight="1">
      <c r="A61" s="2">
        <v>28</v>
      </c>
      <c r="B61" s="2">
        <v>60</v>
      </c>
      <c r="C61" s="2">
        <v>4</v>
      </c>
      <c r="D61" s="2">
        <v>1</v>
      </c>
      <c r="E61" s="2">
        <v>0.878</v>
      </c>
      <c r="F61" s="2">
        <v>2</v>
      </c>
    </row>
    <row r="62" spans="1:12" ht="14.25" customHeight="1">
      <c r="A62" s="2">
        <v>28</v>
      </c>
      <c r="B62" s="2">
        <v>61</v>
      </c>
      <c r="C62" s="2">
        <v>8</v>
      </c>
      <c r="D62" s="2">
        <v>1</v>
      </c>
      <c r="E62" s="2">
        <v>0.79700000000000004</v>
      </c>
      <c r="F62" s="2">
        <v>1</v>
      </c>
    </row>
    <row r="63" spans="1:12" ht="14.25" customHeight="1">
      <c r="A63" s="2">
        <v>28</v>
      </c>
      <c r="B63" s="2">
        <v>62</v>
      </c>
      <c r="C63" s="2">
        <v>4</v>
      </c>
      <c r="D63" s="2">
        <v>1</v>
      </c>
      <c r="E63" s="2">
        <v>0.60099999999999998</v>
      </c>
      <c r="F63" s="2">
        <v>2</v>
      </c>
    </row>
    <row r="64" spans="1:12" ht="14.25" customHeight="1">
      <c r="A64" s="2">
        <v>28</v>
      </c>
      <c r="B64" s="2">
        <v>63</v>
      </c>
      <c r="C64" s="2">
        <v>7</v>
      </c>
      <c r="D64" s="2">
        <v>1</v>
      </c>
      <c r="E64" s="2">
        <v>0.60099999999999998</v>
      </c>
      <c r="F64" s="2">
        <v>1</v>
      </c>
    </row>
    <row r="65" spans="1:6" ht="14.25" customHeight="1">
      <c r="A65" s="2">
        <v>28</v>
      </c>
      <c r="B65" s="2">
        <v>64</v>
      </c>
      <c r="C65" s="2">
        <v>6</v>
      </c>
      <c r="D65" s="2">
        <v>1</v>
      </c>
      <c r="E65" s="2">
        <v>0.98899999999999999</v>
      </c>
      <c r="F65" s="2">
        <v>1</v>
      </c>
    </row>
    <row r="66" spans="1:6" ht="14.25" customHeight="1">
      <c r="A66" s="2">
        <v>28</v>
      </c>
      <c r="B66" s="2">
        <v>65</v>
      </c>
      <c r="C66" s="2">
        <v>7</v>
      </c>
      <c r="D66" s="2">
        <v>1</v>
      </c>
      <c r="E66" s="2">
        <v>0.61399999999999999</v>
      </c>
      <c r="F66" s="2">
        <v>2</v>
      </c>
    </row>
    <row r="67" spans="1:6" ht="14.25" customHeight="1">
      <c r="A67" s="2">
        <v>28</v>
      </c>
      <c r="B67" s="2">
        <v>66</v>
      </c>
      <c r="C67" s="2">
        <v>8</v>
      </c>
      <c r="D67" s="2">
        <v>0</v>
      </c>
      <c r="E67" s="2">
        <v>0.68200000000000005</v>
      </c>
      <c r="F67" s="2">
        <v>2</v>
      </c>
    </row>
    <row r="68" spans="1:6" ht="14.25" customHeight="1">
      <c r="A68" s="2">
        <v>28</v>
      </c>
      <c r="B68" s="2">
        <v>67</v>
      </c>
      <c r="C68" s="2">
        <v>5</v>
      </c>
      <c r="D68" s="2">
        <v>1</v>
      </c>
      <c r="E68" s="2">
        <v>0.80700000000000005</v>
      </c>
      <c r="F68" s="2">
        <v>2</v>
      </c>
    </row>
    <row r="69" spans="1:6" ht="14.25" customHeight="1">
      <c r="A69" s="2">
        <v>28</v>
      </c>
      <c r="B69" s="2">
        <v>68</v>
      </c>
      <c r="C69" s="2">
        <v>1</v>
      </c>
      <c r="D69" s="2">
        <v>1</v>
      </c>
      <c r="E69" s="2">
        <v>0.77700000000000002</v>
      </c>
      <c r="F69" s="2">
        <v>1</v>
      </c>
    </row>
    <row r="70" spans="1:6" ht="14.25" customHeight="1">
      <c r="A70" s="2">
        <v>28</v>
      </c>
      <c r="B70" s="2">
        <v>69</v>
      </c>
      <c r="C70" s="2">
        <v>4</v>
      </c>
      <c r="D70" s="2">
        <v>0</v>
      </c>
      <c r="E70" s="2">
        <v>0.64500000000000002</v>
      </c>
      <c r="F70" s="2">
        <v>2</v>
      </c>
    </row>
    <row r="71" spans="1:6" ht="14.25" customHeight="1">
      <c r="A71" s="2">
        <v>28</v>
      </c>
      <c r="B71" s="2">
        <v>70</v>
      </c>
      <c r="C71" s="2">
        <v>5</v>
      </c>
      <c r="D71" s="2">
        <v>0</v>
      </c>
      <c r="E71" s="2">
        <v>1.9870000000000001</v>
      </c>
      <c r="F71" s="2">
        <v>1</v>
      </c>
    </row>
    <row r="72" spans="1:6" ht="14.25" customHeight="1">
      <c r="A72" s="2">
        <v>28</v>
      </c>
      <c r="B72" s="2">
        <v>71</v>
      </c>
      <c r="C72" s="2">
        <v>4</v>
      </c>
      <c r="D72" s="2">
        <v>1</v>
      </c>
      <c r="E72" s="2">
        <v>0.69399999999999995</v>
      </c>
      <c r="F72" s="2">
        <v>1</v>
      </c>
    </row>
    <row r="73" spans="1:6" ht="14.25" customHeight="1">
      <c r="A73" s="2">
        <v>28</v>
      </c>
      <c r="B73" s="2">
        <v>72</v>
      </c>
      <c r="C73" s="2">
        <v>1</v>
      </c>
      <c r="D73" s="2">
        <v>1</v>
      </c>
      <c r="E73" s="2">
        <v>1.07</v>
      </c>
      <c r="F73" s="2">
        <v>2</v>
      </c>
    </row>
    <row r="74" spans="1:6" ht="14.25" customHeight="1">
      <c r="A74" s="2">
        <v>28</v>
      </c>
      <c r="B74" s="2">
        <v>73</v>
      </c>
      <c r="C74" s="2">
        <v>7</v>
      </c>
      <c r="D74" s="2">
        <v>1</v>
      </c>
      <c r="E74" s="2">
        <v>0.71599999999999997</v>
      </c>
      <c r="F74" s="2">
        <v>1</v>
      </c>
    </row>
    <row r="75" spans="1:6" ht="14.25" customHeight="1">
      <c r="A75" s="2">
        <v>28</v>
      </c>
      <c r="B75" s="2">
        <v>74</v>
      </c>
      <c r="C75" s="2">
        <v>2</v>
      </c>
      <c r="D75" s="2">
        <v>1</v>
      </c>
      <c r="E75" s="2">
        <v>1.0640000000000001</v>
      </c>
      <c r="F75" s="2">
        <v>2</v>
      </c>
    </row>
    <row r="76" spans="1:6" ht="14.25" customHeight="1">
      <c r="A76" s="2">
        <v>28</v>
      </c>
      <c r="B76" s="2">
        <v>75</v>
      </c>
      <c r="C76" s="2">
        <v>1</v>
      </c>
      <c r="D76" s="2">
        <v>0</v>
      </c>
      <c r="E76" s="2">
        <v>1.3440000000000001</v>
      </c>
      <c r="F76" s="2">
        <v>2</v>
      </c>
    </row>
    <row r="77" spans="1:6" ht="14.25" customHeight="1">
      <c r="A77" s="2">
        <v>28</v>
      </c>
      <c r="B77" s="2">
        <v>76</v>
      </c>
      <c r="C77" s="2">
        <v>7</v>
      </c>
      <c r="D77" s="2">
        <v>1</v>
      </c>
      <c r="E77" s="2">
        <v>0.78800000000000003</v>
      </c>
      <c r="F77" s="2">
        <v>1</v>
      </c>
    </row>
    <row r="78" spans="1:6" ht="14.25" customHeight="1">
      <c r="A78" s="2">
        <v>28</v>
      </c>
      <c r="B78" s="2">
        <v>77</v>
      </c>
      <c r="C78" s="2">
        <v>5</v>
      </c>
      <c r="D78" s="2">
        <v>0</v>
      </c>
      <c r="E78" s="2">
        <v>1.046</v>
      </c>
      <c r="F78" s="2">
        <v>1</v>
      </c>
    </row>
    <row r="79" spans="1:6" ht="14.25" customHeight="1">
      <c r="A79" s="2">
        <v>28</v>
      </c>
      <c r="B79" s="2">
        <v>78</v>
      </c>
      <c r="C79" s="2">
        <v>3</v>
      </c>
      <c r="D79" s="2">
        <v>1</v>
      </c>
      <c r="E79" s="2">
        <v>0.96</v>
      </c>
      <c r="F79" s="2">
        <v>2</v>
      </c>
    </row>
    <row r="80" spans="1:6" ht="14.25" customHeight="1">
      <c r="A80" s="2">
        <v>28</v>
      </c>
      <c r="B80" s="2">
        <v>79</v>
      </c>
      <c r="C80" s="2">
        <v>8</v>
      </c>
      <c r="D80" s="2">
        <v>1</v>
      </c>
      <c r="E80" s="2">
        <v>0.59499999999999997</v>
      </c>
      <c r="F80" s="2">
        <v>1</v>
      </c>
    </row>
    <row r="81" spans="1:6" ht="14.25" customHeight="1">
      <c r="A81" s="2">
        <v>28</v>
      </c>
      <c r="B81" s="2">
        <v>80</v>
      </c>
      <c r="C81" s="2">
        <v>6</v>
      </c>
      <c r="D81" s="2">
        <v>1</v>
      </c>
      <c r="E81" s="2">
        <v>1.1990000000000001</v>
      </c>
      <c r="F81" s="2">
        <v>2</v>
      </c>
    </row>
    <row r="82" spans="1:6" ht="14.25" customHeight="1">
      <c r="A82" s="2">
        <v>28</v>
      </c>
      <c r="B82" s="2">
        <v>81</v>
      </c>
      <c r="C82" s="2">
        <v>2</v>
      </c>
      <c r="D82" s="2">
        <v>1</v>
      </c>
      <c r="E82" s="2">
        <v>0.623</v>
      </c>
      <c r="F82" s="2">
        <v>1</v>
      </c>
    </row>
    <row r="83" spans="1:6" ht="14.25" customHeight="1">
      <c r="A83" s="2">
        <v>28</v>
      </c>
      <c r="B83" s="2">
        <v>82</v>
      </c>
      <c r="C83" s="2">
        <v>3</v>
      </c>
      <c r="D83" s="2">
        <v>0</v>
      </c>
      <c r="E83" s="2">
        <v>0.60699999999999998</v>
      </c>
      <c r="F83" s="2">
        <v>2</v>
      </c>
    </row>
    <row r="84" spans="1:6" ht="14.25" customHeight="1">
      <c r="A84" s="2">
        <v>28</v>
      </c>
      <c r="B84" s="2">
        <v>83</v>
      </c>
      <c r="C84" s="2">
        <v>5</v>
      </c>
      <c r="D84" s="2">
        <v>0</v>
      </c>
      <c r="E84" s="2">
        <v>1.353</v>
      </c>
      <c r="F84" s="2">
        <v>1</v>
      </c>
    </row>
    <row r="85" spans="1:6" ht="14.25" customHeight="1">
      <c r="A85" s="2">
        <v>28</v>
      </c>
      <c r="B85" s="2">
        <v>84</v>
      </c>
      <c r="C85" s="2">
        <v>3</v>
      </c>
      <c r="D85" s="2">
        <v>1</v>
      </c>
      <c r="E85" s="2">
        <v>1.0609999999999999</v>
      </c>
      <c r="F85" s="2">
        <v>1</v>
      </c>
    </row>
    <row r="86" spans="1:6" ht="14.25" customHeight="1">
      <c r="A86" s="2">
        <v>28</v>
      </c>
      <c r="B86" s="2">
        <v>85</v>
      </c>
      <c r="C86" s="2">
        <v>2</v>
      </c>
      <c r="D86" s="2">
        <v>1</v>
      </c>
      <c r="E86" s="2">
        <v>0.91</v>
      </c>
      <c r="F86" s="2">
        <v>2</v>
      </c>
    </row>
    <row r="87" spans="1:6" ht="14.25" customHeight="1">
      <c r="A87" s="2">
        <v>28</v>
      </c>
      <c r="B87" s="2">
        <v>86</v>
      </c>
      <c r="C87" s="2">
        <v>6</v>
      </c>
      <c r="D87" s="2">
        <v>0</v>
      </c>
      <c r="E87" s="2">
        <v>1.0669999999999999</v>
      </c>
      <c r="F87" s="2">
        <v>1</v>
      </c>
    </row>
    <row r="88" spans="1:6" ht="14.25" customHeight="1">
      <c r="A88" s="2">
        <v>28</v>
      </c>
      <c r="B88" s="2">
        <v>87</v>
      </c>
      <c r="C88" s="2">
        <v>3</v>
      </c>
      <c r="D88" s="2">
        <v>1</v>
      </c>
      <c r="E88" s="2">
        <v>1.45</v>
      </c>
      <c r="F88" s="2">
        <v>2</v>
      </c>
    </row>
    <row r="89" spans="1:6" ht="14.25" customHeight="1">
      <c r="A89" s="2">
        <v>28</v>
      </c>
      <c r="B89" s="2">
        <v>88</v>
      </c>
      <c r="C89" s="2">
        <v>2</v>
      </c>
      <c r="D89" s="2">
        <v>1</v>
      </c>
      <c r="E89" s="2">
        <v>1.45</v>
      </c>
      <c r="F89" s="2">
        <v>1</v>
      </c>
    </row>
    <row r="90" spans="1:6" ht="14.25" customHeight="1">
      <c r="A90" s="2">
        <v>28</v>
      </c>
      <c r="B90" s="2">
        <v>89</v>
      </c>
      <c r="C90" s="2">
        <v>8</v>
      </c>
      <c r="D90" s="2">
        <v>1</v>
      </c>
      <c r="E90" s="2">
        <v>0.98</v>
      </c>
      <c r="F90" s="2">
        <v>1</v>
      </c>
    </row>
    <row r="91" spans="1:6" ht="14.25" customHeight="1">
      <c r="A91" s="2">
        <v>28</v>
      </c>
      <c r="B91" s="2">
        <v>90</v>
      </c>
      <c r="C91" s="2">
        <v>6</v>
      </c>
      <c r="D91" s="2">
        <v>1</v>
      </c>
      <c r="E91" s="2">
        <v>1.375</v>
      </c>
      <c r="F91" s="2">
        <v>2</v>
      </c>
    </row>
    <row r="92" spans="1:6" ht="14.25" customHeight="1">
      <c r="A92" s="2">
        <v>28</v>
      </c>
      <c r="B92" s="2">
        <v>91</v>
      </c>
      <c r="C92" s="2">
        <v>4</v>
      </c>
      <c r="D92" s="2">
        <v>0</v>
      </c>
      <c r="E92" s="2">
        <v>1.6180000000000001</v>
      </c>
      <c r="F92" s="2">
        <v>1</v>
      </c>
    </row>
    <row r="93" spans="1:6" ht="14.25" customHeight="1">
      <c r="A93" s="2">
        <v>28</v>
      </c>
      <c r="B93" s="2">
        <v>92</v>
      </c>
      <c r="C93" s="2">
        <v>1</v>
      </c>
      <c r="D93" s="2">
        <v>1</v>
      </c>
      <c r="E93" s="2">
        <v>1.0620000000000001</v>
      </c>
      <c r="F93" s="2">
        <v>1</v>
      </c>
    </row>
    <row r="94" spans="1:6" ht="14.25" customHeight="1">
      <c r="A94" s="2">
        <v>28</v>
      </c>
      <c r="B94" s="2">
        <v>93</v>
      </c>
      <c r="C94" s="2">
        <v>7</v>
      </c>
      <c r="D94" s="2">
        <v>1</v>
      </c>
      <c r="E94" s="2">
        <v>1.7549999999999999</v>
      </c>
      <c r="F94" s="2">
        <v>1</v>
      </c>
    </row>
    <row r="95" spans="1:6" ht="14.25" customHeight="1">
      <c r="A95" s="2">
        <v>28</v>
      </c>
      <c r="B95" s="2">
        <v>94</v>
      </c>
      <c r="C95" s="2">
        <v>1</v>
      </c>
      <c r="D95" s="2">
        <v>1</v>
      </c>
      <c r="E95" s="2">
        <v>1.288</v>
      </c>
      <c r="F95" s="2">
        <v>2</v>
      </c>
    </row>
    <row r="96" spans="1:6" ht="14.25" customHeight="1">
      <c r="A96" s="2">
        <v>28</v>
      </c>
      <c r="B96" s="2">
        <v>95</v>
      </c>
      <c r="C96" s="2">
        <v>3</v>
      </c>
      <c r="E96" s="2">
        <v>2.0009999999999999</v>
      </c>
    </row>
    <row r="97" spans="1:6" ht="14.25" customHeight="1">
      <c r="A97" s="2">
        <v>28</v>
      </c>
      <c r="B97" s="2">
        <v>96</v>
      </c>
      <c r="C97" s="2">
        <v>1</v>
      </c>
      <c r="D97" s="2">
        <v>1</v>
      </c>
      <c r="E97" s="2">
        <v>1.0569999999999999</v>
      </c>
      <c r="F97" s="2">
        <v>1</v>
      </c>
    </row>
    <row r="98" spans="1:6" ht="14.25" customHeight="1">
      <c r="A98" s="2">
        <v>28</v>
      </c>
      <c r="B98" s="2">
        <v>97</v>
      </c>
      <c r="C98" s="2">
        <v>5</v>
      </c>
      <c r="D98" s="2">
        <v>1</v>
      </c>
      <c r="E98" s="2">
        <v>0.84099999999999997</v>
      </c>
      <c r="F98" s="2">
        <v>1</v>
      </c>
    </row>
    <row r="99" spans="1:6" ht="14.25" customHeight="1">
      <c r="A99" s="2">
        <v>28</v>
      </c>
      <c r="B99" s="2">
        <v>98</v>
      </c>
      <c r="C99" s="2">
        <v>3</v>
      </c>
      <c r="D99" s="2">
        <v>1</v>
      </c>
      <c r="E99" s="2">
        <v>1.026</v>
      </c>
      <c r="F99" s="2">
        <v>2</v>
      </c>
    </row>
    <row r="100" spans="1:6" ht="14.25" customHeight="1">
      <c r="A100" s="2">
        <v>28</v>
      </c>
      <c r="B100" s="2">
        <v>99</v>
      </c>
      <c r="C100" s="2">
        <v>6</v>
      </c>
      <c r="D100" s="2">
        <v>1</v>
      </c>
      <c r="E100" s="2">
        <v>1.5629999999999999</v>
      </c>
      <c r="F100" s="2">
        <v>2</v>
      </c>
    </row>
    <row r="101" spans="1:6" ht="14.25" customHeight="1">
      <c r="A101" s="2">
        <v>28</v>
      </c>
      <c r="B101" s="2">
        <v>100</v>
      </c>
      <c r="C101" s="2">
        <v>4</v>
      </c>
      <c r="D101" s="2">
        <v>1</v>
      </c>
      <c r="E101" s="2">
        <v>0.78200000000000003</v>
      </c>
      <c r="F101" s="2">
        <v>2</v>
      </c>
    </row>
    <row r="102" spans="1:6" ht="14.25" customHeight="1">
      <c r="A102" s="2">
        <v>28</v>
      </c>
      <c r="B102" s="2">
        <v>101</v>
      </c>
      <c r="C102" s="2">
        <v>2</v>
      </c>
      <c r="D102" s="2">
        <v>1</v>
      </c>
      <c r="E102" s="2">
        <v>0.89800000000000002</v>
      </c>
      <c r="F102" s="2">
        <v>2</v>
      </c>
    </row>
    <row r="103" spans="1:6" ht="14.25" customHeight="1">
      <c r="A103" s="2">
        <v>28</v>
      </c>
      <c r="B103" s="2">
        <v>102</v>
      </c>
      <c r="C103" s="2">
        <v>5</v>
      </c>
      <c r="D103" s="2">
        <v>0</v>
      </c>
      <c r="E103" s="2">
        <v>1.103</v>
      </c>
      <c r="F103" s="2">
        <v>2</v>
      </c>
    </row>
    <row r="104" spans="1:6" ht="14.25" customHeight="1">
      <c r="A104" s="2">
        <v>28</v>
      </c>
      <c r="B104" s="2">
        <v>103</v>
      </c>
      <c r="C104" s="2">
        <v>2</v>
      </c>
      <c r="D104" s="2">
        <v>1</v>
      </c>
      <c r="E104" s="2">
        <v>1.3</v>
      </c>
      <c r="F104" s="2">
        <v>2</v>
      </c>
    </row>
    <row r="105" spans="1:6" ht="14.25" customHeight="1">
      <c r="A105" s="2">
        <v>28</v>
      </c>
      <c r="B105" s="2">
        <v>104</v>
      </c>
      <c r="C105" s="2">
        <v>8</v>
      </c>
      <c r="D105" s="2">
        <v>1</v>
      </c>
      <c r="E105" s="2">
        <v>0.93300000000000005</v>
      </c>
      <c r="F105" s="2">
        <v>2</v>
      </c>
    </row>
    <row r="106" spans="1:6" ht="14.25" customHeight="1">
      <c r="A106" s="2">
        <v>28</v>
      </c>
      <c r="B106" s="2">
        <v>105</v>
      </c>
      <c r="C106" s="2">
        <v>4</v>
      </c>
      <c r="D106" s="2">
        <v>1</v>
      </c>
      <c r="E106" s="2">
        <v>0.57499999999999996</v>
      </c>
      <c r="F106" s="2">
        <v>1</v>
      </c>
    </row>
    <row r="107" spans="1:6" ht="14.25" customHeight="1">
      <c r="A107" s="2">
        <v>28</v>
      </c>
      <c r="B107" s="2">
        <v>106</v>
      </c>
      <c r="C107" s="2">
        <v>7</v>
      </c>
      <c r="D107" s="2">
        <v>1</v>
      </c>
      <c r="E107" s="2">
        <v>0.66700000000000004</v>
      </c>
      <c r="F107" s="2">
        <v>2</v>
      </c>
    </row>
    <row r="108" spans="1:6" ht="14.25" customHeight="1">
      <c r="A108" s="2">
        <v>28</v>
      </c>
      <c r="B108" s="2">
        <v>107</v>
      </c>
      <c r="C108" s="2">
        <v>6</v>
      </c>
      <c r="D108" s="2">
        <v>1</v>
      </c>
      <c r="E108" s="2">
        <v>0.626</v>
      </c>
      <c r="F108" s="2">
        <v>1</v>
      </c>
    </row>
    <row r="109" spans="1:6" ht="14.25" customHeight="1">
      <c r="A109" s="2">
        <v>28</v>
      </c>
      <c r="B109" s="2">
        <v>108</v>
      </c>
      <c r="C109" s="2">
        <v>3</v>
      </c>
      <c r="D109" s="2">
        <v>1</v>
      </c>
      <c r="E109" s="2">
        <v>1.4850000000000001</v>
      </c>
      <c r="F109" s="2">
        <v>2</v>
      </c>
    </row>
    <row r="110" spans="1:6" ht="14.25" customHeight="1">
      <c r="A110" s="2">
        <v>28</v>
      </c>
      <c r="B110" s="2">
        <v>109</v>
      </c>
      <c r="C110" s="2">
        <v>8</v>
      </c>
      <c r="D110" s="2">
        <v>1</v>
      </c>
      <c r="E110" s="2">
        <v>0.54700000000000004</v>
      </c>
      <c r="F110" s="2">
        <v>1</v>
      </c>
    </row>
    <row r="111" spans="1:6" ht="14.25" customHeight="1">
      <c r="A111" s="2">
        <v>28</v>
      </c>
      <c r="B111" s="2">
        <v>110</v>
      </c>
      <c r="C111" s="2">
        <v>3</v>
      </c>
      <c r="D111" s="2">
        <v>1</v>
      </c>
      <c r="E111" s="2">
        <v>0.90600000000000003</v>
      </c>
      <c r="F111" s="2">
        <v>2</v>
      </c>
    </row>
    <row r="112" spans="1:6" ht="14.25" customHeight="1">
      <c r="A112" s="2">
        <v>28</v>
      </c>
      <c r="B112" s="2">
        <v>111</v>
      </c>
      <c r="C112" s="2">
        <v>5</v>
      </c>
      <c r="E112" s="2">
        <v>2</v>
      </c>
    </row>
    <row r="113" spans="1:6" ht="14.25" customHeight="1">
      <c r="A113" s="2">
        <v>28</v>
      </c>
      <c r="B113" s="2">
        <v>112</v>
      </c>
      <c r="C113" s="2">
        <v>1</v>
      </c>
      <c r="D113" s="2">
        <v>1</v>
      </c>
      <c r="E113" s="2">
        <v>0.71199999999999997</v>
      </c>
      <c r="F113" s="2">
        <v>2</v>
      </c>
    </row>
    <row r="114" spans="1:6" ht="14.25" customHeight="1">
      <c r="A114" s="2">
        <v>28</v>
      </c>
      <c r="B114" s="2">
        <v>113</v>
      </c>
      <c r="C114" s="2">
        <v>4</v>
      </c>
      <c r="D114" s="2">
        <v>1</v>
      </c>
      <c r="E114" s="2">
        <v>0.58099999999999996</v>
      </c>
      <c r="F114" s="2">
        <v>1</v>
      </c>
    </row>
    <row r="115" spans="1:6" ht="14.25" customHeight="1">
      <c r="A115" s="2">
        <v>28</v>
      </c>
      <c r="B115" s="2">
        <v>114</v>
      </c>
      <c r="C115" s="2">
        <v>2</v>
      </c>
      <c r="D115" s="2">
        <v>1</v>
      </c>
      <c r="E115" s="2">
        <v>1.145</v>
      </c>
      <c r="F115" s="2">
        <v>1</v>
      </c>
    </row>
    <row r="116" spans="1:6" ht="14.25" customHeight="1">
      <c r="A116" s="2">
        <v>28</v>
      </c>
      <c r="B116" s="2">
        <v>115</v>
      </c>
      <c r="C116" s="2">
        <v>3</v>
      </c>
      <c r="D116" s="2">
        <v>1</v>
      </c>
      <c r="E116" s="2">
        <v>0.82399999999999995</v>
      </c>
      <c r="F116" s="2">
        <v>2</v>
      </c>
    </row>
    <row r="117" spans="1:6" ht="14.25" customHeight="1">
      <c r="A117" s="2">
        <v>28</v>
      </c>
      <c r="B117" s="2">
        <v>116</v>
      </c>
      <c r="C117" s="2">
        <v>7</v>
      </c>
      <c r="D117" s="2">
        <v>0</v>
      </c>
      <c r="E117" s="2">
        <v>0.64700000000000002</v>
      </c>
      <c r="F117" s="2">
        <v>2</v>
      </c>
    </row>
    <row r="118" spans="1:6" ht="14.25" customHeight="1">
      <c r="A118" s="2">
        <v>28</v>
      </c>
      <c r="B118" s="2">
        <v>117</v>
      </c>
      <c r="C118" s="2">
        <v>5</v>
      </c>
      <c r="D118" s="2">
        <v>1</v>
      </c>
      <c r="E118" s="2">
        <v>0.91200000000000003</v>
      </c>
      <c r="F118" s="2">
        <v>2</v>
      </c>
    </row>
    <row r="119" spans="1:6" ht="14.25" customHeight="1">
      <c r="A119" s="2">
        <v>28</v>
      </c>
      <c r="B119" s="2">
        <v>118</v>
      </c>
      <c r="C119" s="2">
        <v>3</v>
      </c>
      <c r="D119" s="2">
        <v>1</v>
      </c>
      <c r="E119" s="2">
        <v>0.63700000000000001</v>
      </c>
      <c r="F119" s="2">
        <v>1</v>
      </c>
    </row>
    <row r="120" spans="1:6" ht="14.25" customHeight="1">
      <c r="A120" s="2">
        <v>28</v>
      </c>
      <c r="B120" s="2">
        <v>119</v>
      </c>
      <c r="C120" s="2">
        <v>1</v>
      </c>
      <c r="D120" s="2">
        <v>1</v>
      </c>
      <c r="E120" s="2">
        <v>1.1180000000000001</v>
      </c>
      <c r="F120" s="2">
        <v>1</v>
      </c>
    </row>
    <row r="121" spans="1:6" ht="14.25" customHeight="1">
      <c r="A121" s="2">
        <v>28</v>
      </c>
      <c r="B121" s="2">
        <v>120</v>
      </c>
      <c r="C121" s="2">
        <v>8</v>
      </c>
      <c r="D121" s="2">
        <v>0</v>
      </c>
      <c r="E121" s="2">
        <v>1.3959999999999999</v>
      </c>
      <c r="F121" s="2">
        <v>1</v>
      </c>
    </row>
    <row r="122" spans="1:6" ht="14.25" customHeight="1">
      <c r="A122" s="2">
        <v>28</v>
      </c>
      <c r="B122" s="2">
        <v>121</v>
      </c>
      <c r="C122" s="2">
        <v>1</v>
      </c>
      <c r="D122" s="2">
        <v>1</v>
      </c>
      <c r="E122" s="2">
        <v>0.63</v>
      </c>
      <c r="F122" s="2">
        <v>1</v>
      </c>
    </row>
    <row r="123" spans="1:6" ht="14.25" customHeight="1">
      <c r="A123" s="2">
        <v>28</v>
      </c>
      <c r="B123" s="2">
        <v>122</v>
      </c>
      <c r="C123" s="2">
        <v>7</v>
      </c>
      <c r="D123" s="2">
        <v>1</v>
      </c>
      <c r="E123" s="2">
        <v>0.86399999999999999</v>
      </c>
      <c r="F123" s="2">
        <v>2</v>
      </c>
    </row>
    <row r="124" spans="1:6" ht="14.25" customHeight="1">
      <c r="A124" s="2">
        <v>28</v>
      </c>
      <c r="B124" s="2">
        <v>123</v>
      </c>
      <c r="C124" s="2">
        <v>4</v>
      </c>
      <c r="D124" s="2">
        <v>1</v>
      </c>
      <c r="E124" s="2">
        <v>0.50600000000000001</v>
      </c>
      <c r="F124" s="2">
        <v>1</v>
      </c>
    </row>
    <row r="125" spans="1:6" ht="14.25" customHeight="1">
      <c r="A125" s="2">
        <v>28</v>
      </c>
      <c r="B125" s="2">
        <v>124</v>
      </c>
      <c r="C125" s="2">
        <v>5</v>
      </c>
      <c r="D125" s="2">
        <v>1</v>
      </c>
      <c r="E125" s="2">
        <v>0.63</v>
      </c>
      <c r="F125" s="2">
        <v>2</v>
      </c>
    </row>
    <row r="126" spans="1:6" ht="14.25" customHeight="1">
      <c r="A126" s="2">
        <v>28</v>
      </c>
      <c r="B126" s="2">
        <v>125</v>
      </c>
      <c r="C126" s="2">
        <v>3</v>
      </c>
      <c r="D126" s="2">
        <v>1</v>
      </c>
      <c r="E126" s="2">
        <v>0.80200000000000005</v>
      </c>
      <c r="F126" s="2">
        <v>1</v>
      </c>
    </row>
    <row r="127" spans="1:6" ht="14.25" customHeight="1">
      <c r="A127" s="2">
        <v>28</v>
      </c>
      <c r="B127" s="2">
        <v>126</v>
      </c>
      <c r="C127" s="2">
        <v>5</v>
      </c>
      <c r="D127" s="2">
        <v>1</v>
      </c>
      <c r="E127" s="2">
        <v>0.56999999999999995</v>
      </c>
      <c r="F127" s="2">
        <v>1</v>
      </c>
    </row>
    <row r="128" spans="1:6" ht="14.25" customHeight="1">
      <c r="A128" s="2">
        <v>28</v>
      </c>
      <c r="B128" s="2">
        <v>127</v>
      </c>
      <c r="C128" s="2">
        <v>4</v>
      </c>
      <c r="D128" s="2">
        <v>0</v>
      </c>
      <c r="E128" s="2">
        <v>1.1970000000000001</v>
      </c>
      <c r="F128" s="2">
        <v>1</v>
      </c>
    </row>
    <row r="129" spans="1:6" ht="14.25" customHeight="1">
      <c r="A129" s="2">
        <v>28</v>
      </c>
      <c r="B129" s="2">
        <v>128</v>
      </c>
      <c r="C129" s="2">
        <v>8</v>
      </c>
      <c r="D129" s="2">
        <v>1</v>
      </c>
      <c r="E129" s="2">
        <v>0.85</v>
      </c>
      <c r="F129" s="2">
        <v>2</v>
      </c>
    </row>
    <row r="130" spans="1:6" ht="14.25" customHeight="1">
      <c r="A130" s="2">
        <v>28</v>
      </c>
      <c r="B130" s="2">
        <v>129</v>
      </c>
      <c r="C130" s="2">
        <v>3</v>
      </c>
      <c r="D130" s="2">
        <v>1</v>
      </c>
      <c r="E130" s="2">
        <v>0.58399999999999996</v>
      </c>
      <c r="F130" s="2">
        <v>1</v>
      </c>
    </row>
    <row r="131" spans="1:6" ht="14.25" customHeight="1">
      <c r="A131" s="2">
        <v>28</v>
      </c>
      <c r="B131" s="2">
        <v>130</v>
      </c>
      <c r="C131" s="2">
        <v>6</v>
      </c>
      <c r="D131" s="2">
        <v>1</v>
      </c>
      <c r="E131" s="2">
        <v>0.79600000000000004</v>
      </c>
      <c r="F131" s="2">
        <v>2</v>
      </c>
    </row>
    <row r="132" spans="1:6" ht="14.25" customHeight="1">
      <c r="A132" s="2">
        <v>28</v>
      </c>
      <c r="B132" s="2">
        <v>131</v>
      </c>
      <c r="C132" s="2">
        <v>1</v>
      </c>
      <c r="D132" s="2">
        <v>1</v>
      </c>
      <c r="E132" s="2">
        <v>0.625</v>
      </c>
      <c r="F132" s="2">
        <v>1</v>
      </c>
    </row>
    <row r="133" spans="1:6" ht="14.25" customHeight="1">
      <c r="A133" s="2">
        <v>28</v>
      </c>
      <c r="B133" s="2">
        <v>132</v>
      </c>
      <c r="C133" s="2">
        <v>6</v>
      </c>
      <c r="D133" s="2">
        <v>1</v>
      </c>
      <c r="E133" s="2">
        <v>1.216</v>
      </c>
      <c r="F133" s="2">
        <v>1</v>
      </c>
    </row>
    <row r="134" spans="1:6" ht="14.25" customHeight="1">
      <c r="A134" s="2">
        <v>28</v>
      </c>
      <c r="B134" s="2">
        <v>133</v>
      </c>
      <c r="C134" s="2">
        <v>7</v>
      </c>
      <c r="D134" s="2">
        <v>1</v>
      </c>
      <c r="E134" s="2">
        <v>1.4179999999999999</v>
      </c>
      <c r="F134" s="2">
        <v>2</v>
      </c>
    </row>
    <row r="135" spans="1:6" ht="14.25" customHeight="1">
      <c r="A135" s="2">
        <v>28</v>
      </c>
      <c r="B135" s="2">
        <v>134</v>
      </c>
      <c r="C135" s="2">
        <v>6</v>
      </c>
      <c r="D135" s="2">
        <v>1</v>
      </c>
      <c r="E135" s="2">
        <v>1.0349999999999999</v>
      </c>
      <c r="F135" s="2">
        <v>1</v>
      </c>
    </row>
    <row r="136" spans="1:6" ht="14.25" customHeight="1">
      <c r="A136" s="2">
        <v>28</v>
      </c>
      <c r="B136" s="2">
        <v>135</v>
      </c>
      <c r="C136" s="2">
        <v>1</v>
      </c>
      <c r="D136" s="2">
        <v>1</v>
      </c>
      <c r="E136" s="2">
        <v>1.2689999999999999</v>
      </c>
      <c r="F136" s="2">
        <v>2</v>
      </c>
    </row>
    <row r="137" spans="1:6" ht="14.25" customHeight="1">
      <c r="A137" s="2">
        <v>28</v>
      </c>
      <c r="B137" s="2">
        <v>136</v>
      </c>
      <c r="C137" s="2">
        <v>2</v>
      </c>
      <c r="D137" s="2">
        <v>1</v>
      </c>
      <c r="E137" s="2">
        <v>1.1180000000000001</v>
      </c>
      <c r="F137" s="2">
        <v>2</v>
      </c>
    </row>
    <row r="138" spans="1:6" ht="14.25" customHeight="1">
      <c r="A138" s="2">
        <v>28</v>
      </c>
      <c r="B138" s="2">
        <v>137</v>
      </c>
      <c r="C138" s="2">
        <v>5</v>
      </c>
      <c r="D138" s="2">
        <v>1</v>
      </c>
      <c r="E138" s="2">
        <v>0.67700000000000005</v>
      </c>
      <c r="F138" s="2">
        <v>2</v>
      </c>
    </row>
    <row r="139" spans="1:6" ht="14.25" customHeight="1">
      <c r="A139" s="2">
        <v>28</v>
      </c>
      <c r="B139" s="2">
        <v>138</v>
      </c>
      <c r="C139" s="2">
        <v>8</v>
      </c>
      <c r="D139" s="2">
        <v>1</v>
      </c>
      <c r="E139" s="2">
        <v>0.64900000000000002</v>
      </c>
      <c r="F139" s="2">
        <v>1</v>
      </c>
    </row>
    <row r="140" spans="1:6" ht="14.25" customHeight="1">
      <c r="A140" s="2">
        <v>28</v>
      </c>
      <c r="B140" s="2">
        <v>139</v>
      </c>
      <c r="C140" s="2">
        <v>3</v>
      </c>
      <c r="D140" s="2">
        <v>1</v>
      </c>
      <c r="E140" s="2">
        <v>0.90600000000000003</v>
      </c>
      <c r="F140" s="2">
        <v>1</v>
      </c>
    </row>
    <row r="141" spans="1:6" ht="14.25" customHeight="1">
      <c r="A141" s="2">
        <v>28</v>
      </c>
      <c r="B141" s="2">
        <v>140</v>
      </c>
      <c r="C141" s="2">
        <v>4</v>
      </c>
      <c r="D141" s="2">
        <v>0</v>
      </c>
      <c r="E141" s="2">
        <v>1.52</v>
      </c>
      <c r="F141" s="2">
        <v>1</v>
      </c>
    </row>
    <row r="142" spans="1:6" ht="14.25" customHeight="1">
      <c r="A142" s="2">
        <v>28</v>
      </c>
      <c r="B142" s="2">
        <v>141</v>
      </c>
      <c r="C142" s="2">
        <v>2</v>
      </c>
      <c r="D142" s="2">
        <v>1</v>
      </c>
      <c r="E142" s="2">
        <v>1.2929999999999999</v>
      </c>
      <c r="F142" s="2">
        <v>2</v>
      </c>
    </row>
    <row r="143" spans="1:6" ht="14.25" customHeight="1">
      <c r="A143" s="2">
        <v>28</v>
      </c>
      <c r="B143" s="2">
        <v>142</v>
      </c>
      <c r="C143" s="2">
        <v>7</v>
      </c>
      <c r="D143" s="2">
        <v>1</v>
      </c>
      <c r="E143" s="2">
        <v>0.84399999999999997</v>
      </c>
      <c r="F143" s="2">
        <v>1</v>
      </c>
    </row>
    <row r="144" spans="1:6" ht="14.25" customHeight="1">
      <c r="A144" s="2">
        <v>28</v>
      </c>
      <c r="B144" s="2">
        <v>143</v>
      </c>
      <c r="C144" s="2">
        <v>5</v>
      </c>
      <c r="D144" s="2">
        <v>0</v>
      </c>
      <c r="E144" s="2">
        <v>1.429</v>
      </c>
      <c r="F144" s="2">
        <v>2</v>
      </c>
    </row>
    <row r="145" spans="1:6" ht="14.25" customHeight="1">
      <c r="A145" s="2">
        <v>28</v>
      </c>
      <c r="B145" s="2">
        <v>144</v>
      </c>
      <c r="C145" s="2">
        <v>6</v>
      </c>
      <c r="D145" s="2">
        <v>1</v>
      </c>
      <c r="E145" s="2">
        <v>0.73499999999999999</v>
      </c>
      <c r="F145" s="2">
        <v>2</v>
      </c>
    </row>
    <row r="146" spans="1:6" ht="14.25" customHeight="1">
      <c r="A146" s="2">
        <v>28</v>
      </c>
      <c r="B146" s="2">
        <v>145</v>
      </c>
      <c r="C146" s="2">
        <v>1</v>
      </c>
      <c r="D146" s="2">
        <v>1</v>
      </c>
      <c r="E146" s="2">
        <v>1.845</v>
      </c>
      <c r="F146" s="2">
        <v>2</v>
      </c>
    </row>
    <row r="147" spans="1:6" ht="14.25" customHeight="1">
      <c r="A147" s="2">
        <v>28</v>
      </c>
      <c r="B147" s="2">
        <v>146</v>
      </c>
      <c r="C147" s="2">
        <v>6</v>
      </c>
      <c r="D147" s="2">
        <v>1</v>
      </c>
      <c r="E147" s="2">
        <v>0.63700000000000001</v>
      </c>
      <c r="F147" s="2">
        <v>1</v>
      </c>
    </row>
    <row r="148" spans="1:6" ht="14.25" customHeight="1">
      <c r="A148" s="2">
        <v>28</v>
      </c>
      <c r="B148" s="2">
        <v>147</v>
      </c>
      <c r="C148" s="2">
        <v>4</v>
      </c>
      <c r="D148" s="2">
        <v>1</v>
      </c>
      <c r="E148" s="2">
        <v>0.64</v>
      </c>
      <c r="F148" s="2">
        <v>1</v>
      </c>
    </row>
    <row r="149" spans="1:6" ht="14.25" customHeight="1">
      <c r="A149" s="2">
        <v>28</v>
      </c>
      <c r="B149" s="2">
        <v>148</v>
      </c>
      <c r="C149" s="2">
        <v>7</v>
      </c>
      <c r="D149" s="2">
        <v>0</v>
      </c>
      <c r="E149" s="2">
        <v>0.8</v>
      </c>
      <c r="F149" s="2">
        <v>1</v>
      </c>
    </row>
    <row r="150" spans="1:6" ht="14.25" customHeight="1">
      <c r="A150" s="2">
        <v>28</v>
      </c>
      <c r="B150" s="2">
        <v>149</v>
      </c>
      <c r="C150" s="2">
        <v>2</v>
      </c>
      <c r="D150" s="2">
        <v>1</v>
      </c>
      <c r="E150" s="2">
        <v>0.873</v>
      </c>
      <c r="F150" s="2">
        <v>2</v>
      </c>
    </row>
    <row r="151" spans="1:6" ht="14.25" customHeight="1">
      <c r="A151" s="2">
        <v>28</v>
      </c>
      <c r="B151" s="2">
        <v>150</v>
      </c>
      <c r="C151" s="2">
        <v>8</v>
      </c>
      <c r="D151" s="2">
        <v>0</v>
      </c>
      <c r="E151" s="2">
        <v>1.1439999999999999</v>
      </c>
      <c r="F151" s="2">
        <v>1</v>
      </c>
    </row>
    <row r="152" spans="1:6" ht="14.25" customHeight="1">
      <c r="A152" s="2">
        <v>28</v>
      </c>
      <c r="B152" s="2">
        <v>151</v>
      </c>
      <c r="C152" s="2">
        <v>4</v>
      </c>
      <c r="E152" s="2">
        <v>2</v>
      </c>
    </row>
    <row r="153" spans="1:6" ht="14.25" customHeight="1">
      <c r="A153" s="2">
        <v>28</v>
      </c>
      <c r="B153" s="2">
        <v>152</v>
      </c>
      <c r="C153" s="2">
        <v>6</v>
      </c>
      <c r="D153" s="2">
        <v>1</v>
      </c>
      <c r="E153" s="2">
        <v>1.42</v>
      </c>
      <c r="F153" s="2">
        <v>1</v>
      </c>
    </row>
    <row r="154" spans="1:6" ht="14.25" customHeight="1">
      <c r="A154" s="2">
        <v>28</v>
      </c>
      <c r="B154" s="2">
        <v>153</v>
      </c>
      <c r="C154" s="2">
        <v>5</v>
      </c>
      <c r="D154" s="2">
        <v>1</v>
      </c>
      <c r="E154" s="2">
        <v>1.3819999999999999</v>
      </c>
      <c r="F154" s="2">
        <v>2</v>
      </c>
    </row>
    <row r="155" spans="1:6" ht="14.25" customHeight="1">
      <c r="A155" s="2">
        <v>28</v>
      </c>
      <c r="B155" s="2">
        <v>154</v>
      </c>
      <c r="C155" s="2">
        <v>2</v>
      </c>
      <c r="D155" s="2">
        <v>1</v>
      </c>
      <c r="E155" s="2">
        <v>0.76</v>
      </c>
      <c r="F155" s="2">
        <v>2</v>
      </c>
    </row>
    <row r="156" spans="1:6" ht="14.25" customHeight="1">
      <c r="A156" s="2">
        <v>28</v>
      </c>
      <c r="B156" s="2">
        <v>155</v>
      </c>
      <c r="C156" s="2">
        <v>1</v>
      </c>
      <c r="D156" s="2">
        <v>1</v>
      </c>
      <c r="E156" s="2">
        <v>0.72399999999999998</v>
      </c>
      <c r="F156" s="2">
        <v>1</v>
      </c>
    </row>
    <row r="157" spans="1:6" ht="14.25" customHeight="1">
      <c r="A157" s="2">
        <v>28</v>
      </c>
      <c r="B157" s="2">
        <v>156</v>
      </c>
      <c r="C157" s="2">
        <v>2</v>
      </c>
      <c r="D157" s="2">
        <v>1</v>
      </c>
      <c r="E157" s="2">
        <v>0.53</v>
      </c>
      <c r="F157" s="2">
        <v>2</v>
      </c>
    </row>
    <row r="158" spans="1:6" ht="14.25" customHeight="1">
      <c r="A158" s="2">
        <v>28</v>
      </c>
      <c r="B158" s="2">
        <v>157</v>
      </c>
      <c r="C158" s="2">
        <v>5</v>
      </c>
      <c r="D158" s="2">
        <v>1</v>
      </c>
      <c r="E158" s="2">
        <v>0.51100000000000001</v>
      </c>
      <c r="F158" s="2">
        <v>1</v>
      </c>
    </row>
    <row r="159" spans="1:6" ht="14.25" customHeight="1">
      <c r="A159" s="2">
        <v>28</v>
      </c>
      <c r="B159" s="2">
        <v>158</v>
      </c>
      <c r="C159" s="2">
        <v>2</v>
      </c>
      <c r="D159" s="2">
        <v>1</v>
      </c>
      <c r="E159" s="2">
        <v>1.153</v>
      </c>
      <c r="F159" s="2">
        <v>2</v>
      </c>
    </row>
    <row r="160" spans="1:6" ht="14.25" customHeight="1">
      <c r="A160" s="2">
        <v>28</v>
      </c>
      <c r="B160" s="2">
        <v>159</v>
      </c>
      <c r="C160" s="2">
        <v>3</v>
      </c>
      <c r="D160" s="2">
        <v>1</v>
      </c>
      <c r="E160" s="2">
        <v>0.64200000000000002</v>
      </c>
      <c r="F160" s="2">
        <v>1</v>
      </c>
    </row>
    <row r="161" spans="1:6" ht="14.25" customHeight="1">
      <c r="A161" s="2">
        <v>28</v>
      </c>
      <c r="B161" s="2">
        <v>160</v>
      </c>
      <c r="C161" s="2">
        <v>5</v>
      </c>
      <c r="D161" s="2">
        <v>1</v>
      </c>
      <c r="E161" s="2">
        <v>0.71799999999999997</v>
      </c>
      <c r="F161" s="2">
        <v>2</v>
      </c>
    </row>
    <row r="162" spans="1:6" ht="14.25" customHeight="1">
      <c r="A162" s="2">
        <v>28</v>
      </c>
      <c r="B162" s="2">
        <v>161</v>
      </c>
      <c r="C162" s="2">
        <v>6</v>
      </c>
      <c r="D162" s="2">
        <v>1</v>
      </c>
      <c r="E162" s="2">
        <v>0.60199999999999998</v>
      </c>
      <c r="F162" s="2">
        <v>1</v>
      </c>
    </row>
    <row r="163" spans="1:6" ht="14.25" customHeight="1">
      <c r="A163" s="2">
        <v>28</v>
      </c>
      <c r="B163" s="2">
        <v>162</v>
      </c>
      <c r="C163" s="2">
        <v>1</v>
      </c>
      <c r="D163" s="2">
        <v>1</v>
      </c>
      <c r="E163" s="2">
        <v>0.71399999999999997</v>
      </c>
      <c r="F163" s="2">
        <v>2</v>
      </c>
    </row>
    <row r="164" spans="1:6" ht="14.25" customHeight="1">
      <c r="A164" s="2">
        <v>28</v>
      </c>
      <c r="B164" s="2">
        <v>163</v>
      </c>
      <c r="C164" s="2">
        <v>8</v>
      </c>
      <c r="D164" s="2">
        <v>1</v>
      </c>
      <c r="E164" s="2">
        <v>0.39400000000000002</v>
      </c>
      <c r="F164" s="2">
        <v>1</v>
      </c>
    </row>
    <row r="165" spans="1:6" ht="14.25" customHeight="1">
      <c r="A165" s="2">
        <v>28</v>
      </c>
      <c r="B165" s="2">
        <v>164</v>
      </c>
      <c r="C165" s="2">
        <v>3</v>
      </c>
      <c r="D165" s="2">
        <v>1</v>
      </c>
      <c r="E165" s="2">
        <v>0.95399999999999996</v>
      </c>
      <c r="F165" s="2">
        <v>1</v>
      </c>
    </row>
    <row r="166" spans="1:6" ht="14.25" customHeight="1">
      <c r="A166" s="2">
        <v>28</v>
      </c>
      <c r="B166" s="2">
        <v>165</v>
      </c>
      <c r="C166" s="2">
        <v>1</v>
      </c>
      <c r="D166" s="2">
        <v>1</v>
      </c>
      <c r="E166" s="2">
        <v>1.31</v>
      </c>
      <c r="F166" s="2">
        <v>2</v>
      </c>
    </row>
    <row r="167" spans="1:6" ht="14.25" customHeight="1">
      <c r="A167" s="2">
        <v>28</v>
      </c>
      <c r="B167" s="2">
        <v>166</v>
      </c>
      <c r="C167" s="2">
        <v>3</v>
      </c>
      <c r="D167" s="2">
        <v>0</v>
      </c>
      <c r="E167" s="2">
        <v>1.2949999999999999</v>
      </c>
      <c r="F167" s="2">
        <v>2</v>
      </c>
    </row>
    <row r="168" spans="1:6" ht="14.25" customHeight="1">
      <c r="A168" s="2">
        <v>28</v>
      </c>
      <c r="B168" s="2">
        <v>167</v>
      </c>
      <c r="C168" s="2">
        <v>4</v>
      </c>
      <c r="D168" s="2">
        <v>1</v>
      </c>
      <c r="E168" s="2">
        <v>1.06</v>
      </c>
      <c r="F168" s="2">
        <v>2</v>
      </c>
    </row>
    <row r="169" spans="1:6" ht="14.25" customHeight="1">
      <c r="A169" s="2">
        <v>28</v>
      </c>
      <c r="B169" s="2">
        <v>168</v>
      </c>
      <c r="C169" s="2">
        <v>5</v>
      </c>
      <c r="D169" s="2">
        <v>1</v>
      </c>
      <c r="E169" s="2">
        <v>0.628</v>
      </c>
      <c r="F169" s="2">
        <v>1</v>
      </c>
    </row>
    <row r="170" spans="1:6" ht="14.25" customHeight="1">
      <c r="A170" s="2">
        <v>28</v>
      </c>
      <c r="B170" s="2">
        <v>169</v>
      </c>
      <c r="C170" s="2">
        <v>8</v>
      </c>
      <c r="D170" s="2">
        <v>1</v>
      </c>
      <c r="E170" s="2">
        <v>0.82099999999999995</v>
      </c>
      <c r="F170" s="2">
        <v>1</v>
      </c>
    </row>
    <row r="171" spans="1:6" ht="14.25" customHeight="1">
      <c r="A171" s="2">
        <v>28</v>
      </c>
      <c r="B171" s="2">
        <v>170</v>
      </c>
      <c r="C171" s="2">
        <v>2</v>
      </c>
      <c r="D171" s="2">
        <v>1</v>
      </c>
      <c r="E171" s="2">
        <v>1.0389999999999999</v>
      </c>
      <c r="F171" s="2">
        <v>2</v>
      </c>
    </row>
    <row r="172" spans="1:6" ht="14.25" customHeight="1">
      <c r="A172" s="2">
        <v>28</v>
      </c>
      <c r="B172" s="2">
        <v>171</v>
      </c>
      <c r="C172" s="2">
        <v>7</v>
      </c>
      <c r="D172" s="2">
        <v>1</v>
      </c>
      <c r="E172" s="2">
        <v>0.58299999999999996</v>
      </c>
      <c r="F172" s="2">
        <v>1</v>
      </c>
    </row>
    <row r="173" spans="1:6" ht="14.25" customHeight="1">
      <c r="A173" s="2">
        <v>28</v>
      </c>
      <c r="B173" s="2">
        <v>172</v>
      </c>
      <c r="C173" s="2">
        <v>1</v>
      </c>
      <c r="D173" s="2">
        <v>1</v>
      </c>
      <c r="E173" s="2">
        <v>1.0429999999999999</v>
      </c>
      <c r="F173" s="2">
        <v>2</v>
      </c>
    </row>
    <row r="174" spans="1:6" ht="14.25" customHeight="1">
      <c r="A174" s="2">
        <v>28</v>
      </c>
      <c r="B174" s="2">
        <v>173</v>
      </c>
      <c r="C174" s="2">
        <v>6</v>
      </c>
      <c r="D174" s="2">
        <v>1</v>
      </c>
      <c r="E174" s="2">
        <v>0.67</v>
      </c>
      <c r="F174" s="2">
        <v>1</v>
      </c>
    </row>
    <row r="175" spans="1:6" ht="14.25" customHeight="1">
      <c r="A175" s="2">
        <v>28</v>
      </c>
      <c r="B175" s="2">
        <v>174</v>
      </c>
      <c r="C175" s="2">
        <v>7</v>
      </c>
      <c r="D175" s="2">
        <v>1</v>
      </c>
      <c r="E175" s="2">
        <v>1.1890000000000001</v>
      </c>
      <c r="F175" s="2">
        <v>2</v>
      </c>
    </row>
    <row r="176" spans="1:6" ht="14.25" customHeight="1">
      <c r="A176" s="2">
        <v>28</v>
      </c>
      <c r="B176" s="2">
        <v>175</v>
      </c>
      <c r="C176" s="2">
        <v>5</v>
      </c>
      <c r="D176" s="2">
        <v>1</v>
      </c>
      <c r="E176" s="2">
        <v>1.1279999999999999</v>
      </c>
      <c r="F176" s="2">
        <v>1</v>
      </c>
    </row>
    <row r="177" spans="1:6" ht="14.25" customHeight="1">
      <c r="A177" s="2">
        <v>28</v>
      </c>
      <c r="B177" s="2">
        <v>176</v>
      </c>
      <c r="C177" s="2">
        <v>7</v>
      </c>
      <c r="D177" s="2">
        <v>0</v>
      </c>
      <c r="E177" s="2">
        <v>1.3740000000000001</v>
      </c>
      <c r="F177" s="2">
        <v>2</v>
      </c>
    </row>
    <row r="178" spans="1:6" ht="14.25" customHeight="1">
      <c r="A178" s="2">
        <v>28</v>
      </c>
      <c r="B178" s="2">
        <v>177</v>
      </c>
      <c r="C178" s="2">
        <v>6</v>
      </c>
      <c r="D178" s="2">
        <v>1</v>
      </c>
      <c r="E178" s="2">
        <v>1.274</v>
      </c>
      <c r="F178" s="2">
        <v>2</v>
      </c>
    </row>
    <row r="179" spans="1:6" ht="14.25" customHeight="1">
      <c r="A179" s="2">
        <v>28</v>
      </c>
      <c r="B179" s="2">
        <v>178</v>
      </c>
      <c r="C179" s="2">
        <v>2</v>
      </c>
      <c r="D179" s="2">
        <v>0</v>
      </c>
      <c r="E179" s="2">
        <v>1.1439999999999999</v>
      </c>
      <c r="F179" s="2">
        <v>1</v>
      </c>
    </row>
    <row r="180" spans="1:6" ht="14.25" customHeight="1">
      <c r="A180" s="2">
        <v>28</v>
      </c>
      <c r="B180" s="2">
        <v>179</v>
      </c>
      <c r="C180" s="2">
        <v>1</v>
      </c>
      <c r="D180" s="2">
        <v>1</v>
      </c>
      <c r="E180" s="2">
        <v>0.625</v>
      </c>
      <c r="F180" s="2">
        <v>1</v>
      </c>
    </row>
    <row r="181" spans="1:6" ht="14.25" customHeight="1">
      <c r="A181" s="2">
        <v>28</v>
      </c>
      <c r="B181" s="2">
        <v>180</v>
      </c>
      <c r="C181" s="2">
        <v>7</v>
      </c>
      <c r="D181" s="2">
        <v>1</v>
      </c>
      <c r="E181" s="2">
        <v>0.95099999999999996</v>
      </c>
      <c r="F181" s="2">
        <v>2</v>
      </c>
    </row>
    <row r="182" spans="1:6" ht="14.25" customHeight="1">
      <c r="A182" s="2">
        <v>28</v>
      </c>
      <c r="B182" s="2">
        <v>181</v>
      </c>
      <c r="C182" s="2">
        <v>4</v>
      </c>
      <c r="D182" s="2">
        <v>1</v>
      </c>
      <c r="E182" s="2">
        <v>0.56399999999999995</v>
      </c>
      <c r="F182" s="2">
        <v>1</v>
      </c>
    </row>
    <row r="183" spans="1:6" ht="14.25" customHeight="1">
      <c r="A183" s="2">
        <v>28</v>
      </c>
      <c r="B183" s="2">
        <v>182</v>
      </c>
      <c r="C183" s="2">
        <v>6</v>
      </c>
      <c r="D183" s="2">
        <v>1</v>
      </c>
      <c r="E183" s="2">
        <v>1.012</v>
      </c>
      <c r="F183" s="2">
        <v>1</v>
      </c>
    </row>
    <row r="184" spans="1:6" ht="14.25" customHeight="1">
      <c r="A184" s="2">
        <v>28</v>
      </c>
      <c r="B184" s="2">
        <v>183</v>
      </c>
      <c r="C184" s="2">
        <v>3</v>
      </c>
      <c r="D184" s="2">
        <v>1</v>
      </c>
      <c r="E184" s="2">
        <v>1.4550000000000001</v>
      </c>
      <c r="F184" s="2">
        <v>2</v>
      </c>
    </row>
    <row r="185" spans="1:6" ht="14.25" customHeight="1">
      <c r="A185" s="2">
        <v>28</v>
      </c>
      <c r="B185" s="2">
        <v>184</v>
      </c>
      <c r="C185" s="2">
        <v>1</v>
      </c>
      <c r="D185" s="2">
        <v>1</v>
      </c>
      <c r="E185" s="2">
        <v>1.0549999999999999</v>
      </c>
      <c r="F185" s="2">
        <v>1</v>
      </c>
    </row>
    <row r="186" spans="1:6" ht="14.25" customHeight="1">
      <c r="A186" s="2">
        <v>28</v>
      </c>
      <c r="B186" s="2">
        <v>185</v>
      </c>
      <c r="C186" s="2">
        <v>7</v>
      </c>
      <c r="D186" s="2">
        <v>1</v>
      </c>
      <c r="E186" s="2">
        <v>1.375</v>
      </c>
      <c r="F186" s="2">
        <v>2</v>
      </c>
    </row>
    <row r="187" spans="1:6" ht="14.25" customHeight="1">
      <c r="A187" s="2">
        <v>28</v>
      </c>
      <c r="B187" s="2">
        <v>186</v>
      </c>
      <c r="C187" s="2">
        <v>3</v>
      </c>
      <c r="D187" s="2">
        <v>1</v>
      </c>
      <c r="E187" s="2">
        <v>0.73399999999999999</v>
      </c>
      <c r="F187" s="2">
        <v>2</v>
      </c>
    </row>
    <row r="188" spans="1:6" ht="14.25" customHeight="1">
      <c r="A188" s="2">
        <v>28</v>
      </c>
      <c r="B188" s="2">
        <v>187</v>
      </c>
      <c r="C188" s="2">
        <v>8</v>
      </c>
      <c r="D188" s="2">
        <v>1</v>
      </c>
      <c r="E188" s="2">
        <v>0.68899999999999995</v>
      </c>
      <c r="F188" s="2">
        <v>2</v>
      </c>
    </row>
    <row r="189" spans="1:6" ht="14.25" customHeight="1">
      <c r="A189" s="2">
        <v>28</v>
      </c>
      <c r="B189" s="2">
        <v>188</v>
      </c>
      <c r="C189" s="2">
        <v>4</v>
      </c>
      <c r="D189" s="2">
        <v>1</v>
      </c>
      <c r="E189" s="2">
        <v>1.4790000000000001</v>
      </c>
      <c r="F189" s="2">
        <v>1</v>
      </c>
    </row>
    <row r="190" spans="1:6" ht="14.25" customHeight="1">
      <c r="A190" s="2">
        <v>28</v>
      </c>
      <c r="B190" s="2">
        <v>189</v>
      </c>
      <c r="C190" s="2">
        <v>8</v>
      </c>
      <c r="D190" s="2">
        <v>1</v>
      </c>
      <c r="E190" s="2">
        <v>0.55900000000000005</v>
      </c>
      <c r="F190" s="2">
        <v>1</v>
      </c>
    </row>
    <row r="191" spans="1:6" ht="14.25" customHeight="1">
      <c r="A191" s="2">
        <v>28</v>
      </c>
      <c r="B191" s="2">
        <v>190</v>
      </c>
      <c r="C191" s="2">
        <v>5</v>
      </c>
      <c r="D191" s="2">
        <v>0</v>
      </c>
      <c r="E191" s="2">
        <v>1.077</v>
      </c>
      <c r="F191" s="2">
        <v>1</v>
      </c>
    </row>
    <row r="192" spans="1:6" ht="14.25" customHeight="1">
      <c r="A192" s="2">
        <v>28</v>
      </c>
      <c r="B192" s="2">
        <v>191</v>
      </c>
      <c r="C192" s="2">
        <v>3</v>
      </c>
      <c r="D192" s="2">
        <v>1</v>
      </c>
      <c r="E192" s="2">
        <v>1.17</v>
      </c>
      <c r="F192" s="2">
        <v>2</v>
      </c>
    </row>
    <row r="193" spans="1:6" ht="14.25" customHeight="1">
      <c r="A193" s="2">
        <v>28</v>
      </c>
      <c r="B193" s="2">
        <v>192</v>
      </c>
      <c r="C193" s="2">
        <v>7</v>
      </c>
      <c r="D193" s="2">
        <v>1</v>
      </c>
      <c r="E193" s="2">
        <v>1.181</v>
      </c>
      <c r="F193" s="2">
        <v>1</v>
      </c>
    </row>
    <row r="194" spans="1:6" ht="14.25" customHeight="1">
      <c r="A194" s="2">
        <v>28</v>
      </c>
      <c r="B194" s="2">
        <v>193</v>
      </c>
      <c r="C194" s="2">
        <v>2</v>
      </c>
      <c r="D194" s="2">
        <v>0</v>
      </c>
      <c r="E194" s="2">
        <v>1.161</v>
      </c>
      <c r="F194" s="2">
        <v>2</v>
      </c>
    </row>
    <row r="195" spans="1:6" ht="14.25" customHeight="1">
      <c r="A195" s="2">
        <v>28</v>
      </c>
      <c r="B195" s="2">
        <v>194</v>
      </c>
      <c r="C195" s="2">
        <v>8</v>
      </c>
      <c r="D195" s="2">
        <v>1</v>
      </c>
      <c r="E195" s="2">
        <v>1.476</v>
      </c>
      <c r="F195" s="2">
        <v>2</v>
      </c>
    </row>
    <row r="196" spans="1:6" ht="14.25" customHeight="1">
      <c r="A196" s="2">
        <v>28</v>
      </c>
      <c r="B196" s="2">
        <v>195</v>
      </c>
      <c r="C196" s="2">
        <v>4</v>
      </c>
      <c r="D196" s="2">
        <v>1</v>
      </c>
      <c r="E196" s="2">
        <v>0.93300000000000005</v>
      </c>
      <c r="F196" s="2">
        <v>2</v>
      </c>
    </row>
    <row r="197" spans="1:6" ht="14.25" customHeight="1">
      <c r="A197" s="2">
        <v>28</v>
      </c>
      <c r="B197" s="2">
        <v>196</v>
      </c>
      <c r="C197" s="2">
        <v>3</v>
      </c>
      <c r="D197" s="2">
        <v>1</v>
      </c>
      <c r="E197" s="2">
        <v>0.65200000000000002</v>
      </c>
      <c r="F197" s="2">
        <v>1</v>
      </c>
    </row>
    <row r="198" spans="1:6" ht="14.25" customHeight="1">
      <c r="A198" s="2">
        <v>28</v>
      </c>
      <c r="B198" s="2">
        <v>197</v>
      </c>
      <c r="C198" s="2">
        <v>8</v>
      </c>
      <c r="D198" s="2">
        <v>1</v>
      </c>
      <c r="E198" s="2">
        <v>0.78900000000000003</v>
      </c>
      <c r="F198" s="2">
        <v>1</v>
      </c>
    </row>
    <row r="199" spans="1:6" ht="14.25" customHeight="1">
      <c r="A199" s="2">
        <v>28</v>
      </c>
      <c r="B199" s="2">
        <v>198</v>
      </c>
      <c r="C199" s="2">
        <v>6</v>
      </c>
      <c r="D199" s="2">
        <v>0</v>
      </c>
      <c r="E199" s="2">
        <v>0.997</v>
      </c>
      <c r="F199" s="2">
        <v>1</v>
      </c>
    </row>
    <row r="200" spans="1:6" ht="14.25" customHeight="1">
      <c r="A200" s="2">
        <v>28</v>
      </c>
      <c r="B200" s="2">
        <v>199</v>
      </c>
      <c r="C200" s="2">
        <v>4</v>
      </c>
      <c r="D200" s="2">
        <v>1</v>
      </c>
      <c r="E200" s="2">
        <v>1.4179999999999999</v>
      </c>
      <c r="F200" s="2">
        <v>2</v>
      </c>
    </row>
    <row r="201" spans="1:6" ht="14.25" customHeight="1">
      <c r="A201" s="2">
        <v>28</v>
      </c>
      <c r="B201" s="2">
        <v>200</v>
      </c>
      <c r="C201" s="2">
        <v>5</v>
      </c>
      <c r="D201" s="2">
        <v>1</v>
      </c>
      <c r="E201" s="2">
        <v>1.0680000000000001</v>
      </c>
      <c r="F201" s="2">
        <v>2</v>
      </c>
    </row>
    <row r="202" spans="1:6" ht="14.25" customHeight="1">
      <c r="A202" s="2">
        <v>28</v>
      </c>
      <c r="B202" s="2">
        <v>201</v>
      </c>
      <c r="C202" s="2">
        <v>6</v>
      </c>
      <c r="D202" s="2">
        <v>1</v>
      </c>
      <c r="E202" s="2">
        <v>0.99299999999999999</v>
      </c>
      <c r="F202" s="2">
        <v>2</v>
      </c>
    </row>
    <row r="203" spans="1:6" ht="14.25" customHeight="1">
      <c r="A203" s="2">
        <v>28</v>
      </c>
      <c r="B203" s="2">
        <v>202</v>
      </c>
      <c r="C203" s="2">
        <v>2</v>
      </c>
      <c r="D203" s="2">
        <v>1</v>
      </c>
      <c r="E203" s="2">
        <v>1.284</v>
      </c>
      <c r="F203" s="2">
        <v>1</v>
      </c>
    </row>
    <row r="204" spans="1:6" ht="14.25" customHeight="1">
      <c r="A204" s="2">
        <v>28</v>
      </c>
      <c r="B204" s="2">
        <v>203</v>
      </c>
      <c r="C204" s="2">
        <v>1</v>
      </c>
      <c r="D204" s="2">
        <v>1</v>
      </c>
      <c r="E204" s="2">
        <v>0.73099999999999998</v>
      </c>
      <c r="F204" s="2">
        <v>2</v>
      </c>
    </row>
    <row r="205" spans="1:6" ht="14.25" customHeight="1">
      <c r="A205" s="2">
        <v>28</v>
      </c>
      <c r="B205" s="2">
        <v>204</v>
      </c>
      <c r="C205" s="2">
        <v>5</v>
      </c>
      <c r="D205" s="2">
        <v>1</v>
      </c>
      <c r="E205" s="2">
        <v>1.238</v>
      </c>
      <c r="F205" s="2">
        <v>2</v>
      </c>
    </row>
    <row r="206" spans="1:6" ht="14.25" customHeight="1">
      <c r="A206" s="2">
        <v>28</v>
      </c>
      <c r="B206" s="2">
        <v>205</v>
      </c>
      <c r="C206" s="2">
        <v>8</v>
      </c>
      <c r="D206" s="2">
        <v>1</v>
      </c>
      <c r="E206" s="2">
        <v>0.90500000000000003</v>
      </c>
      <c r="F206" s="2">
        <v>1</v>
      </c>
    </row>
    <row r="207" spans="1:6" ht="14.25" customHeight="1">
      <c r="A207" s="2">
        <v>28</v>
      </c>
      <c r="B207" s="2">
        <v>206</v>
      </c>
      <c r="C207" s="2">
        <v>6</v>
      </c>
      <c r="D207" s="2">
        <v>1</v>
      </c>
      <c r="E207" s="2">
        <v>0.94</v>
      </c>
      <c r="F207" s="2">
        <v>2</v>
      </c>
    </row>
    <row r="208" spans="1:6" ht="14.25" customHeight="1">
      <c r="A208" s="2">
        <v>28</v>
      </c>
      <c r="B208" s="2">
        <v>207</v>
      </c>
      <c r="C208" s="2">
        <v>8</v>
      </c>
      <c r="D208" s="2">
        <v>1</v>
      </c>
      <c r="E208" s="2">
        <v>0.57799999999999996</v>
      </c>
      <c r="F208" s="2">
        <v>1</v>
      </c>
    </row>
    <row r="209" spans="1:6" ht="14.25" customHeight="1">
      <c r="A209" s="2">
        <v>28</v>
      </c>
      <c r="B209" s="2">
        <v>208</v>
      </c>
      <c r="C209" s="2">
        <v>1</v>
      </c>
      <c r="D209" s="2">
        <v>0</v>
      </c>
      <c r="E209" s="2">
        <v>0.90400000000000003</v>
      </c>
      <c r="F209" s="2">
        <v>1</v>
      </c>
    </row>
    <row r="210" spans="1:6" ht="14.25" customHeight="1">
      <c r="A210" s="2">
        <v>28</v>
      </c>
      <c r="B210" s="2">
        <v>209</v>
      </c>
      <c r="C210" s="2">
        <v>2</v>
      </c>
      <c r="D210" s="2">
        <v>1</v>
      </c>
      <c r="E210" s="2">
        <v>0.88400000000000001</v>
      </c>
      <c r="F210" s="2">
        <v>1</v>
      </c>
    </row>
    <row r="211" spans="1:6" ht="14.25" customHeight="1">
      <c r="A211" s="2">
        <v>28</v>
      </c>
      <c r="B211" s="2">
        <v>210</v>
      </c>
      <c r="C211" s="2">
        <v>3</v>
      </c>
      <c r="D211" s="2">
        <v>1</v>
      </c>
      <c r="E211" s="2">
        <v>0.85799999999999998</v>
      </c>
      <c r="F211" s="2">
        <v>2</v>
      </c>
    </row>
    <row r="212" spans="1:6" ht="14.25" customHeight="1">
      <c r="A212" s="2">
        <v>28</v>
      </c>
      <c r="B212" s="2">
        <v>211</v>
      </c>
      <c r="C212" s="2">
        <v>8</v>
      </c>
      <c r="D212" s="2">
        <v>1</v>
      </c>
      <c r="E212" s="2">
        <v>0.77300000000000002</v>
      </c>
      <c r="F212" s="2">
        <v>1</v>
      </c>
    </row>
    <row r="213" spans="1:6" ht="14.25" customHeight="1">
      <c r="A213" s="2">
        <v>28</v>
      </c>
      <c r="B213" s="2">
        <v>212</v>
      </c>
      <c r="C213" s="2">
        <v>2</v>
      </c>
      <c r="D213" s="2">
        <v>1</v>
      </c>
      <c r="E213" s="2">
        <v>1.4379999999999999</v>
      </c>
      <c r="F213" s="2">
        <v>2</v>
      </c>
    </row>
    <row r="214" spans="1:6" ht="14.25" customHeight="1">
      <c r="A214" s="2">
        <v>28</v>
      </c>
      <c r="B214" s="2">
        <v>213</v>
      </c>
      <c r="C214" s="2">
        <v>6</v>
      </c>
      <c r="D214" s="2">
        <v>1</v>
      </c>
      <c r="E214" s="2">
        <v>0.67200000000000004</v>
      </c>
      <c r="F214" s="2">
        <v>1</v>
      </c>
    </row>
    <row r="215" spans="1:6" ht="14.25" customHeight="1">
      <c r="A215" s="2">
        <v>28</v>
      </c>
      <c r="B215" s="2">
        <v>214</v>
      </c>
      <c r="C215" s="2">
        <v>7</v>
      </c>
      <c r="D215" s="2">
        <v>1</v>
      </c>
      <c r="E215" s="2">
        <v>1.117</v>
      </c>
      <c r="F215" s="2">
        <v>1</v>
      </c>
    </row>
    <row r="216" spans="1:6" ht="14.25" customHeight="1">
      <c r="A216" s="2">
        <v>28</v>
      </c>
      <c r="B216" s="2">
        <v>215</v>
      </c>
      <c r="C216" s="2">
        <v>1</v>
      </c>
      <c r="D216" s="2">
        <v>0</v>
      </c>
      <c r="E216" s="2">
        <v>1.3180000000000001</v>
      </c>
      <c r="F216" s="2">
        <v>1</v>
      </c>
    </row>
    <row r="217" spans="1:6" ht="14.25" customHeight="1">
      <c r="A217" s="2">
        <v>28</v>
      </c>
      <c r="B217" s="2">
        <v>216</v>
      </c>
      <c r="C217" s="2">
        <v>8</v>
      </c>
      <c r="D217" s="2">
        <v>1</v>
      </c>
      <c r="E217" s="2">
        <v>1.361</v>
      </c>
      <c r="F217" s="2">
        <v>1</v>
      </c>
    </row>
    <row r="218" spans="1:6" ht="14.25" customHeight="1">
      <c r="A218" s="2">
        <v>28</v>
      </c>
      <c r="B218" s="2">
        <v>217</v>
      </c>
      <c r="C218" s="2">
        <v>7</v>
      </c>
      <c r="D218" s="2">
        <v>1</v>
      </c>
      <c r="E218" s="2">
        <v>0.99199999999999999</v>
      </c>
      <c r="F218" s="2">
        <v>2</v>
      </c>
    </row>
    <row r="219" spans="1:6" ht="14.25" customHeight="1">
      <c r="A219" s="2">
        <v>28</v>
      </c>
      <c r="B219" s="2">
        <v>218</v>
      </c>
      <c r="C219" s="2">
        <v>2</v>
      </c>
      <c r="D219" s="2">
        <v>1</v>
      </c>
      <c r="E219" s="2">
        <v>0.80300000000000005</v>
      </c>
      <c r="F219" s="2">
        <v>1</v>
      </c>
    </row>
    <row r="220" spans="1:6" ht="14.25" customHeight="1">
      <c r="A220" s="2">
        <v>28</v>
      </c>
      <c r="B220" s="2">
        <v>219</v>
      </c>
      <c r="C220" s="2">
        <v>5</v>
      </c>
      <c r="D220" s="2">
        <v>0</v>
      </c>
      <c r="E220" s="2">
        <v>1.413</v>
      </c>
      <c r="F220" s="2">
        <v>2</v>
      </c>
    </row>
    <row r="221" spans="1:6" ht="14.25" customHeight="1">
      <c r="A221" s="2">
        <v>28</v>
      </c>
      <c r="B221" s="2">
        <v>220</v>
      </c>
      <c r="C221" s="2">
        <v>3</v>
      </c>
      <c r="D221" s="2">
        <v>1</v>
      </c>
      <c r="E221" s="2">
        <v>0.82299999999999995</v>
      </c>
      <c r="F221" s="2">
        <v>2</v>
      </c>
    </row>
    <row r="222" spans="1:6" ht="14.25" customHeight="1">
      <c r="A222" s="2">
        <v>28</v>
      </c>
      <c r="B222" s="2">
        <v>221</v>
      </c>
      <c r="C222" s="2">
        <v>7</v>
      </c>
      <c r="D222" s="2">
        <v>1</v>
      </c>
      <c r="E222" s="2">
        <v>0.78500000000000003</v>
      </c>
      <c r="F222" s="2">
        <v>1</v>
      </c>
    </row>
    <row r="223" spans="1:6" ht="14.25" customHeight="1">
      <c r="A223" s="2">
        <v>28</v>
      </c>
      <c r="B223" s="2">
        <v>222</v>
      </c>
      <c r="C223" s="2">
        <v>4</v>
      </c>
      <c r="D223" s="2">
        <v>1</v>
      </c>
      <c r="E223" s="2">
        <v>1.3</v>
      </c>
      <c r="F223" s="2">
        <v>2</v>
      </c>
    </row>
    <row r="224" spans="1:6" ht="14.25" customHeight="1">
      <c r="A224" s="2">
        <v>28</v>
      </c>
      <c r="B224" s="2">
        <v>223</v>
      </c>
      <c r="C224" s="2">
        <v>6</v>
      </c>
      <c r="D224" s="2">
        <v>1</v>
      </c>
      <c r="E224" s="2">
        <v>0.75</v>
      </c>
      <c r="F224" s="2">
        <v>1</v>
      </c>
    </row>
    <row r="225" spans="1:6" ht="14.25" customHeight="1">
      <c r="A225" s="2">
        <v>28</v>
      </c>
      <c r="B225" s="2">
        <v>224</v>
      </c>
      <c r="C225" s="2">
        <v>8</v>
      </c>
      <c r="D225" s="2">
        <v>1</v>
      </c>
      <c r="E225" s="2">
        <v>0.996</v>
      </c>
      <c r="F225" s="2">
        <v>2</v>
      </c>
    </row>
    <row r="226" spans="1:6" ht="14.25" customHeight="1">
      <c r="A226" s="2">
        <v>28</v>
      </c>
      <c r="B226" s="2">
        <v>225</v>
      </c>
      <c r="C226" s="2">
        <v>1</v>
      </c>
      <c r="D226" s="2">
        <v>0</v>
      </c>
      <c r="E226" s="2">
        <v>0.82299999999999995</v>
      </c>
      <c r="F226" s="2">
        <v>2</v>
      </c>
    </row>
    <row r="227" spans="1:6" ht="14.25" customHeight="1">
      <c r="A227" s="2">
        <v>28</v>
      </c>
      <c r="B227" s="2">
        <v>226</v>
      </c>
      <c r="C227" s="2">
        <v>5</v>
      </c>
      <c r="D227" s="2">
        <v>1</v>
      </c>
      <c r="E227" s="2">
        <v>0.86299999999999999</v>
      </c>
      <c r="F227" s="2">
        <v>1</v>
      </c>
    </row>
    <row r="228" spans="1:6" ht="14.25" customHeight="1">
      <c r="A228" s="2">
        <v>28</v>
      </c>
      <c r="B228" s="2">
        <v>227</v>
      </c>
      <c r="C228" s="2">
        <v>4</v>
      </c>
      <c r="D228" s="2">
        <v>1</v>
      </c>
      <c r="E228" s="2">
        <v>1.083</v>
      </c>
      <c r="F228" s="2">
        <v>2</v>
      </c>
    </row>
    <row r="229" spans="1:6" ht="14.25" customHeight="1">
      <c r="A229" s="2">
        <v>28</v>
      </c>
      <c r="B229" s="2">
        <v>228</v>
      </c>
      <c r="C229" s="2">
        <v>7</v>
      </c>
      <c r="D229" s="2">
        <v>1</v>
      </c>
      <c r="E229" s="2">
        <v>1.3460000000000001</v>
      </c>
      <c r="F229" s="2">
        <v>2</v>
      </c>
    </row>
    <row r="230" spans="1:6" ht="14.25" customHeight="1">
      <c r="A230" s="2">
        <v>28</v>
      </c>
      <c r="B230" s="2">
        <v>229</v>
      </c>
      <c r="C230" s="2">
        <v>5</v>
      </c>
      <c r="D230" s="2">
        <v>1</v>
      </c>
      <c r="E230" s="2">
        <v>0.73099999999999998</v>
      </c>
      <c r="F230" s="2">
        <v>1</v>
      </c>
    </row>
    <row r="231" spans="1:6" ht="14.25" customHeight="1">
      <c r="A231" s="2">
        <v>28</v>
      </c>
      <c r="B231" s="2">
        <v>230</v>
      </c>
      <c r="C231" s="2">
        <v>6</v>
      </c>
      <c r="D231" s="2">
        <v>1</v>
      </c>
      <c r="E231" s="2">
        <v>0.92500000000000004</v>
      </c>
      <c r="F231" s="2">
        <v>2</v>
      </c>
    </row>
    <row r="232" spans="1:6" ht="14.25" customHeight="1">
      <c r="A232" s="2">
        <v>28</v>
      </c>
      <c r="B232" s="2">
        <v>231</v>
      </c>
      <c r="C232" s="2">
        <v>2</v>
      </c>
      <c r="D232" s="2">
        <v>1</v>
      </c>
      <c r="E232" s="2">
        <v>0.67</v>
      </c>
      <c r="F232" s="2">
        <v>1</v>
      </c>
    </row>
    <row r="233" spans="1:6" ht="14.25" customHeight="1">
      <c r="A233" s="2">
        <v>28</v>
      </c>
      <c r="B233" s="2">
        <v>232</v>
      </c>
      <c r="C233" s="2">
        <v>8</v>
      </c>
      <c r="D233" s="2">
        <v>1</v>
      </c>
      <c r="E233" s="2">
        <v>1.224</v>
      </c>
      <c r="F233" s="2">
        <v>1</v>
      </c>
    </row>
    <row r="234" spans="1:6" ht="14.25" customHeight="1">
      <c r="A234" s="2">
        <v>28</v>
      </c>
      <c r="B234" s="2">
        <v>233</v>
      </c>
      <c r="C234" s="2">
        <v>3</v>
      </c>
      <c r="D234" s="2">
        <v>1</v>
      </c>
      <c r="E234" s="2">
        <v>0.89600000000000002</v>
      </c>
      <c r="F234" s="2">
        <v>2</v>
      </c>
    </row>
    <row r="235" spans="1:6" ht="14.25" customHeight="1">
      <c r="A235" s="2">
        <v>28</v>
      </c>
      <c r="B235" s="2">
        <v>234</v>
      </c>
      <c r="C235" s="2">
        <v>4</v>
      </c>
      <c r="D235" s="2">
        <v>1</v>
      </c>
      <c r="E235" s="2">
        <v>0.76900000000000002</v>
      </c>
      <c r="F235" s="2">
        <v>1</v>
      </c>
    </row>
    <row r="236" spans="1:6" ht="14.25" customHeight="1">
      <c r="A236" s="2">
        <v>28</v>
      </c>
      <c r="B236" s="2">
        <v>235</v>
      </c>
      <c r="C236" s="2">
        <v>7</v>
      </c>
      <c r="D236" s="2">
        <v>1</v>
      </c>
      <c r="E236" s="2">
        <v>1.133</v>
      </c>
      <c r="F236" s="2">
        <v>2</v>
      </c>
    </row>
    <row r="237" spans="1:6" ht="14.25" customHeight="1">
      <c r="A237" s="2">
        <v>28</v>
      </c>
      <c r="B237" s="2">
        <v>236</v>
      </c>
      <c r="C237" s="2">
        <v>5</v>
      </c>
      <c r="D237" s="2">
        <v>1</v>
      </c>
      <c r="E237" s="2">
        <v>0.58299999999999996</v>
      </c>
      <c r="F237" s="2">
        <v>2</v>
      </c>
    </row>
    <row r="238" spans="1:6" ht="14.25" customHeight="1">
      <c r="A238" s="2">
        <v>28</v>
      </c>
      <c r="B238" s="2">
        <v>237</v>
      </c>
      <c r="C238" s="2">
        <v>6</v>
      </c>
      <c r="D238" s="2">
        <v>1</v>
      </c>
      <c r="E238" s="2">
        <v>0.70199999999999996</v>
      </c>
      <c r="F238" s="2">
        <v>2</v>
      </c>
    </row>
    <row r="239" spans="1:6" ht="14.25" customHeight="1">
      <c r="A239" s="2">
        <v>28</v>
      </c>
      <c r="B239" s="2">
        <v>238</v>
      </c>
      <c r="C239" s="2">
        <v>7</v>
      </c>
      <c r="D239" s="2">
        <v>1</v>
      </c>
      <c r="E239" s="2">
        <v>0.626</v>
      </c>
      <c r="F239" s="2">
        <v>1</v>
      </c>
    </row>
    <row r="240" spans="1:6" ht="14.25" customHeight="1">
      <c r="A240" s="2">
        <v>28</v>
      </c>
      <c r="B240" s="2">
        <v>239</v>
      </c>
      <c r="C240" s="2">
        <v>4</v>
      </c>
      <c r="D240" s="2">
        <v>1</v>
      </c>
      <c r="E240" s="2">
        <v>1.7170000000000001</v>
      </c>
      <c r="F240" s="2">
        <v>1</v>
      </c>
    </row>
    <row r="241" spans="1:6" ht="14.25" customHeight="1">
      <c r="A241" s="2">
        <v>28</v>
      </c>
      <c r="B241" s="2">
        <v>240</v>
      </c>
      <c r="C241" s="2">
        <v>2</v>
      </c>
      <c r="D241" s="2">
        <v>1</v>
      </c>
      <c r="E241" s="2">
        <v>1.492</v>
      </c>
      <c r="F241" s="2">
        <v>2</v>
      </c>
    </row>
    <row r="242" spans="1:6" ht="14.25" customHeight="1">
      <c r="A242" s="2">
        <v>28</v>
      </c>
      <c r="B242" s="2">
        <v>241</v>
      </c>
      <c r="C242" s="2">
        <v>1</v>
      </c>
      <c r="D242" s="2">
        <v>1</v>
      </c>
      <c r="E242" s="2">
        <v>0.99199999999999999</v>
      </c>
      <c r="F242" s="2">
        <v>2</v>
      </c>
    </row>
    <row r="243" spans="1:6" ht="14.25" customHeight="1">
      <c r="A243" s="2">
        <v>28</v>
      </c>
      <c r="B243" s="2">
        <v>242</v>
      </c>
      <c r="C243" s="2">
        <v>5</v>
      </c>
      <c r="D243" s="2">
        <v>1</v>
      </c>
      <c r="E243" s="2">
        <v>0.68600000000000005</v>
      </c>
      <c r="F243" s="2">
        <v>1</v>
      </c>
    </row>
    <row r="244" spans="1:6" ht="14.25" customHeight="1">
      <c r="A244" s="2">
        <v>28</v>
      </c>
      <c r="B244" s="2">
        <v>243</v>
      </c>
      <c r="C244" s="2">
        <v>3</v>
      </c>
      <c r="D244" s="2">
        <v>1</v>
      </c>
      <c r="E244" s="2">
        <v>1.0940000000000001</v>
      </c>
      <c r="F244" s="2">
        <v>1</v>
      </c>
    </row>
    <row r="245" spans="1:6" ht="14.25" customHeight="1">
      <c r="A245" s="2">
        <v>28</v>
      </c>
      <c r="B245" s="2">
        <v>244</v>
      </c>
      <c r="C245" s="2">
        <v>4</v>
      </c>
      <c r="D245" s="2">
        <v>1</v>
      </c>
      <c r="E245" s="2">
        <v>1.6080000000000001</v>
      </c>
      <c r="F245" s="2">
        <v>2</v>
      </c>
    </row>
    <row r="246" spans="1:6" ht="14.25" customHeight="1">
      <c r="A246" s="2">
        <v>28</v>
      </c>
      <c r="B246" s="2">
        <v>245</v>
      </c>
      <c r="C246" s="2">
        <v>1</v>
      </c>
      <c r="D246" s="2">
        <v>0</v>
      </c>
      <c r="E246" s="2">
        <v>1.4510000000000001</v>
      </c>
      <c r="F246" s="2">
        <v>1</v>
      </c>
    </row>
    <row r="247" spans="1:6" ht="14.25" customHeight="1">
      <c r="A247" s="2">
        <v>28</v>
      </c>
      <c r="B247" s="2">
        <v>246</v>
      </c>
      <c r="C247" s="2">
        <v>3</v>
      </c>
      <c r="D247" s="2">
        <v>1</v>
      </c>
      <c r="E247" s="2">
        <v>1.1399999999999999</v>
      </c>
      <c r="F247" s="2">
        <v>1</v>
      </c>
    </row>
    <row r="248" spans="1:6" ht="14.25" customHeight="1">
      <c r="A248" s="2">
        <v>28</v>
      </c>
      <c r="B248" s="2">
        <v>247</v>
      </c>
      <c r="C248" s="2">
        <v>5</v>
      </c>
      <c r="D248" s="2">
        <v>1</v>
      </c>
      <c r="E248" s="2">
        <v>0.76</v>
      </c>
      <c r="F248" s="2">
        <v>1</v>
      </c>
    </row>
    <row r="249" spans="1:6" ht="14.25" customHeight="1">
      <c r="A249" s="2">
        <v>28</v>
      </c>
      <c r="B249" s="2">
        <v>248</v>
      </c>
      <c r="C249" s="2">
        <v>3</v>
      </c>
      <c r="D249" s="2">
        <v>1</v>
      </c>
      <c r="E249" s="2">
        <v>1.5660000000000001</v>
      </c>
      <c r="F249" s="2">
        <v>2</v>
      </c>
    </row>
    <row r="250" spans="1:6" ht="14.25" customHeight="1">
      <c r="A250" s="2">
        <v>28</v>
      </c>
      <c r="B250" s="2">
        <v>249</v>
      </c>
      <c r="C250" s="2">
        <v>4</v>
      </c>
      <c r="D250" s="2">
        <v>1</v>
      </c>
      <c r="E250" s="2">
        <v>0.68300000000000005</v>
      </c>
      <c r="F250" s="2">
        <v>2</v>
      </c>
    </row>
    <row r="251" spans="1:6" ht="14.25" customHeight="1">
      <c r="A251" s="2">
        <v>28</v>
      </c>
      <c r="B251" s="2">
        <v>250</v>
      </c>
      <c r="C251" s="2">
        <v>3</v>
      </c>
      <c r="D251" s="2">
        <v>1</v>
      </c>
      <c r="E251" s="2">
        <v>0.69099999999999995</v>
      </c>
      <c r="F251" s="2">
        <v>2</v>
      </c>
    </row>
    <row r="252" spans="1:6" ht="14.25" customHeight="1">
      <c r="A252" s="2">
        <v>28</v>
      </c>
      <c r="B252" s="2">
        <v>251</v>
      </c>
      <c r="C252" s="2">
        <v>5</v>
      </c>
      <c r="D252" s="2">
        <v>1</v>
      </c>
      <c r="E252" s="2">
        <v>1.3560000000000001</v>
      </c>
    </row>
    <row r="253" spans="1:6" ht="14.25" customHeight="1">
      <c r="A253" s="2">
        <v>28</v>
      </c>
      <c r="B253" s="2">
        <v>252</v>
      </c>
      <c r="C253" s="2">
        <v>4</v>
      </c>
      <c r="D253" s="2">
        <v>1</v>
      </c>
      <c r="E253" s="2">
        <v>1.147</v>
      </c>
    </row>
    <row r="254" spans="1:6" ht="14.25" customHeight="1">
      <c r="A254" s="2">
        <v>28</v>
      </c>
      <c r="B254" s="2">
        <v>253</v>
      </c>
      <c r="C254" s="2">
        <v>3</v>
      </c>
      <c r="D254" s="2">
        <v>1</v>
      </c>
      <c r="E254" s="2">
        <v>0.86799999999999999</v>
      </c>
    </row>
    <row r="255" spans="1:6" ht="14.25" customHeight="1">
      <c r="A255" s="2">
        <v>28</v>
      </c>
      <c r="B255" s="2">
        <v>254</v>
      </c>
      <c r="C255" s="2">
        <v>6</v>
      </c>
      <c r="D255" s="2">
        <v>1</v>
      </c>
      <c r="E255" s="2">
        <v>0.85199999999999998</v>
      </c>
    </row>
    <row r="256" spans="1:6" ht="14.25" customHeight="1">
      <c r="A256" s="2">
        <v>28</v>
      </c>
      <c r="B256" s="2">
        <v>255</v>
      </c>
      <c r="C256" s="2">
        <v>2</v>
      </c>
      <c r="D256" s="2">
        <v>1</v>
      </c>
      <c r="E256" s="2">
        <v>0.78800000000000003</v>
      </c>
    </row>
    <row r="257" spans="1:5" ht="14.25" customHeight="1">
      <c r="A257" s="2">
        <v>28</v>
      </c>
      <c r="B257" s="2">
        <v>256</v>
      </c>
      <c r="C257" s="2">
        <v>5</v>
      </c>
      <c r="D257" s="2">
        <v>1</v>
      </c>
      <c r="E257" s="2">
        <v>0.875</v>
      </c>
    </row>
    <row r="258" spans="1:5" ht="14.25" customHeight="1">
      <c r="A258" s="2">
        <v>28</v>
      </c>
      <c r="B258" s="2">
        <v>257</v>
      </c>
      <c r="C258" s="2">
        <v>7</v>
      </c>
      <c r="D258" s="2">
        <v>1</v>
      </c>
      <c r="E258" s="2">
        <v>0.85</v>
      </c>
    </row>
    <row r="259" spans="1:5" ht="14.25" customHeight="1">
      <c r="A259" s="2">
        <v>28</v>
      </c>
      <c r="B259" s="2">
        <v>258</v>
      </c>
      <c r="C259" s="2">
        <v>3</v>
      </c>
      <c r="D259" s="2">
        <v>0</v>
      </c>
      <c r="E259" s="2">
        <v>1.907</v>
      </c>
    </row>
    <row r="260" spans="1:5" ht="14.25" customHeight="1">
      <c r="A260" s="2">
        <v>28</v>
      </c>
      <c r="B260" s="2">
        <v>259</v>
      </c>
      <c r="C260" s="2">
        <v>1</v>
      </c>
      <c r="D260" s="2">
        <v>1</v>
      </c>
      <c r="E260" s="2">
        <v>0.60099999999999998</v>
      </c>
    </row>
    <row r="261" spans="1:5" ht="14.25" customHeight="1">
      <c r="A261" s="2">
        <v>28</v>
      </c>
      <c r="B261" s="2">
        <v>260</v>
      </c>
      <c r="C261" s="2">
        <v>6</v>
      </c>
      <c r="D261" s="2">
        <v>1</v>
      </c>
      <c r="E261" s="2">
        <v>0.75600000000000001</v>
      </c>
    </row>
    <row r="262" spans="1:5" ht="14.25" customHeight="1">
      <c r="A262" s="2">
        <v>28</v>
      </c>
      <c r="B262" s="2">
        <v>261</v>
      </c>
      <c r="C262" s="2">
        <v>5</v>
      </c>
      <c r="D262" s="2">
        <v>1</v>
      </c>
      <c r="E262" s="2">
        <v>0.94799999999999995</v>
      </c>
    </row>
    <row r="263" spans="1:5" ht="14.25" customHeight="1">
      <c r="A263" s="2">
        <v>28</v>
      </c>
      <c r="B263" s="2">
        <v>262</v>
      </c>
      <c r="C263" s="2">
        <v>2</v>
      </c>
      <c r="D263" s="2">
        <v>1</v>
      </c>
      <c r="E263" s="2">
        <v>1.6080000000000001</v>
      </c>
    </row>
    <row r="264" spans="1:5" ht="14.25" customHeight="1">
      <c r="A264" s="2">
        <v>28</v>
      </c>
      <c r="B264" s="2">
        <v>263</v>
      </c>
      <c r="C264" s="2">
        <v>4</v>
      </c>
      <c r="D264" s="2">
        <v>1</v>
      </c>
      <c r="E264" s="2">
        <v>0.73399999999999999</v>
      </c>
    </row>
    <row r="265" spans="1:5" ht="14.25" customHeight="1">
      <c r="A265" s="2">
        <v>28</v>
      </c>
      <c r="B265" s="2">
        <v>264</v>
      </c>
      <c r="C265" s="2">
        <v>1</v>
      </c>
      <c r="D265" s="2">
        <v>1</v>
      </c>
      <c r="E265" s="2">
        <v>1.1040000000000001</v>
      </c>
    </row>
    <row r="266" spans="1:5" ht="14.25" customHeight="1">
      <c r="A266" s="2">
        <v>28</v>
      </c>
      <c r="B266" s="2">
        <v>265</v>
      </c>
      <c r="C266" s="2">
        <v>6</v>
      </c>
      <c r="D266" s="2">
        <v>1</v>
      </c>
      <c r="E266" s="2">
        <v>1.585</v>
      </c>
    </row>
    <row r="267" spans="1:5" ht="14.25" customHeight="1">
      <c r="A267" s="2">
        <v>28</v>
      </c>
      <c r="B267" s="2">
        <v>266</v>
      </c>
      <c r="C267" s="2">
        <v>1</v>
      </c>
      <c r="D267" s="2">
        <v>1</v>
      </c>
      <c r="E267" s="2">
        <v>1.109</v>
      </c>
    </row>
    <row r="268" spans="1:5" ht="14.25" customHeight="1">
      <c r="A268" s="2">
        <v>28</v>
      </c>
      <c r="B268" s="2">
        <v>267</v>
      </c>
      <c r="C268" s="2">
        <v>4</v>
      </c>
      <c r="D268" s="2">
        <v>1</v>
      </c>
      <c r="E268" s="2">
        <v>0.89900000000000002</v>
      </c>
    </row>
    <row r="269" spans="1:5" ht="14.25" customHeight="1">
      <c r="A269" s="2">
        <v>28</v>
      </c>
      <c r="B269" s="2">
        <v>268</v>
      </c>
      <c r="C269" s="2">
        <v>6</v>
      </c>
      <c r="D269" s="2">
        <v>1</v>
      </c>
      <c r="E269" s="2">
        <v>0.79300000000000004</v>
      </c>
    </row>
    <row r="270" spans="1:5" ht="14.25" customHeight="1">
      <c r="A270" s="2">
        <v>28</v>
      </c>
      <c r="B270" s="2">
        <v>269</v>
      </c>
      <c r="C270" s="2">
        <v>1</v>
      </c>
      <c r="D270" s="2">
        <v>1</v>
      </c>
      <c r="E270" s="2">
        <v>1.04</v>
      </c>
    </row>
    <row r="271" spans="1:5" ht="14.25" customHeight="1">
      <c r="A271" s="2">
        <v>28</v>
      </c>
      <c r="B271" s="2">
        <v>270</v>
      </c>
      <c r="C271" s="2">
        <v>8</v>
      </c>
      <c r="D271" s="2">
        <v>1</v>
      </c>
      <c r="E271" s="2">
        <v>1.613</v>
      </c>
    </row>
    <row r="272" spans="1:5" ht="14.25" customHeight="1">
      <c r="A272" s="2">
        <v>28</v>
      </c>
      <c r="B272" s="2">
        <v>271</v>
      </c>
      <c r="C272" s="2">
        <v>5</v>
      </c>
      <c r="D272" s="2">
        <v>1</v>
      </c>
      <c r="E272" s="2">
        <v>0.58199999999999996</v>
      </c>
    </row>
    <row r="273" spans="1:5" ht="14.25" customHeight="1">
      <c r="A273" s="2">
        <v>28</v>
      </c>
      <c r="B273" s="2">
        <v>272</v>
      </c>
      <c r="C273" s="2">
        <v>8</v>
      </c>
      <c r="D273" s="2">
        <v>1</v>
      </c>
      <c r="E273" s="2">
        <v>1.2330000000000001</v>
      </c>
    </row>
    <row r="274" spans="1:5" ht="14.25" customHeight="1">
      <c r="A274" s="2">
        <v>28</v>
      </c>
      <c r="B274" s="2">
        <v>273</v>
      </c>
      <c r="C274" s="2">
        <v>5</v>
      </c>
      <c r="D274" s="2">
        <v>1</v>
      </c>
      <c r="E274" s="2">
        <v>0.98699999999999999</v>
      </c>
    </row>
    <row r="275" spans="1:5" ht="14.25" customHeight="1">
      <c r="A275" s="2">
        <v>28</v>
      </c>
      <c r="B275" s="2">
        <v>274</v>
      </c>
      <c r="C275" s="2">
        <v>7</v>
      </c>
      <c r="D275" s="2">
        <v>1</v>
      </c>
      <c r="E275" s="2">
        <v>1.0740000000000001</v>
      </c>
    </row>
    <row r="276" spans="1:5" ht="14.25" customHeight="1">
      <c r="A276" s="2">
        <v>28</v>
      </c>
      <c r="B276" s="2">
        <v>275</v>
      </c>
      <c r="C276" s="2">
        <v>3</v>
      </c>
      <c r="D276" s="2">
        <v>1</v>
      </c>
      <c r="E276" s="2">
        <v>1.014</v>
      </c>
    </row>
    <row r="277" spans="1:5" ht="14.25" customHeight="1">
      <c r="A277" s="2">
        <v>28</v>
      </c>
      <c r="B277" s="2">
        <v>276</v>
      </c>
      <c r="C277" s="2">
        <v>4</v>
      </c>
      <c r="D277" s="2">
        <v>1</v>
      </c>
      <c r="E277" s="2">
        <v>0.72499999999999998</v>
      </c>
    </row>
    <row r="278" spans="1:5" ht="14.25" customHeight="1">
      <c r="A278" s="2">
        <v>28</v>
      </c>
      <c r="B278" s="2">
        <v>277</v>
      </c>
      <c r="C278" s="2">
        <v>2</v>
      </c>
      <c r="D278" s="2">
        <v>1</v>
      </c>
      <c r="E278" s="2">
        <v>0.75</v>
      </c>
    </row>
    <row r="279" spans="1:5" ht="14.25" customHeight="1">
      <c r="A279" s="2">
        <v>28</v>
      </c>
      <c r="B279" s="2">
        <v>278</v>
      </c>
      <c r="C279" s="2">
        <v>8</v>
      </c>
      <c r="D279" s="2">
        <v>1</v>
      </c>
      <c r="E279" s="2">
        <v>1.3540000000000001</v>
      </c>
    </row>
    <row r="280" spans="1:5" ht="14.25" customHeight="1">
      <c r="A280" s="2">
        <v>28</v>
      </c>
      <c r="B280" s="2">
        <v>279</v>
      </c>
      <c r="C280" s="2">
        <v>5</v>
      </c>
      <c r="D280" s="2">
        <v>1</v>
      </c>
      <c r="E280" s="2">
        <v>0.65200000000000002</v>
      </c>
    </row>
    <row r="281" spans="1:5" ht="14.25" customHeight="1">
      <c r="A281" s="2">
        <v>28</v>
      </c>
      <c r="B281" s="2">
        <v>280</v>
      </c>
      <c r="C281" s="2">
        <v>3</v>
      </c>
      <c r="D281" s="2">
        <v>1</v>
      </c>
      <c r="E281" s="2">
        <v>0.80400000000000005</v>
      </c>
    </row>
    <row r="282" spans="1:5" ht="14.25" customHeight="1">
      <c r="A282" s="2">
        <v>28</v>
      </c>
      <c r="B282" s="2">
        <v>281</v>
      </c>
      <c r="C282" s="2">
        <v>2</v>
      </c>
      <c r="D282" s="2">
        <v>1</v>
      </c>
      <c r="E282" s="2">
        <v>0.78500000000000003</v>
      </c>
    </row>
    <row r="283" spans="1:5" ht="14.25" customHeight="1">
      <c r="A283" s="2">
        <v>28</v>
      </c>
      <c r="B283" s="2">
        <v>282</v>
      </c>
      <c r="C283" s="2">
        <v>8</v>
      </c>
      <c r="D283" s="2">
        <v>1</v>
      </c>
      <c r="E283" s="2">
        <v>0.85299999999999998</v>
      </c>
    </row>
    <row r="284" spans="1:5" ht="14.25" customHeight="1">
      <c r="A284" s="2">
        <v>28</v>
      </c>
      <c r="B284" s="2">
        <v>283</v>
      </c>
      <c r="C284" s="2">
        <v>6</v>
      </c>
      <c r="D284" s="2">
        <v>1</v>
      </c>
      <c r="E284" s="2">
        <v>1.018</v>
      </c>
    </row>
    <row r="285" spans="1:5" ht="14.25" customHeight="1">
      <c r="A285" s="2">
        <v>28</v>
      </c>
      <c r="B285" s="2">
        <v>284</v>
      </c>
      <c r="C285" s="2">
        <v>4</v>
      </c>
      <c r="D285" s="2">
        <v>1</v>
      </c>
      <c r="E285" s="2">
        <v>0.77200000000000002</v>
      </c>
    </row>
    <row r="286" spans="1:5" ht="14.25" customHeight="1">
      <c r="A286" s="2">
        <v>28</v>
      </c>
      <c r="B286" s="2">
        <v>285</v>
      </c>
      <c r="C286" s="2">
        <v>7</v>
      </c>
      <c r="D286" s="2">
        <v>1</v>
      </c>
      <c r="E286" s="2">
        <v>1.2270000000000001</v>
      </c>
    </row>
    <row r="287" spans="1:5" ht="14.25" customHeight="1">
      <c r="A287" s="2">
        <v>28</v>
      </c>
      <c r="B287" s="2">
        <v>286</v>
      </c>
      <c r="C287" s="2">
        <v>8</v>
      </c>
      <c r="D287" s="2">
        <v>1</v>
      </c>
      <c r="E287" s="2">
        <v>0.81299999999999994</v>
      </c>
    </row>
    <row r="288" spans="1:5" ht="14.25" customHeight="1">
      <c r="A288" s="2">
        <v>28</v>
      </c>
      <c r="B288" s="2">
        <v>287</v>
      </c>
      <c r="C288" s="2">
        <v>6</v>
      </c>
      <c r="D288" s="2">
        <v>1</v>
      </c>
      <c r="E288" s="2">
        <v>0.75</v>
      </c>
    </row>
    <row r="289" spans="1:5" ht="14.25" customHeight="1">
      <c r="A289" s="2">
        <v>28</v>
      </c>
      <c r="B289" s="2">
        <v>288</v>
      </c>
      <c r="C289" s="2">
        <v>3</v>
      </c>
      <c r="D289" s="2">
        <v>1</v>
      </c>
      <c r="E289" s="2">
        <v>1.0920000000000001</v>
      </c>
    </row>
    <row r="290" spans="1:5" ht="14.25" customHeight="1">
      <c r="A290" s="2">
        <v>28</v>
      </c>
      <c r="B290" s="2">
        <v>289</v>
      </c>
      <c r="C290" s="2">
        <v>8</v>
      </c>
      <c r="D290" s="2">
        <v>1</v>
      </c>
      <c r="E290" s="2">
        <v>0.89</v>
      </c>
    </row>
    <row r="291" spans="1:5" ht="14.25" customHeight="1">
      <c r="A291" s="2">
        <v>28</v>
      </c>
      <c r="B291" s="2">
        <v>290</v>
      </c>
      <c r="C291" s="2">
        <v>1</v>
      </c>
      <c r="D291" s="2">
        <v>1</v>
      </c>
      <c r="E291" s="2">
        <v>1.302</v>
      </c>
    </row>
    <row r="292" spans="1:5" ht="14.25" customHeight="1">
      <c r="A292" s="2">
        <v>28</v>
      </c>
      <c r="B292" s="2">
        <v>291</v>
      </c>
      <c r="C292" s="2">
        <v>3</v>
      </c>
      <c r="D292" s="2">
        <v>1</v>
      </c>
      <c r="E292" s="2">
        <v>1.603</v>
      </c>
    </row>
    <row r="293" spans="1:5" ht="14.25" customHeight="1">
      <c r="A293" s="2">
        <v>28</v>
      </c>
      <c r="B293" s="2">
        <v>292</v>
      </c>
      <c r="C293" s="2">
        <v>7</v>
      </c>
      <c r="D293" s="2">
        <v>1</v>
      </c>
      <c r="E293" s="2">
        <v>1.1739999999999999</v>
      </c>
    </row>
    <row r="294" spans="1:5" ht="14.25" customHeight="1">
      <c r="A294" s="2">
        <v>28</v>
      </c>
      <c r="B294" s="2">
        <v>293</v>
      </c>
      <c r="C294" s="2">
        <v>5</v>
      </c>
      <c r="D294" s="2">
        <v>1</v>
      </c>
      <c r="E294" s="2">
        <v>0.91</v>
      </c>
    </row>
    <row r="295" spans="1:5" ht="14.25" customHeight="1">
      <c r="A295" s="2">
        <v>28</v>
      </c>
      <c r="B295" s="2">
        <v>294</v>
      </c>
      <c r="C295" s="2">
        <v>2</v>
      </c>
      <c r="D295" s="2">
        <v>1</v>
      </c>
      <c r="E295" s="2">
        <v>0.96399999999999997</v>
      </c>
    </row>
    <row r="296" spans="1:5" ht="14.25" customHeight="1">
      <c r="A296" s="2">
        <v>28</v>
      </c>
      <c r="B296" s="2">
        <v>295</v>
      </c>
      <c r="C296" s="2">
        <v>3</v>
      </c>
      <c r="D296" s="2">
        <v>1</v>
      </c>
      <c r="E296" s="2">
        <v>0.99099999999999999</v>
      </c>
    </row>
    <row r="297" spans="1:5" ht="14.25" customHeight="1">
      <c r="A297" s="2">
        <v>28</v>
      </c>
      <c r="B297" s="2">
        <v>296</v>
      </c>
      <c r="C297" s="2">
        <v>7</v>
      </c>
      <c r="D297" s="2">
        <v>1</v>
      </c>
      <c r="E297" s="2">
        <v>1.712</v>
      </c>
    </row>
    <row r="298" spans="1:5" ht="14.25" customHeight="1">
      <c r="A298" s="2">
        <v>28</v>
      </c>
      <c r="B298" s="2">
        <v>297</v>
      </c>
      <c r="C298" s="2">
        <v>4</v>
      </c>
      <c r="D298" s="2">
        <v>1</v>
      </c>
      <c r="E298" s="2">
        <v>0.96199999999999997</v>
      </c>
    </row>
    <row r="299" spans="1:5" ht="14.25" customHeight="1">
      <c r="A299" s="2">
        <v>28</v>
      </c>
      <c r="B299" s="2">
        <v>298</v>
      </c>
      <c r="C299" s="2">
        <v>2</v>
      </c>
      <c r="D299" s="2">
        <v>1</v>
      </c>
      <c r="E299" s="2">
        <v>1.4610000000000001</v>
      </c>
    </row>
    <row r="300" spans="1:5" ht="14.25" customHeight="1">
      <c r="A300" s="2">
        <v>28</v>
      </c>
      <c r="B300" s="2">
        <v>299</v>
      </c>
      <c r="C300" s="2">
        <v>7</v>
      </c>
      <c r="D300" s="2">
        <v>1</v>
      </c>
      <c r="E300" s="2">
        <v>0.91700000000000004</v>
      </c>
    </row>
    <row r="301" spans="1:5" ht="14.25" customHeight="1">
      <c r="A301" s="2">
        <v>28</v>
      </c>
      <c r="B301" s="2">
        <v>300</v>
      </c>
      <c r="C301" s="2">
        <v>1</v>
      </c>
      <c r="D301" s="2">
        <v>1</v>
      </c>
      <c r="E301" s="2">
        <v>0.63600000000000001</v>
      </c>
    </row>
    <row r="302" spans="1:5" ht="14.25" customHeight="1"/>
    <row r="303" spans="1:5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5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29</v>
      </c>
      <c r="I1" s="2">
        <v>1</v>
      </c>
      <c r="J1" s="2">
        <v>5</v>
      </c>
      <c r="L1" s="2">
        <v>2.0019999999999998</v>
      </c>
    </row>
    <row r="2" spans="1:22" ht="14.25" customHeight="1">
      <c r="A2" s="2">
        <v>29</v>
      </c>
      <c r="B2" s="2">
        <v>1</v>
      </c>
      <c r="C2" s="2">
        <v>5</v>
      </c>
      <c r="E2" s="2">
        <v>2.0019999999999998</v>
      </c>
      <c r="H2" s="2">
        <v>29</v>
      </c>
      <c r="I2" s="2">
        <v>2</v>
      </c>
      <c r="J2" s="2">
        <v>2</v>
      </c>
      <c r="K2" s="2">
        <v>1</v>
      </c>
      <c r="L2" s="2">
        <v>0.91300000000000003</v>
      </c>
      <c r="M2" s="2">
        <v>1</v>
      </c>
    </row>
    <row r="3" spans="1:22" ht="14.25" customHeight="1">
      <c r="A3" s="2">
        <v>29</v>
      </c>
      <c r="B3" s="2">
        <v>2</v>
      </c>
      <c r="C3" s="2">
        <v>2</v>
      </c>
      <c r="D3" s="2">
        <v>1</v>
      </c>
      <c r="E3" s="2">
        <v>0.91300000000000003</v>
      </c>
      <c r="F3" s="2">
        <v>1</v>
      </c>
      <c r="H3" s="2">
        <v>29</v>
      </c>
      <c r="I3" s="2">
        <v>3</v>
      </c>
      <c r="J3" s="2">
        <v>1</v>
      </c>
      <c r="K3" s="2">
        <v>0</v>
      </c>
      <c r="L3" s="2">
        <v>1.3069999999999999</v>
      </c>
      <c r="M3" s="2">
        <v>1</v>
      </c>
    </row>
    <row r="4" spans="1:22" ht="14.25" customHeight="1">
      <c r="A4" s="2">
        <v>29</v>
      </c>
      <c r="B4" s="2">
        <v>3</v>
      </c>
      <c r="C4" s="2">
        <v>1</v>
      </c>
      <c r="D4" s="2">
        <v>0</v>
      </c>
      <c r="E4" s="2">
        <v>1.3069999999999999</v>
      </c>
      <c r="F4" s="2">
        <v>1</v>
      </c>
      <c r="H4" s="2">
        <v>29</v>
      </c>
      <c r="I4" s="2">
        <v>4</v>
      </c>
      <c r="J4" s="2">
        <v>4</v>
      </c>
      <c r="L4" s="2">
        <v>2.0009999999999999</v>
      </c>
      <c r="O4" s="2" t="s">
        <v>6</v>
      </c>
    </row>
    <row r="5" spans="1:22" ht="14.25" customHeight="1">
      <c r="A5" s="2">
        <v>29</v>
      </c>
      <c r="B5" s="2">
        <v>4</v>
      </c>
      <c r="C5" s="2">
        <v>4</v>
      </c>
      <c r="E5" s="2">
        <v>2.0009999999999999</v>
      </c>
      <c r="H5" s="2">
        <v>29</v>
      </c>
      <c r="I5" s="2">
        <v>5</v>
      </c>
      <c r="J5" s="2">
        <v>8</v>
      </c>
      <c r="K5" s="2">
        <v>0</v>
      </c>
      <c r="L5" s="2">
        <v>1.492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29</v>
      </c>
      <c r="B6" s="2">
        <v>5</v>
      </c>
      <c r="C6" s="2">
        <v>8</v>
      </c>
      <c r="D6" s="2">
        <v>0</v>
      </c>
      <c r="E6" s="2">
        <v>1.492</v>
      </c>
      <c r="F6" s="2">
        <v>2</v>
      </c>
      <c r="H6" s="2">
        <v>29</v>
      </c>
      <c r="I6" s="2">
        <v>6</v>
      </c>
      <c r="J6" s="2">
        <v>6</v>
      </c>
      <c r="L6" s="2">
        <v>2.0009999999999999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29</v>
      </c>
      <c r="B7" s="2">
        <v>6</v>
      </c>
      <c r="C7" s="2">
        <v>6</v>
      </c>
      <c r="E7" s="2">
        <v>2.0009999999999999</v>
      </c>
      <c r="H7" s="2">
        <v>29</v>
      </c>
      <c r="I7" s="2">
        <v>7</v>
      </c>
      <c r="J7" s="2">
        <v>3</v>
      </c>
      <c r="K7" s="2">
        <v>0</v>
      </c>
      <c r="L7" s="2">
        <v>1.8360000000000001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29</v>
      </c>
      <c r="B8" s="2">
        <v>7</v>
      </c>
      <c r="C8" s="2">
        <v>3</v>
      </c>
      <c r="D8" s="2">
        <v>0</v>
      </c>
      <c r="E8" s="2">
        <v>1.8360000000000001</v>
      </c>
      <c r="F8" s="2">
        <v>1</v>
      </c>
      <c r="H8" s="2">
        <v>29</v>
      </c>
      <c r="I8" s="2">
        <v>8</v>
      </c>
      <c r="J8" s="2">
        <v>7</v>
      </c>
      <c r="K8" s="2">
        <v>0</v>
      </c>
      <c r="L8" s="2">
        <v>1.724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29</v>
      </c>
      <c r="B9" s="2">
        <v>8</v>
      </c>
      <c r="C9" s="2">
        <v>7</v>
      </c>
      <c r="D9" s="2">
        <v>0</v>
      </c>
      <c r="E9" s="2">
        <v>1.724</v>
      </c>
      <c r="F9" s="2">
        <v>2</v>
      </c>
      <c r="H9" s="2">
        <v>29</v>
      </c>
      <c r="I9" s="2">
        <v>9</v>
      </c>
      <c r="J9" s="2">
        <v>8</v>
      </c>
      <c r="K9" s="2">
        <v>0</v>
      </c>
      <c r="L9" s="2">
        <v>1.7310000000000001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29</v>
      </c>
      <c r="B10" s="2">
        <v>9</v>
      </c>
      <c r="C10" s="2">
        <v>8</v>
      </c>
      <c r="D10" s="2">
        <v>0</v>
      </c>
      <c r="E10" s="2">
        <v>1.7310000000000001</v>
      </c>
      <c r="F10" s="2">
        <v>2</v>
      </c>
      <c r="H10" s="2">
        <v>29</v>
      </c>
      <c r="I10" s="2">
        <v>10</v>
      </c>
      <c r="J10" s="2">
        <v>1</v>
      </c>
      <c r="K10" s="2">
        <v>0</v>
      </c>
      <c r="L10" s="2">
        <v>1.76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29</v>
      </c>
      <c r="B11" s="2">
        <v>10</v>
      </c>
      <c r="C11" s="2">
        <v>1</v>
      </c>
      <c r="D11" s="2">
        <v>0</v>
      </c>
      <c r="E11" s="2">
        <v>1.76</v>
      </c>
      <c r="F11" s="2">
        <v>1</v>
      </c>
      <c r="H11" s="2">
        <v>29</v>
      </c>
      <c r="I11" s="2">
        <v>11</v>
      </c>
      <c r="J11" s="2">
        <v>6</v>
      </c>
      <c r="K11" s="2">
        <v>0</v>
      </c>
      <c r="L11" s="2">
        <v>1.8360000000000001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29</v>
      </c>
      <c r="B12" s="2">
        <v>11</v>
      </c>
      <c r="C12" s="2">
        <v>6</v>
      </c>
      <c r="D12" s="2">
        <v>0</v>
      </c>
      <c r="E12" s="2">
        <v>1.8360000000000001</v>
      </c>
      <c r="F12" s="2">
        <v>1</v>
      </c>
      <c r="H12" s="2">
        <v>29</v>
      </c>
      <c r="I12" s="2">
        <v>12</v>
      </c>
      <c r="J12" s="2">
        <v>2</v>
      </c>
      <c r="L12" s="2">
        <v>2</v>
      </c>
    </row>
    <row r="13" spans="1:22" ht="14.25" customHeight="1">
      <c r="A13" s="2">
        <v>29</v>
      </c>
      <c r="B13" s="2">
        <v>12</v>
      </c>
      <c r="C13" s="2">
        <v>2</v>
      </c>
      <c r="E13" s="2">
        <v>2</v>
      </c>
      <c r="H13" s="2">
        <v>29</v>
      </c>
      <c r="I13" s="2">
        <v>13</v>
      </c>
      <c r="J13" s="2">
        <v>6</v>
      </c>
      <c r="K13" s="2">
        <v>1</v>
      </c>
      <c r="L13" s="2">
        <v>1.351</v>
      </c>
      <c r="M13" s="2">
        <v>2</v>
      </c>
    </row>
    <row r="14" spans="1:22" ht="14.25" customHeight="1">
      <c r="A14" s="2">
        <v>29</v>
      </c>
      <c r="B14" s="2">
        <v>13</v>
      </c>
      <c r="C14" s="2">
        <v>6</v>
      </c>
      <c r="D14" s="2">
        <v>1</v>
      </c>
      <c r="E14" s="2">
        <v>1.351</v>
      </c>
      <c r="F14" s="2">
        <v>2</v>
      </c>
      <c r="H14" s="2">
        <v>29</v>
      </c>
      <c r="I14" s="2">
        <v>14</v>
      </c>
      <c r="J14" s="2">
        <v>7</v>
      </c>
      <c r="K14" s="2">
        <v>0</v>
      </c>
      <c r="L14" s="2">
        <v>1.595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29</v>
      </c>
      <c r="B15" s="2">
        <v>14</v>
      </c>
      <c r="C15" s="2">
        <v>7</v>
      </c>
      <c r="D15" s="2">
        <v>0</v>
      </c>
      <c r="E15" s="2">
        <v>1.595</v>
      </c>
      <c r="F15" s="2">
        <v>2</v>
      </c>
      <c r="H15" s="2">
        <v>29</v>
      </c>
      <c r="I15" s="2">
        <v>15</v>
      </c>
      <c r="J15" s="2">
        <v>5</v>
      </c>
      <c r="K15" s="2">
        <v>0</v>
      </c>
      <c r="L15" s="2">
        <v>1.62</v>
      </c>
      <c r="M15" s="2">
        <v>1</v>
      </c>
      <c r="O15" s="2" t="s">
        <v>9</v>
      </c>
    </row>
    <row r="16" spans="1:22" ht="14.25" customHeight="1">
      <c r="A16" s="2">
        <v>29</v>
      </c>
      <c r="B16" s="2">
        <v>15</v>
      </c>
      <c r="C16" s="2">
        <v>5</v>
      </c>
      <c r="D16" s="2">
        <v>0</v>
      </c>
      <c r="E16" s="2">
        <v>1.62</v>
      </c>
      <c r="F16" s="2">
        <v>1</v>
      </c>
      <c r="H16" s="2">
        <v>29</v>
      </c>
      <c r="I16" s="2">
        <v>16</v>
      </c>
      <c r="J16" s="2">
        <v>4</v>
      </c>
      <c r="K16" s="2">
        <v>1</v>
      </c>
      <c r="L16" s="2">
        <v>1.4359999999999999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29</v>
      </c>
      <c r="B17" s="2">
        <v>16</v>
      </c>
      <c r="C17" s="2">
        <v>4</v>
      </c>
      <c r="D17" s="2">
        <v>1</v>
      </c>
      <c r="E17" s="2">
        <v>1.4359999999999999</v>
      </c>
      <c r="F17" s="2">
        <v>1</v>
      </c>
      <c r="H17" s="2">
        <v>29</v>
      </c>
      <c r="I17" s="2">
        <v>17</v>
      </c>
      <c r="J17" s="2">
        <v>5</v>
      </c>
      <c r="K17" s="2">
        <v>1</v>
      </c>
      <c r="L17" s="2">
        <v>1.861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54.759999999999977</v>
      </c>
      <c r="P17" s="2">
        <f t="shared" ref="P17:P22" si="1">(P6*COUNTIF($J$1:$J$100,P$16) - COUNTIFS($J$1:$J$100,P$16,$K$1:$K$100,"=0"))^2</f>
        <v>19.360000000000003</v>
      </c>
      <c r="Q17" s="2">
        <f t="shared" ref="Q17:Q22" si="2">(Q6*COUNTIF($J$1:$J$100,Q$16) - COUNTIFS($J$1:$J$100,Q$16,$K$1:$K$100,"=1"))^2</f>
        <v>53.289999999999985</v>
      </c>
      <c r="R17" s="2">
        <f t="shared" ref="R17:R22" si="3">(R6*COUNTIF($J$1:$J$100,R$16) - COUNTIFS($J$1:$J$100,R$16,$K$1:$K$100,"=0"))^2</f>
        <v>5.76</v>
      </c>
      <c r="S17" s="2">
        <f t="shared" ref="S17:T17" si="4">(S6*COUNTIF($J$1:$J$100,S$16) - COUNTIFS($J$1:$J$100,S$16,$K$1:$K$100,"=1"))^2</f>
        <v>54.759999999999977</v>
      </c>
      <c r="T17" s="2">
        <f t="shared" si="4"/>
        <v>11.55999999999999</v>
      </c>
      <c r="U17" s="2">
        <f t="shared" ref="U17:V17" si="5">(U6*COUNTIF($J$1:$J$100,U$16) - COUNTIFS($J$1:$J$100,U$16,$K$1:$K$100,"=0"))^2</f>
        <v>29.160000000000004</v>
      </c>
      <c r="V17" s="2">
        <f t="shared" si="5"/>
        <v>106.09000000000002</v>
      </c>
    </row>
    <row r="18" spans="1:22" ht="14.25" customHeight="1">
      <c r="A18" s="2">
        <v>29</v>
      </c>
      <c r="B18" s="2">
        <v>17</v>
      </c>
      <c r="C18" s="2">
        <v>5</v>
      </c>
      <c r="D18" s="2">
        <v>1</v>
      </c>
      <c r="E18" s="2">
        <v>1.861</v>
      </c>
      <c r="F18" s="2">
        <v>2</v>
      </c>
      <c r="H18" s="2">
        <v>29</v>
      </c>
      <c r="I18" s="2">
        <v>18</v>
      </c>
      <c r="J18" s="2">
        <v>8</v>
      </c>
      <c r="K18" s="2">
        <v>1</v>
      </c>
      <c r="L18" s="2">
        <v>1.3819999999999999</v>
      </c>
      <c r="M18" s="2">
        <v>1</v>
      </c>
      <c r="N18" s="2">
        <v>2</v>
      </c>
      <c r="O18" s="2">
        <f t="shared" si="0"/>
        <v>54.759999999999977</v>
      </c>
      <c r="P18" s="2">
        <f t="shared" si="1"/>
        <v>40.95999999999998</v>
      </c>
      <c r="Q18" s="2">
        <f t="shared" si="2"/>
        <v>28.09</v>
      </c>
      <c r="R18" s="2">
        <f t="shared" si="3"/>
        <v>5.76</v>
      </c>
      <c r="S18" s="2">
        <f t="shared" ref="S18:T18" si="6">(S7*COUNTIF($J$1:$J$100,S$16) - COUNTIFS($J$1:$J$100,S$16,$K$1:$K$100,"=1"))^2</f>
        <v>54.759999999999977</v>
      </c>
      <c r="T18" s="2">
        <f t="shared" si="6"/>
        <v>11.55999999999999</v>
      </c>
      <c r="U18" s="2">
        <f t="shared" ref="U18:V18" si="7">(U7*COUNTIF($J$1:$J$100,U$16) - COUNTIFS($J$1:$J$100,U$16,$K$1:$K$100,"=0"))^2</f>
        <v>29.160000000000004</v>
      </c>
      <c r="V18" s="2">
        <f t="shared" si="7"/>
        <v>106.09000000000002</v>
      </c>
    </row>
    <row r="19" spans="1:22" ht="14.25" customHeight="1">
      <c r="A19" s="2">
        <v>29</v>
      </c>
      <c r="B19" s="2">
        <v>18</v>
      </c>
      <c r="C19" s="2">
        <v>8</v>
      </c>
      <c r="D19" s="2">
        <v>1</v>
      </c>
      <c r="E19" s="2">
        <v>1.3819999999999999</v>
      </c>
      <c r="F19" s="2">
        <v>1</v>
      </c>
      <c r="H19" s="2">
        <v>29</v>
      </c>
      <c r="I19" s="2">
        <v>19</v>
      </c>
      <c r="J19" s="2">
        <v>1</v>
      </c>
      <c r="L19" s="2">
        <v>2.0009999999999999</v>
      </c>
      <c r="N19" s="2">
        <v>3</v>
      </c>
      <c r="O19" s="2">
        <f t="shared" si="0"/>
        <v>54.759999999999977</v>
      </c>
      <c r="P19" s="2">
        <f t="shared" si="1"/>
        <v>19.360000000000003</v>
      </c>
      <c r="Q19" s="2">
        <f t="shared" si="2"/>
        <v>53.289999999999985</v>
      </c>
      <c r="R19" s="2">
        <f t="shared" si="3"/>
        <v>5.76</v>
      </c>
      <c r="S19" s="2">
        <f t="shared" ref="S19:T19" si="8">(S8*COUNTIF($J$1:$J$100,S$16) - COUNTIFS($J$1:$J$100,S$16,$K$1:$K$100,"=1"))^2</f>
        <v>54.759999999999977</v>
      </c>
      <c r="T19" s="2">
        <f t="shared" si="8"/>
        <v>54.760000000000005</v>
      </c>
      <c r="U19" s="2">
        <f t="shared" ref="U19:V19" si="9">(U8*COUNTIF($J$1:$J$100,U$16) - COUNTIFS($J$1:$J$100,U$16,$K$1:$K$100,"=0"))^2</f>
        <v>29.159999999999986</v>
      </c>
      <c r="V19" s="2">
        <f t="shared" si="9"/>
        <v>106.09000000000002</v>
      </c>
    </row>
    <row r="20" spans="1:22" ht="14.25" customHeight="1">
      <c r="A20" s="2">
        <v>29</v>
      </c>
      <c r="B20" s="2">
        <v>19</v>
      </c>
      <c r="C20" s="2">
        <v>1</v>
      </c>
      <c r="E20" s="2">
        <v>2.0009999999999999</v>
      </c>
      <c r="H20" s="2">
        <v>29</v>
      </c>
      <c r="I20" s="2">
        <v>20</v>
      </c>
      <c r="J20" s="2">
        <v>6</v>
      </c>
      <c r="K20" s="2">
        <v>0</v>
      </c>
      <c r="L20" s="2">
        <v>1.091</v>
      </c>
      <c r="M20" s="2">
        <v>1</v>
      </c>
      <c r="N20" s="2">
        <v>4</v>
      </c>
      <c r="O20" s="2">
        <f t="shared" si="0"/>
        <v>4</v>
      </c>
      <c r="P20" s="2">
        <f t="shared" si="1"/>
        <v>1</v>
      </c>
      <c r="Q20" s="2">
        <f t="shared" si="2"/>
        <v>1</v>
      </c>
      <c r="R20" s="2">
        <f t="shared" si="3"/>
        <v>9</v>
      </c>
      <c r="S20" s="2">
        <f t="shared" ref="S20:T20" si="10">(S9*COUNTIF($J$1:$J$100,S$16) - COUNTIFS($J$1:$J$100,S$16,$K$1:$K$100,"=1"))^2</f>
        <v>54.759999999999977</v>
      </c>
      <c r="T20" s="2">
        <f t="shared" si="10"/>
        <v>11.55999999999999</v>
      </c>
      <c r="U20" s="2">
        <f t="shared" ref="U20:V20" si="11">(U9*COUNTIF($J$1:$J$100,U$16) - COUNTIFS($J$1:$J$100,U$16,$K$1:$K$100,"=0"))^2</f>
        <v>29.160000000000004</v>
      </c>
      <c r="V20" s="2">
        <f t="shared" si="11"/>
        <v>106.09000000000002</v>
      </c>
    </row>
    <row r="21" spans="1:22" ht="14.25" customHeight="1">
      <c r="A21" s="2">
        <v>29</v>
      </c>
      <c r="B21" s="2">
        <v>20</v>
      </c>
      <c r="C21" s="2">
        <v>6</v>
      </c>
      <c r="D21" s="2">
        <v>0</v>
      </c>
      <c r="E21" s="2">
        <v>1.091</v>
      </c>
      <c r="F21" s="2">
        <v>1</v>
      </c>
      <c r="H21" s="2">
        <v>29</v>
      </c>
      <c r="I21" s="2">
        <v>21</v>
      </c>
      <c r="J21" s="2">
        <v>7</v>
      </c>
      <c r="K21" s="2">
        <v>1</v>
      </c>
      <c r="L21" s="2">
        <v>1.0580000000000001</v>
      </c>
      <c r="M21" s="2">
        <v>1</v>
      </c>
      <c r="N21" s="2">
        <v>5</v>
      </c>
      <c r="O21" s="2">
        <f t="shared" si="0"/>
        <v>54.759999999999977</v>
      </c>
      <c r="P21" s="2">
        <f t="shared" si="1"/>
        <v>19.360000000000003</v>
      </c>
      <c r="Q21" s="2">
        <f t="shared" si="2"/>
        <v>53.289999999999985</v>
      </c>
      <c r="R21" s="2">
        <f t="shared" si="3"/>
        <v>5.76</v>
      </c>
      <c r="S21" s="2">
        <f t="shared" ref="S21:T21" si="12">(S10*COUNTIF($J$1:$J$100,S$16) - COUNTIFS($J$1:$J$100,S$16,$K$1:$K$100,"=1"))^2</f>
        <v>4</v>
      </c>
      <c r="T21" s="2">
        <f t="shared" si="12"/>
        <v>4</v>
      </c>
      <c r="U21" s="2">
        <f t="shared" ref="U21:V21" si="13">(U10*COUNTIF($J$1:$J$100,U$16) - COUNTIFS($J$1:$J$100,U$16,$K$1:$K$100,"=0"))^2</f>
        <v>0</v>
      </c>
      <c r="V21" s="2">
        <f t="shared" si="13"/>
        <v>16</v>
      </c>
    </row>
    <row r="22" spans="1:22" ht="14.25" customHeight="1">
      <c r="A22" s="2">
        <v>29</v>
      </c>
      <c r="B22" s="2">
        <v>21</v>
      </c>
      <c r="C22" s="2">
        <v>7</v>
      </c>
      <c r="D22" s="2">
        <v>1</v>
      </c>
      <c r="E22" s="2">
        <v>1.0580000000000001</v>
      </c>
      <c r="F22" s="2">
        <v>1</v>
      </c>
      <c r="H22" s="2">
        <v>29</v>
      </c>
      <c r="I22" s="2">
        <v>22</v>
      </c>
      <c r="J22" s="2">
        <v>8</v>
      </c>
      <c r="K22" s="2">
        <v>0</v>
      </c>
      <c r="L22" s="2">
        <v>0.71399999999999997</v>
      </c>
      <c r="M22" s="2">
        <v>2</v>
      </c>
      <c r="N22" s="2">
        <v>6</v>
      </c>
      <c r="O22" s="2">
        <f t="shared" si="0"/>
        <v>4</v>
      </c>
      <c r="P22" s="2">
        <f t="shared" si="1"/>
        <v>1</v>
      </c>
      <c r="Q22" s="2">
        <f t="shared" si="2"/>
        <v>1</v>
      </c>
      <c r="R22" s="2">
        <f t="shared" si="3"/>
        <v>9</v>
      </c>
      <c r="S22" s="2">
        <f t="shared" ref="S22:T22" si="14">(S11*COUNTIF($J$1:$J$100,S$16) - COUNTIFS($J$1:$J$100,S$16,$K$1:$K$100,"=1"))^2</f>
        <v>4</v>
      </c>
      <c r="T22" s="2">
        <f t="shared" si="14"/>
        <v>4</v>
      </c>
      <c r="U22" s="2">
        <f t="shared" ref="U22:V22" si="15">(U11*COUNTIF($J$1:$J$100,U$16) - COUNTIFS($J$1:$J$100,U$16,$K$1:$K$100,"=0"))^2</f>
        <v>0</v>
      </c>
      <c r="V22" s="2">
        <f t="shared" si="15"/>
        <v>16</v>
      </c>
    </row>
    <row r="23" spans="1:22" ht="14.25" customHeight="1">
      <c r="A23" s="2">
        <v>29</v>
      </c>
      <c r="B23" s="2">
        <v>22</v>
      </c>
      <c r="C23" s="2">
        <v>8</v>
      </c>
      <c r="D23" s="2">
        <v>0</v>
      </c>
      <c r="E23" s="2">
        <v>0.71399999999999997</v>
      </c>
      <c r="F23" s="2">
        <v>2</v>
      </c>
      <c r="H23" s="2">
        <v>29</v>
      </c>
      <c r="I23" s="2">
        <v>23</v>
      </c>
      <c r="J23" s="2">
        <v>7</v>
      </c>
      <c r="K23" s="2">
        <v>1</v>
      </c>
      <c r="L23" s="2">
        <v>1.3129999999999999</v>
      </c>
      <c r="M23" s="2">
        <v>1</v>
      </c>
    </row>
    <row r="24" spans="1:22" ht="14.25" customHeight="1">
      <c r="A24" s="2">
        <v>29</v>
      </c>
      <c r="B24" s="2">
        <v>23</v>
      </c>
      <c r="C24" s="2">
        <v>7</v>
      </c>
      <c r="D24" s="2">
        <v>1</v>
      </c>
      <c r="E24" s="2">
        <v>1.3129999999999999</v>
      </c>
      <c r="F24" s="2">
        <v>1</v>
      </c>
      <c r="H24" s="2">
        <v>29</v>
      </c>
      <c r="I24" s="2">
        <v>24</v>
      </c>
      <c r="J24" s="2">
        <v>8</v>
      </c>
      <c r="K24" s="2">
        <v>0</v>
      </c>
      <c r="L24" s="2">
        <v>1.0780000000000001</v>
      </c>
      <c r="M24" s="2">
        <v>2</v>
      </c>
    </row>
    <row r="25" spans="1:22" ht="14.25" customHeight="1">
      <c r="A25" s="2">
        <v>29</v>
      </c>
      <c r="B25" s="2">
        <v>24</v>
      </c>
      <c r="C25" s="2">
        <v>8</v>
      </c>
      <c r="D25" s="2">
        <v>0</v>
      </c>
      <c r="E25" s="2">
        <v>1.0780000000000001</v>
      </c>
      <c r="F25" s="2">
        <v>2</v>
      </c>
      <c r="H25" s="2">
        <v>29</v>
      </c>
      <c r="I25" s="2">
        <v>25</v>
      </c>
      <c r="J25" s="2">
        <v>3</v>
      </c>
      <c r="K25" s="2">
        <v>0</v>
      </c>
      <c r="L25" s="2">
        <v>1.224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29</v>
      </c>
      <c r="B26" s="2">
        <v>25</v>
      </c>
      <c r="C26" s="2">
        <v>3</v>
      </c>
      <c r="D26" s="2">
        <v>0</v>
      </c>
      <c r="E26" s="2">
        <v>1.224</v>
      </c>
      <c r="F26" s="2">
        <v>1</v>
      </c>
      <c r="H26" s="2">
        <v>29</v>
      </c>
      <c r="I26" s="2">
        <v>26</v>
      </c>
      <c r="J26" s="2">
        <v>2</v>
      </c>
      <c r="K26" s="2">
        <v>0</v>
      </c>
      <c r="L26" s="2">
        <v>1.5109999999999999</v>
      </c>
      <c r="M26" s="2">
        <v>2</v>
      </c>
      <c r="O26" s="2">
        <f t="shared" ref="O26:V26" si="16">COUNTIF($J$1:$J$100,O$16)^2</f>
        <v>144</v>
      </c>
      <c r="P26" s="2">
        <f t="shared" si="16"/>
        <v>144</v>
      </c>
      <c r="Q26" s="2">
        <f t="shared" si="16"/>
        <v>196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144</v>
      </c>
      <c r="V26" s="2">
        <f t="shared" si="16"/>
        <v>196</v>
      </c>
    </row>
    <row r="27" spans="1:22" ht="14.25" customHeight="1">
      <c r="A27" s="2">
        <v>29</v>
      </c>
      <c r="B27" s="2">
        <v>26</v>
      </c>
      <c r="C27" s="2">
        <v>2</v>
      </c>
      <c r="D27" s="2">
        <v>0</v>
      </c>
      <c r="E27" s="2">
        <v>1.5109999999999999</v>
      </c>
      <c r="F27" s="2">
        <v>2</v>
      </c>
      <c r="H27" s="2">
        <v>29</v>
      </c>
      <c r="I27" s="2">
        <v>27</v>
      </c>
      <c r="J27" s="2">
        <v>7</v>
      </c>
      <c r="K27" s="2">
        <v>1</v>
      </c>
      <c r="L27" s="2">
        <v>1.4930000000000001</v>
      </c>
      <c r="M27" s="2">
        <v>1</v>
      </c>
    </row>
    <row r="28" spans="1:22" ht="14.25" customHeight="1">
      <c r="A28" s="2">
        <v>29</v>
      </c>
      <c r="B28" s="2">
        <v>27</v>
      </c>
      <c r="C28" s="2">
        <v>7</v>
      </c>
      <c r="D28" s="2">
        <v>1</v>
      </c>
      <c r="E28" s="2">
        <v>1.4930000000000001</v>
      </c>
      <c r="F28" s="2">
        <v>1</v>
      </c>
      <c r="H28" s="2">
        <v>29</v>
      </c>
      <c r="I28" s="2">
        <v>28</v>
      </c>
      <c r="J28" s="2">
        <v>5</v>
      </c>
      <c r="K28" s="2">
        <v>1</v>
      </c>
      <c r="L28" s="2">
        <v>1.804</v>
      </c>
      <c r="M28" s="2">
        <v>2</v>
      </c>
    </row>
    <row r="29" spans="1:22" ht="14.25" customHeight="1">
      <c r="A29" s="2">
        <v>29</v>
      </c>
      <c r="B29" s="2">
        <v>28</v>
      </c>
      <c r="C29" s="2">
        <v>5</v>
      </c>
      <c r="D29" s="2">
        <v>1</v>
      </c>
      <c r="E29" s="2">
        <v>1.804</v>
      </c>
      <c r="F29" s="2">
        <v>2</v>
      </c>
      <c r="H29" s="2">
        <v>29</v>
      </c>
      <c r="I29" s="2">
        <v>29</v>
      </c>
      <c r="J29" s="2">
        <v>8</v>
      </c>
      <c r="K29" s="2">
        <v>0</v>
      </c>
      <c r="L29" s="2">
        <v>1.4770000000000001</v>
      </c>
      <c r="M29" s="2">
        <v>2</v>
      </c>
    </row>
    <row r="30" spans="1:22" ht="14.25" customHeight="1">
      <c r="A30" s="2">
        <v>29</v>
      </c>
      <c r="B30" s="2">
        <v>29</v>
      </c>
      <c r="C30" s="2">
        <v>8</v>
      </c>
      <c r="D30" s="2">
        <v>0</v>
      </c>
      <c r="E30" s="2">
        <v>1.4770000000000001</v>
      </c>
      <c r="F30" s="2">
        <v>2</v>
      </c>
      <c r="H30" s="2">
        <v>29</v>
      </c>
      <c r="I30" s="2">
        <v>30</v>
      </c>
      <c r="J30" s="2">
        <v>4</v>
      </c>
      <c r="K30" s="2">
        <v>1</v>
      </c>
      <c r="L30" s="2">
        <v>1.74</v>
      </c>
      <c r="M30" s="2">
        <v>1</v>
      </c>
    </row>
    <row r="31" spans="1:22" ht="14.25" customHeight="1">
      <c r="A31" s="2">
        <v>29</v>
      </c>
      <c r="B31" s="2">
        <v>30</v>
      </c>
      <c r="C31" s="2">
        <v>4</v>
      </c>
      <c r="D31" s="2">
        <v>1</v>
      </c>
      <c r="E31" s="2">
        <v>1.74</v>
      </c>
      <c r="F31" s="2">
        <v>1</v>
      </c>
      <c r="H31" s="2">
        <v>29</v>
      </c>
      <c r="I31" s="2">
        <v>31</v>
      </c>
      <c r="J31" s="2">
        <v>3</v>
      </c>
      <c r="K31" s="2">
        <v>1</v>
      </c>
      <c r="L31" s="2">
        <v>1.738</v>
      </c>
      <c r="M31" s="2">
        <v>2</v>
      </c>
      <c r="N31" s="2">
        <v>1</v>
      </c>
      <c r="O31" s="2">
        <f t="shared" ref="O31:O36" si="17">SUM(O17:V17)/(SUM($O$26:$V$26))</f>
        <v>0.26651273885350313</v>
      </c>
    </row>
    <row r="32" spans="1:22" ht="14.25" customHeight="1">
      <c r="A32" s="2">
        <v>29</v>
      </c>
      <c r="B32" s="2">
        <v>31</v>
      </c>
      <c r="C32" s="2">
        <v>3</v>
      </c>
      <c r="D32" s="2">
        <v>1</v>
      </c>
      <c r="E32" s="2">
        <v>1.738</v>
      </c>
      <c r="F32" s="2">
        <v>2</v>
      </c>
      <c r="H32" s="2">
        <v>29</v>
      </c>
      <c r="I32" s="2">
        <v>32</v>
      </c>
      <c r="J32" s="2">
        <v>2</v>
      </c>
      <c r="L32" s="2">
        <v>2</v>
      </c>
      <c r="N32" s="2">
        <v>2</v>
      </c>
      <c r="O32" s="2">
        <f t="shared" si="17"/>
        <v>0.26364649681528657</v>
      </c>
    </row>
    <row r="33" spans="1:15" ht="14.25" customHeight="1">
      <c r="A33" s="2">
        <v>29</v>
      </c>
      <c r="B33" s="2">
        <v>32</v>
      </c>
      <c r="C33" s="2">
        <v>2</v>
      </c>
      <c r="E33" s="2">
        <v>2</v>
      </c>
      <c r="H33" s="2">
        <v>29</v>
      </c>
      <c r="I33" s="2">
        <v>33</v>
      </c>
      <c r="J33" s="2">
        <v>7</v>
      </c>
      <c r="K33" s="2">
        <v>1</v>
      </c>
      <c r="L33" s="2">
        <v>0.92</v>
      </c>
      <c r="M33" s="2">
        <v>1</v>
      </c>
      <c r="N33" s="2">
        <v>3</v>
      </c>
      <c r="O33" s="2">
        <f t="shared" si="17"/>
        <v>0.30090764331210185</v>
      </c>
    </row>
    <row r="34" spans="1:15" ht="14.25" customHeight="1">
      <c r="A34" s="2">
        <v>29</v>
      </c>
      <c r="B34" s="2">
        <v>33</v>
      </c>
      <c r="C34" s="2">
        <v>7</v>
      </c>
      <c r="D34" s="2">
        <v>1</v>
      </c>
      <c r="E34" s="2">
        <v>0.92</v>
      </c>
      <c r="F34" s="2">
        <v>1</v>
      </c>
      <c r="H34" s="2">
        <v>29</v>
      </c>
      <c r="I34" s="2">
        <v>34</v>
      </c>
      <c r="J34" s="2">
        <v>2</v>
      </c>
      <c r="K34" s="2">
        <v>0</v>
      </c>
      <c r="L34" s="2">
        <v>0.83699999999999997</v>
      </c>
      <c r="M34" s="2">
        <v>2</v>
      </c>
      <c r="N34" s="2">
        <v>4</v>
      </c>
      <c r="O34" s="2">
        <f t="shared" si="17"/>
        <v>0.17242834394904458</v>
      </c>
    </row>
    <row r="35" spans="1:15" ht="14.25" customHeight="1">
      <c r="A35" s="2">
        <v>29</v>
      </c>
      <c r="B35" s="2">
        <v>34</v>
      </c>
      <c r="C35" s="2">
        <v>2</v>
      </c>
      <c r="D35" s="2">
        <v>0</v>
      </c>
      <c r="E35" s="2">
        <v>0.83699999999999997</v>
      </c>
      <c r="F35" s="2">
        <v>2</v>
      </c>
      <c r="H35" s="2">
        <v>29</v>
      </c>
      <c r="I35" s="2">
        <v>35</v>
      </c>
      <c r="J35" s="2">
        <v>5</v>
      </c>
      <c r="K35" s="2">
        <v>1</v>
      </c>
      <c r="L35" s="2">
        <v>1.496</v>
      </c>
      <c r="M35" s="2">
        <v>2</v>
      </c>
      <c r="N35" s="2">
        <v>5</v>
      </c>
      <c r="O35" s="2">
        <f t="shared" si="17"/>
        <v>0.12513535031847131</v>
      </c>
    </row>
    <row r="36" spans="1:15" ht="14.25" customHeight="1">
      <c r="A36" s="2">
        <v>29</v>
      </c>
      <c r="B36" s="2">
        <v>35</v>
      </c>
      <c r="C36" s="2">
        <v>5</v>
      </c>
      <c r="D36" s="2">
        <v>1</v>
      </c>
      <c r="E36" s="2">
        <v>1.496</v>
      </c>
      <c r="F36" s="2">
        <v>2</v>
      </c>
      <c r="H36" s="2">
        <v>29</v>
      </c>
      <c r="I36" s="2">
        <v>36</v>
      </c>
      <c r="J36" s="2">
        <v>3</v>
      </c>
      <c r="K36" s="2">
        <v>0</v>
      </c>
      <c r="L36" s="2">
        <v>1.4630000000000001</v>
      </c>
      <c r="M36" s="2">
        <v>1</v>
      </c>
      <c r="N36" s="2">
        <v>6</v>
      </c>
      <c r="O36" s="2">
        <f t="shared" si="17"/>
        <v>3.1050955414012739E-2</v>
      </c>
    </row>
    <row r="37" spans="1:15" ht="14.25" customHeight="1">
      <c r="A37" s="2">
        <v>29</v>
      </c>
      <c r="B37" s="2">
        <v>36</v>
      </c>
      <c r="C37" s="2">
        <v>3</v>
      </c>
      <c r="D37" s="2">
        <v>0</v>
      </c>
      <c r="E37" s="2">
        <v>1.4630000000000001</v>
      </c>
      <c r="F37" s="2">
        <v>1</v>
      </c>
      <c r="H37" s="2">
        <v>29</v>
      </c>
      <c r="I37" s="2">
        <v>37</v>
      </c>
      <c r="J37" s="2">
        <v>8</v>
      </c>
      <c r="K37" s="2">
        <v>1</v>
      </c>
      <c r="L37" s="2">
        <v>1.74</v>
      </c>
      <c r="M37" s="2">
        <v>1</v>
      </c>
    </row>
    <row r="38" spans="1:15" ht="14.25" customHeight="1">
      <c r="A38" s="2">
        <v>29</v>
      </c>
      <c r="B38" s="2">
        <v>37</v>
      </c>
      <c r="C38" s="2">
        <v>8</v>
      </c>
      <c r="D38" s="2">
        <v>1</v>
      </c>
      <c r="E38" s="2">
        <v>1.74</v>
      </c>
      <c r="F38" s="2">
        <v>1</v>
      </c>
      <c r="H38" s="2">
        <v>29</v>
      </c>
      <c r="I38" s="2">
        <v>38</v>
      </c>
      <c r="J38" s="2">
        <v>3</v>
      </c>
      <c r="K38" s="2">
        <v>1</v>
      </c>
      <c r="L38" s="2">
        <v>1.625</v>
      </c>
      <c r="M38" s="2">
        <v>2</v>
      </c>
    </row>
    <row r="39" spans="1:15" ht="14.25" customHeight="1">
      <c r="A39" s="2">
        <v>29</v>
      </c>
      <c r="B39" s="2">
        <v>38</v>
      </c>
      <c r="C39" s="2">
        <v>3</v>
      </c>
      <c r="D39" s="2">
        <v>1</v>
      </c>
      <c r="E39" s="2">
        <v>1.625</v>
      </c>
      <c r="F39" s="2">
        <v>2</v>
      </c>
      <c r="H39" s="2">
        <v>29</v>
      </c>
      <c r="I39" s="2">
        <v>39</v>
      </c>
      <c r="J39" s="2">
        <v>1</v>
      </c>
      <c r="K39" s="2">
        <v>1</v>
      </c>
      <c r="L39" s="2">
        <v>1.298</v>
      </c>
      <c r="M39" s="2">
        <v>2</v>
      </c>
    </row>
    <row r="40" spans="1:15" ht="14.25" customHeight="1">
      <c r="A40" s="2">
        <v>29</v>
      </c>
      <c r="B40" s="2">
        <v>39</v>
      </c>
      <c r="C40" s="2">
        <v>1</v>
      </c>
      <c r="D40" s="2">
        <v>1</v>
      </c>
      <c r="E40" s="2">
        <v>1.298</v>
      </c>
      <c r="F40" s="2">
        <v>2</v>
      </c>
      <c r="H40" s="2">
        <v>29</v>
      </c>
      <c r="I40" s="2">
        <v>40</v>
      </c>
      <c r="J40" s="2">
        <v>6</v>
      </c>
      <c r="K40" s="2">
        <v>0</v>
      </c>
      <c r="L40" s="2">
        <v>1.321</v>
      </c>
      <c r="M40" s="2">
        <v>1</v>
      </c>
    </row>
    <row r="41" spans="1:15" ht="14.25" customHeight="1">
      <c r="A41" s="2">
        <v>29</v>
      </c>
      <c r="B41" s="2">
        <v>40</v>
      </c>
      <c r="C41" s="2">
        <v>6</v>
      </c>
      <c r="D41" s="2">
        <v>0</v>
      </c>
      <c r="E41" s="2">
        <v>1.321</v>
      </c>
      <c r="F41" s="2">
        <v>1</v>
      </c>
      <c r="H41" s="2">
        <v>29</v>
      </c>
      <c r="I41" s="2">
        <v>41</v>
      </c>
      <c r="J41" s="2">
        <v>3</v>
      </c>
      <c r="K41" s="2">
        <v>1</v>
      </c>
      <c r="L41" s="2">
        <v>1.653</v>
      </c>
      <c r="M41" s="2">
        <v>2</v>
      </c>
    </row>
    <row r="42" spans="1:15" ht="14.25" customHeight="1">
      <c r="A42" s="2">
        <v>29</v>
      </c>
      <c r="B42" s="2">
        <v>41</v>
      </c>
      <c r="C42" s="2">
        <v>3</v>
      </c>
      <c r="D42" s="2">
        <v>1</v>
      </c>
      <c r="E42" s="2">
        <v>1.653</v>
      </c>
      <c r="F42" s="2">
        <v>2</v>
      </c>
      <c r="H42" s="2">
        <v>29</v>
      </c>
      <c r="I42" s="2">
        <v>42</v>
      </c>
      <c r="J42" s="2">
        <v>4</v>
      </c>
      <c r="K42" s="2">
        <v>1</v>
      </c>
      <c r="L42" s="2">
        <v>1.1739999999999999</v>
      </c>
      <c r="M42" s="2">
        <v>1</v>
      </c>
    </row>
    <row r="43" spans="1:15" ht="14.25" customHeight="1">
      <c r="A43" s="2">
        <v>29</v>
      </c>
      <c r="B43" s="2">
        <v>42</v>
      </c>
      <c r="C43" s="2">
        <v>4</v>
      </c>
      <c r="D43" s="2">
        <v>1</v>
      </c>
      <c r="E43" s="2">
        <v>1.1739999999999999</v>
      </c>
      <c r="F43" s="2">
        <v>1</v>
      </c>
      <c r="H43" s="2">
        <v>29</v>
      </c>
      <c r="I43" s="2">
        <v>43</v>
      </c>
      <c r="J43" s="2">
        <v>3</v>
      </c>
      <c r="K43" s="2">
        <v>1</v>
      </c>
      <c r="L43" s="2">
        <v>1.0649999999999999</v>
      </c>
      <c r="M43" s="2">
        <v>2</v>
      </c>
    </row>
    <row r="44" spans="1:15" ht="14.25" customHeight="1">
      <c r="A44" s="2">
        <v>29</v>
      </c>
      <c r="B44" s="2">
        <v>43</v>
      </c>
      <c r="C44" s="2">
        <v>3</v>
      </c>
      <c r="D44" s="2">
        <v>1</v>
      </c>
      <c r="E44" s="2">
        <v>1.0649999999999999</v>
      </c>
      <c r="F44" s="2">
        <v>2</v>
      </c>
      <c r="H44" s="2">
        <v>29</v>
      </c>
      <c r="I44" s="2">
        <v>44</v>
      </c>
      <c r="J44" s="2">
        <v>1</v>
      </c>
      <c r="K44" s="2">
        <v>0</v>
      </c>
      <c r="L44" s="2">
        <v>1.0169999999999999</v>
      </c>
      <c r="M44" s="2">
        <v>1</v>
      </c>
    </row>
    <row r="45" spans="1:15" ht="14.25" customHeight="1">
      <c r="A45" s="2">
        <v>29</v>
      </c>
      <c r="B45" s="2">
        <v>44</v>
      </c>
      <c r="C45" s="2">
        <v>1</v>
      </c>
      <c r="D45" s="2">
        <v>0</v>
      </c>
      <c r="E45" s="2">
        <v>1.0169999999999999</v>
      </c>
      <c r="F45" s="2">
        <v>1</v>
      </c>
      <c r="H45" s="2">
        <v>29</v>
      </c>
      <c r="I45" s="2">
        <v>45</v>
      </c>
      <c r="J45" s="2">
        <v>4</v>
      </c>
      <c r="K45" s="2">
        <v>0</v>
      </c>
      <c r="L45" s="2">
        <v>1.3140000000000001</v>
      </c>
      <c r="M45" s="2">
        <v>2</v>
      </c>
    </row>
    <row r="46" spans="1:15" ht="14.25" customHeight="1">
      <c r="A46" s="2">
        <v>29</v>
      </c>
      <c r="B46" s="2">
        <v>45</v>
      </c>
      <c r="C46" s="2">
        <v>4</v>
      </c>
      <c r="D46" s="2">
        <v>0</v>
      </c>
      <c r="E46" s="2">
        <v>1.3140000000000001</v>
      </c>
      <c r="F46" s="2">
        <v>2</v>
      </c>
      <c r="H46" s="2">
        <v>29</v>
      </c>
      <c r="I46" s="2">
        <v>46</v>
      </c>
      <c r="J46" s="2">
        <v>5</v>
      </c>
      <c r="K46" s="2">
        <v>0</v>
      </c>
      <c r="L46" s="2">
        <v>1.552</v>
      </c>
      <c r="M46" s="2">
        <v>1</v>
      </c>
    </row>
    <row r="47" spans="1:15" ht="14.25" customHeight="1">
      <c r="A47" s="2">
        <v>29</v>
      </c>
      <c r="B47" s="2">
        <v>46</v>
      </c>
      <c r="C47" s="2">
        <v>5</v>
      </c>
      <c r="D47" s="2">
        <v>0</v>
      </c>
      <c r="E47" s="2">
        <v>1.552</v>
      </c>
      <c r="F47" s="2">
        <v>1</v>
      </c>
      <c r="H47" s="2">
        <v>29</v>
      </c>
      <c r="I47" s="2">
        <v>47</v>
      </c>
      <c r="J47" s="2">
        <v>6</v>
      </c>
      <c r="K47" s="2">
        <v>1</v>
      </c>
      <c r="L47" s="2">
        <v>0.95599999999999996</v>
      </c>
      <c r="M47" s="2">
        <v>2</v>
      </c>
    </row>
    <row r="48" spans="1:15" ht="14.25" customHeight="1">
      <c r="A48" s="2">
        <v>29</v>
      </c>
      <c r="B48" s="2">
        <v>47</v>
      </c>
      <c r="C48" s="2">
        <v>6</v>
      </c>
      <c r="D48" s="2">
        <v>1</v>
      </c>
      <c r="E48" s="2">
        <v>0.95599999999999996</v>
      </c>
      <c r="F48" s="2">
        <v>2</v>
      </c>
      <c r="H48" s="2">
        <v>29</v>
      </c>
      <c r="I48" s="2">
        <v>48</v>
      </c>
      <c r="J48" s="2">
        <v>2</v>
      </c>
      <c r="K48" s="2">
        <v>1</v>
      </c>
      <c r="L48" s="2">
        <v>1.77</v>
      </c>
      <c r="M48" s="2">
        <v>1</v>
      </c>
    </row>
    <row r="49" spans="1:13" ht="14.25" customHeight="1">
      <c r="A49" s="2">
        <v>29</v>
      </c>
      <c r="B49" s="2">
        <v>48</v>
      </c>
      <c r="C49" s="2">
        <v>2</v>
      </c>
      <c r="D49" s="2">
        <v>1</v>
      </c>
      <c r="E49" s="2">
        <v>1.77</v>
      </c>
      <c r="F49" s="2">
        <v>1</v>
      </c>
      <c r="H49" s="2">
        <v>29</v>
      </c>
      <c r="I49" s="2">
        <v>49</v>
      </c>
      <c r="J49" s="2">
        <v>4</v>
      </c>
      <c r="K49" s="2">
        <v>1</v>
      </c>
      <c r="L49" s="2">
        <v>1.6040000000000001</v>
      </c>
      <c r="M49" s="2">
        <v>1</v>
      </c>
    </row>
    <row r="50" spans="1:13" ht="14.25" customHeight="1">
      <c r="A50" s="2">
        <v>29</v>
      </c>
      <c r="B50" s="2">
        <v>49</v>
      </c>
      <c r="C50" s="2">
        <v>4</v>
      </c>
      <c r="D50" s="2">
        <v>1</v>
      </c>
      <c r="E50" s="2">
        <v>1.6040000000000001</v>
      </c>
      <c r="F50" s="2">
        <v>1</v>
      </c>
      <c r="H50" s="2">
        <v>29</v>
      </c>
      <c r="I50" s="2">
        <v>50</v>
      </c>
      <c r="J50" s="2">
        <v>1</v>
      </c>
      <c r="K50" s="2">
        <v>0</v>
      </c>
      <c r="L50" s="2">
        <v>1.7090000000000001</v>
      </c>
      <c r="M50" s="2">
        <v>1</v>
      </c>
    </row>
    <row r="51" spans="1:13" ht="14.25" customHeight="1">
      <c r="A51" s="2">
        <v>29</v>
      </c>
      <c r="B51" s="2">
        <v>50</v>
      </c>
      <c r="C51" s="2">
        <v>1</v>
      </c>
      <c r="D51" s="2">
        <v>0</v>
      </c>
      <c r="E51" s="2">
        <v>1.7090000000000001</v>
      </c>
      <c r="F51" s="2">
        <v>1</v>
      </c>
      <c r="H51" s="2">
        <v>29</v>
      </c>
      <c r="I51" s="2">
        <v>51</v>
      </c>
      <c r="J51" s="2">
        <v>6</v>
      </c>
      <c r="K51" s="2">
        <v>1</v>
      </c>
      <c r="L51" s="2">
        <v>1.6439999999999999</v>
      </c>
      <c r="M51" s="2">
        <v>2</v>
      </c>
    </row>
    <row r="52" spans="1:13" ht="14.25" customHeight="1">
      <c r="A52" s="2">
        <v>29</v>
      </c>
      <c r="B52" s="2">
        <v>51</v>
      </c>
      <c r="C52" s="2">
        <v>6</v>
      </c>
      <c r="D52" s="2">
        <v>1</v>
      </c>
      <c r="E52" s="2">
        <v>1.6439999999999999</v>
      </c>
      <c r="F52" s="2">
        <v>2</v>
      </c>
      <c r="H52" s="2">
        <v>29</v>
      </c>
      <c r="I52" s="2">
        <v>52</v>
      </c>
      <c r="J52" s="2">
        <v>1</v>
      </c>
      <c r="K52" s="2">
        <v>1</v>
      </c>
      <c r="L52" s="2">
        <v>1.042</v>
      </c>
      <c r="M52" s="2">
        <v>1</v>
      </c>
    </row>
    <row r="53" spans="1:13" ht="14.25" customHeight="1">
      <c r="A53" s="2">
        <v>29</v>
      </c>
      <c r="B53" s="2">
        <v>52</v>
      </c>
      <c r="C53" s="2">
        <v>1</v>
      </c>
      <c r="D53" s="2">
        <v>1</v>
      </c>
      <c r="E53" s="2">
        <v>1.042</v>
      </c>
      <c r="F53" s="2">
        <v>1</v>
      </c>
      <c r="H53" s="2">
        <v>29</v>
      </c>
      <c r="I53" s="2">
        <v>53</v>
      </c>
      <c r="J53" s="2">
        <v>6</v>
      </c>
      <c r="K53" s="2">
        <v>1</v>
      </c>
      <c r="L53" s="2">
        <v>1.139</v>
      </c>
      <c r="M53" s="2">
        <v>2</v>
      </c>
    </row>
    <row r="54" spans="1:13" ht="14.25" customHeight="1">
      <c r="A54" s="2">
        <v>29</v>
      </c>
      <c r="B54" s="2">
        <v>53</v>
      </c>
      <c r="C54" s="2">
        <v>6</v>
      </c>
      <c r="D54" s="2">
        <v>1</v>
      </c>
      <c r="E54" s="2">
        <v>1.139</v>
      </c>
      <c r="F54" s="2">
        <v>2</v>
      </c>
      <c r="H54" s="2">
        <v>29</v>
      </c>
      <c r="I54" s="2">
        <v>54</v>
      </c>
      <c r="J54" s="2">
        <v>4</v>
      </c>
      <c r="K54" s="2">
        <v>1</v>
      </c>
      <c r="L54" s="2">
        <v>1.087</v>
      </c>
      <c r="M54" s="2">
        <v>1</v>
      </c>
    </row>
    <row r="55" spans="1:13" ht="14.25" customHeight="1">
      <c r="A55" s="2">
        <v>29</v>
      </c>
      <c r="B55" s="2">
        <v>54</v>
      </c>
      <c r="C55" s="2">
        <v>4</v>
      </c>
      <c r="D55" s="2">
        <v>1</v>
      </c>
      <c r="E55" s="2">
        <v>1.087</v>
      </c>
      <c r="F55" s="2">
        <v>1</v>
      </c>
      <c r="H55" s="2">
        <v>29</v>
      </c>
      <c r="I55" s="2">
        <v>55</v>
      </c>
      <c r="J55" s="2">
        <v>5</v>
      </c>
      <c r="K55" s="2">
        <v>0</v>
      </c>
      <c r="L55" s="2">
        <v>1.766</v>
      </c>
      <c r="M55" s="2">
        <v>2</v>
      </c>
    </row>
    <row r="56" spans="1:13" ht="14.25" customHeight="1">
      <c r="A56" s="2">
        <v>29</v>
      </c>
      <c r="B56" s="2">
        <v>55</v>
      </c>
      <c r="C56" s="2">
        <v>5</v>
      </c>
      <c r="D56" s="2">
        <v>0</v>
      </c>
      <c r="E56" s="2">
        <v>1.766</v>
      </c>
      <c r="F56" s="2">
        <v>2</v>
      </c>
      <c r="H56" s="2">
        <v>29</v>
      </c>
      <c r="I56" s="2">
        <v>56</v>
      </c>
      <c r="J56" s="2">
        <v>2</v>
      </c>
      <c r="K56" s="2">
        <v>1</v>
      </c>
      <c r="L56" s="2">
        <v>1.0820000000000001</v>
      </c>
      <c r="M56" s="2">
        <v>2</v>
      </c>
    </row>
    <row r="57" spans="1:13" ht="14.25" customHeight="1">
      <c r="A57" s="2">
        <v>29</v>
      </c>
      <c r="B57" s="2">
        <v>56</v>
      </c>
      <c r="C57" s="2">
        <v>2</v>
      </c>
      <c r="D57" s="2">
        <v>1</v>
      </c>
      <c r="E57" s="2">
        <v>1.0820000000000001</v>
      </c>
      <c r="F57" s="2">
        <v>2</v>
      </c>
      <c r="H57" s="2">
        <v>29</v>
      </c>
      <c r="I57" s="2">
        <v>57</v>
      </c>
      <c r="J57" s="2">
        <v>8</v>
      </c>
      <c r="K57" s="2">
        <v>0</v>
      </c>
      <c r="L57" s="2">
        <v>1.4410000000000001</v>
      </c>
      <c r="M57" s="2">
        <v>1</v>
      </c>
    </row>
    <row r="58" spans="1:13" ht="14.25" customHeight="1">
      <c r="A58" s="2">
        <v>29</v>
      </c>
      <c r="B58" s="2">
        <v>57</v>
      </c>
      <c r="C58" s="2">
        <v>8</v>
      </c>
      <c r="D58" s="2">
        <v>0</v>
      </c>
      <c r="E58" s="2">
        <v>1.4410000000000001</v>
      </c>
      <c r="F58" s="2">
        <v>1</v>
      </c>
      <c r="H58" s="2">
        <v>29</v>
      </c>
      <c r="I58" s="2">
        <v>58</v>
      </c>
      <c r="J58" s="2">
        <v>2</v>
      </c>
      <c r="K58" s="2">
        <v>0</v>
      </c>
      <c r="L58" s="2">
        <v>0.97799999999999998</v>
      </c>
      <c r="M58" s="2">
        <v>2</v>
      </c>
    </row>
    <row r="59" spans="1:13" ht="14.25" customHeight="1">
      <c r="A59" s="2">
        <v>29</v>
      </c>
      <c r="B59" s="2">
        <v>58</v>
      </c>
      <c r="C59" s="2">
        <v>2</v>
      </c>
      <c r="D59" s="2">
        <v>0</v>
      </c>
      <c r="E59" s="2">
        <v>0.97799999999999998</v>
      </c>
      <c r="F59" s="2">
        <v>2</v>
      </c>
      <c r="H59" s="2">
        <v>29</v>
      </c>
      <c r="I59" s="2">
        <v>59</v>
      </c>
      <c r="J59" s="2">
        <v>5</v>
      </c>
      <c r="K59" s="2">
        <v>1</v>
      </c>
      <c r="L59" s="2">
        <v>0.69399999999999995</v>
      </c>
      <c r="M59" s="2">
        <v>1</v>
      </c>
    </row>
    <row r="60" spans="1:13" ht="14.25" customHeight="1">
      <c r="A60" s="2">
        <v>29</v>
      </c>
      <c r="B60" s="2">
        <v>59</v>
      </c>
      <c r="C60" s="2">
        <v>5</v>
      </c>
      <c r="D60" s="2">
        <v>1</v>
      </c>
      <c r="E60" s="2">
        <v>0.69399999999999995</v>
      </c>
      <c r="F60" s="2">
        <v>1</v>
      </c>
      <c r="H60" s="2">
        <v>29</v>
      </c>
      <c r="I60" s="2">
        <v>60</v>
      </c>
      <c r="J60" s="2">
        <v>2</v>
      </c>
      <c r="K60" s="2">
        <v>0</v>
      </c>
      <c r="L60" s="2">
        <v>1.74</v>
      </c>
      <c r="M60" s="2">
        <v>1</v>
      </c>
    </row>
    <row r="61" spans="1:13" ht="14.25" customHeight="1">
      <c r="A61" s="2">
        <v>29</v>
      </c>
      <c r="B61" s="2">
        <v>60</v>
      </c>
      <c r="C61" s="2">
        <v>2</v>
      </c>
      <c r="D61" s="2">
        <v>0</v>
      </c>
      <c r="E61" s="2">
        <v>1.74</v>
      </c>
      <c r="F61" s="2">
        <v>1</v>
      </c>
      <c r="H61" s="2">
        <v>29</v>
      </c>
      <c r="I61" s="2">
        <v>61</v>
      </c>
      <c r="J61" s="2">
        <v>7</v>
      </c>
      <c r="K61" s="2">
        <v>1</v>
      </c>
      <c r="L61" s="2">
        <v>0.96699999999999997</v>
      </c>
      <c r="M61" s="2">
        <v>2</v>
      </c>
    </row>
    <row r="62" spans="1:13" ht="14.25" customHeight="1">
      <c r="A62" s="2">
        <v>29</v>
      </c>
      <c r="B62" s="2">
        <v>61</v>
      </c>
      <c r="C62" s="2">
        <v>7</v>
      </c>
      <c r="D62" s="2">
        <v>1</v>
      </c>
      <c r="E62" s="2">
        <v>0.96699999999999997</v>
      </c>
      <c r="F62" s="2">
        <v>2</v>
      </c>
      <c r="H62" s="2">
        <v>29</v>
      </c>
      <c r="I62" s="2">
        <v>62</v>
      </c>
      <c r="J62" s="2">
        <v>8</v>
      </c>
      <c r="K62" s="2">
        <v>0</v>
      </c>
      <c r="L62" s="2">
        <v>1.155</v>
      </c>
      <c r="M62" s="2">
        <v>2</v>
      </c>
    </row>
    <row r="63" spans="1:13" ht="14.25" customHeight="1">
      <c r="A63" s="2">
        <v>29</v>
      </c>
      <c r="B63" s="2">
        <v>62</v>
      </c>
      <c r="C63" s="2">
        <v>8</v>
      </c>
      <c r="D63" s="2">
        <v>0</v>
      </c>
      <c r="E63" s="2">
        <v>1.155</v>
      </c>
      <c r="F63" s="2">
        <v>2</v>
      </c>
      <c r="H63" s="2">
        <v>29</v>
      </c>
      <c r="I63" s="2">
        <v>63</v>
      </c>
      <c r="J63" s="2">
        <v>6</v>
      </c>
      <c r="K63" s="2">
        <v>1</v>
      </c>
      <c r="L63" s="2">
        <v>1.2689999999999999</v>
      </c>
      <c r="M63" s="2">
        <v>2</v>
      </c>
    </row>
    <row r="64" spans="1:13" ht="14.25" customHeight="1">
      <c r="A64" s="2">
        <v>29</v>
      </c>
      <c r="B64" s="2">
        <v>63</v>
      </c>
      <c r="C64" s="2">
        <v>6</v>
      </c>
      <c r="D64" s="2">
        <v>1</v>
      </c>
      <c r="E64" s="2">
        <v>1.2689999999999999</v>
      </c>
      <c r="F64" s="2">
        <v>2</v>
      </c>
      <c r="H64" s="2">
        <v>29</v>
      </c>
      <c r="I64" s="2">
        <v>64</v>
      </c>
      <c r="J64" s="2">
        <v>3</v>
      </c>
      <c r="K64" s="2">
        <v>1</v>
      </c>
      <c r="L64" s="2">
        <v>1.212</v>
      </c>
      <c r="M64" s="2">
        <v>1</v>
      </c>
    </row>
    <row r="65" spans="1:13" ht="14.25" customHeight="1">
      <c r="A65" s="2">
        <v>29</v>
      </c>
      <c r="B65" s="2">
        <v>64</v>
      </c>
      <c r="C65" s="2">
        <v>3</v>
      </c>
      <c r="D65" s="2">
        <v>1</v>
      </c>
      <c r="E65" s="2">
        <v>1.212</v>
      </c>
      <c r="F65" s="2">
        <v>1</v>
      </c>
      <c r="H65" s="2">
        <v>29</v>
      </c>
      <c r="I65" s="2">
        <v>65</v>
      </c>
      <c r="J65" s="2">
        <v>5</v>
      </c>
      <c r="K65" s="2">
        <v>0</v>
      </c>
      <c r="L65" s="2">
        <v>1.591</v>
      </c>
      <c r="M65" s="2">
        <v>1</v>
      </c>
    </row>
    <row r="66" spans="1:13" ht="14.25" customHeight="1">
      <c r="A66" s="2">
        <v>29</v>
      </c>
      <c r="B66" s="2">
        <v>65</v>
      </c>
      <c r="C66" s="2">
        <v>5</v>
      </c>
      <c r="D66" s="2">
        <v>0</v>
      </c>
      <c r="E66" s="2">
        <v>1.591</v>
      </c>
      <c r="F66" s="2">
        <v>1</v>
      </c>
      <c r="H66" s="2">
        <v>29</v>
      </c>
      <c r="I66" s="2">
        <v>66</v>
      </c>
      <c r="J66" s="2">
        <v>8</v>
      </c>
      <c r="K66" s="2">
        <v>0</v>
      </c>
      <c r="L66" s="2">
        <v>1.7390000000000001</v>
      </c>
      <c r="M66" s="2">
        <v>2</v>
      </c>
    </row>
    <row r="67" spans="1:13" ht="14.25" customHeight="1">
      <c r="A67" s="2">
        <v>29</v>
      </c>
      <c r="B67" s="2">
        <v>66</v>
      </c>
      <c r="C67" s="2">
        <v>8</v>
      </c>
      <c r="D67" s="2">
        <v>0</v>
      </c>
      <c r="E67" s="2">
        <v>1.7390000000000001</v>
      </c>
      <c r="F67" s="2">
        <v>2</v>
      </c>
      <c r="H67" s="2">
        <v>29</v>
      </c>
      <c r="I67" s="2">
        <v>67</v>
      </c>
      <c r="J67" s="2">
        <v>3</v>
      </c>
      <c r="K67" s="2">
        <v>0</v>
      </c>
      <c r="L67" s="2">
        <v>1.7490000000000001</v>
      </c>
      <c r="M67" s="2">
        <v>1</v>
      </c>
    </row>
    <row r="68" spans="1:13" ht="14.25" customHeight="1">
      <c r="A68" s="2">
        <v>29</v>
      </c>
      <c r="B68" s="2">
        <v>67</v>
      </c>
      <c r="C68" s="2">
        <v>3</v>
      </c>
      <c r="D68" s="2">
        <v>0</v>
      </c>
      <c r="E68" s="2">
        <v>1.7490000000000001</v>
      </c>
      <c r="F68" s="2">
        <v>1</v>
      </c>
      <c r="H68" s="2">
        <v>29</v>
      </c>
      <c r="I68" s="2">
        <v>68</v>
      </c>
      <c r="J68" s="2">
        <v>7</v>
      </c>
      <c r="K68" s="2">
        <v>0</v>
      </c>
      <c r="L68" s="2">
        <v>0.99299999999999999</v>
      </c>
      <c r="M68" s="2">
        <v>2</v>
      </c>
    </row>
    <row r="69" spans="1:13" ht="14.25" customHeight="1">
      <c r="A69" s="2">
        <v>29</v>
      </c>
      <c r="B69" s="2">
        <v>68</v>
      </c>
      <c r="C69" s="2">
        <v>7</v>
      </c>
      <c r="D69" s="2">
        <v>0</v>
      </c>
      <c r="E69" s="2">
        <v>0.99299999999999999</v>
      </c>
      <c r="F69" s="2">
        <v>2</v>
      </c>
      <c r="H69" s="2">
        <v>29</v>
      </c>
      <c r="I69" s="2">
        <v>69</v>
      </c>
      <c r="J69" s="2">
        <v>8</v>
      </c>
      <c r="K69" s="2">
        <v>1</v>
      </c>
      <c r="L69" s="2">
        <v>1.099</v>
      </c>
      <c r="M69" s="2">
        <v>2</v>
      </c>
    </row>
    <row r="70" spans="1:13" ht="14.25" customHeight="1">
      <c r="A70" s="2">
        <v>29</v>
      </c>
      <c r="B70" s="2">
        <v>69</v>
      </c>
      <c r="C70" s="2">
        <v>8</v>
      </c>
      <c r="D70" s="2">
        <v>1</v>
      </c>
      <c r="E70" s="2">
        <v>1.099</v>
      </c>
      <c r="F70" s="2">
        <v>2</v>
      </c>
      <c r="H70" s="2">
        <v>29</v>
      </c>
      <c r="I70" s="2">
        <v>70</v>
      </c>
      <c r="J70" s="2">
        <v>2</v>
      </c>
      <c r="K70" s="2">
        <v>1</v>
      </c>
      <c r="L70" s="2">
        <v>0.88300000000000001</v>
      </c>
      <c r="M70" s="2">
        <v>2</v>
      </c>
    </row>
    <row r="71" spans="1:13" ht="14.25" customHeight="1">
      <c r="A71" s="2">
        <v>29</v>
      </c>
      <c r="B71" s="2">
        <v>70</v>
      </c>
      <c r="C71" s="2">
        <v>2</v>
      </c>
      <c r="D71" s="2">
        <v>1</v>
      </c>
      <c r="E71" s="2">
        <v>0.88300000000000001</v>
      </c>
      <c r="F71" s="2">
        <v>2</v>
      </c>
      <c r="H71" s="2">
        <v>29</v>
      </c>
      <c r="I71" s="2">
        <v>71</v>
      </c>
      <c r="J71" s="2">
        <v>4</v>
      </c>
      <c r="K71" s="2">
        <v>1</v>
      </c>
      <c r="L71" s="2">
        <v>1.5369999999999999</v>
      </c>
      <c r="M71" s="2">
        <v>1</v>
      </c>
    </row>
    <row r="72" spans="1:13" ht="14.25" customHeight="1">
      <c r="A72" s="2">
        <v>29</v>
      </c>
      <c r="B72" s="2">
        <v>71</v>
      </c>
      <c r="C72" s="2">
        <v>4</v>
      </c>
      <c r="D72" s="2">
        <v>1</v>
      </c>
      <c r="E72" s="2">
        <v>1.5369999999999999</v>
      </c>
      <c r="F72" s="2">
        <v>1</v>
      </c>
      <c r="H72" s="2">
        <v>29</v>
      </c>
      <c r="I72" s="2">
        <v>72</v>
      </c>
      <c r="J72" s="2">
        <v>8</v>
      </c>
      <c r="K72" s="2">
        <v>0</v>
      </c>
      <c r="L72" s="2">
        <v>0.997</v>
      </c>
      <c r="M72" s="2">
        <v>2</v>
      </c>
    </row>
    <row r="73" spans="1:13" ht="14.25" customHeight="1">
      <c r="A73" s="2">
        <v>29</v>
      </c>
      <c r="B73" s="2">
        <v>72</v>
      </c>
      <c r="C73" s="2">
        <v>8</v>
      </c>
      <c r="D73" s="2">
        <v>0</v>
      </c>
      <c r="E73" s="2">
        <v>0.997</v>
      </c>
      <c r="F73" s="2">
        <v>2</v>
      </c>
      <c r="H73" s="2">
        <v>29</v>
      </c>
      <c r="I73" s="2">
        <v>73</v>
      </c>
      <c r="J73" s="2">
        <v>4</v>
      </c>
      <c r="K73" s="2">
        <v>1</v>
      </c>
      <c r="L73" s="2">
        <v>0.79300000000000004</v>
      </c>
      <c r="M73" s="2">
        <v>1</v>
      </c>
    </row>
    <row r="74" spans="1:13" ht="14.25" customHeight="1">
      <c r="A74" s="2">
        <v>29</v>
      </c>
      <c r="B74" s="2">
        <v>73</v>
      </c>
      <c r="C74" s="2">
        <v>4</v>
      </c>
      <c r="D74" s="2">
        <v>1</v>
      </c>
      <c r="E74" s="2">
        <v>0.79300000000000004</v>
      </c>
      <c r="F74" s="2">
        <v>1</v>
      </c>
      <c r="H74" s="2">
        <v>29</v>
      </c>
      <c r="I74" s="2">
        <v>74</v>
      </c>
      <c r="J74" s="2">
        <v>3</v>
      </c>
      <c r="K74" s="2">
        <v>0</v>
      </c>
      <c r="L74" s="2">
        <v>0.96099999999999997</v>
      </c>
      <c r="M74" s="2">
        <v>2</v>
      </c>
    </row>
    <row r="75" spans="1:13" ht="14.25" customHeight="1">
      <c r="A75" s="2">
        <v>29</v>
      </c>
      <c r="B75" s="2">
        <v>74</v>
      </c>
      <c r="C75" s="2">
        <v>3</v>
      </c>
      <c r="D75" s="2">
        <v>0</v>
      </c>
      <c r="E75" s="2">
        <v>0.96099999999999997</v>
      </c>
      <c r="F75" s="2">
        <v>2</v>
      </c>
      <c r="H75" s="2">
        <v>29</v>
      </c>
      <c r="I75" s="2">
        <v>75</v>
      </c>
      <c r="J75" s="2">
        <v>7</v>
      </c>
      <c r="K75" s="2">
        <v>0</v>
      </c>
      <c r="L75" s="2">
        <v>0.69299999999999995</v>
      </c>
      <c r="M75" s="2">
        <v>1</v>
      </c>
    </row>
    <row r="76" spans="1:13" ht="14.25" customHeight="1">
      <c r="A76" s="2">
        <v>29</v>
      </c>
      <c r="B76" s="2">
        <v>75</v>
      </c>
      <c r="C76" s="2">
        <v>7</v>
      </c>
      <c r="D76" s="2">
        <v>0</v>
      </c>
      <c r="E76" s="2">
        <v>0.69299999999999995</v>
      </c>
      <c r="F76" s="2">
        <v>1</v>
      </c>
      <c r="H76" s="2">
        <v>29</v>
      </c>
      <c r="I76" s="2">
        <v>76</v>
      </c>
      <c r="J76" s="2">
        <v>3</v>
      </c>
      <c r="K76" s="2">
        <v>0</v>
      </c>
      <c r="L76" s="2">
        <v>1.1579999999999999</v>
      </c>
      <c r="M76" s="2">
        <v>2</v>
      </c>
    </row>
    <row r="77" spans="1:13" ht="14.25" customHeight="1">
      <c r="A77" s="2">
        <v>29</v>
      </c>
      <c r="B77" s="2">
        <v>76</v>
      </c>
      <c r="C77" s="2">
        <v>3</v>
      </c>
      <c r="D77" s="2">
        <v>0</v>
      </c>
      <c r="E77" s="2">
        <v>1.1579999999999999</v>
      </c>
      <c r="F77" s="2">
        <v>2</v>
      </c>
      <c r="H77" s="2">
        <v>29</v>
      </c>
      <c r="I77" s="2">
        <v>77</v>
      </c>
      <c r="J77" s="2">
        <v>5</v>
      </c>
      <c r="L77" s="2">
        <v>2.0009999999999999</v>
      </c>
    </row>
    <row r="78" spans="1:13" ht="14.25" customHeight="1">
      <c r="A78" s="2">
        <v>29</v>
      </c>
      <c r="B78" s="2">
        <v>77</v>
      </c>
      <c r="C78" s="2">
        <v>5</v>
      </c>
      <c r="E78" s="2">
        <v>2.0009999999999999</v>
      </c>
      <c r="H78" s="2">
        <v>29</v>
      </c>
      <c r="I78" s="2">
        <v>78</v>
      </c>
      <c r="J78" s="2">
        <v>1</v>
      </c>
      <c r="K78" s="2">
        <v>1</v>
      </c>
      <c r="L78" s="2">
        <v>1.845</v>
      </c>
      <c r="M78" s="2">
        <v>2</v>
      </c>
    </row>
    <row r="79" spans="1:13" ht="14.25" customHeight="1">
      <c r="A79" s="2">
        <v>29</v>
      </c>
      <c r="B79" s="2">
        <v>78</v>
      </c>
      <c r="C79" s="2">
        <v>1</v>
      </c>
      <c r="D79" s="2">
        <v>1</v>
      </c>
      <c r="E79" s="2">
        <v>1.845</v>
      </c>
      <c r="F79" s="2">
        <v>2</v>
      </c>
      <c r="H79" s="2">
        <v>29</v>
      </c>
      <c r="I79" s="2">
        <v>79</v>
      </c>
      <c r="J79" s="2">
        <v>2</v>
      </c>
      <c r="K79" s="2">
        <v>0</v>
      </c>
      <c r="L79" s="2">
        <v>1.2989999999999999</v>
      </c>
      <c r="M79" s="2">
        <v>2</v>
      </c>
    </row>
    <row r="80" spans="1:13" ht="14.25" customHeight="1">
      <c r="A80" s="2">
        <v>29</v>
      </c>
      <c r="B80" s="2">
        <v>79</v>
      </c>
      <c r="C80" s="2">
        <v>2</v>
      </c>
      <c r="D80" s="2">
        <v>0</v>
      </c>
      <c r="E80" s="2">
        <v>1.2989999999999999</v>
      </c>
      <c r="F80" s="2">
        <v>2</v>
      </c>
      <c r="H80" s="2">
        <v>29</v>
      </c>
      <c r="I80" s="2">
        <v>80</v>
      </c>
      <c r="J80" s="2">
        <v>6</v>
      </c>
      <c r="K80" s="2">
        <v>1</v>
      </c>
      <c r="L80" s="2">
        <v>1.5529999999999999</v>
      </c>
      <c r="M80" s="2">
        <v>1</v>
      </c>
    </row>
    <row r="81" spans="1:13" ht="14.25" customHeight="1">
      <c r="A81" s="2">
        <v>29</v>
      </c>
      <c r="B81" s="2">
        <v>80</v>
      </c>
      <c r="C81" s="2">
        <v>6</v>
      </c>
      <c r="D81" s="2">
        <v>1</v>
      </c>
      <c r="E81" s="2">
        <v>1.5529999999999999</v>
      </c>
      <c r="F81" s="2">
        <v>1</v>
      </c>
      <c r="H81" s="2">
        <v>29</v>
      </c>
      <c r="I81" s="2">
        <v>81</v>
      </c>
      <c r="J81" s="2">
        <v>3</v>
      </c>
      <c r="K81" s="2">
        <v>0</v>
      </c>
      <c r="L81" s="2">
        <v>0.58899999999999997</v>
      </c>
      <c r="M81" s="2">
        <v>1</v>
      </c>
    </row>
    <row r="82" spans="1:13" ht="14.25" customHeight="1">
      <c r="A82" s="2">
        <v>29</v>
      </c>
      <c r="B82" s="2">
        <v>81</v>
      </c>
      <c r="C82" s="2">
        <v>3</v>
      </c>
      <c r="D82" s="2">
        <v>0</v>
      </c>
      <c r="E82" s="2">
        <v>0.58899999999999997</v>
      </c>
      <c r="F82" s="2">
        <v>1</v>
      </c>
      <c r="H82" s="2">
        <v>29</v>
      </c>
      <c r="I82" s="2">
        <v>82</v>
      </c>
      <c r="J82" s="2">
        <v>1</v>
      </c>
      <c r="K82" s="2">
        <v>0</v>
      </c>
      <c r="L82" s="2">
        <v>1.88</v>
      </c>
      <c r="M82" s="2">
        <v>2</v>
      </c>
    </row>
    <row r="83" spans="1:13" ht="14.25" customHeight="1">
      <c r="A83" s="2">
        <v>29</v>
      </c>
      <c r="B83" s="2">
        <v>82</v>
      </c>
      <c r="C83" s="2">
        <v>1</v>
      </c>
      <c r="D83" s="2">
        <v>0</v>
      </c>
      <c r="E83" s="2">
        <v>1.88</v>
      </c>
      <c r="F83" s="2">
        <v>2</v>
      </c>
      <c r="H83" s="2">
        <v>29</v>
      </c>
      <c r="I83" s="2">
        <v>83</v>
      </c>
      <c r="J83" s="2">
        <v>7</v>
      </c>
      <c r="K83" s="2">
        <v>1</v>
      </c>
      <c r="L83" s="2">
        <v>0.54300000000000004</v>
      </c>
      <c r="M83" s="2">
        <v>1</v>
      </c>
    </row>
    <row r="84" spans="1:13" ht="14.25" customHeight="1">
      <c r="A84" s="2">
        <v>29</v>
      </c>
      <c r="B84" s="2">
        <v>83</v>
      </c>
      <c r="C84" s="2">
        <v>7</v>
      </c>
      <c r="D84" s="2">
        <v>1</v>
      </c>
      <c r="E84" s="2">
        <v>0.54300000000000004</v>
      </c>
      <c r="F84" s="2">
        <v>1</v>
      </c>
      <c r="H84" s="2">
        <v>29</v>
      </c>
      <c r="I84" s="2">
        <v>84</v>
      </c>
      <c r="J84" s="2">
        <v>4</v>
      </c>
      <c r="K84" s="2">
        <v>0</v>
      </c>
      <c r="L84" s="2">
        <v>1.115</v>
      </c>
      <c r="M84" s="2">
        <v>2</v>
      </c>
    </row>
    <row r="85" spans="1:13" ht="14.25" customHeight="1">
      <c r="A85" s="2">
        <v>29</v>
      </c>
      <c r="B85" s="2">
        <v>84</v>
      </c>
      <c r="C85" s="2">
        <v>4</v>
      </c>
      <c r="D85" s="2">
        <v>0</v>
      </c>
      <c r="E85" s="2">
        <v>1.115</v>
      </c>
      <c r="F85" s="2">
        <v>2</v>
      </c>
      <c r="H85" s="2">
        <v>29</v>
      </c>
      <c r="I85" s="2">
        <v>85</v>
      </c>
      <c r="J85" s="2">
        <v>5</v>
      </c>
      <c r="K85" s="2">
        <v>0</v>
      </c>
      <c r="L85" s="2">
        <v>1.4790000000000001</v>
      </c>
      <c r="M85" s="2">
        <v>1</v>
      </c>
    </row>
    <row r="86" spans="1:13" ht="14.25" customHeight="1">
      <c r="A86" s="2">
        <v>29</v>
      </c>
      <c r="B86" s="2">
        <v>85</v>
      </c>
      <c r="C86" s="2">
        <v>5</v>
      </c>
      <c r="D86" s="2">
        <v>0</v>
      </c>
      <c r="E86" s="2">
        <v>1.4790000000000001</v>
      </c>
      <c r="F86" s="2">
        <v>1</v>
      </c>
      <c r="H86" s="2">
        <v>29</v>
      </c>
      <c r="I86" s="2">
        <v>86</v>
      </c>
      <c r="J86" s="2">
        <v>3</v>
      </c>
      <c r="K86" s="2">
        <v>1</v>
      </c>
      <c r="L86" s="2">
        <v>1.4630000000000001</v>
      </c>
      <c r="M86" s="2">
        <v>2</v>
      </c>
    </row>
    <row r="87" spans="1:13" ht="14.25" customHeight="1">
      <c r="A87" s="2">
        <v>29</v>
      </c>
      <c r="B87" s="2">
        <v>86</v>
      </c>
      <c r="C87" s="2">
        <v>3</v>
      </c>
      <c r="D87" s="2">
        <v>1</v>
      </c>
      <c r="E87" s="2">
        <v>1.4630000000000001</v>
      </c>
      <c r="F87" s="2">
        <v>2</v>
      </c>
      <c r="H87" s="2">
        <v>29</v>
      </c>
      <c r="I87" s="2">
        <v>87</v>
      </c>
      <c r="J87" s="2">
        <v>5</v>
      </c>
      <c r="K87" s="2">
        <v>0</v>
      </c>
      <c r="L87" s="2">
        <v>1.1679999999999999</v>
      </c>
      <c r="M87" s="2">
        <v>2</v>
      </c>
    </row>
    <row r="88" spans="1:13" ht="14.25" customHeight="1">
      <c r="A88" s="2">
        <v>29</v>
      </c>
      <c r="B88" s="2">
        <v>87</v>
      </c>
      <c r="C88" s="2">
        <v>5</v>
      </c>
      <c r="D88" s="2">
        <v>0</v>
      </c>
      <c r="E88" s="2">
        <v>1.1679999999999999</v>
      </c>
      <c r="F88" s="2">
        <v>2</v>
      </c>
      <c r="H88" s="2">
        <v>29</v>
      </c>
      <c r="I88" s="2">
        <v>88</v>
      </c>
      <c r="J88" s="2">
        <v>7</v>
      </c>
      <c r="K88" s="2">
        <v>0</v>
      </c>
      <c r="L88" s="2">
        <v>1.2729999999999999</v>
      </c>
      <c r="M88" s="2">
        <v>1</v>
      </c>
    </row>
    <row r="89" spans="1:13" ht="14.25" customHeight="1">
      <c r="A89" s="2">
        <v>29</v>
      </c>
      <c r="B89" s="2">
        <v>88</v>
      </c>
      <c r="C89" s="2">
        <v>7</v>
      </c>
      <c r="D89" s="2">
        <v>0</v>
      </c>
      <c r="E89" s="2">
        <v>1.2729999999999999</v>
      </c>
      <c r="F89" s="2">
        <v>1</v>
      </c>
      <c r="H89" s="2">
        <v>29</v>
      </c>
      <c r="I89" s="2">
        <v>89</v>
      </c>
      <c r="J89" s="2">
        <v>8</v>
      </c>
      <c r="K89" s="2">
        <v>0</v>
      </c>
      <c r="L89" s="2">
        <v>1.5609999999999999</v>
      </c>
      <c r="M89" s="2">
        <v>1</v>
      </c>
    </row>
    <row r="90" spans="1:13" ht="14.25" customHeight="1">
      <c r="A90" s="2">
        <v>29</v>
      </c>
      <c r="B90" s="2">
        <v>89</v>
      </c>
      <c r="C90" s="2">
        <v>8</v>
      </c>
      <c r="D90" s="2">
        <v>0</v>
      </c>
      <c r="E90" s="2">
        <v>1.5609999999999999</v>
      </c>
      <c r="F90" s="2">
        <v>1</v>
      </c>
      <c r="H90" s="2">
        <v>29</v>
      </c>
      <c r="I90" s="2">
        <v>90</v>
      </c>
      <c r="J90" s="2">
        <v>1</v>
      </c>
      <c r="K90" s="2">
        <v>1</v>
      </c>
      <c r="L90" s="2">
        <v>1.726</v>
      </c>
      <c r="M90" s="2">
        <v>2</v>
      </c>
    </row>
    <row r="91" spans="1:13" ht="14.25" customHeight="1">
      <c r="A91" s="2">
        <v>29</v>
      </c>
      <c r="B91" s="2">
        <v>90</v>
      </c>
      <c r="C91" s="2">
        <v>1</v>
      </c>
      <c r="D91" s="2">
        <v>1</v>
      </c>
      <c r="E91" s="2">
        <v>1.726</v>
      </c>
      <c r="F91" s="2">
        <v>2</v>
      </c>
      <c r="H91" s="2">
        <v>29</v>
      </c>
      <c r="I91" s="2">
        <v>91</v>
      </c>
      <c r="J91" s="2">
        <v>2</v>
      </c>
      <c r="L91" s="2">
        <v>2</v>
      </c>
    </row>
    <row r="92" spans="1:13" ht="14.25" customHeight="1">
      <c r="A92" s="2">
        <v>29</v>
      </c>
      <c r="B92" s="2">
        <v>91</v>
      </c>
      <c r="C92" s="2">
        <v>2</v>
      </c>
      <c r="E92" s="2">
        <v>2</v>
      </c>
      <c r="H92" s="2">
        <v>29</v>
      </c>
      <c r="I92" s="2">
        <v>92</v>
      </c>
      <c r="J92" s="2">
        <v>7</v>
      </c>
      <c r="K92" s="2">
        <v>0</v>
      </c>
      <c r="L92" s="2">
        <v>0.63500000000000001</v>
      </c>
      <c r="M92" s="2">
        <v>2</v>
      </c>
    </row>
    <row r="93" spans="1:13" ht="14.25" customHeight="1">
      <c r="A93" s="2">
        <v>29</v>
      </c>
      <c r="B93" s="2">
        <v>92</v>
      </c>
      <c r="C93" s="2">
        <v>7</v>
      </c>
      <c r="D93" s="2">
        <v>0</v>
      </c>
      <c r="E93" s="2">
        <v>0.63500000000000001</v>
      </c>
      <c r="F93" s="2">
        <v>2</v>
      </c>
      <c r="H93" s="2">
        <v>29</v>
      </c>
      <c r="I93" s="2">
        <v>93</v>
      </c>
      <c r="J93" s="2">
        <v>1</v>
      </c>
      <c r="K93" s="2">
        <v>0</v>
      </c>
      <c r="L93" s="2">
        <v>0.622</v>
      </c>
      <c r="M93" s="2">
        <v>1</v>
      </c>
    </row>
    <row r="94" spans="1:13" ht="14.25" customHeight="1">
      <c r="A94" s="2">
        <v>29</v>
      </c>
      <c r="B94" s="2">
        <v>93</v>
      </c>
      <c r="C94" s="2">
        <v>1</v>
      </c>
      <c r="D94" s="2">
        <v>0</v>
      </c>
      <c r="E94" s="2">
        <v>0.622</v>
      </c>
      <c r="F94" s="2">
        <v>1</v>
      </c>
      <c r="H94" s="2">
        <v>29</v>
      </c>
      <c r="I94" s="2">
        <v>94</v>
      </c>
      <c r="J94" s="2">
        <v>6</v>
      </c>
      <c r="K94" s="2">
        <v>1</v>
      </c>
      <c r="L94" s="2">
        <v>1.56</v>
      </c>
      <c r="M94" s="2">
        <v>2</v>
      </c>
    </row>
    <row r="95" spans="1:13" ht="14.25" customHeight="1">
      <c r="A95" s="2">
        <v>29</v>
      </c>
      <c r="B95" s="2">
        <v>94</v>
      </c>
      <c r="C95" s="2">
        <v>6</v>
      </c>
      <c r="D95" s="2">
        <v>1</v>
      </c>
      <c r="E95" s="2">
        <v>1.56</v>
      </c>
      <c r="F95" s="2">
        <v>2</v>
      </c>
      <c r="H95" s="2">
        <v>29</v>
      </c>
      <c r="I95" s="2">
        <v>95</v>
      </c>
      <c r="J95" s="2">
        <v>4</v>
      </c>
      <c r="K95" s="2">
        <v>0</v>
      </c>
      <c r="L95" s="2">
        <v>1.2370000000000001</v>
      </c>
      <c r="M95" s="2">
        <v>2</v>
      </c>
    </row>
    <row r="96" spans="1:13" ht="14.25" customHeight="1">
      <c r="A96" s="2">
        <v>29</v>
      </c>
      <c r="B96" s="2">
        <v>95</v>
      </c>
      <c r="C96" s="2">
        <v>4</v>
      </c>
      <c r="D96" s="2">
        <v>0</v>
      </c>
      <c r="E96" s="2">
        <v>1.2370000000000001</v>
      </c>
      <c r="F96" s="2">
        <v>2</v>
      </c>
      <c r="H96" s="2">
        <v>29</v>
      </c>
      <c r="I96" s="2">
        <v>96</v>
      </c>
      <c r="J96" s="2">
        <v>8</v>
      </c>
      <c r="K96" s="2">
        <v>0</v>
      </c>
      <c r="L96" s="2">
        <v>1.4510000000000001</v>
      </c>
      <c r="M96" s="2">
        <v>1</v>
      </c>
    </row>
    <row r="97" spans="1:13" ht="14.25" customHeight="1">
      <c r="A97" s="2">
        <v>29</v>
      </c>
      <c r="B97" s="2">
        <v>96</v>
      </c>
      <c r="C97" s="2">
        <v>8</v>
      </c>
      <c r="D97" s="2">
        <v>0</v>
      </c>
      <c r="E97" s="2">
        <v>1.4510000000000001</v>
      </c>
      <c r="F97" s="2">
        <v>1</v>
      </c>
      <c r="H97" s="2">
        <v>29</v>
      </c>
      <c r="I97" s="2">
        <v>97</v>
      </c>
      <c r="J97" s="2">
        <v>6</v>
      </c>
      <c r="K97" s="2">
        <v>1</v>
      </c>
      <c r="L97" s="2">
        <v>1.1419999999999999</v>
      </c>
      <c r="M97" s="2">
        <v>2</v>
      </c>
    </row>
    <row r="98" spans="1:13" ht="14.25" customHeight="1">
      <c r="A98" s="2">
        <v>29</v>
      </c>
      <c r="B98" s="2">
        <v>97</v>
      </c>
      <c r="C98" s="2">
        <v>6</v>
      </c>
      <c r="D98" s="2">
        <v>1</v>
      </c>
      <c r="E98" s="2">
        <v>1.1419999999999999</v>
      </c>
      <c r="F98" s="2">
        <v>2</v>
      </c>
      <c r="H98" s="2">
        <v>29</v>
      </c>
      <c r="I98" s="2">
        <v>98</v>
      </c>
      <c r="J98" s="2">
        <v>1</v>
      </c>
      <c r="K98" s="2">
        <v>0</v>
      </c>
      <c r="L98" s="2">
        <v>1.9119999999999999</v>
      </c>
      <c r="M98" s="2">
        <v>2</v>
      </c>
    </row>
    <row r="99" spans="1:13" ht="14.25" customHeight="1">
      <c r="A99" s="2">
        <v>29</v>
      </c>
      <c r="B99" s="2">
        <v>98</v>
      </c>
      <c r="C99" s="2">
        <v>1</v>
      </c>
      <c r="D99" s="2">
        <v>0</v>
      </c>
      <c r="E99" s="2">
        <v>1.9119999999999999</v>
      </c>
      <c r="F99" s="2">
        <v>2</v>
      </c>
      <c r="H99" s="2">
        <v>29</v>
      </c>
      <c r="I99" s="2">
        <v>99</v>
      </c>
      <c r="J99" s="2">
        <v>3</v>
      </c>
      <c r="K99" s="2">
        <v>0</v>
      </c>
      <c r="L99" s="2">
        <v>1.784</v>
      </c>
      <c r="M99" s="2">
        <v>2</v>
      </c>
    </row>
    <row r="100" spans="1:13" ht="14.25" customHeight="1">
      <c r="A100" s="2">
        <v>29</v>
      </c>
      <c r="B100" s="2">
        <v>99</v>
      </c>
      <c r="C100" s="2">
        <v>3</v>
      </c>
      <c r="D100" s="2">
        <v>0</v>
      </c>
      <c r="E100" s="2">
        <v>1.784</v>
      </c>
      <c r="F100" s="2">
        <v>2</v>
      </c>
      <c r="H100" s="2">
        <v>29</v>
      </c>
      <c r="I100" s="2">
        <v>100</v>
      </c>
      <c r="J100" s="2">
        <v>4</v>
      </c>
      <c r="K100" s="2">
        <v>1</v>
      </c>
      <c r="L100" s="2">
        <v>1.601</v>
      </c>
      <c r="M100" s="2">
        <v>2</v>
      </c>
    </row>
    <row r="101" spans="1:13" ht="14.25" customHeight="1">
      <c r="A101" s="2">
        <v>29</v>
      </c>
      <c r="B101" s="2">
        <v>100</v>
      </c>
      <c r="C101" s="2">
        <v>4</v>
      </c>
      <c r="D101" s="2">
        <v>1</v>
      </c>
      <c r="E101" s="2">
        <v>1.601</v>
      </c>
      <c r="F101" s="2">
        <v>2</v>
      </c>
    </row>
    <row r="102" spans="1:13" ht="14.25" customHeight="1">
      <c r="A102" s="2">
        <v>29</v>
      </c>
      <c r="B102" s="2">
        <v>101</v>
      </c>
      <c r="C102" s="2">
        <v>8</v>
      </c>
      <c r="D102" s="2">
        <v>1</v>
      </c>
      <c r="E102" s="2">
        <v>1.8640000000000001</v>
      </c>
      <c r="F102" s="2">
        <v>2</v>
      </c>
    </row>
    <row r="103" spans="1:13" ht="14.25" customHeight="1">
      <c r="A103" s="2">
        <v>29</v>
      </c>
      <c r="B103" s="2">
        <v>102</v>
      </c>
      <c r="C103" s="2">
        <v>7</v>
      </c>
      <c r="D103" s="2">
        <v>1</v>
      </c>
      <c r="E103" s="2">
        <v>1.3169999999999999</v>
      </c>
      <c r="F103" s="2">
        <v>1</v>
      </c>
    </row>
    <row r="104" spans="1:13" ht="14.25" customHeight="1">
      <c r="A104" s="2">
        <v>29</v>
      </c>
      <c r="B104" s="2">
        <v>103</v>
      </c>
      <c r="C104" s="2">
        <v>4</v>
      </c>
      <c r="D104" s="2">
        <v>0</v>
      </c>
      <c r="E104" s="2">
        <v>1.421</v>
      </c>
      <c r="F104" s="2">
        <v>1</v>
      </c>
    </row>
    <row r="105" spans="1:13" ht="14.25" customHeight="1">
      <c r="A105" s="2">
        <v>29</v>
      </c>
      <c r="B105" s="2">
        <v>104</v>
      </c>
      <c r="C105" s="2">
        <v>6</v>
      </c>
      <c r="D105" s="2">
        <v>1</v>
      </c>
      <c r="E105" s="2">
        <v>1.431</v>
      </c>
      <c r="F105" s="2">
        <v>1</v>
      </c>
    </row>
    <row r="106" spans="1:13" ht="14.25" customHeight="1">
      <c r="A106" s="2">
        <v>29</v>
      </c>
      <c r="B106" s="2">
        <v>105</v>
      </c>
      <c r="C106" s="2">
        <v>5</v>
      </c>
      <c r="D106" s="2">
        <v>1</v>
      </c>
      <c r="E106" s="2">
        <v>1.367</v>
      </c>
      <c r="F106" s="2">
        <v>1</v>
      </c>
    </row>
    <row r="107" spans="1:13" ht="14.25" customHeight="1">
      <c r="A107" s="2">
        <v>29</v>
      </c>
      <c r="B107" s="2">
        <v>106</v>
      </c>
      <c r="C107" s="2">
        <v>2</v>
      </c>
      <c r="D107" s="2">
        <v>1</v>
      </c>
      <c r="E107" s="2">
        <v>1.427</v>
      </c>
      <c r="F107" s="2">
        <v>2</v>
      </c>
    </row>
    <row r="108" spans="1:13" ht="14.25" customHeight="1">
      <c r="A108" s="2">
        <v>29</v>
      </c>
      <c r="B108" s="2">
        <v>107</v>
      </c>
      <c r="C108" s="2">
        <v>8</v>
      </c>
      <c r="D108" s="2">
        <v>0</v>
      </c>
      <c r="E108" s="2">
        <v>1.5569999999999999</v>
      </c>
      <c r="F108" s="2">
        <v>1</v>
      </c>
    </row>
    <row r="109" spans="1:13" ht="14.25" customHeight="1">
      <c r="A109" s="2">
        <v>29</v>
      </c>
      <c r="B109" s="2">
        <v>108</v>
      </c>
      <c r="C109" s="2">
        <v>7</v>
      </c>
      <c r="D109" s="2">
        <v>1</v>
      </c>
      <c r="E109" s="2">
        <v>1.679</v>
      </c>
      <c r="F109" s="2">
        <v>1</v>
      </c>
    </row>
    <row r="110" spans="1:13" ht="14.25" customHeight="1">
      <c r="A110" s="2">
        <v>29</v>
      </c>
      <c r="B110" s="2">
        <v>109</v>
      </c>
      <c r="C110" s="2">
        <v>1</v>
      </c>
      <c r="D110" s="2">
        <v>1</v>
      </c>
      <c r="E110" s="2">
        <v>1.8859999999999999</v>
      </c>
      <c r="F110" s="2">
        <v>1</v>
      </c>
    </row>
    <row r="111" spans="1:13" ht="14.25" customHeight="1">
      <c r="A111" s="2">
        <v>29</v>
      </c>
      <c r="B111" s="2">
        <v>110</v>
      </c>
      <c r="C111" s="2">
        <v>4</v>
      </c>
      <c r="D111" s="2">
        <v>0</v>
      </c>
      <c r="E111" s="2">
        <v>1.7</v>
      </c>
      <c r="F111" s="2">
        <v>1</v>
      </c>
    </row>
    <row r="112" spans="1:13" ht="14.25" customHeight="1">
      <c r="A112" s="2">
        <v>29</v>
      </c>
      <c r="B112" s="2">
        <v>111</v>
      </c>
      <c r="C112" s="2">
        <v>3</v>
      </c>
      <c r="D112" s="2">
        <v>1</v>
      </c>
      <c r="E112" s="2">
        <v>1.6419999999999999</v>
      </c>
      <c r="F112" s="2">
        <v>2</v>
      </c>
    </row>
    <row r="113" spans="1:6" ht="14.25" customHeight="1">
      <c r="A113" s="2">
        <v>29</v>
      </c>
      <c r="B113" s="2">
        <v>112</v>
      </c>
      <c r="C113" s="2">
        <v>2</v>
      </c>
      <c r="D113" s="2">
        <v>0</v>
      </c>
      <c r="E113" s="2">
        <v>1.7</v>
      </c>
      <c r="F113" s="2">
        <v>2</v>
      </c>
    </row>
    <row r="114" spans="1:6" ht="14.25" customHeight="1">
      <c r="A114" s="2">
        <v>29</v>
      </c>
      <c r="B114" s="2">
        <v>113</v>
      </c>
      <c r="C114" s="2">
        <v>8</v>
      </c>
      <c r="D114" s="2">
        <v>1</v>
      </c>
      <c r="E114" s="2">
        <v>1.585</v>
      </c>
      <c r="F114" s="2">
        <v>2</v>
      </c>
    </row>
    <row r="115" spans="1:6" ht="14.25" customHeight="1">
      <c r="A115" s="2">
        <v>29</v>
      </c>
      <c r="B115" s="2">
        <v>114</v>
      </c>
      <c r="C115" s="2">
        <v>7</v>
      </c>
      <c r="D115" s="2">
        <v>1</v>
      </c>
      <c r="E115" s="2">
        <v>1.627</v>
      </c>
      <c r="F115" s="2">
        <v>1</v>
      </c>
    </row>
    <row r="116" spans="1:6" ht="14.25" customHeight="1">
      <c r="A116" s="2">
        <v>29</v>
      </c>
      <c r="B116" s="2">
        <v>115</v>
      </c>
      <c r="C116" s="2">
        <v>5</v>
      </c>
      <c r="D116" s="2">
        <v>1</v>
      </c>
      <c r="E116" s="2">
        <v>1.234</v>
      </c>
      <c r="F116" s="2">
        <v>2</v>
      </c>
    </row>
    <row r="117" spans="1:6" ht="14.25" customHeight="1">
      <c r="A117" s="2">
        <v>29</v>
      </c>
      <c r="B117" s="2">
        <v>116</v>
      </c>
      <c r="C117" s="2">
        <v>6</v>
      </c>
      <c r="D117" s="2">
        <v>1</v>
      </c>
      <c r="E117" s="2">
        <v>1.6359999999999999</v>
      </c>
      <c r="F117" s="2">
        <v>1</v>
      </c>
    </row>
    <row r="118" spans="1:6" ht="14.25" customHeight="1">
      <c r="A118" s="2">
        <v>29</v>
      </c>
      <c r="B118" s="2">
        <v>117</v>
      </c>
      <c r="C118" s="2">
        <v>8</v>
      </c>
      <c r="D118" s="2">
        <v>1</v>
      </c>
      <c r="E118" s="2">
        <v>1.204</v>
      </c>
      <c r="F118" s="2">
        <v>2</v>
      </c>
    </row>
    <row r="119" spans="1:6" ht="14.25" customHeight="1">
      <c r="A119" s="2">
        <v>29</v>
      </c>
      <c r="B119" s="2">
        <v>118</v>
      </c>
      <c r="C119" s="2">
        <v>7</v>
      </c>
      <c r="D119" s="2">
        <v>1</v>
      </c>
      <c r="E119" s="2">
        <v>1.607</v>
      </c>
      <c r="F119" s="2">
        <v>1</v>
      </c>
    </row>
    <row r="120" spans="1:6" ht="14.25" customHeight="1">
      <c r="A120" s="2">
        <v>29</v>
      </c>
      <c r="B120" s="2">
        <v>119</v>
      </c>
      <c r="C120" s="2">
        <v>1</v>
      </c>
      <c r="D120" s="2">
        <v>1</v>
      </c>
      <c r="E120" s="2">
        <v>1.681</v>
      </c>
      <c r="F120" s="2">
        <v>2</v>
      </c>
    </row>
    <row r="121" spans="1:6" ht="14.25" customHeight="1">
      <c r="A121" s="2">
        <v>29</v>
      </c>
      <c r="B121" s="2">
        <v>120</v>
      </c>
      <c r="C121" s="2">
        <v>4</v>
      </c>
      <c r="D121" s="2">
        <v>1</v>
      </c>
      <c r="E121" s="2">
        <v>1.1859999999999999</v>
      </c>
      <c r="F121" s="2">
        <v>2</v>
      </c>
    </row>
    <row r="122" spans="1:6" ht="14.25" customHeight="1">
      <c r="A122" s="2">
        <v>29</v>
      </c>
      <c r="B122" s="2">
        <v>121</v>
      </c>
      <c r="C122" s="2">
        <v>5</v>
      </c>
      <c r="D122" s="2">
        <v>1</v>
      </c>
      <c r="E122" s="2">
        <v>1.522</v>
      </c>
      <c r="F122" s="2">
        <v>1</v>
      </c>
    </row>
    <row r="123" spans="1:6" ht="14.25" customHeight="1">
      <c r="A123" s="2">
        <v>29</v>
      </c>
      <c r="B123" s="2">
        <v>122</v>
      </c>
      <c r="C123" s="2">
        <v>1</v>
      </c>
      <c r="D123" s="2">
        <v>0</v>
      </c>
      <c r="E123" s="2">
        <v>1.8879999999999999</v>
      </c>
      <c r="F123" s="2">
        <v>2</v>
      </c>
    </row>
    <row r="124" spans="1:6" ht="14.25" customHeight="1">
      <c r="A124" s="2">
        <v>29</v>
      </c>
      <c r="B124" s="2">
        <v>123</v>
      </c>
      <c r="C124" s="2">
        <v>5</v>
      </c>
      <c r="D124" s="2">
        <v>1</v>
      </c>
      <c r="E124" s="2">
        <v>1.9</v>
      </c>
      <c r="F124" s="2">
        <v>1</v>
      </c>
    </row>
    <row r="125" spans="1:6" ht="14.25" customHeight="1">
      <c r="A125" s="2">
        <v>29</v>
      </c>
      <c r="B125" s="2">
        <v>124</v>
      </c>
      <c r="C125" s="2">
        <v>6</v>
      </c>
      <c r="D125" s="2">
        <v>1</v>
      </c>
      <c r="E125" s="2">
        <v>1.462</v>
      </c>
      <c r="F125" s="2">
        <v>1</v>
      </c>
    </row>
    <row r="126" spans="1:6" ht="14.25" customHeight="1">
      <c r="A126" s="2">
        <v>29</v>
      </c>
      <c r="B126" s="2">
        <v>125</v>
      </c>
      <c r="C126" s="2">
        <v>2</v>
      </c>
      <c r="D126" s="2">
        <v>0</v>
      </c>
      <c r="E126" s="2">
        <v>1.819</v>
      </c>
      <c r="F126" s="2">
        <v>1</v>
      </c>
    </row>
    <row r="127" spans="1:6" ht="14.25" customHeight="1">
      <c r="A127" s="2">
        <v>29</v>
      </c>
      <c r="B127" s="2">
        <v>126</v>
      </c>
      <c r="C127" s="2">
        <v>6</v>
      </c>
      <c r="D127" s="2">
        <v>0</v>
      </c>
      <c r="E127" s="2">
        <v>1.9339999999999999</v>
      </c>
      <c r="F127" s="2">
        <v>2</v>
      </c>
    </row>
    <row r="128" spans="1:6" ht="14.25" customHeight="1">
      <c r="A128" s="2">
        <v>29</v>
      </c>
      <c r="B128" s="2">
        <v>127</v>
      </c>
      <c r="C128" s="2">
        <v>7</v>
      </c>
      <c r="E128" s="2">
        <v>2.0009999999999999</v>
      </c>
    </row>
    <row r="129" spans="1:6" ht="14.25" customHeight="1">
      <c r="A129" s="2">
        <v>29</v>
      </c>
      <c r="B129" s="2">
        <v>128</v>
      </c>
      <c r="C129" s="2">
        <v>1</v>
      </c>
      <c r="D129" s="2">
        <v>1</v>
      </c>
      <c r="E129" s="2">
        <v>1.171</v>
      </c>
      <c r="F129" s="2">
        <v>2</v>
      </c>
    </row>
    <row r="130" spans="1:6" ht="14.25" customHeight="1">
      <c r="A130" s="2">
        <v>29</v>
      </c>
      <c r="B130" s="2">
        <v>129</v>
      </c>
      <c r="C130" s="2">
        <v>3</v>
      </c>
      <c r="E130" s="2">
        <v>2.0009999999999999</v>
      </c>
    </row>
    <row r="131" spans="1:6" ht="14.25" customHeight="1">
      <c r="A131" s="2">
        <v>29</v>
      </c>
      <c r="B131" s="2">
        <v>130</v>
      </c>
      <c r="C131" s="2">
        <v>8</v>
      </c>
      <c r="D131" s="2">
        <v>1</v>
      </c>
      <c r="E131" s="2">
        <v>1.1850000000000001</v>
      </c>
      <c r="F131" s="2">
        <v>1</v>
      </c>
    </row>
    <row r="132" spans="1:6" ht="14.25" customHeight="1">
      <c r="A132" s="2">
        <v>29</v>
      </c>
      <c r="B132" s="2">
        <v>131</v>
      </c>
      <c r="C132" s="2">
        <v>2</v>
      </c>
      <c r="D132" s="2">
        <v>0</v>
      </c>
      <c r="E132" s="2">
        <v>1.611</v>
      </c>
      <c r="F132" s="2">
        <v>1</v>
      </c>
    </row>
    <row r="133" spans="1:6" ht="14.25" customHeight="1">
      <c r="A133" s="2">
        <v>29</v>
      </c>
      <c r="B133" s="2">
        <v>132</v>
      </c>
      <c r="C133" s="2">
        <v>6</v>
      </c>
      <c r="D133" s="2">
        <v>0</v>
      </c>
      <c r="E133" s="2">
        <v>1.7889999999999999</v>
      </c>
      <c r="F133" s="2">
        <v>2</v>
      </c>
    </row>
    <row r="134" spans="1:6" ht="14.25" customHeight="1">
      <c r="A134" s="2">
        <v>29</v>
      </c>
      <c r="B134" s="2">
        <v>133</v>
      </c>
      <c r="C134" s="2">
        <v>5</v>
      </c>
      <c r="D134" s="2">
        <v>0</v>
      </c>
      <c r="E134" s="2">
        <v>1.296</v>
      </c>
      <c r="F134" s="2">
        <v>2</v>
      </c>
    </row>
    <row r="135" spans="1:6" ht="14.25" customHeight="1">
      <c r="A135" s="2">
        <v>29</v>
      </c>
      <c r="B135" s="2">
        <v>134</v>
      </c>
      <c r="C135" s="2">
        <v>4</v>
      </c>
      <c r="D135" s="2">
        <v>0</v>
      </c>
      <c r="E135" s="2">
        <v>1.3919999999999999</v>
      </c>
      <c r="F135" s="2">
        <v>2</v>
      </c>
    </row>
    <row r="136" spans="1:6" ht="14.25" customHeight="1">
      <c r="A136" s="2">
        <v>29</v>
      </c>
      <c r="B136" s="2">
        <v>135</v>
      </c>
      <c r="C136" s="2">
        <v>6</v>
      </c>
      <c r="D136" s="2">
        <v>1</v>
      </c>
      <c r="E136" s="2">
        <v>1.504</v>
      </c>
      <c r="F136" s="2">
        <v>2</v>
      </c>
    </row>
    <row r="137" spans="1:6" ht="14.25" customHeight="1">
      <c r="A137" s="2">
        <v>29</v>
      </c>
      <c r="B137" s="2">
        <v>136</v>
      </c>
      <c r="C137" s="2">
        <v>8</v>
      </c>
      <c r="D137" s="2">
        <v>0</v>
      </c>
      <c r="E137" s="2">
        <v>1.175</v>
      </c>
      <c r="F137" s="2">
        <v>1</v>
      </c>
    </row>
    <row r="138" spans="1:6" ht="14.25" customHeight="1">
      <c r="A138" s="2">
        <v>29</v>
      </c>
      <c r="B138" s="2">
        <v>137</v>
      </c>
      <c r="C138" s="2">
        <v>3</v>
      </c>
      <c r="D138" s="2">
        <v>1</v>
      </c>
      <c r="E138" s="2">
        <v>1.8939999999999999</v>
      </c>
      <c r="F138" s="2">
        <v>1</v>
      </c>
    </row>
    <row r="139" spans="1:6" ht="14.25" customHeight="1">
      <c r="A139" s="2">
        <v>29</v>
      </c>
      <c r="B139" s="2">
        <v>138</v>
      </c>
      <c r="C139" s="2">
        <v>1</v>
      </c>
      <c r="D139" s="2">
        <v>0</v>
      </c>
      <c r="E139" s="2">
        <v>1.764</v>
      </c>
      <c r="F139" s="2">
        <v>1</v>
      </c>
    </row>
    <row r="140" spans="1:6" ht="14.25" customHeight="1">
      <c r="A140" s="2">
        <v>29</v>
      </c>
      <c r="B140" s="2">
        <v>139</v>
      </c>
      <c r="C140" s="2">
        <v>3</v>
      </c>
      <c r="D140" s="2">
        <v>1</v>
      </c>
      <c r="E140" s="2">
        <v>1.742</v>
      </c>
      <c r="F140" s="2">
        <v>2</v>
      </c>
    </row>
    <row r="141" spans="1:6" ht="14.25" customHeight="1">
      <c r="A141" s="2">
        <v>29</v>
      </c>
      <c r="B141" s="2">
        <v>140</v>
      </c>
      <c r="C141" s="2">
        <v>8</v>
      </c>
      <c r="D141" s="2">
        <v>1</v>
      </c>
      <c r="E141" s="2">
        <v>1.3260000000000001</v>
      </c>
      <c r="F141" s="2">
        <v>2</v>
      </c>
    </row>
    <row r="142" spans="1:6" ht="14.25" customHeight="1">
      <c r="A142" s="2">
        <v>29</v>
      </c>
      <c r="B142" s="2">
        <v>141</v>
      </c>
      <c r="C142" s="2">
        <v>4</v>
      </c>
      <c r="D142" s="2">
        <v>0</v>
      </c>
      <c r="E142" s="2">
        <v>1.61</v>
      </c>
      <c r="F142" s="2">
        <v>1</v>
      </c>
    </row>
    <row r="143" spans="1:6" ht="14.25" customHeight="1">
      <c r="A143" s="2">
        <v>29</v>
      </c>
      <c r="B143" s="2">
        <v>142</v>
      </c>
      <c r="C143" s="2">
        <v>3</v>
      </c>
      <c r="E143" s="2">
        <v>2</v>
      </c>
    </row>
    <row r="144" spans="1:6" ht="14.25" customHeight="1">
      <c r="A144" s="2">
        <v>29</v>
      </c>
      <c r="B144" s="2">
        <v>143</v>
      </c>
      <c r="C144" s="2">
        <v>5</v>
      </c>
      <c r="D144" s="2">
        <v>0</v>
      </c>
      <c r="E144" s="2">
        <v>0.82399999999999995</v>
      </c>
      <c r="F144" s="2">
        <v>1</v>
      </c>
    </row>
    <row r="145" spans="1:6" ht="14.25" customHeight="1">
      <c r="A145" s="2">
        <v>29</v>
      </c>
      <c r="B145" s="2">
        <v>144</v>
      </c>
      <c r="C145" s="2">
        <v>2</v>
      </c>
      <c r="D145" s="2">
        <v>1</v>
      </c>
      <c r="E145" s="2">
        <v>1.272</v>
      </c>
      <c r="F145" s="2">
        <v>2</v>
      </c>
    </row>
    <row r="146" spans="1:6" ht="14.25" customHeight="1">
      <c r="A146" s="2">
        <v>29</v>
      </c>
      <c r="B146" s="2">
        <v>145</v>
      </c>
      <c r="C146" s="2">
        <v>4</v>
      </c>
      <c r="D146" s="2">
        <v>1</v>
      </c>
      <c r="E146" s="2">
        <v>1.335</v>
      </c>
      <c r="F146" s="2">
        <v>1</v>
      </c>
    </row>
    <row r="147" spans="1:6" ht="14.25" customHeight="1">
      <c r="A147" s="2">
        <v>29</v>
      </c>
      <c r="B147" s="2">
        <v>146</v>
      </c>
      <c r="C147" s="2">
        <v>3</v>
      </c>
      <c r="D147" s="2">
        <v>1</v>
      </c>
      <c r="E147" s="2">
        <v>1.1399999999999999</v>
      </c>
      <c r="F147" s="2">
        <v>2</v>
      </c>
    </row>
    <row r="148" spans="1:6" ht="14.25" customHeight="1">
      <c r="A148" s="2">
        <v>29</v>
      </c>
      <c r="B148" s="2">
        <v>147</v>
      </c>
      <c r="C148" s="2">
        <v>7</v>
      </c>
      <c r="D148" s="2">
        <v>1</v>
      </c>
      <c r="E148" s="2">
        <v>1.0640000000000001</v>
      </c>
      <c r="F148" s="2">
        <v>2</v>
      </c>
    </row>
    <row r="149" spans="1:6" ht="14.25" customHeight="1">
      <c r="A149" s="2">
        <v>29</v>
      </c>
      <c r="B149" s="2">
        <v>148</v>
      </c>
      <c r="C149" s="2">
        <v>3</v>
      </c>
      <c r="D149" s="2">
        <v>0</v>
      </c>
      <c r="E149" s="2">
        <v>1.306</v>
      </c>
      <c r="F149" s="2">
        <v>2</v>
      </c>
    </row>
    <row r="150" spans="1:6" ht="14.25" customHeight="1">
      <c r="A150" s="2">
        <v>29</v>
      </c>
      <c r="B150" s="2">
        <v>149</v>
      </c>
      <c r="C150" s="2">
        <v>2</v>
      </c>
      <c r="D150" s="2">
        <v>1</v>
      </c>
      <c r="E150" s="2">
        <v>1.9419999999999999</v>
      </c>
      <c r="F150" s="2">
        <v>1</v>
      </c>
    </row>
    <row r="151" spans="1:6" ht="14.25" customHeight="1">
      <c r="A151" s="2">
        <v>29</v>
      </c>
      <c r="B151" s="2">
        <v>150</v>
      </c>
      <c r="C151" s="2">
        <v>1</v>
      </c>
      <c r="D151" s="2">
        <v>1</v>
      </c>
      <c r="E151" s="2">
        <v>1.6679999999999999</v>
      </c>
      <c r="F151" s="2">
        <v>2</v>
      </c>
    </row>
    <row r="152" spans="1:6" ht="14.25" customHeight="1">
      <c r="A152" s="2">
        <v>29</v>
      </c>
      <c r="B152" s="2">
        <v>151</v>
      </c>
      <c r="C152" s="2">
        <v>6</v>
      </c>
      <c r="D152" s="2">
        <v>1</v>
      </c>
      <c r="E152" s="2">
        <v>1.28</v>
      </c>
      <c r="F152" s="2">
        <v>2</v>
      </c>
    </row>
    <row r="153" spans="1:6" ht="14.25" customHeight="1">
      <c r="A153" s="2">
        <v>29</v>
      </c>
      <c r="B153" s="2">
        <v>152</v>
      </c>
      <c r="C153" s="2">
        <v>2</v>
      </c>
      <c r="D153" s="2">
        <v>0</v>
      </c>
      <c r="E153" s="2">
        <v>1.1020000000000001</v>
      </c>
      <c r="F153" s="2">
        <v>2</v>
      </c>
    </row>
    <row r="154" spans="1:6" ht="14.25" customHeight="1">
      <c r="A154" s="2">
        <v>29</v>
      </c>
      <c r="B154" s="2">
        <v>153</v>
      </c>
      <c r="C154" s="2">
        <v>7</v>
      </c>
      <c r="D154" s="2">
        <v>1</v>
      </c>
      <c r="E154" s="2">
        <v>1.4830000000000001</v>
      </c>
      <c r="F154" s="2">
        <v>2</v>
      </c>
    </row>
    <row r="155" spans="1:6" ht="14.25" customHeight="1">
      <c r="A155" s="2">
        <v>29</v>
      </c>
      <c r="B155" s="2">
        <v>154</v>
      </c>
      <c r="C155" s="2">
        <v>5</v>
      </c>
      <c r="D155" s="2">
        <v>1</v>
      </c>
      <c r="E155" s="2">
        <v>1.5569999999999999</v>
      </c>
      <c r="F155" s="2">
        <v>1</v>
      </c>
    </row>
    <row r="156" spans="1:6" ht="14.25" customHeight="1">
      <c r="A156" s="2">
        <v>29</v>
      </c>
      <c r="B156" s="2">
        <v>155</v>
      </c>
      <c r="C156" s="2">
        <v>4</v>
      </c>
      <c r="D156" s="2">
        <v>0</v>
      </c>
      <c r="E156" s="2">
        <v>1.734</v>
      </c>
      <c r="F156" s="2">
        <v>2</v>
      </c>
    </row>
    <row r="157" spans="1:6" ht="14.25" customHeight="1">
      <c r="A157" s="2">
        <v>29</v>
      </c>
      <c r="B157" s="2">
        <v>156</v>
      </c>
      <c r="C157" s="2">
        <v>8</v>
      </c>
      <c r="D157" s="2">
        <v>1</v>
      </c>
      <c r="E157" s="2">
        <v>1.349</v>
      </c>
      <c r="F157" s="2">
        <v>2</v>
      </c>
    </row>
    <row r="158" spans="1:6" ht="14.25" customHeight="1">
      <c r="A158" s="2">
        <v>29</v>
      </c>
      <c r="B158" s="2">
        <v>157</v>
      </c>
      <c r="C158" s="2">
        <v>3</v>
      </c>
      <c r="E158" s="2">
        <v>2</v>
      </c>
    </row>
    <row r="159" spans="1:6" ht="14.25" customHeight="1">
      <c r="A159" s="2">
        <v>29</v>
      </c>
      <c r="B159" s="2">
        <v>158</v>
      </c>
      <c r="C159" s="2">
        <v>5</v>
      </c>
      <c r="D159" s="2">
        <v>0</v>
      </c>
      <c r="E159" s="2">
        <v>0.995</v>
      </c>
      <c r="F159" s="2">
        <v>2</v>
      </c>
    </row>
    <row r="160" spans="1:6" ht="14.25" customHeight="1">
      <c r="A160" s="2">
        <v>29</v>
      </c>
      <c r="B160" s="2">
        <v>159</v>
      </c>
      <c r="C160" s="2">
        <v>7</v>
      </c>
      <c r="D160" s="2">
        <v>1</v>
      </c>
      <c r="E160" s="2">
        <v>1.6120000000000001</v>
      </c>
      <c r="F160" s="2">
        <v>1</v>
      </c>
    </row>
    <row r="161" spans="1:6" ht="14.25" customHeight="1">
      <c r="A161" s="2">
        <v>29</v>
      </c>
      <c r="B161" s="2">
        <v>160</v>
      </c>
      <c r="C161" s="2">
        <v>5</v>
      </c>
      <c r="D161" s="2">
        <v>1</v>
      </c>
      <c r="E161" s="2">
        <v>1.544</v>
      </c>
      <c r="F161" s="2">
        <v>2</v>
      </c>
    </row>
    <row r="162" spans="1:6" ht="14.25" customHeight="1">
      <c r="A162" s="2">
        <v>29</v>
      </c>
      <c r="B162" s="2">
        <v>161</v>
      </c>
      <c r="C162" s="2">
        <v>7</v>
      </c>
      <c r="D162" s="2">
        <v>1</v>
      </c>
      <c r="E162" s="2">
        <v>1.218</v>
      </c>
      <c r="F162" s="2">
        <v>2</v>
      </c>
    </row>
    <row r="163" spans="1:6" ht="14.25" customHeight="1">
      <c r="A163" s="2">
        <v>29</v>
      </c>
      <c r="B163" s="2">
        <v>162</v>
      </c>
      <c r="C163" s="2">
        <v>8</v>
      </c>
      <c r="D163" s="2">
        <v>0</v>
      </c>
      <c r="E163" s="2">
        <v>1.1870000000000001</v>
      </c>
      <c r="F163" s="2">
        <v>2</v>
      </c>
    </row>
    <row r="164" spans="1:6" ht="14.25" customHeight="1">
      <c r="A164" s="2">
        <v>29</v>
      </c>
      <c r="B164" s="2">
        <v>163</v>
      </c>
      <c r="C164" s="2">
        <v>6</v>
      </c>
      <c r="D164" s="2">
        <v>1</v>
      </c>
      <c r="E164" s="2">
        <v>1.462</v>
      </c>
      <c r="F164" s="2">
        <v>2</v>
      </c>
    </row>
    <row r="165" spans="1:6" ht="14.25" customHeight="1">
      <c r="A165" s="2">
        <v>29</v>
      </c>
      <c r="B165" s="2">
        <v>164</v>
      </c>
      <c r="C165" s="2">
        <v>3</v>
      </c>
      <c r="D165" s="2">
        <v>1</v>
      </c>
      <c r="E165" s="2">
        <v>1.548</v>
      </c>
      <c r="F165" s="2">
        <v>1</v>
      </c>
    </row>
    <row r="166" spans="1:6" ht="14.25" customHeight="1">
      <c r="A166" s="2">
        <v>29</v>
      </c>
      <c r="B166" s="2">
        <v>165</v>
      </c>
      <c r="C166" s="2">
        <v>7</v>
      </c>
      <c r="D166" s="2">
        <v>1</v>
      </c>
      <c r="E166" s="2">
        <v>1.5189999999999999</v>
      </c>
      <c r="F166" s="2">
        <v>2</v>
      </c>
    </row>
    <row r="167" spans="1:6" ht="14.25" customHeight="1">
      <c r="A167" s="2">
        <v>29</v>
      </c>
      <c r="B167" s="2">
        <v>166</v>
      </c>
      <c r="C167" s="2">
        <v>6</v>
      </c>
      <c r="D167" s="2">
        <v>1</v>
      </c>
      <c r="E167" s="2">
        <v>1.37</v>
      </c>
      <c r="F167" s="2">
        <v>1</v>
      </c>
    </row>
    <row r="168" spans="1:6" ht="14.25" customHeight="1">
      <c r="A168" s="2">
        <v>29</v>
      </c>
      <c r="B168" s="2">
        <v>167</v>
      </c>
      <c r="C168" s="2">
        <v>1</v>
      </c>
      <c r="D168" s="2">
        <v>1</v>
      </c>
      <c r="E168" s="2">
        <v>1.173</v>
      </c>
      <c r="F168" s="2">
        <v>2</v>
      </c>
    </row>
    <row r="169" spans="1:6" ht="14.25" customHeight="1">
      <c r="A169" s="2">
        <v>29</v>
      </c>
      <c r="B169" s="2">
        <v>168</v>
      </c>
      <c r="C169" s="2">
        <v>6</v>
      </c>
      <c r="E169" s="2">
        <v>2</v>
      </c>
    </row>
    <row r="170" spans="1:6" ht="14.25" customHeight="1">
      <c r="A170" s="2">
        <v>29</v>
      </c>
      <c r="B170" s="2">
        <v>169</v>
      </c>
      <c r="C170" s="2">
        <v>3</v>
      </c>
      <c r="D170" s="2">
        <v>1</v>
      </c>
      <c r="E170" s="2">
        <v>1.175</v>
      </c>
      <c r="F170" s="2">
        <v>2</v>
      </c>
    </row>
    <row r="171" spans="1:6" ht="14.25" customHeight="1">
      <c r="A171" s="2">
        <v>29</v>
      </c>
      <c r="B171" s="2">
        <v>170</v>
      </c>
      <c r="C171" s="2">
        <v>5</v>
      </c>
      <c r="D171" s="2">
        <v>1</v>
      </c>
      <c r="E171" s="2">
        <v>1.242</v>
      </c>
      <c r="F171" s="2">
        <v>2</v>
      </c>
    </row>
    <row r="172" spans="1:6" ht="14.25" customHeight="1">
      <c r="A172" s="2">
        <v>29</v>
      </c>
      <c r="B172" s="2">
        <v>171</v>
      </c>
      <c r="C172" s="2">
        <v>2</v>
      </c>
      <c r="D172" s="2">
        <v>1</v>
      </c>
      <c r="E172" s="2">
        <v>1.2969999999999999</v>
      </c>
      <c r="F172" s="2">
        <v>1</v>
      </c>
    </row>
    <row r="173" spans="1:6" ht="14.25" customHeight="1">
      <c r="A173" s="2">
        <v>29</v>
      </c>
      <c r="B173" s="2">
        <v>172</v>
      </c>
      <c r="C173" s="2">
        <v>8</v>
      </c>
      <c r="D173" s="2">
        <v>1</v>
      </c>
      <c r="E173" s="2">
        <v>1.2450000000000001</v>
      </c>
      <c r="F173" s="2">
        <v>1</v>
      </c>
    </row>
    <row r="174" spans="1:6" ht="14.25" customHeight="1">
      <c r="A174" s="2">
        <v>29</v>
      </c>
      <c r="B174" s="2">
        <v>173</v>
      </c>
      <c r="C174" s="2">
        <v>1</v>
      </c>
      <c r="D174" s="2">
        <v>1</v>
      </c>
      <c r="E174" s="2">
        <v>1.4319999999999999</v>
      </c>
      <c r="F174" s="2">
        <v>1</v>
      </c>
    </row>
    <row r="175" spans="1:6" ht="14.25" customHeight="1">
      <c r="A175" s="2">
        <v>29</v>
      </c>
      <c r="B175" s="2">
        <v>174</v>
      </c>
      <c r="C175" s="2">
        <v>4</v>
      </c>
      <c r="D175" s="2">
        <v>1</v>
      </c>
      <c r="E175" s="2">
        <v>1.4490000000000001</v>
      </c>
      <c r="F175" s="2">
        <v>1</v>
      </c>
    </row>
    <row r="176" spans="1:6" ht="14.25" customHeight="1">
      <c r="A176" s="2">
        <v>29</v>
      </c>
      <c r="B176" s="2">
        <v>175</v>
      </c>
      <c r="C176" s="2">
        <v>6</v>
      </c>
      <c r="D176" s="2">
        <v>0</v>
      </c>
      <c r="E176" s="2">
        <v>1.3440000000000001</v>
      </c>
      <c r="F176" s="2">
        <v>1</v>
      </c>
    </row>
    <row r="177" spans="1:6" ht="14.25" customHeight="1">
      <c r="A177" s="2">
        <v>29</v>
      </c>
      <c r="B177" s="2">
        <v>176</v>
      </c>
      <c r="C177" s="2">
        <v>3</v>
      </c>
      <c r="D177" s="2">
        <v>0</v>
      </c>
      <c r="E177" s="2">
        <v>1.742</v>
      </c>
      <c r="F177" s="2">
        <v>2</v>
      </c>
    </row>
    <row r="178" spans="1:6" ht="14.25" customHeight="1">
      <c r="A178" s="2">
        <v>29</v>
      </c>
      <c r="B178" s="2">
        <v>177</v>
      </c>
      <c r="C178" s="2">
        <v>1</v>
      </c>
      <c r="E178" s="2">
        <v>2.0009999999999999</v>
      </c>
    </row>
    <row r="179" spans="1:6" ht="14.25" customHeight="1">
      <c r="A179" s="2">
        <v>29</v>
      </c>
      <c r="B179" s="2">
        <v>178</v>
      </c>
      <c r="C179" s="2">
        <v>5</v>
      </c>
      <c r="D179" s="2">
        <v>1</v>
      </c>
      <c r="E179" s="2">
        <v>1.202</v>
      </c>
      <c r="F179" s="2">
        <v>2</v>
      </c>
    </row>
    <row r="180" spans="1:6" ht="14.25" customHeight="1">
      <c r="A180" s="2">
        <v>29</v>
      </c>
      <c r="B180" s="2">
        <v>179</v>
      </c>
      <c r="C180" s="2">
        <v>6</v>
      </c>
      <c r="D180" s="2">
        <v>1</v>
      </c>
      <c r="E180" s="2">
        <v>1.4550000000000001</v>
      </c>
      <c r="F180" s="2">
        <v>1</v>
      </c>
    </row>
    <row r="181" spans="1:6" ht="14.25" customHeight="1">
      <c r="A181" s="2">
        <v>29</v>
      </c>
      <c r="B181" s="2">
        <v>180</v>
      </c>
      <c r="C181" s="2">
        <v>3</v>
      </c>
      <c r="D181" s="2">
        <v>1</v>
      </c>
      <c r="E181" s="2">
        <v>1.492</v>
      </c>
      <c r="F181" s="2">
        <v>1</v>
      </c>
    </row>
    <row r="182" spans="1:6" ht="14.25" customHeight="1">
      <c r="A182" s="2">
        <v>29</v>
      </c>
      <c r="B182" s="2">
        <v>181</v>
      </c>
      <c r="C182" s="2">
        <v>8</v>
      </c>
      <c r="D182" s="2">
        <v>1</v>
      </c>
      <c r="E182" s="2">
        <v>1.5349999999999999</v>
      </c>
      <c r="F182" s="2">
        <v>2</v>
      </c>
    </row>
    <row r="183" spans="1:6" ht="14.25" customHeight="1">
      <c r="A183" s="2">
        <v>29</v>
      </c>
      <c r="B183" s="2">
        <v>182</v>
      </c>
      <c r="C183" s="2">
        <v>3</v>
      </c>
      <c r="D183" s="2">
        <v>0</v>
      </c>
      <c r="E183" s="2">
        <v>1.391</v>
      </c>
      <c r="F183" s="2">
        <v>2</v>
      </c>
    </row>
    <row r="184" spans="1:6" ht="14.25" customHeight="1">
      <c r="A184" s="2">
        <v>29</v>
      </c>
      <c r="B184" s="2">
        <v>183</v>
      </c>
      <c r="C184" s="2">
        <v>7</v>
      </c>
      <c r="D184" s="2">
        <v>0</v>
      </c>
      <c r="E184" s="2">
        <v>1.728</v>
      </c>
      <c r="F184" s="2">
        <v>2</v>
      </c>
    </row>
    <row r="185" spans="1:6" ht="14.25" customHeight="1">
      <c r="A185" s="2">
        <v>29</v>
      </c>
      <c r="B185" s="2">
        <v>184</v>
      </c>
      <c r="C185" s="2">
        <v>8</v>
      </c>
      <c r="D185" s="2">
        <v>0</v>
      </c>
      <c r="E185" s="2">
        <v>1.367</v>
      </c>
      <c r="F185" s="2">
        <v>2</v>
      </c>
    </row>
    <row r="186" spans="1:6" ht="14.25" customHeight="1">
      <c r="A186" s="2">
        <v>29</v>
      </c>
      <c r="B186" s="2">
        <v>185</v>
      </c>
      <c r="C186" s="2">
        <v>4</v>
      </c>
      <c r="D186" s="2">
        <v>1</v>
      </c>
      <c r="E186" s="2">
        <v>1.208</v>
      </c>
      <c r="F186" s="2">
        <v>2</v>
      </c>
    </row>
    <row r="187" spans="1:6" ht="14.25" customHeight="1">
      <c r="A187" s="2">
        <v>29</v>
      </c>
      <c r="B187" s="2">
        <v>186</v>
      </c>
      <c r="C187" s="2">
        <v>8</v>
      </c>
      <c r="D187" s="2">
        <v>0</v>
      </c>
      <c r="E187" s="2">
        <v>1.613</v>
      </c>
      <c r="F187" s="2">
        <v>1</v>
      </c>
    </row>
    <row r="188" spans="1:6" ht="14.25" customHeight="1">
      <c r="A188" s="2">
        <v>29</v>
      </c>
      <c r="B188" s="2">
        <v>187</v>
      </c>
      <c r="C188" s="2">
        <v>1</v>
      </c>
      <c r="D188" s="2">
        <v>1</v>
      </c>
      <c r="E188" s="2">
        <v>1.6539999999999999</v>
      </c>
      <c r="F188" s="2">
        <v>1</v>
      </c>
    </row>
    <row r="189" spans="1:6" ht="14.25" customHeight="1">
      <c r="A189" s="2">
        <v>29</v>
      </c>
      <c r="B189" s="2">
        <v>188</v>
      </c>
      <c r="C189" s="2">
        <v>2</v>
      </c>
      <c r="D189" s="2">
        <v>0</v>
      </c>
      <c r="E189" s="2">
        <v>1.7729999999999999</v>
      </c>
      <c r="F189" s="2">
        <v>1</v>
      </c>
    </row>
    <row r="190" spans="1:6" ht="14.25" customHeight="1">
      <c r="A190" s="2">
        <v>29</v>
      </c>
      <c r="B190" s="2">
        <v>189</v>
      </c>
      <c r="C190" s="2">
        <v>1</v>
      </c>
      <c r="D190" s="2">
        <v>1</v>
      </c>
      <c r="E190" s="2">
        <v>1.5589999999999999</v>
      </c>
      <c r="F190" s="2">
        <v>2</v>
      </c>
    </row>
    <row r="191" spans="1:6" ht="14.25" customHeight="1">
      <c r="A191" s="2">
        <v>29</v>
      </c>
      <c r="B191" s="2">
        <v>190</v>
      </c>
      <c r="C191" s="2">
        <v>2</v>
      </c>
      <c r="D191" s="2">
        <v>1</v>
      </c>
      <c r="E191" s="2">
        <v>1.6040000000000001</v>
      </c>
      <c r="F191" s="2">
        <v>2</v>
      </c>
    </row>
    <row r="192" spans="1:6" ht="14.25" customHeight="1">
      <c r="A192" s="2">
        <v>29</v>
      </c>
      <c r="B192" s="2">
        <v>191</v>
      </c>
      <c r="C192" s="2">
        <v>1</v>
      </c>
      <c r="D192" s="2">
        <v>0</v>
      </c>
      <c r="E192" s="2">
        <v>1.6859999999999999</v>
      </c>
      <c r="F192" s="2">
        <v>1</v>
      </c>
    </row>
    <row r="193" spans="1:6" ht="14.25" customHeight="1">
      <c r="A193" s="2">
        <v>29</v>
      </c>
      <c r="B193" s="2">
        <v>192</v>
      </c>
      <c r="C193" s="2">
        <v>4</v>
      </c>
      <c r="E193" s="2">
        <v>2</v>
      </c>
    </row>
    <row r="194" spans="1:6" ht="14.25" customHeight="1">
      <c r="A194" s="2">
        <v>29</v>
      </c>
      <c r="B194" s="2">
        <v>193</v>
      </c>
      <c r="C194" s="2">
        <v>3</v>
      </c>
      <c r="D194" s="2">
        <v>1</v>
      </c>
      <c r="E194" s="2">
        <v>1.6870000000000001</v>
      </c>
      <c r="F194" s="2">
        <v>2</v>
      </c>
    </row>
    <row r="195" spans="1:6" ht="14.25" customHeight="1">
      <c r="A195" s="2">
        <v>29</v>
      </c>
      <c r="B195" s="2">
        <v>194</v>
      </c>
      <c r="C195" s="2">
        <v>2</v>
      </c>
      <c r="D195" s="2">
        <v>1</v>
      </c>
      <c r="E195" s="2">
        <v>1.081</v>
      </c>
      <c r="F195" s="2">
        <v>2</v>
      </c>
    </row>
    <row r="196" spans="1:6" ht="14.25" customHeight="1">
      <c r="A196" s="2">
        <v>29</v>
      </c>
      <c r="B196" s="2">
        <v>195</v>
      </c>
      <c r="C196" s="2">
        <v>7</v>
      </c>
      <c r="D196" s="2">
        <v>1</v>
      </c>
      <c r="E196" s="2">
        <v>1.679</v>
      </c>
      <c r="F196" s="2">
        <v>1</v>
      </c>
    </row>
    <row r="197" spans="1:6" ht="14.25" customHeight="1">
      <c r="A197" s="2">
        <v>29</v>
      </c>
      <c r="B197" s="2">
        <v>196</v>
      </c>
      <c r="C197" s="2">
        <v>8</v>
      </c>
      <c r="D197" s="2">
        <v>1</v>
      </c>
      <c r="E197" s="2">
        <v>1.361</v>
      </c>
      <c r="F197" s="2">
        <v>2</v>
      </c>
    </row>
    <row r="198" spans="1:6" ht="14.25" customHeight="1">
      <c r="A198" s="2">
        <v>29</v>
      </c>
      <c r="B198" s="2">
        <v>197</v>
      </c>
      <c r="C198" s="2">
        <v>4</v>
      </c>
      <c r="D198" s="2">
        <v>1</v>
      </c>
      <c r="E198" s="2">
        <v>1.7</v>
      </c>
      <c r="F198" s="2">
        <v>2</v>
      </c>
    </row>
    <row r="199" spans="1:6" ht="14.25" customHeight="1">
      <c r="A199" s="2">
        <v>29</v>
      </c>
      <c r="B199" s="2">
        <v>198</v>
      </c>
      <c r="C199" s="2">
        <v>2</v>
      </c>
      <c r="D199" s="2">
        <v>0</v>
      </c>
      <c r="E199" s="2">
        <v>1.649</v>
      </c>
      <c r="F199" s="2">
        <v>2</v>
      </c>
    </row>
    <row r="200" spans="1:6" ht="14.25" customHeight="1">
      <c r="A200" s="2">
        <v>29</v>
      </c>
      <c r="B200" s="2">
        <v>199</v>
      </c>
      <c r="C200" s="2">
        <v>5</v>
      </c>
      <c r="D200" s="2">
        <v>1</v>
      </c>
      <c r="E200" s="2">
        <v>1.952</v>
      </c>
      <c r="F200" s="2">
        <v>1</v>
      </c>
    </row>
    <row r="201" spans="1:6" ht="14.25" customHeight="1">
      <c r="A201" s="2">
        <v>29</v>
      </c>
      <c r="B201" s="2">
        <v>200</v>
      </c>
      <c r="C201" s="2">
        <v>4</v>
      </c>
      <c r="E201" s="2">
        <v>2</v>
      </c>
    </row>
    <row r="202" spans="1:6" ht="14.25" customHeight="1">
      <c r="A202" s="2">
        <v>29</v>
      </c>
      <c r="B202" s="2">
        <v>201</v>
      </c>
      <c r="C202" s="2">
        <v>6</v>
      </c>
      <c r="D202" s="2">
        <v>1</v>
      </c>
      <c r="E202" s="2">
        <v>1.1140000000000001</v>
      </c>
      <c r="F202" s="2">
        <v>2</v>
      </c>
    </row>
    <row r="203" spans="1:6" ht="14.25" customHeight="1">
      <c r="A203" s="2">
        <v>29</v>
      </c>
      <c r="B203" s="2">
        <v>202</v>
      </c>
      <c r="C203" s="2">
        <v>7</v>
      </c>
      <c r="D203" s="2">
        <v>0</v>
      </c>
      <c r="E203" s="2">
        <v>1.7190000000000001</v>
      </c>
      <c r="F203" s="2">
        <v>2</v>
      </c>
    </row>
    <row r="204" spans="1:6" ht="14.25" customHeight="1">
      <c r="A204" s="2">
        <v>29</v>
      </c>
      <c r="B204" s="2">
        <v>203</v>
      </c>
      <c r="C204" s="2">
        <v>4</v>
      </c>
      <c r="D204" s="2">
        <v>1</v>
      </c>
      <c r="E204" s="2">
        <v>1.514</v>
      </c>
      <c r="F204" s="2">
        <v>2</v>
      </c>
    </row>
    <row r="205" spans="1:6" ht="14.25" customHeight="1">
      <c r="A205" s="2">
        <v>29</v>
      </c>
      <c r="B205" s="2">
        <v>204</v>
      </c>
      <c r="C205" s="2">
        <v>5</v>
      </c>
      <c r="D205" s="2">
        <v>1</v>
      </c>
      <c r="E205" s="2">
        <v>1.8740000000000001</v>
      </c>
      <c r="F205" s="2">
        <v>1</v>
      </c>
    </row>
    <row r="206" spans="1:6" ht="14.25" customHeight="1">
      <c r="A206" s="2">
        <v>29</v>
      </c>
      <c r="B206" s="2">
        <v>205</v>
      </c>
      <c r="C206" s="2">
        <v>3</v>
      </c>
      <c r="D206" s="2">
        <v>1</v>
      </c>
      <c r="E206" s="2">
        <v>1.536</v>
      </c>
      <c r="F206" s="2">
        <v>1</v>
      </c>
    </row>
    <row r="207" spans="1:6" ht="14.25" customHeight="1">
      <c r="A207" s="2">
        <v>29</v>
      </c>
      <c r="B207" s="2">
        <v>206</v>
      </c>
      <c r="C207" s="2">
        <v>4</v>
      </c>
      <c r="D207" s="2">
        <v>1</v>
      </c>
      <c r="E207" s="2">
        <v>1.4239999999999999</v>
      </c>
      <c r="F207" s="2">
        <v>2</v>
      </c>
    </row>
    <row r="208" spans="1:6" ht="14.25" customHeight="1">
      <c r="A208" s="2">
        <v>29</v>
      </c>
      <c r="B208" s="2">
        <v>207</v>
      </c>
      <c r="C208" s="2">
        <v>8</v>
      </c>
      <c r="D208" s="2">
        <v>0</v>
      </c>
      <c r="E208" s="2">
        <v>1.446</v>
      </c>
      <c r="F208" s="2">
        <v>1</v>
      </c>
    </row>
    <row r="209" spans="1:6" ht="14.25" customHeight="1">
      <c r="A209" s="2">
        <v>29</v>
      </c>
      <c r="B209" s="2">
        <v>208</v>
      </c>
      <c r="C209" s="2">
        <v>5</v>
      </c>
      <c r="E209" s="2">
        <v>2.0009999999999999</v>
      </c>
    </row>
    <row r="210" spans="1:6" ht="14.25" customHeight="1">
      <c r="A210" s="2">
        <v>29</v>
      </c>
      <c r="B210" s="2">
        <v>209</v>
      </c>
      <c r="C210" s="2">
        <v>1</v>
      </c>
      <c r="D210" s="2">
        <v>0</v>
      </c>
      <c r="E210" s="2">
        <v>0.998</v>
      </c>
      <c r="F210" s="2">
        <v>2</v>
      </c>
    </row>
    <row r="211" spans="1:6" ht="14.25" customHeight="1">
      <c r="A211" s="2">
        <v>29</v>
      </c>
      <c r="B211" s="2">
        <v>210</v>
      </c>
      <c r="C211" s="2">
        <v>6</v>
      </c>
      <c r="D211" s="2">
        <v>1</v>
      </c>
      <c r="E211" s="2">
        <v>1.2470000000000001</v>
      </c>
      <c r="F211" s="2">
        <v>2</v>
      </c>
    </row>
    <row r="212" spans="1:6" ht="14.25" customHeight="1">
      <c r="A212" s="2">
        <v>29</v>
      </c>
      <c r="B212" s="2">
        <v>211</v>
      </c>
      <c r="C212" s="2">
        <v>3</v>
      </c>
      <c r="D212" s="2">
        <v>1</v>
      </c>
      <c r="E212" s="2">
        <v>1.1419999999999999</v>
      </c>
      <c r="F212" s="2">
        <v>2</v>
      </c>
    </row>
    <row r="213" spans="1:6" ht="14.25" customHeight="1">
      <c r="A213" s="2">
        <v>29</v>
      </c>
      <c r="B213" s="2">
        <v>212</v>
      </c>
      <c r="C213" s="2">
        <v>1</v>
      </c>
      <c r="D213" s="2">
        <v>0</v>
      </c>
      <c r="E213" s="2">
        <v>1.2829999999999999</v>
      </c>
      <c r="F213" s="2">
        <v>2</v>
      </c>
    </row>
    <row r="214" spans="1:6" ht="14.25" customHeight="1">
      <c r="A214" s="2">
        <v>29</v>
      </c>
      <c r="B214" s="2">
        <v>213</v>
      </c>
      <c r="C214" s="2">
        <v>4</v>
      </c>
      <c r="E214" s="2">
        <v>2</v>
      </c>
    </row>
    <row r="215" spans="1:6" ht="14.25" customHeight="1">
      <c r="A215" s="2">
        <v>29</v>
      </c>
      <c r="B215" s="2">
        <v>214</v>
      </c>
      <c r="C215" s="2">
        <v>3</v>
      </c>
      <c r="D215" s="2">
        <v>1</v>
      </c>
      <c r="E215" s="2">
        <v>1.4810000000000001</v>
      </c>
      <c r="F215" s="2">
        <v>1</v>
      </c>
    </row>
    <row r="216" spans="1:6" ht="14.25" customHeight="1">
      <c r="A216" s="2">
        <v>29</v>
      </c>
      <c r="B216" s="2">
        <v>215</v>
      </c>
      <c r="C216" s="2">
        <v>6</v>
      </c>
      <c r="D216" s="2">
        <v>1</v>
      </c>
      <c r="E216" s="2">
        <v>1.1679999999999999</v>
      </c>
      <c r="F216" s="2">
        <v>2</v>
      </c>
    </row>
    <row r="217" spans="1:6" ht="14.25" customHeight="1">
      <c r="A217" s="2">
        <v>29</v>
      </c>
      <c r="B217" s="2">
        <v>216</v>
      </c>
      <c r="C217" s="2">
        <v>3</v>
      </c>
      <c r="D217" s="2">
        <v>1</v>
      </c>
      <c r="E217" s="2">
        <v>1.333</v>
      </c>
      <c r="F217" s="2">
        <v>1</v>
      </c>
    </row>
    <row r="218" spans="1:6" ht="14.25" customHeight="1">
      <c r="A218" s="2">
        <v>29</v>
      </c>
      <c r="B218" s="2">
        <v>217</v>
      </c>
      <c r="C218" s="2">
        <v>5</v>
      </c>
      <c r="E218" s="2">
        <v>2</v>
      </c>
    </row>
    <row r="219" spans="1:6" ht="14.25" customHeight="1">
      <c r="A219" s="2">
        <v>29</v>
      </c>
      <c r="B219" s="2">
        <v>218</v>
      </c>
      <c r="C219" s="2">
        <v>2</v>
      </c>
      <c r="D219" s="2">
        <v>1</v>
      </c>
      <c r="E219" s="2">
        <v>1.393</v>
      </c>
      <c r="F219" s="2">
        <v>1</v>
      </c>
    </row>
    <row r="220" spans="1:6" ht="14.25" customHeight="1">
      <c r="A220" s="2">
        <v>29</v>
      </c>
      <c r="B220" s="2">
        <v>219</v>
      </c>
      <c r="C220" s="2">
        <v>3</v>
      </c>
      <c r="D220" s="2">
        <v>1</v>
      </c>
      <c r="E220" s="2">
        <v>1.33</v>
      </c>
      <c r="F220" s="2">
        <v>2</v>
      </c>
    </row>
    <row r="221" spans="1:6" ht="14.25" customHeight="1">
      <c r="A221" s="2">
        <v>29</v>
      </c>
      <c r="B221" s="2">
        <v>220</v>
      </c>
      <c r="C221" s="2">
        <v>4</v>
      </c>
      <c r="D221" s="2">
        <v>1</v>
      </c>
      <c r="E221" s="2">
        <v>1.083</v>
      </c>
      <c r="F221" s="2">
        <v>2</v>
      </c>
    </row>
    <row r="222" spans="1:6" ht="14.25" customHeight="1">
      <c r="A222" s="2">
        <v>29</v>
      </c>
      <c r="B222" s="2">
        <v>221</v>
      </c>
      <c r="C222" s="2">
        <v>2</v>
      </c>
      <c r="E222" s="2">
        <v>2</v>
      </c>
    </row>
    <row r="223" spans="1:6" ht="14.25" customHeight="1">
      <c r="A223" s="2">
        <v>29</v>
      </c>
      <c r="B223" s="2">
        <v>222</v>
      </c>
      <c r="C223" s="2">
        <v>5</v>
      </c>
      <c r="D223" s="2">
        <v>1</v>
      </c>
      <c r="E223" s="2">
        <v>1.3169999999999999</v>
      </c>
      <c r="F223" s="2">
        <v>1</v>
      </c>
    </row>
    <row r="224" spans="1:6" ht="14.25" customHeight="1">
      <c r="A224" s="2">
        <v>29</v>
      </c>
      <c r="B224" s="2">
        <v>223</v>
      </c>
      <c r="C224" s="2">
        <v>8</v>
      </c>
      <c r="D224" s="2">
        <v>1</v>
      </c>
      <c r="E224" s="2">
        <v>1.363</v>
      </c>
      <c r="F224" s="2">
        <v>1</v>
      </c>
    </row>
    <row r="225" spans="1:6" ht="14.25" customHeight="1">
      <c r="A225" s="2">
        <v>29</v>
      </c>
      <c r="B225" s="2">
        <v>224</v>
      </c>
      <c r="C225" s="2">
        <v>1</v>
      </c>
      <c r="D225" s="2">
        <v>0</v>
      </c>
      <c r="E225" s="2">
        <v>1.2629999999999999</v>
      </c>
      <c r="F225" s="2">
        <v>2</v>
      </c>
    </row>
    <row r="226" spans="1:6" ht="14.25" customHeight="1">
      <c r="A226" s="2">
        <v>29</v>
      </c>
      <c r="B226" s="2">
        <v>225</v>
      </c>
      <c r="C226" s="2">
        <v>7</v>
      </c>
      <c r="D226" s="2">
        <v>0</v>
      </c>
      <c r="E226" s="2">
        <v>1.6459999999999999</v>
      </c>
      <c r="F226" s="2">
        <v>1</v>
      </c>
    </row>
    <row r="227" spans="1:6" ht="14.25" customHeight="1">
      <c r="A227" s="2">
        <v>29</v>
      </c>
      <c r="B227" s="2">
        <v>226</v>
      </c>
      <c r="C227" s="2">
        <v>4</v>
      </c>
      <c r="D227" s="2">
        <v>0</v>
      </c>
      <c r="E227" s="2">
        <v>1.762</v>
      </c>
      <c r="F227" s="2">
        <v>2</v>
      </c>
    </row>
    <row r="228" spans="1:6" ht="14.25" customHeight="1">
      <c r="A228" s="2">
        <v>29</v>
      </c>
      <c r="B228" s="2">
        <v>227</v>
      </c>
      <c r="C228" s="2">
        <v>6</v>
      </c>
      <c r="D228" s="2">
        <v>1</v>
      </c>
      <c r="E228" s="2">
        <v>1.6180000000000001</v>
      </c>
      <c r="F228" s="2">
        <v>1</v>
      </c>
    </row>
    <row r="229" spans="1:6" ht="14.25" customHeight="1">
      <c r="A229" s="2">
        <v>29</v>
      </c>
      <c r="B229" s="2">
        <v>228</v>
      </c>
      <c r="C229" s="2">
        <v>3</v>
      </c>
      <c r="D229" s="2">
        <v>1</v>
      </c>
      <c r="E229" s="2">
        <v>1.524</v>
      </c>
      <c r="F229" s="2">
        <v>2</v>
      </c>
    </row>
    <row r="230" spans="1:6" ht="14.25" customHeight="1">
      <c r="A230" s="2">
        <v>29</v>
      </c>
      <c r="B230" s="2">
        <v>229</v>
      </c>
      <c r="C230" s="2">
        <v>7</v>
      </c>
      <c r="D230" s="2">
        <v>1</v>
      </c>
      <c r="E230" s="2">
        <v>1.8009999999999999</v>
      </c>
      <c r="F230" s="2">
        <v>1</v>
      </c>
    </row>
    <row r="231" spans="1:6" ht="14.25" customHeight="1">
      <c r="A231" s="2">
        <v>29</v>
      </c>
      <c r="B231" s="2">
        <v>230</v>
      </c>
      <c r="C231" s="2">
        <v>2</v>
      </c>
      <c r="D231" s="2">
        <v>1</v>
      </c>
      <c r="E231" s="2">
        <v>1.796</v>
      </c>
      <c r="F231" s="2">
        <v>1</v>
      </c>
    </row>
    <row r="232" spans="1:6" ht="14.25" customHeight="1">
      <c r="A232" s="2">
        <v>29</v>
      </c>
      <c r="B232" s="2">
        <v>231</v>
      </c>
      <c r="C232" s="2">
        <v>6</v>
      </c>
      <c r="D232" s="2">
        <v>0</v>
      </c>
      <c r="E232" s="2">
        <v>1.5820000000000001</v>
      </c>
      <c r="F232" s="2">
        <v>1</v>
      </c>
    </row>
    <row r="233" spans="1:6" ht="14.25" customHeight="1">
      <c r="A233" s="2">
        <v>29</v>
      </c>
      <c r="B233" s="2">
        <v>232</v>
      </c>
      <c r="C233" s="2">
        <v>1</v>
      </c>
      <c r="D233" s="2">
        <v>0</v>
      </c>
      <c r="E233" s="2">
        <v>1.91</v>
      </c>
      <c r="F233" s="2">
        <v>2</v>
      </c>
    </row>
    <row r="234" spans="1:6" ht="14.25" customHeight="1">
      <c r="A234" s="2">
        <v>29</v>
      </c>
      <c r="B234" s="2">
        <v>233</v>
      </c>
      <c r="C234" s="2">
        <v>7</v>
      </c>
      <c r="E234" s="2">
        <v>2.0009999999999999</v>
      </c>
    </row>
    <row r="235" spans="1:6" ht="14.25" customHeight="1">
      <c r="A235" s="2">
        <v>29</v>
      </c>
      <c r="B235" s="2">
        <v>234</v>
      </c>
      <c r="C235" s="2">
        <v>4</v>
      </c>
      <c r="D235" s="2">
        <v>0</v>
      </c>
      <c r="E235" s="2">
        <v>1.7769999999999999</v>
      </c>
      <c r="F235" s="2">
        <v>2</v>
      </c>
    </row>
    <row r="236" spans="1:6" ht="14.25" customHeight="1">
      <c r="A236" s="2">
        <v>29</v>
      </c>
      <c r="B236" s="2">
        <v>235</v>
      </c>
      <c r="C236" s="2">
        <v>8</v>
      </c>
      <c r="D236" s="2">
        <v>0</v>
      </c>
      <c r="E236" s="2">
        <v>1.9710000000000001</v>
      </c>
      <c r="F236" s="2">
        <v>1</v>
      </c>
    </row>
    <row r="237" spans="1:6" ht="14.25" customHeight="1">
      <c r="A237" s="2">
        <v>29</v>
      </c>
      <c r="B237" s="2">
        <v>236</v>
      </c>
      <c r="C237" s="2">
        <v>1</v>
      </c>
      <c r="D237" s="2">
        <v>0</v>
      </c>
      <c r="E237" s="2">
        <v>1.4059999999999999</v>
      </c>
      <c r="F237" s="2">
        <v>1</v>
      </c>
    </row>
    <row r="238" spans="1:6" ht="14.25" customHeight="1">
      <c r="A238" s="2">
        <v>29</v>
      </c>
      <c r="B238" s="2">
        <v>237</v>
      </c>
      <c r="C238" s="2">
        <v>2</v>
      </c>
      <c r="D238" s="2">
        <v>1</v>
      </c>
      <c r="E238" s="2">
        <v>1.31</v>
      </c>
      <c r="F238" s="2">
        <v>1</v>
      </c>
    </row>
    <row r="239" spans="1:6" ht="14.25" customHeight="1">
      <c r="A239" s="2">
        <v>29</v>
      </c>
      <c r="B239" s="2">
        <v>238</v>
      </c>
      <c r="C239" s="2">
        <v>1</v>
      </c>
      <c r="D239" s="2">
        <v>1</v>
      </c>
      <c r="E239" s="2">
        <v>1.694</v>
      </c>
      <c r="F239" s="2">
        <v>2</v>
      </c>
    </row>
    <row r="240" spans="1:6" ht="14.25" customHeight="1">
      <c r="A240" s="2">
        <v>29</v>
      </c>
      <c r="B240" s="2">
        <v>239</v>
      </c>
      <c r="C240" s="2">
        <v>8</v>
      </c>
      <c r="D240" s="2">
        <v>0</v>
      </c>
      <c r="E240" s="2">
        <v>1.581</v>
      </c>
      <c r="F240" s="2">
        <v>1</v>
      </c>
    </row>
    <row r="241" spans="1:6" ht="14.25" customHeight="1">
      <c r="A241" s="2">
        <v>29</v>
      </c>
      <c r="B241" s="2">
        <v>240</v>
      </c>
      <c r="C241" s="2">
        <v>2</v>
      </c>
      <c r="D241" s="2">
        <v>0</v>
      </c>
      <c r="E241" s="2">
        <v>1.9</v>
      </c>
      <c r="F241" s="2">
        <v>1</v>
      </c>
    </row>
    <row r="242" spans="1:6" ht="14.25" customHeight="1">
      <c r="A242" s="2">
        <v>29</v>
      </c>
      <c r="B242" s="2">
        <v>241</v>
      </c>
      <c r="C242" s="2">
        <v>7</v>
      </c>
      <c r="D242" s="2">
        <v>1</v>
      </c>
      <c r="E242" s="2">
        <v>1.77</v>
      </c>
      <c r="F242" s="2">
        <v>2</v>
      </c>
    </row>
    <row r="243" spans="1:6" ht="14.25" customHeight="1">
      <c r="A243" s="2">
        <v>29</v>
      </c>
      <c r="B243" s="2">
        <v>242</v>
      </c>
      <c r="C243" s="2">
        <v>8</v>
      </c>
      <c r="D243" s="2">
        <v>0</v>
      </c>
      <c r="E243" s="2">
        <v>1.6479999999999999</v>
      </c>
      <c r="F243" s="2">
        <v>2</v>
      </c>
    </row>
    <row r="244" spans="1:6" ht="14.25" customHeight="1">
      <c r="A244" s="2">
        <v>29</v>
      </c>
      <c r="B244" s="2">
        <v>243</v>
      </c>
      <c r="C244" s="2">
        <v>5</v>
      </c>
      <c r="E244" s="2">
        <v>2</v>
      </c>
    </row>
    <row r="245" spans="1:6" ht="14.25" customHeight="1">
      <c r="A245" s="2">
        <v>29</v>
      </c>
      <c r="B245" s="2">
        <v>244</v>
      </c>
      <c r="C245" s="2">
        <v>2</v>
      </c>
      <c r="D245" s="2">
        <v>1</v>
      </c>
      <c r="E245" s="2">
        <v>1.1879999999999999</v>
      </c>
      <c r="F245" s="2">
        <v>2</v>
      </c>
    </row>
    <row r="246" spans="1:6" ht="14.25" customHeight="1">
      <c r="A246" s="2">
        <v>29</v>
      </c>
      <c r="B246" s="2">
        <v>245</v>
      </c>
      <c r="C246" s="2">
        <v>6</v>
      </c>
      <c r="D246" s="2">
        <v>1</v>
      </c>
      <c r="E246" s="2">
        <v>1.71</v>
      </c>
      <c r="F246" s="2">
        <v>1</v>
      </c>
    </row>
    <row r="247" spans="1:6" ht="14.25" customHeight="1">
      <c r="A247" s="2">
        <v>29</v>
      </c>
      <c r="B247" s="2">
        <v>246</v>
      </c>
      <c r="C247" s="2">
        <v>5</v>
      </c>
      <c r="D247" s="2">
        <v>0</v>
      </c>
      <c r="E247" s="2">
        <v>1.929</v>
      </c>
      <c r="F247" s="2">
        <v>1</v>
      </c>
    </row>
    <row r="248" spans="1:6" ht="14.25" customHeight="1">
      <c r="A248" s="2">
        <v>29</v>
      </c>
      <c r="B248" s="2">
        <v>247</v>
      </c>
      <c r="C248" s="2">
        <v>8</v>
      </c>
      <c r="D248" s="2">
        <v>1</v>
      </c>
      <c r="E248" s="2">
        <v>1.361</v>
      </c>
      <c r="F248" s="2">
        <v>2</v>
      </c>
    </row>
    <row r="249" spans="1:6" ht="14.25" customHeight="1">
      <c r="A249" s="2">
        <v>29</v>
      </c>
      <c r="B249" s="2">
        <v>248</v>
      </c>
      <c r="C249" s="2">
        <v>7</v>
      </c>
      <c r="D249" s="2">
        <v>0</v>
      </c>
      <c r="E249" s="2">
        <v>1.7809999999999999</v>
      </c>
      <c r="F249" s="2">
        <v>2</v>
      </c>
    </row>
    <row r="250" spans="1:6" ht="14.25" customHeight="1">
      <c r="A250" s="2">
        <v>29</v>
      </c>
      <c r="B250" s="2">
        <v>249</v>
      </c>
      <c r="C250" s="2">
        <v>3</v>
      </c>
      <c r="D250" s="2">
        <v>1</v>
      </c>
      <c r="E250" s="2">
        <v>1.5760000000000001</v>
      </c>
      <c r="F250" s="2">
        <v>1</v>
      </c>
    </row>
    <row r="251" spans="1:6" ht="14.25" customHeight="1">
      <c r="A251" s="2">
        <v>29</v>
      </c>
      <c r="B251" s="2">
        <v>250</v>
      </c>
      <c r="C251" s="2">
        <v>8</v>
      </c>
      <c r="E251" s="2">
        <v>2</v>
      </c>
    </row>
    <row r="252" spans="1:6" ht="14.25" customHeight="1">
      <c r="A252" s="2">
        <v>29</v>
      </c>
      <c r="B252" s="2">
        <v>251</v>
      </c>
      <c r="C252" s="2">
        <v>2</v>
      </c>
      <c r="D252" s="2">
        <v>1</v>
      </c>
      <c r="E252" s="2">
        <v>1.478</v>
      </c>
      <c r="F252" s="2">
        <v>2</v>
      </c>
    </row>
    <row r="253" spans="1:6" ht="14.25" customHeight="1">
      <c r="A253" s="2">
        <v>29</v>
      </c>
      <c r="B253" s="2">
        <v>252</v>
      </c>
      <c r="C253" s="2">
        <v>8</v>
      </c>
      <c r="D253" s="2">
        <v>1</v>
      </c>
      <c r="E253" s="2">
        <v>1.629</v>
      </c>
      <c r="F253" s="2">
        <v>1</v>
      </c>
    </row>
    <row r="254" spans="1:6" ht="14.25" customHeight="1">
      <c r="A254" s="2">
        <v>29</v>
      </c>
      <c r="B254" s="2">
        <v>253</v>
      </c>
      <c r="C254" s="2">
        <v>1</v>
      </c>
      <c r="D254" s="2">
        <v>0</v>
      </c>
      <c r="E254" s="2">
        <v>1.421</v>
      </c>
      <c r="F254" s="2">
        <v>1</v>
      </c>
    </row>
    <row r="255" spans="1:6" ht="14.25" customHeight="1">
      <c r="A255" s="2">
        <v>29</v>
      </c>
      <c r="B255" s="2">
        <v>254</v>
      </c>
      <c r="C255" s="2">
        <v>8</v>
      </c>
      <c r="D255" s="2">
        <v>1</v>
      </c>
      <c r="E255" s="2">
        <v>1.498</v>
      </c>
      <c r="F255" s="2">
        <v>1</v>
      </c>
    </row>
    <row r="256" spans="1:6" ht="14.25" customHeight="1">
      <c r="A256" s="2">
        <v>29</v>
      </c>
      <c r="B256" s="2">
        <v>255</v>
      </c>
      <c r="C256" s="2">
        <v>1</v>
      </c>
      <c r="D256" s="2">
        <v>1</v>
      </c>
      <c r="E256" s="2">
        <v>1.6040000000000001</v>
      </c>
      <c r="F256" s="2">
        <v>1</v>
      </c>
    </row>
    <row r="257" spans="1:6" ht="14.25" customHeight="1">
      <c r="A257" s="2">
        <v>29</v>
      </c>
      <c r="B257" s="2">
        <v>256</v>
      </c>
      <c r="C257" s="2">
        <v>3</v>
      </c>
      <c r="D257" s="2">
        <v>1</v>
      </c>
      <c r="E257" s="2">
        <v>1.466</v>
      </c>
      <c r="F257" s="2">
        <v>2</v>
      </c>
    </row>
    <row r="258" spans="1:6" ht="14.25" customHeight="1">
      <c r="A258" s="2">
        <v>29</v>
      </c>
      <c r="B258" s="2">
        <v>257</v>
      </c>
      <c r="C258" s="2">
        <v>7</v>
      </c>
      <c r="D258" s="2">
        <v>0</v>
      </c>
      <c r="E258" s="2">
        <v>1.917</v>
      </c>
      <c r="F258" s="2">
        <v>1</v>
      </c>
    </row>
    <row r="259" spans="1:6" ht="14.25" customHeight="1">
      <c r="A259" s="2">
        <v>29</v>
      </c>
      <c r="B259" s="2">
        <v>258</v>
      </c>
      <c r="C259" s="2">
        <v>6</v>
      </c>
      <c r="E259" s="2">
        <v>2</v>
      </c>
    </row>
    <row r="260" spans="1:6" ht="14.25" customHeight="1">
      <c r="A260" s="2">
        <v>29</v>
      </c>
      <c r="B260" s="2">
        <v>259</v>
      </c>
      <c r="C260" s="2">
        <v>7</v>
      </c>
      <c r="D260" s="2">
        <v>1</v>
      </c>
      <c r="E260" s="2">
        <v>1.726</v>
      </c>
      <c r="F260" s="2">
        <v>1</v>
      </c>
    </row>
    <row r="261" spans="1:6" ht="14.25" customHeight="1">
      <c r="A261" s="2">
        <v>29</v>
      </c>
      <c r="B261" s="2">
        <v>260</v>
      </c>
      <c r="C261" s="2">
        <v>4</v>
      </c>
      <c r="D261" s="2">
        <v>0</v>
      </c>
      <c r="E261" s="2">
        <v>1.41</v>
      </c>
      <c r="F261" s="2">
        <v>1</v>
      </c>
    </row>
    <row r="262" spans="1:6" ht="14.25" customHeight="1">
      <c r="A262" s="2">
        <v>29</v>
      </c>
      <c r="B262" s="2">
        <v>261</v>
      </c>
      <c r="C262" s="2">
        <v>3</v>
      </c>
      <c r="D262" s="2">
        <v>0</v>
      </c>
      <c r="E262" s="2">
        <v>1.948</v>
      </c>
      <c r="F262" s="2">
        <v>1</v>
      </c>
    </row>
    <row r="263" spans="1:6" ht="14.25" customHeight="1">
      <c r="A263" s="2">
        <v>29</v>
      </c>
      <c r="B263" s="2">
        <v>262</v>
      </c>
      <c r="C263" s="2">
        <v>2</v>
      </c>
      <c r="D263" s="2">
        <v>1</v>
      </c>
      <c r="E263" s="2">
        <v>1.452</v>
      </c>
      <c r="F263" s="2">
        <v>1</v>
      </c>
    </row>
    <row r="264" spans="1:6" ht="14.25" customHeight="1">
      <c r="A264" s="2">
        <v>29</v>
      </c>
      <c r="B264" s="2">
        <v>263</v>
      </c>
      <c r="C264" s="2">
        <v>4</v>
      </c>
      <c r="D264" s="2">
        <v>1</v>
      </c>
      <c r="E264" s="2">
        <v>1.7949999999999999</v>
      </c>
      <c r="F264" s="2">
        <v>2</v>
      </c>
    </row>
    <row r="265" spans="1:6" ht="14.25" customHeight="1">
      <c r="A265" s="2">
        <v>29</v>
      </c>
      <c r="B265" s="2">
        <v>264</v>
      </c>
      <c r="C265" s="2">
        <v>6</v>
      </c>
      <c r="E265" s="2">
        <v>2</v>
      </c>
    </row>
    <row r="266" spans="1:6" ht="14.25" customHeight="1">
      <c r="A266" s="2">
        <v>29</v>
      </c>
      <c r="B266" s="2">
        <v>265</v>
      </c>
      <c r="C266" s="2">
        <v>7</v>
      </c>
      <c r="D266" s="2">
        <v>1</v>
      </c>
      <c r="E266" s="2">
        <v>1.02</v>
      </c>
      <c r="F266" s="2">
        <v>2</v>
      </c>
    </row>
    <row r="267" spans="1:6" ht="14.25" customHeight="1">
      <c r="A267" s="2">
        <v>29</v>
      </c>
      <c r="B267" s="2">
        <v>266</v>
      </c>
      <c r="C267" s="2">
        <v>1</v>
      </c>
      <c r="D267" s="2">
        <v>1</v>
      </c>
      <c r="E267" s="2">
        <v>0.85299999999999998</v>
      </c>
      <c r="F267" s="2">
        <v>1</v>
      </c>
    </row>
    <row r="268" spans="1:6" ht="14.25" customHeight="1">
      <c r="A268" s="2">
        <v>29</v>
      </c>
      <c r="B268" s="2">
        <v>267</v>
      </c>
      <c r="C268" s="2">
        <v>4</v>
      </c>
      <c r="D268" s="2">
        <v>1</v>
      </c>
      <c r="E268" s="2">
        <v>1.2450000000000001</v>
      </c>
      <c r="F268" s="2">
        <v>2</v>
      </c>
    </row>
    <row r="269" spans="1:6" ht="14.25" customHeight="1">
      <c r="A269" s="2">
        <v>29</v>
      </c>
      <c r="B269" s="2">
        <v>268</v>
      </c>
      <c r="C269" s="2">
        <v>2</v>
      </c>
      <c r="D269" s="2">
        <v>1</v>
      </c>
      <c r="E269" s="2">
        <v>0.94</v>
      </c>
      <c r="F269" s="2">
        <v>1</v>
      </c>
    </row>
    <row r="270" spans="1:6" ht="14.25" customHeight="1">
      <c r="A270" s="2">
        <v>29</v>
      </c>
      <c r="B270" s="2">
        <v>269</v>
      </c>
      <c r="C270" s="2">
        <v>4</v>
      </c>
      <c r="D270" s="2">
        <v>0</v>
      </c>
      <c r="E270" s="2">
        <v>1.7190000000000001</v>
      </c>
      <c r="F270" s="2">
        <v>1</v>
      </c>
    </row>
    <row r="271" spans="1:6" ht="14.25" customHeight="1">
      <c r="A271" s="2">
        <v>29</v>
      </c>
      <c r="B271" s="2">
        <v>270</v>
      </c>
      <c r="C271" s="2">
        <v>8</v>
      </c>
      <c r="E271" s="2">
        <v>2.0009999999999999</v>
      </c>
    </row>
    <row r="272" spans="1:6" ht="14.25" customHeight="1">
      <c r="A272" s="2">
        <v>29</v>
      </c>
      <c r="B272" s="2">
        <v>271</v>
      </c>
      <c r="C272" s="2">
        <v>1</v>
      </c>
      <c r="D272" s="2">
        <v>1</v>
      </c>
      <c r="E272" s="2">
        <v>1.2350000000000001</v>
      </c>
      <c r="F272" s="2">
        <v>1</v>
      </c>
    </row>
    <row r="273" spans="1:6" ht="14.25" customHeight="1">
      <c r="A273" s="2">
        <v>29</v>
      </c>
      <c r="B273" s="2">
        <v>272</v>
      </c>
      <c r="C273" s="2">
        <v>5</v>
      </c>
      <c r="D273" s="2">
        <v>1</v>
      </c>
      <c r="E273" s="2">
        <v>1.552</v>
      </c>
      <c r="F273" s="2">
        <v>1</v>
      </c>
    </row>
    <row r="274" spans="1:6" ht="14.25" customHeight="1">
      <c r="A274" s="2">
        <v>29</v>
      </c>
      <c r="B274" s="2">
        <v>273</v>
      </c>
      <c r="C274" s="2">
        <v>6</v>
      </c>
      <c r="D274" s="2">
        <v>1</v>
      </c>
      <c r="E274" s="2">
        <v>1.7949999999999999</v>
      </c>
      <c r="F274" s="2">
        <v>1</v>
      </c>
    </row>
    <row r="275" spans="1:6" ht="14.25" customHeight="1">
      <c r="A275" s="2">
        <v>29</v>
      </c>
      <c r="B275" s="2">
        <v>274</v>
      </c>
      <c r="C275" s="2">
        <v>5</v>
      </c>
      <c r="E275" s="2">
        <v>2</v>
      </c>
    </row>
    <row r="276" spans="1:6" ht="14.25" customHeight="1">
      <c r="A276" s="2">
        <v>29</v>
      </c>
      <c r="B276" s="2">
        <v>275</v>
      </c>
      <c r="C276" s="2">
        <v>7</v>
      </c>
      <c r="D276" s="2">
        <v>0</v>
      </c>
      <c r="E276" s="2">
        <v>1.3680000000000001</v>
      </c>
      <c r="F276" s="2">
        <v>1</v>
      </c>
    </row>
    <row r="277" spans="1:6" ht="14.25" customHeight="1">
      <c r="A277" s="2">
        <v>29</v>
      </c>
      <c r="B277" s="2">
        <v>276</v>
      </c>
      <c r="C277" s="2">
        <v>8</v>
      </c>
      <c r="D277" s="2">
        <v>1</v>
      </c>
      <c r="E277" s="2">
        <v>1.6850000000000001</v>
      </c>
      <c r="F277" s="2">
        <v>1</v>
      </c>
    </row>
    <row r="278" spans="1:6" ht="14.25" customHeight="1">
      <c r="A278" s="2">
        <v>29</v>
      </c>
      <c r="B278" s="2">
        <v>277</v>
      </c>
      <c r="C278" s="2">
        <v>3</v>
      </c>
      <c r="D278" s="2">
        <v>1</v>
      </c>
      <c r="E278" s="2">
        <v>1.538</v>
      </c>
      <c r="F278" s="2">
        <v>1</v>
      </c>
    </row>
    <row r="279" spans="1:6" ht="14.25" customHeight="1">
      <c r="A279" s="2">
        <v>29</v>
      </c>
      <c r="B279" s="2">
        <v>278</v>
      </c>
      <c r="C279" s="2">
        <v>2</v>
      </c>
      <c r="D279" s="2">
        <v>1</v>
      </c>
      <c r="E279" s="2">
        <v>1.139</v>
      </c>
      <c r="F279" s="2">
        <v>2</v>
      </c>
    </row>
    <row r="280" spans="1:6" ht="14.25" customHeight="1">
      <c r="A280" s="2">
        <v>29</v>
      </c>
      <c r="B280" s="2">
        <v>279</v>
      </c>
      <c r="C280" s="2">
        <v>3</v>
      </c>
      <c r="D280" s="2">
        <v>1</v>
      </c>
      <c r="E280" s="2">
        <v>1.391</v>
      </c>
      <c r="F280" s="2">
        <v>1</v>
      </c>
    </row>
    <row r="281" spans="1:6" ht="14.25" customHeight="1">
      <c r="A281" s="2">
        <v>29</v>
      </c>
      <c r="B281" s="2">
        <v>280</v>
      </c>
      <c r="C281" s="2">
        <v>1</v>
      </c>
      <c r="D281" s="2">
        <v>1</v>
      </c>
      <c r="E281" s="2">
        <v>1.5169999999999999</v>
      </c>
      <c r="F281" s="2">
        <v>1</v>
      </c>
    </row>
    <row r="282" spans="1:6" ht="14.25" customHeight="1">
      <c r="A282" s="2">
        <v>29</v>
      </c>
      <c r="B282" s="2">
        <v>281</v>
      </c>
      <c r="C282" s="2">
        <v>5</v>
      </c>
      <c r="D282" s="2">
        <v>0</v>
      </c>
      <c r="E282" s="2">
        <v>1.863</v>
      </c>
      <c r="F282" s="2">
        <v>1</v>
      </c>
    </row>
    <row r="283" spans="1:6" ht="14.25" customHeight="1">
      <c r="A283" s="2">
        <v>29</v>
      </c>
      <c r="B283" s="2">
        <v>282</v>
      </c>
      <c r="C283" s="2">
        <v>2</v>
      </c>
      <c r="D283" s="2">
        <v>1</v>
      </c>
      <c r="E283" s="2">
        <v>1.7969999999999999</v>
      </c>
      <c r="F283" s="2">
        <v>1</v>
      </c>
    </row>
    <row r="284" spans="1:6" ht="14.25" customHeight="1">
      <c r="A284" s="2">
        <v>29</v>
      </c>
      <c r="B284" s="2">
        <v>283</v>
      </c>
      <c r="C284" s="2">
        <v>3</v>
      </c>
      <c r="D284" s="2">
        <v>1</v>
      </c>
      <c r="E284" s="2">
        <v>1.667</v>
      </c>
      <c r="F284" s="2">
        <v>1</v>
      </c>
    </row>
    <row r="285" spans="1:6" ht="14.25" customHeight="1">
      <c r="A285" s="2">
        <v>29</v>
      </c>
      <c r="B285" s="2">
        <v>284</v>
      </c>
      <c r="C285" s="2">
        <v>7</v>
      </c>
      <c r="D285" s="2">
        <v>1</v>
      </c>
      <c r="E285" s="2">
        <v>1.1890000000000001</v>
      </c>
      <c r="F285" s="2">
        <v>1</v>
      </c>
    </row>
    <row r="286" spans="1:6" ht="14.25" customHeight="1">
      <c r="A286" s="2">
        <v>29</v>
      </c>
      <c r="B286" s="2">
        <v>285</v>
      </c>
      <c r="C286" s="2">
        <v>3</v>
      </c>
      <c r="D286" s="2">
        <v>1</v>
      </c>
      <c r="E286" s="2">
        <v>1.45</v>
      </c>
      <c r="F286" s="2">
        <v>2</v>
      </c>
    </row>
    <row r="287" spans="1:6" ht="14.25" customHeight="1">
      <c r="A287" s="2">
        <v>29</v>
      </c>
      <c r="B287" s="2">
        <v>286</v>
      </c>
      <c r="C287" s="2">
        <v>6</v>
      </c>
      <c r="D287" s="2">
        <v>0</v>
      </c>
      <c r="E287" s="2">
        <v>1.212</v>
      </c>
      <c r="F287" s="2">
        <v>1</v>
      </c>
    </row>
    <row r="288" spans="1:6" ht="14.25" customHeight="1">
      <c r="A288" s="2">
        <v>29</v>
      </c>
      <c r="B288" s="2">
        <v>287</v>
      </c>
      <c r="C288" s="2">
        <v>5</v>
      </c>
      <c r="E288" s="2">
        <v>2</v>
      </c>
    </row>
    <row r="289" spans="1:6" ht="14.25" customHeight="1">
      <c r="A289" s="2">
        <v>29</v>
      </c>
      <c r="B289" s="2">
        <v>288</v>
      </c>
      <c r="C289" s="2">
        <v>6</v>
      </c>
      <c r="D289" s="2">
        <v>0</v>
      </c>
      <c r="E289" s="2">
        <v>1.552</v>
      </c>
      <c r="F289" s="2">
        <v>1</v>
      </c>
    </row>
    <row r="290" spans="1:6" ht="14.25" customHeight="1">
      <c r="A290" s="2">
        <v>29</v>
      </c>
      <c r="B290" s="2">
        <v>289</v>
      </c>
      <c r="C290" s="2">
        <v>4</v>
      </c>
      <c r="D290" s="2">
        <v>0</v>
      </c>
      <c r="E290" s="2">
        <v>1.665</v>
      </c>
      <c r="F290" s="2">
        <v>1</v>
      </c>
    </row>
    <row r="291" spans="1:6" ht="14.25" customHeight="1">
      <c r="A291" s="2">
        <v>29</v>
      </c>
      <c r="B291" s="2">
        <v>290</v>
      </c>
      <c r="C291" s="2">
        <v>3</v>
      </c>
      <c r="D291" s="2">
        <v>1</v>
      </c>
      <c r="E291" s="2">
        <v>1.4430000000000001</v>
      </c>
      <c r="F291" s="2">
        <v>2</v>
      </c>
    </row>
    <row r="292" spans="1:6" ht="14.25" customHeight="1">
      <c r="A292" s="2">
        <v>29</v>
      </c>
      <c r="B292" s="2">
        <v>291</v>
      </c>
      <c r="C292" s="2">
        <v>5</v>
      </c>
      <c r="D292" s="2">
        <v>0</v>
      </c>
      <c r="E292" s="2">
        <v>1.383</v>
      </c>
      <c r="F292" s="2">
        <v>1</v>
      </c>
    </row>
    <row r="293" spans="1:6" ht="14.25" customHeight="1">
      <c r="A293" s="2">
        <v>29</v>
      </c>
      <c r="B293" s="2">
        <v>292</v>
      </c>
      <c r="C293" s="2">
        <v>6</v>
      </c>
      <c r="E293" s="2">
        <v>2.0009999999999999</v>
      </c>
    </row>
    <row r="294" spans="1:6" ht="14.25" customHeight="1">
      <c r="A294" s="2">
        <v>29</v>
      </c>
      <c r="B294" s="2">
        <v>293</v>
      </c>
      <c r="C294" s="2">
        <v>4</v>
      </c>
      <c r="D294" s="2">
        <v>0</v>
      </c>
      <c r="E294" s="2">
        <v>1.389</v>
      </c>
      <c r="F294" s="2">
        <v>1</v>
      </c>
    </row>
    <row r="295" spans="1:6" ht="14.25" customHeight="1">
      <c r="A295" s="2">
        <v>29</v>
      </c>
      <c r="B295" s="2">
        <v>294</v>
      </c>
      <c r="C295" s="2">
        <v>8</v>
      </c>
      <c r="D295" s="2">
        <v>0</v>
      </c>
      <c r="E295" s="2">
        <v>1.534</v>
      </c>
      <c r="F295" s="2">
        <v>1</v>
      </c>
    </row>
    <row r="296" spans="1:6" ht="14.25" customHeight="1">
      <c r="A296" s="2">
        <v>29</v>
      </c>
      <c r="B296" s="2">
        <v>295</v>
      </c>
      <c r="C296" s="2">
        <v>1</v>
      </c>
      <c r="D296" s="2">
        <v>0</v>
      </c>
      <c r="E296" s="2">
        <v>1.6850000000000001</v>
      </c>
      <c r="F296" s="2">
        <v>2</v>
      </c>
    </row>
    <row r="297" spans="1:6" ht="14.25" customHeight="1">
      <c r="A297" s="2">
        <v>29</v>
      </c>
      <c r="B297" s="2">
        <v>296</v>
      </c>
      <c r="C297" s="2">
        <v>2</v>
      </c>
      <c r="D297" s="2">
        <v>1</v>
      </c>
      <c r="E297" s="2">
        <v>1.464</v>
      </c>
      <c r="F297" s="2">
        <v>2</v>
      </c>
    </row>
    <row r="298" spans="1:6" ht="14.25" customHeight="1">
      <c r="A298" s="2">
        <v>29</v>
      </c>
      <c r="B298" s="2">
        <v>297</v>
      </c>
      <c r="C298" s="2">
        <v>7</v>
      </c>
      <c r="D298" s="2">
        <v>1</v>
      </c>
      <c r="E298" s="2">
        <v>1.5740000000000001</v>
      </c>
      <c r="F298" s="2">
        <v>2</v>
      </c>
    </row>
    <row r="299" spans="1:6" ht="14.25" customHeight="1">
      <c r="A299" s="2">
        <v>29</v>
      </c>
      <c r="B299" s="2">
        <v>298</v>
      </c>
      <c r="C299" s="2">
        <v>8</v>
      </c>
      <c r="D299" s="2">
        <v>1</v>
      </c>
      <c r="E299" s="2">
        <v>1.5529999999999999</v>
      </c>
      <c r="F299" s="2">
        <v>1</v>
      </c>
    </row>
    <row r="300" spans="1:6" ht="14.25" customHeight="1">
      <c r="A300" s="2">
        <v>29</v>
      </c>
      <c r="B300" s="2">
        <v>299</v>
      </c>
      <c r="C300" s="2">
        <v>5</v>
      </c>
      <c r="D300" s="2">
        <v>1</v>
      </c>
      <c r="E300" s="2">
        <v>1.617</v>
      </c>
      <c r="F300" s="2">
        <v>1</v>
      </c>
    </row>
    <row r="301" spans="1:6" ht="14.25" customHeight="1">
      <c r="A301" s="2">
        <v>29</v>
      </c>
      <c r="B301" s="2">
        <v>300</v>
      </c>
      <c r="C301" s="2">
        <v>8</v>
      </c>
      <c r="E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31</v>
      </c>
      <c r="I1" s="2">
        <v>101</v>
      </c>
      <c r="J1" s="2">
        <v>6</v>
      </c>
      <c r="K1" s="2">
        <v>0</v>
      </c>
      <c r="L1" s="2">
        <v>1.4870000000000001</v>
      </c>
      <c r="M1" s="2">
        <v>2</v>
      </c>
    </row>
    <row r="2" spans="1:25" ht="14.25" customHeight="1">
      <c r="A2" s="2">
        <v>31</v>
      </c>
      <c r="B2" s="2">
        <v>1</v>
      </c>
      <c r="C2" s="2">
        <v>6</v>
      </c>
      <c r="E2" s="2">
        <v>2.0009999999999999</v>
      </c>
      <c r="H2" s="2">
        <v>31</v>
      </c>
      <c r="I2" s="2">
        <v>102</v>
      </c>
      <c r="J2" s="2">
        <v>8</v>
      </c>
      <c r="K2" s="2">
        <v>0</v>
      </c>
      <c r="L2" s="2">
        <v>1.819</v>
      </c>
      <c r="M2" s="2">
        <v>1</v>
      </c>
    </row>
    <row r="3" spans="1:25" ht="14.25" customHeight="1">
      <c r="A3" s="2">
        <v>31</v>
      </c>
      <c r="B3" s="2">
        <v>2</v>
      </c>
      <c r="C3" s="2">
        <v>4</v>
      </c>
      <c r="E3" s="2">
        <v>2.0009999999999999</v>
      </c>
      <c r="H3" s="2">
        <v>31</v>
      </c>
      <c r="I3" s="2">
        <v>103</v>
      </c>
      <c r="J3" s="2">
        <v>5</v>
      </c>
      <c r="K3" s="2">
        <v>1</v>
      </c>
      <c r="L3" s="2">
        <v>1.06</v>
      </c>
      <c r="M3" s="2">
        <v>1</v>
      </c>
    </row>
    <row r="4" spans="1:25" ht="14.25" customHeight="1">
      <c r="A4" s="2">
        <v>31</v>
      </c>
      <c r="B4" s="2">
        <v>3</v>
      </c>
      <c r="C4" s="2">
        <v>3</v>
      </c>
      <c r="E4" s="2">
        <v>2</v>
      </c>
      <c r="H4" s="2">
        <v>31</v>
      </c>
      <c r="I4" s="2">
        <v>104</v>
      </c>
      <c r="J4" s="2">
        <v>6</v>
      </c>
      <c r="K4" s="2">
        <v>0</v>
      </c>
      <c r="L4" s="2">
        <v>1.0760000000000001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31</v>
      </c>
      <c r="B5" s="2">
        <v>4</v>
      </c>
      <c r="C5" s="2">
        <v>1</v>
      </c>
      <c r="E5" s="2">
        <v>2</v>
      </c>
      <c r="H5" s="2">
        <v>31</v>
      </c>
      <c r="I5" s="2">
        <v>105</v>
      </c>
      <c r="J5" s="2">
        <v>8</v>
      </c>
      <c r="K5" s="2">
        <v>0</v>
      </c>
      <c r="L5" s="2">
        <v>1.4119999999999999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31</v>
      </c>
      <c r="B6" s="2">
        <v>5</v>
      </c>
      <c r="C6" s="2">
        <v>4</v>
      </c>
      <c r="E6" s="2">
        <v>2</v>
      </c>
      <c r="H6" s="2">
        <v>31</v>
      </c>
      <c r="I6" s="2">
        <v>106</v>
      </c>
      <c r="J6" s="2">
        <v>2</v>
      </c>
      <c r="K6" s="2">
        <v>0</v>
      </c>
      <c r="L6" s="2">
        <v>1.2529999999999999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31</v>
      </c>
      <c r="B7" s="2">
        <v>6</v>
      </c>
      <c r="C7" s="2">
        <v>6</v>
      </c>
      <c r="E7" s="2">
        <v>2</v>
      </c>
      <c r="H7" s="2">
        <v>31</v>
      </c>
      <c r="I7" s="2">
        <v>107</v>
      </c>
      <c r="J7" s="2">
        <v>3</v>
      </c>
      <c r="K7" s="2">
        <v>0</v>
      </c>
      <c r="L7" s="2">
        <v>1.389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31</v>
      </c>
      <c r="B8" s="2">
        <v>7</v>
      </c>
      <c r="C8" s="2">
        <v>3</v>
      </c>
      <c r="E8" s="2">
        <v>2</v>
      </c>
      <c r="H8" s="2">
        <v>31</v>
      </c>
      <c r="I8" s="2">
        <v>108</v>
      </c>
      <c r="J8" s="2">
        <v>7</v>
      </c>
      <c r="K8" s="2">
        <v>1</v>
      </c>
      <c r="L8" s="2">
        <v>1.177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31</v>
      </c>
      <c r="B9" s="2">
        <v>8</v>
      </c>
      <c r="C9" s="2">
        <v>5</v>
      </c>
      <c r="E9" s="2">
        <v>2</v>
      </c>
      <c r="H9" s="2">
        <v>31</v>
      </c>
      <c r="I9" s="2">
        <v>109</v>
      </c>
      <c r="J9" s="2">
        <v>5</v>
      </c>
      <c r="K9" s="2">
        <v>0</v>
      </c>
      <c r="L9" s="2">
        <v>1.34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31</v>
      </c>
      <c r="B10" s="2">
        <v>9</v>
      </c>
      <c r="C10" s="2">
        <v>1</v>
      </c>
      <c r="E10" s="2">
        <v>2</v>
      </c>
      <c r="H10" s="2">
        <v>31</v>
      </c>
      <c r="I10" s="2">
        <v>110</v>
      </c>
      <c r="J10" s="2">
        <v>8</v>
      </c>
      <c r="K10" s="2">
        <v>0</v>
      </c>
      <c r="L10" s="2">
        <v>0.95199999999999996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31</v>
      </c>
      <c r="B11" s="2">
        <v>10</v>
      </c>
      <c r="C11" s="2">
        <v>2</v>
      </c>
      <c r="E11" s="2">
        <v>2.0009999999999999</v>
      </c>
      <c r="H11" s="2">
        <v>31</v>
      </c>
      <c r="I11" s="2">
        <v>111</v>
      </c>
      <c r="J11" s="2">
        <v>1</v>
      </c>
      <c r="K11" s="2">
        <v>0</v>
      </c>
      <c r="L11" s="2">
        <v>1.851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31</v>
      </c>
      <c r="B12" s="2">
        <v>11</v>
      </c>
      <c r="C12" s="2">
        <v>3</v>
      </c>
      <c r="E12" s="2">
        <v>2.0009999999999999</v>
      </c>
      <c r="H12" s="2">
        <v>31</v>
      </c>
      <c r="I12" s="2">
        <v>112</v>
      </c>
      <c r="J12" s="2">
        <v>6</v>
      </c>
      <c r="K12" s="2">
        <v>1</v>
      </c>
      <c r="L12" s="2">
        <v>1.6339999999999999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31</v>
      </c>
      <c r="B13" s="2">
        <v>12</v>
      </c>
      <c r="C13" s="2">
        <v>2</v>
      </c>
      <c r="E13" s="2">
        <v>2</v>
      </c>
      <c r="H13" s="2">
        <v>31</v>
      </c>
      <c r="I13" s="2">
        <v>113</v>
      </c>
      <c r="J13" s="2">
        <v>5</v>
      </c>
      <c r="K13" s="2">
        <v>0</v>
      </c>
      <c r="L13" s="2">
        <v>1.2669999999999999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31</v>
      </c>
      <c r="B14" s="2">
        <v>13</v>
      </c>
      <c r="C14" s="2">
        <v>4</v>
      </c>
      <c r="E14" s="2">
        <v>2</v>
      </c>
      <c r="H14" s="2">
        <v>31</v>
      </c>
      <c r="I14" s="2">
        <v>114</v>
      </c>
      <c r="J14" s="2">
        <v>6</v>
      </c>
      <c r="K14" s="2">
        <v>0</v>
      </c>
      <c r="L14" s="2">
        <v>1.498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31</v>
      </c>
      <c r="B15" s="2">
        <v>14</v>
      </c>
      <c r="C15" s="2">
        <v>1</v>
      </c>
      <c r="E15" s="2">
        <v>2</v>
      </c>
      <c r="H15" s="2">
        <v>31</v>
      </c>
      <c r="I15" s="2">
        <v>115</v>
      </c>
      <c r="J15" s="2">
        <v>4</v>
      </c>
      <c r="K15" s="2">
        <v>1</v>
      </c>
      <c r="L15" s="2">
        <v>0.94399999999999995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31</v>
      </c>
      <c r="B16" s="2">
        <v>15</v>
      </c>
      <c r="C16" s="2">
        <v>3</v>
      </c>
      <c r="E16" s="2">
        <v>2</v>
      </c>
      <c r="H16" s="2">
        <v>31</v>
      </c>
      <c r="I16" s="2">
        <v>116</v>
      </c>
      <c r="J16" s="2">
        <v>7</v>
      </c>
      <c r="K16" s="2">
        <v>1</v>
      </c>
      <c r="L16" s="2">
        <v>1.1180000000000001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31</v>
      </c>
      <c r="B17" s="2">
        <v>16</v>
      </c>
      <c r="C17" s="2">
        <v>8</v>
      </c>
      <c r="E17" s="2">
        <v>2</v>
      </c>
      <c r="H17" s="2">
        <v>31</v>
      </c>
      <c r="I17" s="2">
        <v>117</v>
      </c>
      <c r="J17" s="2">
        <v>1</v>
      </c>
      <c r="K17" s="2">
        <v>1</v>
      </c>
      <c r="L17" s="2">
        <v>1.532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7.2900000000000009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19.360000000000003</v>
      </c>
      <c r="R17" s="3">
        <f t="shared" ref="R17:R22" si="3">(R6*COUNTIF($J$1:$J$101,R$16) - COUNTIFS($J$1:$J$101,R$16,$K$1:$K$101,"=1"))^2</f>
        <v>0.48999999999999899</v>
      </c>
      <c r="S17" s="3">
        <f t="shared" ref="S17:T17" si="4">(S6*COUNTIF($J$1:$J$101,S$16) - COUNTIFS($J$1:$J$101,S$16,$K$1:$K$101,"=0"))^2</f>
        <v>21.159999999999997</v>
      </c>
      <c r="T17" s="3">
        <f t="shared" si="4"/>
        <v>13.690000000000001</v>
      </c>
      <c r="U17" s="3">
        <f t="shared" ref="U17:V17" si="5">(U6*COUNTIF($J$1:$J$101,U$16) - COUNTIFS($J$1:$J$101,U$16,$K$1:$K$101,"=1"))^2</f>
        <v>0.48999999999999899</v>
      </c>
      <c r="V17" s="3">
        <f t="shared" si="5"/>
        <v>7.2899999999999965</v>
      </c>
      <c r="W17" s="4"/>
      <c r="X17" s="4"/>
      <c r="Y17" s="4"/>
    </row>
    <row r="18" spans="1:25" ht="14.25" customHeight="1">
      <c r="A18" s="2">
        <v>31</v>
      </c>
      <c r="B18" s="2">
        <v>17</v>
      </c>
      <c r="C18" s="2">
        <v>7</v>
      </c>
      <c r="E18" s="2">
        <v>2</v>
      </c>
      <c r="H18" s="2">
        <v>31</v>
      </c>
      <c r="I18" s="2">
        <v>118</v>
      </c>
      <c r="J18" s="2">
        <v>3</v>
      </c>
      <c r="K18" s="2">
        <v>0</v>
      </c>
      <c r="L18" s="2">
        <v>0.98499999999999999</v>
      </c>
      <c r="M18" s="2">
        <v>1</v>
      </c>
      <c r="N18" s="3">
        <v>2</v>
      </c>
      <c r="O18" s="3">
        <f t="shared" si="0"/>
        <v>7.2900000000000009</v>
      </c>
      <c r="P18" s="3">
        <f t="shared" si="1"/>
        <v>7.2900000000000009</v>
      </c>
      <c r="Q18" s="6">
        <f t="shared" si="2"/>
        <v>1</v>
      </c>
      <c r="R18" s="3">
        <f t="shared" si="3"/>
        <v>0.48999999999999899</v>
      </c>
      <c r="S18" s="6">
        <f t="shared" ref="S18:T18" si="6">(S7*COUNTIF($J$1:$J$101,S$16) - COUNTIFS($J$1:$J$101,S$16,$K$1:$K$101,"=0"))^2</f>
        <v>21.159999999999997</v>
      </c>
      <c r="T18" s="6">
        <f t="shared" si="6"/>
        <v>13.690000000000001</v>
      </c>
      <c r="U18" s="6">
        <f t="shared" ref="U18:V18" si="7">(U7*COUNTIF($J$1:$J$101,U$16) - COUNTIFS($J$1:$J$101,U$16,$K$1:$K$101,"=1"))^2</f>
        <v>0.48999999999999899</v>
      </c>
      <c r="V18" s="6">
        <f t="shared" si="7"/>
        <v>7.2899999999999965</v>
      </c>
      <c r="W18" s="4"/>
      <c r="X18" s="4"/>
      <c r="Y18" s="4"/>
    </row>
    <row r="19" spans="1:25" ht="14.25" customHeight="1">
      <c r="A19" s="2">
        <v>31</v>
      </c>
      <c r="B19" s="2">
        <v>18</v>
      </c>
      <c r="C19" s="2">
        <v>2</v>
      </c>
      <c r="E19" s="2">
        <v>2</v>
      </c>
      <c r="H19" s="2">
        <v>31</v>
      </c>
      <c r="I19" s="2">
        <v>119</v>
      </c>
      <c r="J19" s="2">
        <v>5</v>
      </c>
      <c r="K19" s="2">
        <v>1</v>
      </c>
      <c r="L19" s="2">
        <v>1.5549999999999999</v>
      </c>
      <c r="M19" s="2">
        <v>2</v>
      </c>
      <c r="N19" s="3">
        <v>3</v>
      </c>
      <c r="O19" s="3">
        <f t="shared" si="0"/>
        <v>7.2900000000000009</v>
      </c>
      <c r="P19" s="3">
        <f t="shared" si="1"/>
        <v>7.2899999999999965</v>
      </c>
      <c r="Q19" s="3">
        <f t="shared" si="2"/>
        <v>19.360000000000003</v>
      </c>
      <c r="R19" s="3">
        <f t="shared" si="3"/>
        <v>0.48999999999999899</v>
      </c>
      <c r="S19" s="6">
        <f t="shared" ref="S19:T19" si="8">(S8*COUNTIF($J$1:$J$101,S$16) - COUNTIFS($J$1:$J$101,S$16,$K$1:$K$101,"=0"))^2</f>
        <v>21.159999999999997</v>
      </c>
      <c r="T19" s="6">
        <f t="shared" si="8"/>
        <v>2.8899999999999975</v>
      </c>
      <c r="U19" s="3">
        <f t="shared" ref="U19:V19" si="9">(U8*COUNTIF($J$1:$J$101,U$16) - COUNTIFS($J$1:$J$101,U$16,$K$1:$K$101,"=1"))^2</f>
        <v>22.090000000000003</v>
      </c>
      <c r="V19" s="6">
        <f t="shared" si="9"/>
        <v>7.2899999999999965</v>
      </c>
      <c r="W19" s="4"/>
      <c r="X19" s="4"/>
      <c r="Y19" s="4"/>
    </row>
    <row r="20" spans="1:25" ht="14.25" customHeight="1">
      <c r="A20" s="2">
        <v>31</v>
      </c>
      <c r="B20" s="2">
        <v>19</v>
      </c>
      <c r="C20" s="2">
        <v>8</v>
      </c>
      <c r="E20" s="2">
        <v>2</v>
      </c>
      <c r="H20" s="2">
        <v>31</v>
      </c>
      <c r="I20" s="2">
        <v>120</v>
      </c>
      <c r="J20" s="2">
        <v>4</v>
      </c>
      <c r="K20" s="2">
        <v>1</v>
      </c>
      <c r="L20" s="2">
        <v>1.2230000000000001</v>
      </c>
      <c r="M20" s="2">
        <v>1</v>
      </c>
      <c r="N20" s="3">
        <v>4</v>
      </c>
      <c r="O20" s="3">
        <f t="shared" si="0"/>
        <v>0</v>
      </c>
      <c r="P20" s="3">
        <f t="shared" si="1"/>
        <v>0</v>
      </c>
      <c r="Q20" s="3">
        <f t="shared" si="2"/>
        <v>4</v>
      </c>
      <c r="R20" s="3">
        <f t="shared" si="3"/>
        <v>4</v>
      </c>
      <c r="S20" s="6">
        <f t="shared" ref="S20:T20" si="10">(S9*COUNTIF($J$1:$J$101,S$16) - COUNTIFS($J$1:$J$101,S$16,$K$1:$K$101,"=0"))^2</f>
        <v>21.159999999999997</v>
      </c>
      <c r="T20" s="6">
        <f t="shared" si="10"/>
        <v>13.690000000000001</v>
      </c>
      <c r="U20" s="6">
        <f t="shared" ref="U20:V20" si="11">(U9*COUNTIF($J$1:$J$101,U$16) - COUNTIFS($J$1:$J$101,U$16,$K$1:$K$101,"=1"))^2</f>
        <v>0.48999999999999899</v>
      </c>
      <c r="V20" s="6">
        <f t="shared" si="11"/>
        <v>7.2899999999999965</v>
      </c>
      <c r="W20" s="4"/>
      <c r="X20" s="4"/>
      <c r="Y20" s="4"/>
    </row>
    <row r="21" spans="1:25" ht="14.25" customHeight="1">
      <c r="A21" s="2">
        <v>31</v>
      </c>
      <c r="B21" s="2">
        <v>20</v>
      </c>
      <c r="C21" s="2">
        <v>5</v>
      </c>
      <c r="E21" s="2">
        <v>2.0009999999999999</v>
      </c>
      <c r="H21" s="2">
        <v>31</v>
      </c>
      <c r="I21" s="2">
        <v>121</v>
      </c>
      <c r="J21" s="2">
        <v>2</v>
      </c>
      <c r="K21" s="2">
        <v>0</v>
      </c>
      <c r="L21" s="2">
        <v>1.736</v>
      </c>
      <c r="M21" s="2">
        <v>2</v>
      </c>
      <c r="N21" s="3">
        <v>5</v>
      </c>
      <c r="O21" s="3">
        <f t="shared" si="0"/>
        <v>7.2900000000000009</v>
      </c>
      <c r="P21" s="3">
        <f t="shared" si="1"/>
        <v>7.2899999999999965</v>
      </c>
      <c r="Q21" s="3">
        <f t="shared" si="2"/>
        <v>19.360000000000003</v>
      </c>
      <c r="R21" s="3">
        <f t="shared" si="3"/>
        <v>0.48999999999999899</v>
      </c>
      <c r="S21" s="6">
        <f t="shared" ref="S21:T21" si="12">(S10*COUNTIF($J$1:$J$101,S$16) - COUNTIFS($J$1:$J$101,S$16,$K$1:$K$101,"=0"))^2</f>
        <v>1</v>
      </c>
      <c r="T21" s="6">
        <f t="shared" si="12"/>
        <v>1</v>
      </c>
      <c r="U21" s="6">
        <f t="shared" ref="U21:V21" si="13">(U10*COUNTIF($J$1:$J$101,U$16) - COUNTIFS($J$1:$J$101,U$16,$K$1:$K$101,"=1"))^2</f>
        <v>4</v>
      </c>
      <c r="V21" s="6">
        <f t="shared" si="13"/>
        <v>0</v>
      </c>
      <c r="W21" s="4"/>
      <c r="X21" s="4"/>
      <c r="Y21" s="4"/>
    </row>
    <row r="22" spans="1:25" ht="14.25" customHeight="1">
      <c r="A22" s="2">
        <v>31</v>
      </c>
      <c r="B22" s="2">
        <v>21</v>
      </c>
      <c r="C22" s="2">
        <v>3</v>
      </c>
      <c r="E22" s="2">
        <v>2</v>
      </c>
      <c r="H22" s="2">
        <v>31</v>
      </c>
      <c r="I22" s="2">
        <v>122</v>
      </c>
      <c r="J22" s="2">
        <v>7</v>
      </c>
      <c r="K22" s="2">
        <v>1</v>
      </c>
      <c r="L22" s="2">
        <v>1.774</v>
      </c>
      <c r="M22" s="2">
        <v>2</v>
      </c>
      <c r="N22" s="3">
        <v>6</v>
      </c>
      <c r="O22" s="3">
        <f t="shared" si="0"/>
        <v>0</v>
      </c>
      <c r="P22" s="3">
        <f t="shared" si="1"/>
        <v>0</v>
      </c>
      <c r="Q22" s="3">
        <f t="shared" si="2"/>
        <v>4</v>
      </c>
      <c r="R22" s="3">
        <f t="shared" si="3"/>
        <v>4</v>
      </c>
      <c r="S22" s="6">
        <f t="shared" ref="S22:T22" si="14">(S11*COUNTIF($J$1:$J$101,S$16) - COUNTIFS($J$1:$J$101,S$16,$K$1:$K$101,"=0"))^2</f>
        <v>1</v>
      </c>
      <c r="T22" s="6">
        <f t="shared" si="14"/>
        <v>1</v>
      </c>
      <c r="U22" s="6">
        <f t="shared" ref="U22:V22" si="15">(U11*COUNTIF($J$1:$J$101,U$16) - COUNTIFS($J$1:$J$101,U$16,$K$1:$K$101,"=1"))^2</f>
        <v>4</v>
      </c>
      <c r="V22" s="6">
        <f t="shared" si="15"/>
        <v>0</v>
      </c>
      <c r="W22" s="4"/>
      <c r="X22" s="4"/>
      <c r="Y22" s="4"/>
    </row>
    <row r="23" spans="1:25" ht="14.25" customHeight="1">
      <c r="A23" s="2">
        <v>31</v>
      </c>
      <c r="B23" s="2">
        <v>22</v>
      </c>
      <c r="C23" s="2">
        <v>7</v>
      </c>
      <c r="E23" s="2">
        <v>2</v>
      </c>
      <c r="H23" s="2">
        <v>31</v>
      </c>
      <c r="I23" s="2">
        <v>123</v>
      </c>
      <c r="J23" s="2">
        <v>5</v>
      </c>
      <c r="K23" s="2">
        <v>0</v>
      </c>
      <c r="L23" s="2">
        <v>1.028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31</v>
      </c>
      <c r="B24" s="2">
        <v>23</v>
      </c>
      <c r="C24" s="2">
        <v>4</v>
      </c>
      <c r="E24" s="2">
        <v>2</v>
      </c>
      <c r="H24" s="2">
        <v>31</v>
      </c>
      <c r="I24" s="2">
        <v>124</v>
      </c>
      <c r="J24" s="2">
        <v>1</v>
      </c>
      <c r="K24" s="2">
        <v>0</v>
      </c>
      <c r="L24" s="2">
        <v>1.6919999999999999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31</v>
      </c>
      <c r="B25" s="2">
        <v>24</v>
      </c>
      <c r="C25" s="2">
        <v>7</v>
      </c>
      <c r="E25" s="2">
        <v>2</v>
      </c>
      <c r="H25" s="2">
        <v>31</v>
      </c>
      <c r="I25" s="2">
        <v>125</v>
      </c>
      <c r="J25" s="2">
        <v>7</v>
      </c>
      <c r="K25" s="2">
        <v>0</v>
      </c>
      <c r="L25" s="2">
        <v>1.0649999999999999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31</v>
      </c>
      <c r="B26" s="2">
        <v>25</v>
      </c>
      <c r="C26" s="2">
        <v>2</v>
      </c>
      <c r="E26" s="2">
        <v>2</v>
      </c>
      <c r="H26" s="2">
        <v>31</v>
      </c>
      <c r="I26" s="2">
        <v>126</v>
      </c>
      <c r="J26" s="2">
        <v>6</v>
      </c>
      <c r="K26" s="2">
        <v>0</v>
      </c>
      <c r="L26" s="2">
        <v>0.73599999999999999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64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31</v>
      </c>
      <c r="B27" s="2">
        <v>26</v>
      </c>
      <c r="C27" s="2">
        <v>5</v>
      </c>
      <c r="E27" s="2">
        <v>2</v>
      </c>
      <c r="H27" s="2">
        <v>31</v>
      </c>
      <c r="I27" s="2">
        <v>127</v>
      </c>
      <c r="J27" s="2">
        <v>7</v>
      </c>
      <c r="K27" s="2">
        <v>1</v>
      </c>
      <c r="L27" s="2">
        <v>1.349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31</v>
      </c>
      <c r="B28" s="2">
        <v>27</v>
      </c>
      <c r="C28" s="2">
        <v>6</v>
      </c>
      <c r="E28" s="2">
        <v>2</v>
      </c>
      <c r="H28" s="2">
        <v>31</v>
      </c>
      <c r="I28" s="2">
        <v>128</v>
      </c>
      <c r="J28" s="2">
        <v>1</v>
      </c>
      <c r="K28" s="2">
        <v>1</v>
      </c>
      <c r="L28" s="2">
        <v>0.93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31</v>
      </c>
      <c r="B29" s="2">
        <v>28</v>
      </c>
      <c r="C29" s="2">
        <v>8</v>
      </c>
      <c r="D29" s="2">
        <v>0</v>
      </c>
      <c r="E29" s="2">
        <v>1.756</v>
      </c>
      <c r="F29" s="2">
        <v>1</v>
      </c>
      <c r="H29" s="2">
        <v>31</v>
      </c>
      <c r="I29" s="2">
        <v>129</v>
      </c>
      <c r="J29" s="2">
        <v>2</v>
      </c>
      <c r="L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31</v>
      </c>
      <c r="B30" s="2">
        <v>29</v>
      </c>
      <c r="C30" s="2">
        <v>5</v>
      </c>
      <c r="E30" s="2">
        <v>2</v>
      </c>
      <c r="H30" s="2">
        <v>31</v>
      </c>
      <c r="I30" s="2">
        <v>130</v>
      </c>
      <c r="J30" s="2">
        <v>4</v>
      </c>
      <c r="K30" s="2">
        <v>1</v>
      </c>
      <c r="L30" s="2">
        <v>1.2290000000000001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31</v>
      </c>
      <c r="B31" s="2">
        <v>30</v>
      </c>
      <c r="C31" s="2">
        <v>6</v>
      </c>
      <c r="E31" s="2">
        <v>2</v>
      </c>
      <c r="H31" s="2">
        <v>31</v>
      </c>
      <c r="I31" s="2">
        <v>131</v>
      </c>
      <c r="J31" s="2">
        <v>8</v>
      </c>
      <c r="K31" s="2">
        <v>1</v>
      </c>
      <c r="L31" s="2">
        <v>1.1000000000000001</v>
      </c>
      <c r="M31" s="2">
        <v>1</v>
      </c>
      <c r="N31" s="3">
        <v>1</v>
      </c>
      <c r="O31" s="3">
        <f t="shared" ref="O31:O36" si="17">SUM(O17:V17)/SUM(O$26:V$26)</f>
        <v>0.24386075949367084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31</v>
      </c>
      <c r="B32" s="2">
        <v>31</v>
      </c>
      <c r="C32" s="2">
        <v>5</v>
      </c>
      <c r="E32" s="2">
        <v>2</v>
      </c>
      <c r="H32" s="2">
        <v>31</v>
      </c>
      <c r="I32" s="2">
        <v>132</v>
      </c>
      <c r="J32" s="2">
        <v>4</v>
      </c>
      <c r="K32" s="2">
        <v>1</v>
      </c>
      <c r="L32" s="2">
        <v>1.01</v>
      </c>
      <c r="M32" s="2">
        <v>2</v>
      </c>
      <c r="N32" s="3">
        <v>2</v>
      </c>
      <c r="O32" s="3">
        <f t="shared" si="17"/>
        <v>0.18575949367088609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31</v>
      </c>
      <c r="B33" s="2">
        <v>32</v>
      </c>
      <c r="C33" s="2">
        <v>7</v>
      </c>
      <c r="E33" s="2">
        <v>2</v>
      </c>
      <c r="H33" s="2">
        <v>31</v>
      </c>
      <c r="I33" s="2">
        <v>133</v>
      </c>
      <c r="J33" s="2">
        <v>7</v>
      </c>
      <c r="K33" s="2">
        <v>1</v>
      </c>
      <c r="L33" s="2">
        <v>1.2509999999999999</v>
      </c>
      <c r="M33" s="2">
        <v>2</v>
      </c>
      <c r="N33" s="3">
        <v>3</v>
      </c>
      <c r="O33" s="3">
        <f t="shared" si="17"/>
        <v>0.27803797468354424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31</v>
      </c>
      <c r="B34" s="2">
        <v>33</v>
      </c>
      <c r="C34" s="2">
        <v>4</v>
      </c>
      <c r="E34" s="2">
        <v>2</v>
      </c>
      <c r="H34" s="2">
        <v>31</v>
      </c>
      <c r="I34" s="2">
        <v>134</v>
      </c>
      <c r="J34" s="2">
        <v>3</v>
      </c>
      <c r="K34" s="2">
        <v>0</v>
      </c>
      <c r="L34" s="2">
        <v>1.0389999999999999</v>
      </c>
      <c r="M34" s="2">
        <v>1</v>
      </c>
      <c r="N34" s="3">
        <v>4</v>
      </c>
      <c r="O34" s="3">
        <f t="shared" si="17"/>
        <v>0.16022151898734177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31</v>
      </c>
      <c r="B35" s="2">
        <v>34</v>
      </c>
      <c r="C35" s="2">
        <v>2</v>
      </c>
      <c r="E35" s="2">
        <v>2</v>
      </c>
      <c r="H35" s="2">
        <v>31</v>
      </c>
      <c r="I35" s="2">
        <v>135</v>
      </c>
      <c r="J35" s="2">
        <v>2</v>
      </c>
      <c r="K35" s="2">
        <v>1</v>
      </c>
      <c r="L35" s="2">
        <v>0.65200000000000002</v>
      </c>
      <c r="M35" s="2">
        <v>1</v>
      </c>
      <c r="N35" s="3">
        <v>5</v>
      </c>
      <c r="O35" s="3">
        <f t="shared" si="17"/>
        <v>0.12794303797468354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31</v>
      </c>
      <c r="B36" s="2">
        <v>35</v>
      </c>
      <c r="C36" s="2">
        <v>6</v>
      </c>
      <c r="E36" s="2">
        <v>2.0009999999999999</v>
      </c>
      <c r="H36" s="2">
        <v>31</v>
      </c>
      <c r="I36" s="2">
        <v>136</v>
      </c>
      <c r="J36" s="2">
        <v>5</v>
      </c>
      <c r="K36" s="2">
        <v>1</v>
      </c>
      <c r="L36" s="2">
        <v>1.1319999999999999</v>
      </c>
      <c r="M36" s="2">
        <v>2</v>
      </c>
      <c r="N36" s="3">
        <v>6</v>
      </c>
      <c r="O36" s="3">
        <f t="shared" si="17"/>
        <v>4.4303797468354431E-2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31</v>
      </c>
      <c r="B37" s="2">
        <v>36</v>
      </c>
      <c r="C37" s="2">
        <v>4</v>
      </c>
      <c r="E37" s="2">
        <v>2</v>
      </c>
      <c r="H37" s="2">
        <v>31</v>
      </c>
      <c r="I37" s="2">
        <v>137</v>
      </c>
      <c r="J37" s="2">
        <v>2</v>
      </c>
      <c r="K37" s="2">
        <v>1</v>
      </c>
      <c r="L37" s="2">
        <v>1.1379999999999999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31</v>
      </c>
      <c r="B38" s="2">
        <v>37</v>
      </c>
      <c r="C38" s="2">
        <v>1</v>
      </c>
      <c r="E38" s="2">
        <v>2</v>
      </c>
      <c r="H38" s="2">
        <v>31</v>
      </c>
      <c r="I38" s="2">
        <v>138</v>
      </c>
      <c r="J38" s="2">
        <v>3</v>
      </c>
      <c r="K38" s="2">
        <v>0</v>
      </c>
      <c r="L38" s="2">
        <v>1.5189999999999999</v>
      </c>
      <c r="M38" s="2">
        <v>2</v>
      </c>
    </row>
    <row r="39" spans="1:25" ht="14.25" customHeight="1">
      <c r="A39" s="2">
        <v>31</v>
      </c>
      <c r="B39" s="2">
        <v>38</v>
      </c>
      <c r="C39" s="2">
        <v>5</v>
      </c>
      <c r="E39" s="2">
        <v>2</v>
      </c>
      <c r="H39" s="2">
        <v>31</v>
      </c>
      <c r="I39" s="2">
        <v>139</v>
      </c>
      <c r="J39" s="2">
        <v>4</v>
      </c>
      <c r="K39" s="2">
        <v>1</v>
      </c>
      <c r="L39" s="2">
        <v>1.1080000000000001</v>
      </c>
      <c r="M39" s="2">
        <v>2</v>
      </c>
    </row>
    <row r="40" spans="1:25" ht="14.25" customHeight="1">
      <c r="A40" s="2">
        <v>31</v>
      </c>
      <c r="B40" s="2">
        <v>39</v>
      </c>
      <c r="C40" s="2">
        <v>7</v>
      </c>
      <c r="E40" s="2">
        <v>2.0009999999999999</v>
      </c>
      <c r="H40" s="2">
        <v>31</v>
      </c>
      <c r="I40" s="2">
        <v>140</v>
      </c>
      <c r="J40" s="2">
        <v>8</v>
      </c>
      <c r="K40" s="2">
        <v>1</v>
      </c>
      <c r="L40" s="2">
        <v>1.05</v>
      </c>
      <c r="M40" s="2">
        <v>1</v>
      </c>
    </row>
    <row r="41" spans="1:25" ht="14.25" customHeight="1">
      <c r="A41" s="2">
        <v>31</v>
      </c>
      <c r="B41" s="2">
        <v>40</v>
      </c>
      <c r="C41" s="2">
        <v>1</v>
      </c>
      <c r="E41" s="2">
        <v>2</v>
      </c>
      <c r="H41" s="2">
        <v>31</v>
      </c>
      <c r="I41" s="2">
        <v>141</v>
      </c>
      <c r="J41" s="2">
        <v>4</v>
      </c>
      <c r="L41" s="2">
        <v>2</v>
      </c>
    </row>
    <row r="42" spans="1:25" ht="14.25" customHeight="1">
      <c r="A42" s="2">
        <v>31</v>
      </c>
      <c r="B42" s="2">
        <v>41</v>
      </c>
      <c r="C42" s="2">
        <v>8</v>
      </c>
      <c r="E42" s="2">
        <v>2.0009999999999999</v>
      </c>
      <c r="H42" s="2">
        <v>31</v>
      </c>
      <c r="I42" s="2">
        <v>142</v>
      </c>
      <c r="J42" s="2">
        <v>3</v>
      </c>
      <c r="K42" s="2">
        <v>1</v>
      </c>
      <c r="L42" s="2">
        <v>1.109</v>
      </c>
      <c r="M42" s="2">
        <v>1</v>
      </c>
    </row>
    <row r="43" spans="1:25" ht="14.25" customHeight="1">
      <c r="A43" s="2">
        <v>31</v>
      </c>
      <c r="B43" s="2">
        <v>42</v>
      </c>
      <c r="C43" s="2">
        <v>5</v>
      </c>
      <c r="E43" s="2">
        <v>2</v>
      </c>
      <c r="H43" s="2">
        <v>31</v>
      </c>
      <c r="I43" s="2">
        <v>143</v>
      </c>
      <c r="J43" s="2">
        <v>1</v>
      </c>
      <c r="K43" s="2">
        <v>0</v>
      </c>
      <c r="L43" s="2">
        <v>1.0429999999999999</v>
      </c>
      <c r="M43" s="2">
        <v>2</v>
      </c>
    </row>
    <row r="44" spans="1:25" ht="14.25" customHeight="1">
      <c r="A44" s="2">
        <v>31</v>
      </c>
      <c r="B44" s="2">
        <v>43</v>
      </c>
      <c r="C44" s="2">
        <v>3</v>
      </c>
      <c r="E44" s="2">
        <v>2</v>
      </c>
      <c r="H44" s="2">
        <v>31</v>
      </c>
      <c r="I44" s="2">
        <v>144</v>
      </c>
      <c r="J44" s="2">
        <v>8</v>
      </c>
      <c r="K44" s="2">
        <v>1</v>
      </c>
      <c r="L44" s="2">
        <v>1.3180000000000001</v>
      </c>
      <c r="M44" s="2">
        <v>2</v>
      </c>
    </row>
    <row r="45" spans="1:25" ht="14.25" customHeight="1">
      <c r="A45" s="2">
        <v>31</v>
      </c>
      <c r="B45" s="2">
        <v>44</v>
      </c>
      <c r="C45" s="2">
        <v>8</v>
      </c>
      <c r="E45" s="2">
        <v>2</v>
      </c>
      <c r="H45" s="2">
        <v>31</v>
      </c>
      <c r="I45" s="2">
        <v>145</v>
      </c>
      <c r="J45" s="2">
        <v>5</v>
      </c>
      <c r="K45" s="2">
        <v>0</v>
      </c>
      <c r="L45" s="2">
        <v>0.88900000000000001</v>
      </c>
      <c r="M45" s="2">
        <v>1</v>
      </c>
    </row>
    <row r="46" spans="1:25" ht="14.25" customHeight="1">
      <c r="A46" s="2">
        <v>31</v>
      </c>
      <c r="B46" s="2">
        <v>45</v>
      </c>
      <c r="C46" s="2">
        <v>7</v>
      </c>
      <c r="E46" s="2">
        <v>2</v>
      </c>
      <c r="H46" s="2">
        <v>31</v>
      </c>
      <c r="I46" s="2">
        <v>146</v>
      </c>
      <c r="J46" s="2">
        <v>2</v>
      </c>
      <c r="K46" s="2">
        <v>1</v>
      </c>
      <c r="L46" s="2">
        <v>1.5840000000000001</v>
      </c>
      <c r="M46" s="2">
        <v>2</v>
      </c>
    </row>
    <row r="47" spans="1:25" ht="14.25" customHeight="1">
      <c r="A47" s="2">
        <v>31</v>
      </c>
      <c r="B47" s="2">
        <v>46</v>
      </c>
      <c r="C47" s="2">
        <v>2</v>
      </c>
      <c r="E47" s="2">
        <v>2.0009999999999999</v>
      </c>
      <c r="H47" s="2">
        <v>31</v>
      </c>
      <c r="I47" s="2">
        <v>147</v>
      </c>
      <c r="J47" s="2">
        <v>6</v>
      </c>
      <c r="K47" s="2">
        <v>1</v>
      </c>
      <c r="L47" s="2">
        <v>0.83599999999999997</v>
      </c>
      <c r="M47" s="2">
        <v>1</v>
      </c>
    </row>
    <row r="48" spans="1:25" ht="14.25" customHeight="1">
      <c r="A48" s="2">
        <v>31</v>
      </c>
      <c r="B48" s="2">
        <v>47</v>
      </c>
      <c r="C48" s="2">
        <v>6</v>
      </c>
      <c r="E48" s="2">
        <v>2</v>
      </c>
      <c r="H48" s="2">
        <v>31</v>
      </c>
      <c r="I48" s="2">
        <v>148</v>
      </c>
      <c r="J48" s="2">
        <v>1</v>
      </c>
      <c r="K48" s="2">
        <v>1</v>
      </c>
      <c r="L48" s="2">
        <v>0.82</v>
      </c>
      <c r="M48" s="2">
        <v>2</v>
      </c>
    </row>
    <row r="49" spans="1:13" ht="14.25" customHeight="1">
      <c r="A49" s="2">
        <v>31</v>
      </c>
      <c r="B49" s="2">
        <v>48</v>
      </c>
      <c r="C49" s="2">
        <v>8</v>
      </c>
      <c r="E49" s="2">
        <v>2</v>
      </c>
      <c r="H49" s="2">
        <v>31</v>
      </c>
      <c r="I49" s="2">
        <v>149</v>
      </c>
      <c r="J49" s="2">
        <v>5</v>
      </c>
      <c r="K49" s="2">
        <v>0</v>
      </c>
      <c r="L49" s="2">
        <v>1.6539999999999999</v>
      </c>
      <c r="M49" s="2">
        <v>2</v>
      </c>
    </row>
    <row r="50" spans="1:13" ht="14.25" customHeight="1">
      <c r="A50" s="2">
        <v>31</v>
      </c>
      <c r="B50" s="2">
        <v>49</v>
      </c>
      <c r="C50" s="2">
        <v>5</v>
      </c>
      <c r="E50" s="2">
        <v>2</v>
      </c>
      <c r="H50" s="2">
        <v>31</v>
      </c>
      <c r="I50" s="2">
        <v>150</v>
      </c>
      <c r="J50" s="2">
        <v>3</v>
      </c>
      <c r="K50" s="2">
        <v>0</v>
      </c>
      <c r="L50" s="2">
        <v>1.446</v>
      </c>
      <c r="M50" s="2">
        <v>2</v>
      </c>
    </row>
    <row r="51" spans="1:13" ht="14.25" customHeight="1">
      <c r="A51" s="2">
        <v>31</v>
      </c>
      <c r="B51" s="2">
        <v>50</v>
      </c>
      <c r="C51" s="2">
        <v>1</v>
      </c>
      <c r="E51" s="2">
        <v>2</v>
      </c>
    </row>
    <row r="52" spans="1:13" ht="14.25" customHeight="1">
      <c r="A52" s="2">
        <v>31</v>
      </c>
      <c r="B52" s="2">
        <v>51</v>
      </c>
      <c r="C52" s="2">
        <v>8</v>
      </c>
      <c r="E52" s="2">
        <v>2.0009999999999999</v>
      </c>
    </row>
    <row r="53" spans="1:13" ht="14.25" customHeight="1">
      <c r="A53" s="2">
        <v>31</v>
      </c>
      <c r="B53" s="2">
        <v>52</v>
      </c>
      <c r="C53" s="2">
        <v>6</v>
      </c>
      <c r="E53" s="2">
        <v>2</v>
      </c>
    </row>
    <row r="54" spans="1:13" ht="14.25" customHeight="1">
      <c r="A54" s="2">
        <v>31</v>
      </c>
      <c r="B54" s="2">
        <v>53</v>
      </c>
      <c r="C54" s="2">
        <v>8</v>
      </c>
      <c r="D54" s="2">
        <v>0</v>
      </c>
      <c r="E54" s="2">
        <v>1.41</v>
      </c>
      <c r="F54" s="2">
        <v>2</v>
      </c>
    </row>
    <row r="55" spans="1:13" ht="14.25" customHeight="1">
      <c r="A55" s="2">
        <v>31</v>
      </c>
      <c r="B55" s="2">
        <v>54</v>
      </c>
      <c r="C55" s="2">
        <v>6</v>
      </c>
      <c r="D55" s="2">
        <v>1</v>
      </c>
      <c r="E55" s="2">
        <v>0.93100000000000005</v>
      </c>
      <c r="F55" s="2">
        <v>1</v>
      </c>
    </row>
    <row r="56" spans="1:13" ht="14.25" customHeight="1">
      <c r="A56" s="2">
        <v>31</v>
      </c>
      <c r="B56" s="2">
        <v>55</v>
      </c>
      <c r="C56" s="2">
        <v>8</v>
      </c>
      <c r="D56" s="2">
        <v>1</v>
      </c>
      <c r="E56" s="2">
        <v>1.177</v>
      </c>
      <c r="F56" s="2">
        <v>2</v>
      </c>
    </row>
    <row r="57" spans="1:13" ht="14.25" customHeight="1">
      <c r="A57" s="2">
        <v>31</v>
      </c>
      <c r="B57" s="2">
        <v>56</v>
      </c>
      <c r="C57" s="2">
        <v>7</v>
      </c>
      <c r="D57" s="2">
        <v>0</v>
      </c>
      <c r="E57" s="2">
        <v>1.145</v>
      </c>
      <c r="F57" s="2">
        <v>2</v>
      </c>
    </row>
    <row r="58" spans="1:13" ht="14.25" customHeight="1">
      <c r="A58" s="2">
        <v>31</v>
      </c>
      <c r="B58" s="2">
        <v>57</v>
      </c>
      <c r="C58" s="2">
        <v>4</v>
      </c>
      <c r="D58" s="2">
        <v>0</v>
      </c>
      <c r="E58" s="2">
        <v>1.2769999999999999</v>
      </c>
      <c r="F58" s="2">
        <v>2</v>
      </c>
    </row>
    <row r="59" spans="1:13" ht="14.25" customHeight="1">
      <c r="A59" s="2">
        <v>31</v>
      </c>
      <c r="B59" s="2">
        <v>58</v>
      </c>
      <c r="C59" s="2">
        <v>7</v>
      </c>
      <c r="D59" s="2">
        <v>0</v>
      </c>
      <c r="E59" s="2">
        <v>1.8959999999999999</v>
      </c>
      <c r="F59" s="2">
        <v>2</v>
      </c>
    </row>
    <row r="60" spans="1:13" ht="14.25" customHeight="1">
      <c r="A60" s="2">
        <v>31</v>
      </c>
      <c r="B60" s="2">
        <v>59</v>
      </c>
      <c r="C60" s="2">
        <v>6</v>
      </c>
      <c r="D60" s="2">
        <v>0</v>
      </c>
      <c r="E60" s="2">
        <v>1.3149999999999999</v>
      </c>
      <c r="F60" s="2">
        <v>2</v>
      </c>
    </row>
    <row r="61" spans="1:13" ht="14.25" customHeight="1">
      <c r="A61" s="2">
        <v>31</v>
      </c>
      <c r="B61" s="2">
        <v>60</v>
      </c>
      <c r="C61" s="2">
        <v>5</v>
      </c>
      <c r="D61" s="2">
        <v>1</v>
      </c>
      <c r="E61" s="2">
        <v>1.8260000000000001</v>
      </c>
      <c r="F61" s="2">
        <v>2</v>
      </c>
    </row>
    <row r="62" spans="1:13" ht="14.25" customHeight="1">
      <c r="A62" s="2">
        <v>31</v>
      </c>
      <c r="B62" s="2">
        <v>61</v>
      </c>
      <c r="C62" s="2">
        <v>7</v>
      </c>
      <c r="D62" s="2">
        <v>1</v>
      </c>
      <c r="E62" s="2">
        <v>1.4179999999999999</v>
      </c>
      <c r="F62" s="2">
        <v>1</v>
      </c>
    </row>
    <row r="63" spans="1:13" ht="14.25" customHeight="1">
      <c r="A63" s="2">
        <v>31</v>
      </c>
      <c r="B63" s="2">
        <v>62</v>
      </c>
      <c r="C63" s="2">
        <v>8</v>
      </c>
      <c r="D63" s="2">
        <v>1</v>
      </c>
      <c r="E63" s="2">
        <v>1.8380000000000001</v>
      </c>
      <c r="F63" s="2">
        <v>2</v>
      </c>
    </row>
    <row r="64" spans="1:13" ht="14.25" customHeight="1">
      <c r="A64" s="2">
        <v>31</v>
      </c>
      <c r="B64" s="2">
        <v>63</v>
      </c>
      <c r="C64" s="2">
        <v>5</v>
      </c>
      <c r="E64" s="2">
        <v>2</v>
      </c>
    </row>
    <row r="65" spans="1:6" ht="14.25" customHeight="1">
      <c r="A65" s="2">
        <v>31</v>
      </c>
      <c r="B65" s="2">
        <v>64</v>
      </c>
      <c r="C65" s="2">
        <v>7</v>
      </c>
      <c r="D65" s="2">
        <v>0</v>
      </c>
      <c r="E65" s="2">
        <v>1.8220000000000001</v>
      </c>
      <c r="F65" s="2">
        <v>2</v>
      </c>
    </row>
    <row r="66" spans="1:6" ht="14.25" customHeight="1">
      <c r="A66" s="2">
        <v>31</v>
      </c>
      <c r="B66" s="2">
        <v>65</v>
      </c>
      <c r="C66" s="2">
        <v>5</v>
      </c>
      <c r="D66" s="2">
        <v>1</v>
      </c>
      <c r="E66" s="2">
        <v>1.1990000000000001</v>
      </c>
      <c r="F66" s="2">
        <v>1</v>
      </c>
    </row>
    <row r="67" spans="1:6" ht="14.25" customHeight="1">
      <c r="A67" s="2">
        <v>31</v>
      </c>
      <c r="B67" s="2">
        <v>66</v>
      </c>
      <c r="C67" s="2">
        <v>1</v>
      </c>
      <c r="D67" s="2">
        <v>1</v>
      </c>
      <c r="E67" s="2">
        <v>1.554</v>
      </c>
      <c r="F67" s="2">
        <v>2</v>
      </c>
    </row>
    <row r="68" spans="1:6" ht="14.25" customHeight="1">
      <c r="A68" s="2">
        <v>31</v>
      </c>
      <c r="B68" s="2">
        <v>67</v>
      </c>
      <c r="C68" s="2">
        <v>3</v>
      </c>
      <c r="D68" s="2">
        <v>1</v>
      </c>
      <c r="E68" s="2">
        <v>1.8089999999999999</v>
      </c>
      <c r="F68" s="2">
        <v>2</v>
      </c>
    </row>
    <row r="69" spans="1:6" ht="14.25" customHeight="1">
      <c r="A69" s="2">
        <v>31</v>
      </c>
      <c r="B69" s="2">
        <v>68</v>
      </c>
      <c r="C69" s="2">
        <v>7</v>
      </c>
      <c r="E69" s="2">
        <v>2</v>
      </c>
    </row>
    <row r="70" spans="1:6" ht="14.25" customHeight="1">
      <c r="A70" s="2">
        <v>31</v>
      </c>
      <c r="B70" s="2">
        <v>69</v>
      </c>
      <c r="C70" s="2">
        <v>2</v>
      </c>
      <c r="D70" s="2">
        <v>1</v>
      </c>
      <c r="E70" s="2">
        <v>1.722</v>
      </c>
      <c r="F70" s="2">
        <v>2</v>
      </c>
    </row>
    <row r="71" spans="1:6" ht="14.25" customHeight="1">
      <c r="A71" s="2">
        <v>31</v>
      </c>
      <c r="B71" s="2">
        <v>70</v>
      </c>
      <c r="C71" s="2">
        <v>1</v>
      </c>
      <c r="D71" s="2">
        <v>1</v>
      </c>
      <c r="E71" s="2">
        <v>1.6870000000000001</v>
      </c>
      <c r="F71" s="2">
        <v>1</v>
      </c>
    </row>
    <row r="72" spans="1:6" ht="14.25" customHeight="1">
      <c r="A72" s="2">
        <v>31</v>
      </c>
      <c r="B72" s="2">
        <v>71</v>
      </c>
      <c r="C72" s="2">
        <v>5</v>
      </c>
      <c r="D72" s="2">
        <v>0</v>
      </c>
      <c r="E72" s="2">
        <v>0.83</v>
      </c>
      <c r="F72" s="2">
        <v>2</v>
      </c>
    </row>
    <row r="73" spans="1:6" ht="14.25" customHeight="1">
      <c r="A73" s="2">
        <v>31</v>
      </c>
      <c r="B73" s="2">
        <v>72</v>
      </c>
      <c r="C73" s="2">
        <v>4</v>
      </c>
      <c r="D73" s="2">
        <v>1</v>
      </c>
      <c r="E73" s="2">
        <v>1.623</v>
      </c>
      <c r="F73" s="2">
        <v>2</v>
      </c>
    </row>
    <row r="74" spans="1:6" ht="14.25" customHeight="1">
      <c r="A74" s="2">
        <v>31</v>
      </c>
      <c r="B74" s="2">
        <v>73</v>
      </c>
      <c r="C74" s="2">
        <v>1</v>
      </c>
      <c r="E74" s="2">
        <v>2</v>
      </c>
    </row>
    <row r="75" spans="1:6" ht="14.25" customHeight="1">
      <c r="A75" s="2">
        <v>31</v>
      </c>
      <c r="B75" s="2">
        <v>74</v>
      </c>
      <c r="C75" s="2">
        <v>4</v>
      </c>
      <c r="D75" s="2">
        <v>0</v>
      </c>
      <c r="E75" s="2">
        <v>1.516</v>
      </c>
      <c r="F75" s="2">
        <v>1</v>
      </c>
    </row>
    <row r="76" spans="1:6" ht="14.25" customHeight="1">
      <c r="A76" s="2">
        <v>31</v>
      </c>
      <c r="B76" s="2">
        <v>75</v>
      </c>
      <c r="C76" s="2">
        <v>6</v>
      </c>
      <c r="D76" s="2">
        <v>1</v>
      </c>
      <c r="E76" s="2">
        <v>0.84899999999999998</v>
      </c>
      <c r="F76" s="2">
        <v>2</v>
      </c>
    </row>
    <row r="77" spans="1:6" ht="14.25" customHeight="1">
      <c r="A77" s="2">
        <v>31</v>
      </c>
      <c r="B77" s="2">
        <v>76</v>
      </c>
      <c r="C77" s="2">
        <v>8</v>
      </c>
      <c r="D77" s="2">
        <v>1</v>
      </c>
      <c r="E77" s="2">
        <v>1.3859999999999999</v>
      </c>
      <c r="F77" s="2">
        <v>1</v>
      </c>
    </row>
    <row r="78" spans="1:6" ht="14.25" customHeight="1">
      <c r="A78" s="2">
        <v>31</v>
      </c>
      <c r="B78" s="2">
        <v>77</v>
      </c>
      <c r="C78" s="2">
        <v>1</v>
      </c>
      <c r="D78" s="2">
        <v>0</v>
      </c>
      <c r="E78" s="2">
        <v>1.46</v>
      </c>
      <c r="F78" s="2">
        <v>2</v>
      </c>
    </row>
    <row r="79" spans="1:6" ht="14.25" customHeight="1">
      <c r="A79" s="2">
        <v>31</v>
      </c>
      <c r="B79" s="2">
        <v>78</v>
      </c>
      <c r="C79" s="2">
        <v>4</v>
      </c>
      <c r="D79" s="2">
        <v>0</v>
      </c>
      <c r="E79" s="2">
        <v>1.8919999999999999</v>
      </c>
      <c r="F79" s="2">
        <v>1</v>
      </c>
    </row>
    <row r="80" spans="1:6" ht="14.25" customHeight="1">
      <c r="A80" s="2">
        <v>31</v>
      </c>
      <c r="B80" s="2">
        <v>79</v>
      </c>
      <c r="C80" s="2">
        <v>3</v>
      </c>
      <c r="D80" s="2">
        <v>0</v>
      </c>
      <c r="E80" s="2">
        <v>1.3939999999999999</v>
      </c>
      <c r="F80" s="2">
        <v>2</v>
      </c>
    </row>
    <row r="81" spans="1:6" ht="14.25" customHeight="1">
      <c r="A81" s="2">
        <v>31</v>
      </c>
      <c r="B81" s="2">
        <v>80</v>
      </c>
      <c r="C81" s="2">
        <v>6</v>
      </c>
      <c r="D81" s="2">
        <v>0</v>
      </c>
      <c r="E81" s="2">
        <v>1.556</v>
      </c>
      <c r="F81" s="2">
        <v>2</v>
      </c>
    </row>
    <row r="82" spans="1:6" ht="14.25" customHeight="1">
      <c r="A82" s="2">
        <v>31</v>
      </c>
      <c r="B82" s="2">
        <v>81</v>
      </c>
      <c r="C82" s="2">
        <v>8</v>
      </c>
      <c r="D82" s="2">
        <v>1</v>
      </c>
      <c r="E82" s="2">
        <v>1.2410000000000001</v>
      </c>
      <c r="F82" s="2">
        <v>1</v>
      </c>
    </row>
    <row r="83" spans="1:6" ht="14.25" customHeight="1">
      <c r="A83" s="2">
        <v>31</v>
      </c>
      <c r="B83" s="2">
        <v>82</v>
      </c>
      <c r="C83" s="2">
        <v>5</v>
      </c>
      <c r="D83" s="2">
        <v>1</v>
      </c>
      <c r="E83" s="2">
        <v>1.2969999999999999</v>
      </c>
      <c r="F83" s="2">
        <v>2</v>
      </c>
    </row>
    <row r="84" spans="1:6" ht="14.25" customHeight="1">
      <c r="A84" s="2">
        <v>31</v>
      </c>
      <c r="B84" s="2">
        <v>83</v>
      </c>
      <c r="C84" s="2">
        <v>2</v>
      </c>
      <c r="E84" s="2">
        <v>2</v>
      </c>
    </row>
    <row r="85" spans="1:6" ht="14.25" customHeight="1">
      <c r="A85" s="2">
        <v>31</v>
      </c>
      <c r="B85" s="2">
        <v>84</v>
      </c>
      <c r="C85" s="2">
        <v>4</v>
      </c>
      <c r="D85" s="2">
        <v>0</v>
      </c>
      <c r="E85" s="2">
        <v>0.85699999999999998</v>
      </c>
      <c r="F85" s="2">
        <v>1</v>
      </c>
    </row>
    <row r="86" spans="1:6" ht="14.25" customHeight="1">
      <c r="A86" s="2">
        <v>31</v>
      </c>
      <c r="B86" s="2">
        <v>85</v>
      </c>
      <c r="C86" s="2">
        <v>5</v>
      </c>
      <c r="D86" s="2">
        <v>1</v>
      </c>
      <c r="E86" s="2">
        <v>1.4419999999999999</v>
      </c>
      <c r="F86" s="2">
        <v>1</v>
      </c>
    </row>
    <row r="87" spans="1:6" ht="14.25" customHeight="1">
      <c r="A87" s="2">
        <v>31</v>
      </c>
      <c r="B87" s="2">
        <v>86</v>
      </c>
      <c r="C87" s="2">
        <v>2</v>
      </c>
      <c r="D87" s="2">
        <v>1</v>
      </c>
      <c r="E87" s="2">
        <v>1.014</v>
      </c>
      <c r="F87" s="2">
        <v>2</v>
      </c>
    </row>
    <row r="88" spans="1:6" ht="14.25" customHeight="1">
      <c r="A88" s="2">
        <v>31</v>
      </c>
      <c r="B88" s="2">
        <v>87</v>
      </c>
      <c r="C88" s="2">
        <v>5</v>
      </c>
      <c r="D88" s="2">
        <v>0</v>
      </c>
      <c r="E88" s="2">
        <v>1.2949999999999999</v>
      </c>
      <c r="F88" s="2">
        <v>2</v>
      </c>
    </row>
    <row r="89" spans="1:6" ht="14.25" customHeight="1">
      <c r="A89" s="2">
        <v>31</v>
      </c>
      <c r="B89" s="2">
        <v>88</v>
      </c>
      <c r="C89" s="2">
        <v>1</v>
      </c>
      <c r="D89" s="2">
        <v>1</v>
      </c>
      <c r="E89" s="2">
        <v>1.85</v>
      </c>
      <c r="F89" s="2">
        <v>1</v>
      </c>
    </row>
    <row r="90" spans="1:6" ht="14.25" customHeight="1">
      <c r="A90" s="2">
        <v>31</v>
      </c>
      <c r="B90" s="2">
        <v>89</v>
      </c>
      <c r="C90" s="2">
        <v>2</v>
      </c>
      <c r="D90" s="2">
        <v>1</v>
      </c>
      <c r="E90" s="2">
        <v>0.94899999999999995</v>
      </c>
      <c r="F90" s="2">
        <v>2</v>
      </c>
    </row>
    <row r="91" spans="1:6" ht="14.25" customHeight="1">
      <c r="A91" s="2">
        <v>31</v>
      </c>
      <c r="B91" s="2">
        <v>90</v>
      </c>
      <c r="C91" s="2">
        <v>4</v>
      </c>
      <c r="D91" s="2">
        <v>1</v>
      </c>
      <c r="E91" s="2">
        <v>1.03</v>
      </c>
      <c r="F91" s="2">
        <v>1</v>
      </c>
    </row>
    <row r="92" spans="1:6" ht="14.25" customHeight="1">
      <c r="A92" s="2">
        <v>31</v>
      </c>
      <c r="B92" s="2">
        <v>91</v>
      </c>
      <c r="C92" s="2">
        <v>3</v>
      </c>
      <c r="D92" s="2">
        <v>1</v>
      </c>
      <c r="E92" s="2">
        <v>1.1759999999999999</v>
      </c>
      <c r="F92" s="2">
        <v>2</v>
      </c>
    </row>
    <row r="93" spans="1:6" ht="14.25" customHeight="1">
      <c r="A93" s="2">
        <v>31</v>
      </c>
      <c r="B93" s="2">
        <v>92</v>
      </c>
      <c r="C93" s="2">
        <v>7</v>
      </c>
      <c r="D93" s="2">
        <v>1</v>
      </c>
      <c r="E93" s="2">
        <v>1.786</v>
      </c>
      <c r="F93" s="2">
        <v>1</v>
      </c>
    </row>
    <row r="94" spans="1:6" ht="14.25" customHeight="1">
      <c r="A94" s="2">
        <v>31</v>
      </c>
      <c r="B94" s="2">
        <v>93</v>
      </c>
      <c r="C94" s="2">
        <v>3</v>
      </c>
      <c r="D94" s="2">
        <v>0</v>
      </c>
      <c r="E94" s="2">
        <v>1.27</v>
      </c>
      <c r="F94" s="2">
        <v>2</v>
      </c>
    </row>
    <row r="95" spans="1:6" ht="14.25" customHeight="1">
      <c r="A95" s="2">
        <v>31</v>
      </c>
      <c r="B95" s="2">
        <v>94</v>
      </c>
      <c r="C95" s="2">
        <v>2</v>
      </c>
      <c r="D95" s="2">
        <v>0</v>
      </c>
      <c r="E95" s="2">
        <v>1.1639999999999999</v>
      </c>
      <c r="F95" s="2">
        <v>1</v>
      </c>
    </row>
    <row r="96" spans="1:6" ht="14.25" customHeight="1">
      <c r="A96" s="2">
        <v>31</v>
      </c>
      <c r="B96" s="2">
        <v>95</v>
      </c>
      <c r="C96" s="2">
        <v>1</v>
      </c>
      <c r="D96" s="2">
        <v>1</v>
      </c>
      <c r="E96" s="2">
        <v>1.5760000000000001</v>
      </c>
      <c r="F96" s="2">
        <v>2</v>
      </c>
    </row>
    <row r="97" spans="1:6" ht="14.25" customHeight="1">
      <c r="A97" s="2">
        <v>31</v>
      </c>
      <c r="B97" s="2">
        <v>96</v>
      </c>
      <c r="C97" s="2">
        <v>3</v>
      </c>
      <c r="D97" s="2">
        <v>0</v>
      </c>
      <c r="E97" s="2">
        <v>1.39</v>
      </c>
      <c r="F97" s="2">
        <v>1</v>
      </c>
    </row>
    <row r="98" spans="1:6" ht="14.25" customHeight="1">
      <c r="A98" s="2">
        <v>31</v>
      </c>
      <c r="B98" s="2">
        <v>97</v>
      </c>
      <c r="C98" s="2">
        <v>2</v>
      </c>
      <c r="D98" s="2">
        <v>1</v>
      </c>
      <c r="E98" s="2">
        <v>1.0940000000000001</v>
      </c>
      <c r="F98" s="2">
        <v>1</v>
      </c>
    </row>
    <row r="99" spans="1:6" ht="14.25" customHeight="1">
      <c r="A99" s="2">
        <v>31</v>
      </c>
      <c r="B99" s="2">
        <v>98</v>
      </c>
      <c r="C99" s="2">
        <v>6</v>
      </c>
      <c r="D99" s="2">
        <v>1</v>
      </c>
      <c r="E99" s="2">
        <v>0.78</v>
      </c>
      <c r="F99" s="2">
        <v>2</v>
      </c>
    </row>
    <row r="100" spans="1:6" ht="14.25" customHeight="1">
      <c r="A100" s="2">
        <v>31</v>
      </c>
      <c r="B100" s="2">
        <v>99</v>
      </c>
      <c r="C100" s="2">
        <v>3</v>
      </c>
      <c r="D100" s="2">
        <v>0</v>
      </c>
      <c r="E100" s="2">
        <v>1.44</v>
      </c>
      <c r="F100" s="2">
        <v>2</v>
      </c>
    </row>
    <row r="101" spans="1:6" ht="14.25" customHeight="1">
      <c r="A101" s="2">
        <v>31</v>
      </c>
      <c r="B101" s="2">
        <v>100</v>
      </c>
      <c r="C101" s="2">
        <v>5</v>
      </c>
      <c r="D101" s="2">
        <v>1</v>
      </c>
      <c r="E101" s="2">
        <v>1.7130000000000001</v>
      </c>
      <c r="F101" s="2">
        <v>1</v>
      </c>
    </row>
    <row r="102" spans="1:6" ht="14.25" customHeight="1">
      <c r="A102" s="2">
        <v>31</v>
      </c>
      <c r="B102" s="2">
        <v>101</v>
      </c>
      <c r="C102" s="2">
        <v>6</v>
      </c>
      <c r="D102" s="2">
        <v>0</v>
      </c>
      <c r="E102" s="2">
        <v>1.4870000000000001</v>
      </c>
      <c r="F102" s="2">
        <v>2</v>
      </c>
    </row>
    <row r="103" spans="1:6" ht="14.25" customHeight="1">
      <c r="A103" s="2">
        <v>31</v>
      </c>
      <c r="B103" s="2">
        <v>102</v>
      </c>
      <c r="C103" s="2">
        <v>8</v>
      </c>
      <c r="D103" s="2">
        <v>0</v>
      </c>
      <c r="E103" s="2">
        <v>1.819</v>
      </c>
      <c r="F103" s="2">
        <v>1</v>
      </c>
    </row>
    <row r="104" spans="1:6" ht="14.25" customHeight="1">
      <c r="A104" s="2">
        <v>31</v>
      </c>
      <c r="B104" s="2">
        <v>103</v>
      </c>
      <c r="C104" s="2">
        <v>5</v>
      </c>
      <c r="D104" s="2">
        <v>1</v>
      </c>
      <c r="E104" s="2">
        <v>1.06</v>
      </c>
      <c r="F104" s="2">
        <v>1</v>
      </c>
    </row>
    <row r="105" spans="1:6" ht="14.25" customHeight="1">
      <c r="A105" s="2">
        <v>31</v>
      </c>
      <c r="B105" s="2">
        <v>104</v>
      </c>
      <c r="C105" s="2">
        <v>6</v>
      </c>
      <c r="D105" s="2">
        <v>0</v>
      </c>
      <c r="E105" s="2">
        <v>1.0760000000000001</v>
      </c>
      <c r="F105" s="2">
        <v>2</v>
      </c>
    </row>
    <row r="106" spans="1:6" ht="14.25" customHeight="1">
      <c r="A106" s="2">
        <v>31</v>
      </c>
      <c r="B106" s="2">
        <v>105</v>
      </c>
      <c r="C106" s="2">
        <v>8</v>
      </c>
      <c r="D106" s="2">
        <v>0</v>
      </c>
      <c r="E106" s="2">
        <v>1.4119999999999999</v>
      </c>
      <c r="F106" s="2">
        <v>1</v>
      </c>
    </row>
    <row r="107" spans="1:6" ht="14.25" customHeight="1">
      <c r="A107" s="2">
        <v>31</v>
      </c>
      <c r="B107" s="2">
        <v>106</v>
      </c>
      <c r="C107" s="2">
        <v>2</v>
      </c>
      <c r="D107" s="2">
        <v>0</v>
      </c>
      <c r="E107" s="2">
        <v>1.2529999999999999</v>
      </c>
      <c r="F107" s="2">
        <v>2</v>
      </c>
    </row>
    <row r="108" spans="1:6" ht="14.25" customHeight="1">
      <c r="A108" s="2">
        <v>31</v>
      </c>
      <c r="B108" s="2">
        <v>107</v>
      </c>
      <c r="C108" s="2">
        <v>3</v>
      </c>
      <c r="D108" s="2">
        <v>0</v>
      </c>
      <c r="E108" s="2">
        <v>1.389</v>
      </c>
      <c r="F108" s="2">
        <v>2</v>
      </c>
    </row>
    <row r="109" spans="1:6" ht="14.25" customHeight="1">
      <c r="A109" s="2">
        <v>31</v>
      </c>
      <c r="B109" s="2">
        <v>108</v>
      </c>
      <c r="C109" s="2">
        <v>7</v>
      </c>
      <c r="D109" s="2">
        <v>1</v>
      </c>
      <c r="E109" s="2">
        <v>1.177</v>
      </c>
      <c r="F109" s="2">
        <v>1</v>
      </c>
    </row>
    <row r="110" spans="1:6" ht="14.25" customHeight="1">
      <c r="A110" s="2">
        <v>31</v>
      </c>
      <c r="B110" s="2">
        <v>109</v>
      </c>
      <c r="C110" s="2">
        <v>5</v>
      </c>
      <c r="D110" s="2">
        <v>0</v>
      </c>
      <c r="E110" s="2">
        <v>1.34</v>
      </c>
      <c r="F110" s="2">
        <v>2</v>
      </c>
    </row>
    <row r="111" spans="1:6" ht="14.25" customHeight="1">
      <c r="A111" s="2">
        <v>31</v>
      </c>
      <c r="B111" s="2">
        <v>110</v>
      </c>
      <c r="C111" s="2">
        <v>8</v>
      </c>
      <c r="D111" s="2">
        <v>0</v>
      </c>
      <c r="E111" s="2">
        <v>0.95199999999999996</v>
      </c>
      <c r="F111" s="2">
        <v>1</v>
      </c>
    </row>
    <row r="112" spans="1:6" ht="14.25" customHeight="1">
      <c r="A112" s="2">
        <v>31</v>
      </c>
      <c r="B112" s="2">
        <v>111</v>
      </c>
      <c r="C112" s="2">
        <v>1</v>
      </c>
      <c r="D112" s="2">
        <v>0</v>
      </c>
      <c r="E112" s="2">
        <v>1.851</v>
      </c>
      <c r="F112" s="2">
        <v>2</v>
      </c>
    </row>
    <row r="113" spans="1:6" ht="14.25" customHeight="1">
      <c r="A113" s="2">
        <v>31</v>
      </c>
      <c r="B113" s="2">
        <v>112</v>
      </c>
      <c r="C113" s="2">
        <v>6</v>
      </c>
      <c r="D113" s="2">
        <v>1</v>
      </c>
      <c r="E113" s="2">
        <v>1.6339999999999999</v>
      </c>
      <c r="F113" s="2">
        <v>2</v>
      </c>
    </row>
    <row r="114" spans="1:6" ht="14.25" customHeight="1">
      <c r="A114" s="2">
        <v>31</v>
      </c>
      <c r="B114" s="2">
        <v>113</v>
      </c>
      <c r="C114" s="2">
        <v>5</v>
      </c>
      <c r="D114" s="2">
        <v>0</v>
      </c>
      <c r="E114" s="2">
        <v>1.2669999999999999</v>
      </c>
      <c r="F114" s="2">
        <v>1</v>
      </c>
    </row>
    <row r="115" spans="1:6" ht="14.25" customHeight="1">
      <c r="A115" s="2">
        <v>31</v>
      </c>
      <c r="B115" s="2">
        <v>114</v>
      </c>
      <c r="C115" s="2">
        <v>6</v>
      </c>
      <c r="D115" s="2">
        <v>0</v>
      </c>
      <c r="E115" s="2">
        <v>1.498</v>
      </c>
      <c r="F115" s="2">
        <v>2</v>
      </c>
    </row>
    <row r="116" spans="1:6" ht="14.25" customHeight="1">
      <c r="A116" s="2">
        <v>31</v>
      </c>
      <c r="B116" s="2">
        <v>115</v>
      </c>
      <c r="C116" s="2">
        <v>4</v>
      </c>
      <c r="D116" s="2">
        <v>1</v>
      </c>
      <c r="E116" s="2">
        <v>0.94399999999999995</v>
      </c>
      <c r="F116" s="2">
        <v>1</v>
      </c>
    </row>
    <row r="117" spans="1:6" ht="14.25" customHeight="1">
      <c r="A117" s="2">
        <v>31</v>
      </c>
      <c r="B117" s="2">
        <v>116</v>
      </c>
      <c r="C117" s="2">
        <v>7</v>
      </c>
      <c r="D117" s="2">
        <v>1</v>
      </c>
      <c r="E117" s="2">
        <v>1.1180000000000001</v>
      </c>
      <c r="F117" s="2">
        <v>2</v>
      </c>
    </row>
    <row r="118" spans="1:6" ht="14.25" customHeight="1">
      <c r="A118" s="2">
        <v>31</v>
      </c>
      <c r="B118" s="2">
        <v>117</v>
      </c>
      <c r="C118" s="2">
        <v>1</v>
      </c>
      <c r="D118" s="2">
        <v>1</v>
      </c>
      <c r="E118" s="2">
        <v>1.532</v>
      </c>
      <c r="F118" s="2">
        <v>2</v>
      </c>
    </row>
    <row r="119" spans="1:6" ht="14.25" customHeight="1">
      <c r="A119" s="2">
        <v>31</v>
      </c>
      <c r="B119" s="2">
        <v>118</v>
      </c>
      <c r="C119" s="2">
        <v>3</v>
      </c>
      <c r="D119" s="2">
        <v>0</v>
      </c>
      <c r="E119" s="2">
        <v>0.98499999999999999</v>
      </c>
      <c r="F119" s="2">
        <v>1</v>
      </c>
    </row>
    <row r="120" spans="1:6" ht="14.25" customHeight="1">
      <c r="A120" s="2">
        <v>31</v>
      </c>
      <c r="B120" s="2">
        <v>119</v>
      </c>
      <c r="C120" s="2">
        <v>5</v>
      </c>
      <c r="D120" s="2">
        <v>1</v>
      </c>
      <c r="E120" s="2">
        <v>1.5549999999999999</v>
      </c>
      <c r="F120" s="2">
        <v>2</v>
      </c>
    </row>
    <row r="121" spans="1:6" ht="14.25" customHeight="1">
      <c r="A121" s="2">
        <v>31</v>
      </c>
      <c r="B121" s="2">
        <v>120</v>
      </c>
      <c r="C121" s="2">
        <v>4</v>
      </c>
      <c r="D121" s="2">
        <v>1</v>
      </c>
      <c r="E121" s="2">
        <v>1.2230000000000001</v>
      </c>
      <c r="F121" s="2">
        <v>1</v>
      </c>
    </row>
    <row r="122" spans="1:6" ht="14.25" customHeight="1">
      <c r="A122" s="2">
        <v>31</v>
      </c>
      <c r="B122" s="2">
        <v>121</v>
      </c>
      <c r="C122" s="2">
        <v>2</v>
      </c>
      <c r="D122" s="2">
        <v>0</v>
      </c>
      <c r="E122" s="2">
        <v>1.736</v>
      </c>
      <c r="F122" s="2">
        <v>2</v>
      </c>
    </row>
    <row r="123" spans="1:6" ht="14.25" customHeight="1">
      <c r="A123" s="2">
        <v>31</v>
      </c>
      <c r="B123" s="2">
        <v>122</v>
      </c>
      <c r="C123" s="2">
        <v>7</v>
      </c>
      <c r="D123" s="2">
        <v>1</v>
      </c>
      <c r="E123" s="2">
        <v>1.774</v>
      </c>
      <c r="F123" s="2">
        <v>2</v>
      </c>
    </row>
    <row r="124" spans="1:6" ht="14.25" customHeight="1">
      <c r="A124" s="2">
        <v>31</v>
      </c>
      <c r="B124" s="2">
        <v>123</v>
      </c>
      <c r="C124" s="2">
        <v>5</v>
      </c>
      <c r="D124" s="2">
        <v>0</v>
      </c>
      <c r="E124" s="2">
        <v>1.028</v>
      </c>
      <c r="F124" s="2">
        <v>1</v>
      </c>
    </row>
    <row r="125" spans="1:6" ht="14.25" customHeight="1">
      <c r="A125" s="2">
        <v>31</v>
      </c>
      <c r="B125" s="2">
        <v>124</v>
      </c>
      <c r="C125" s="2">
        <v>1</v>
      </c>
      <c r="D125" s="2">
        <v>0</v>
      </c>
      <c r="E125" s="2">
        <v>1.6919999999999999</v>
      </c>
      <c r="F125" s="2">
        <v>1</v>
      </c>
    </row>
    <row r="126" spans="1:6" ht="14.25" customHeight="1">
      <c r="A126" s="2">
        <v>31</v>
      </c>
      <c r="B126" s="2">
        <v>125</v>
      </c>
      <c r="C126" s="2">
        <v>7</v>
      </c>
      <c r="D126" s="2">
        <v>0</v>
      </c>
      <c r="E126" s="2">
        <v>1.0649999999999999</v>
      </c>
      <c r="F126" s="2">
        <v>1</v>
      </c>
    </row>
    <row r="127" spans="1:6" ht="14.25" customHeight="1">
      <c r="A127" s="2">
        <v>31</v>
      </c>
      <c r="B127" s="2">
        <v>126</v>
      </c>
      <c r="C127" s="2">
        <v>6</v>
      </c>
      <c r="D127" s="2">
        <v>0</v>
      </c>
      <c r="E127" s="2">
        <v>0.73599999999999999</v>
      </c>
      <c r="F127" s="2">
        <v>2</v>
      </c>
    </row>
    <row r="128" spans="1:6" ht="14.25" customHeight="1">
      <c r="A128" s="2">
        <v>31</v>
      </c>
      <c r="B128" s="2">
        <v>127</v>
      </c>
      <c r="C128" s="2">
        <v>7</v>
      </c>
      <c r="D128" s="2">
        <v>1</v>
      </c>
      <c r="E128" s="2">
        <v>1.349</v>
      </c>
      <c r="F128" s="2">
        <v>1</v>
      </c>
    </row>
    <row r="129" spans="1:6" ht="14.25" customHeight="1">
      <c r="A129" s="2">
        <v>31</v>
      </c>
      <c r="B129" s="2">
        <v>128</v>
      </c>
      <c r="C129" s="2">
        <v>1</v>
      </c>
      <c r="D129" s="2">
        <v>1</v>
      </c>
      <c r="E129" s="2">
        <v>0.93</v>
      </c>
      <c r="F129" s="2">
        <v>2</v>
      </c>
    </row>
    <row r="130" spans="1:6" ht="14.25" customHeight="1">
      <c r="A130" s="2">
        <v>31</v>
      </c>
      <c r="B130" s="2">
        <v>129</v>
      </c>
      <c r="C130" s="2">
        <v>2</v>
      </c>
      <c r="E130" s="2">
        <v>2</v>
      </c>
    </row>
    <row r="131" spans="1:6" ht="14.25" customHeight="1">
      <c r="A131" s="2">
        <v>31</v>
      </c>
      <c r="B131" s="2">
        <v>130</v>
      </c>
      <c r="C131" s="2">
        <v>4</v>
      </c>
      <c r="D131" s="2">
        <v>1</v>
      </c>
      <c r="E131" s="2">
        <v>1.2290000000000001</v>
      </c>
      <c r="F131" s="2">
        <v>1</v>
      </c>
    </row>
    <row r="132" spans="1:6" ht="14.25" customHeight="1">
      <c r="A132" s="2">
        <v>31</v>
      </c>
      <c r="B132" s="2">
        <v>131</v>
      </c>
      <c r="C132" s="2">
        <v>8</v>
      </c>
      <c r="D132" s="2">
        <v>1</v>
      </c>
      <c r="E132" s="2">
        <v>1.1000000000000001</v>
      </c>
      <c r="F132" s="2">
        <v>1</v>
      </c>
    </row>
    <row r="133" spans="1:6" ht="14.25" customHeight="1">
      <c r="A133" s="2">
        <v>31</v>
      </c>
      <c r="B133" s="2">
        <v>132</v>
      </c>
      <c r="C133" s="2">
        <v>4</v>
      </c>
      <c r="D133" s="2">
        <v>1</v>
      </c>
      <c r="E133" s="2">
        <v>1.01</v>
      </c>
      <c r="F133" s="2">
        <v>2</v>
      </c>
    </row>
    <row r="134" spans="1:6" ht="14.25" customHeight="1">
      <c r="A134" s="2">
        <v>31</v>
      </c>
      <c r="B134" s="2">
        <v>133</v>
      </c>
      <c r="C134" s="2">
        <v>7</v>
      </c>
      <c r="D134" s="2">
        <v>1</v>
      </c>
      <c r="E134" s="2">
        <v>1.2509999999999999</v>
      </c>
      <c r="F134" s="2">
        <v>2</v>
      </c>
    </row>
    <row r="135" spans="1:6" ht="14.25" customHeight="1">
      <c r="A135" s="2">
        <v>31</v>
      </c>
      <c r="B135" s="2">
        <v>134</v>
      </c>
      <c r="C135" s="2">
        <v>3</v>
      </c>
      <c r="D135" s="2">
        <v>0</v>
      </c>
      <c r="E135" s="2">
        <v>1.0389999999999999</v>
      </c>
      <c r="F135" s="2">
        <v>1</v>
      </c>
    </row>
    <row r="136" spans="1:6" ht="14.25" customHeight="1">
      <c r="A136" s="2">
        <v>31</v>
      </c>
      <c r="B136" s="2">
        <v>135</v>
      </c>
      <c r="C136" s="2">
        <v>2</v>
      </c>
      <c r="D136" s="2">
        <v>1</v>
      </c>
      <c r="E136" s="2">
        <v>0.65200000000000002</v>
      </c>
      <c r="F136" s="2">
        <v>1</v>
      </c>
    </row>
    <row r="137" spans="1:6" ht="14.25" customHeight="1">
      <c r="A137" s="2">
        <v>31</v>
      </c>
      <c r="B137" s="2">
        <v>136</v>
      </c>
      <c r="C137" s="2">
        <v>5</v>
      </c>
      <c r="D137" s="2">
        <v>1</v>
      </c>
      <c r="E137" s="2">
        <v>1.1319999999999999</v>
      </c>
      <c r="F137" s="2">
        <v>2</v>
      </c>
    </row>
    <row r="138" spans="1:6" ht="14.25" customHeight="1">
      <c r="A138" s="2">
        <v>31</v>
      </c>
      <c r="B138" s="2">
        <v>137</v>
      </c>
      <c r="C138" s="2">
        <v>2</v>
      </c>
      <c r="D138" s="2">
        <v>1</v>
      </c>
      <c r="E138" s="2">
        <v>1.1379999999999999</v>
      </c>
      <c r="F138" s="2">
        <v>1</v>
      </c>
    </row>
    <row r="139" spans="1:6" ht="14.25" customHeight="1">
      <c r="A139" s="2">
        <v>31</v>
      </c>
      <c r="B139" s="2">
        <v>138</v>
      </c>
      <c r="C139" s="2">
        <v>3</v>
      </c>
      <c r="D139" s="2">
        <v>0</v>
      </c>
      <c r="E139" s="2">
        <v>1.5189999999999999</v>
      </c>
      <c r="F139" s="2">
        <v>2</v>
      </c>
    </row>
    <row r="140" spans="1:6" ht="14.25" customHeight="1">
      <c r="A140" s="2">
        <v>31</v>
      </c>
      <c r="B140" s="2">
        <v>139</v>
      </c>
      <c r="C140" s="2">
        <v>4</v>
      </c>
      <c r="D140" s="2">
        <v>1</v>
      </c>
      <c r="E140" s="2">
        <v>1.1080000000000001</v>
      </c>
      <c r="F140" s="2">
        <v>2</v>
      </c>
    </row>
    <row r="141" spans="1:6" ht="14.25" customHeight="1">
      <c r="A141" s="2">
        <v>31</v>
      </c>
      <c r="B141" s="2">
        <v>140</v>
      </c>
      <c r="C141" s="2">
        <v>8</v>
      </c>
      <c r="D141" s="2">
        <v>1</v>
      </c>
      <c r="E141" s="2">
        <v>1.05</v>
      </c>
      <c r="F141" s="2">
        <v>1</v>
      </c>
    </row>
    <row r="142" spans="1:6" ht="14.25" customHeight="1">
      <c r="A142" s="2">
        <v>31</v>
      </c>
      <c r="B142" s="2">
        <v>141</v>
      </c>
      <c r="C142" s="2">
        <v>4</v>
      </c>
      <c r="E142" s="2">
        <v>2</v>
      </c>
    </row>
    <row r="143" spans="1:6" ht="14.25" customHeight="1">
      <c r="A143" s="2">
        <v>31</v>
      </c>
      <c r="B143" s="2">
        <v>142</v>
      </c>
      <c r="C143" s="2">
        <v>3</v>
      </c>
      <c r="D143" s="2">
        <v>1</v>
      </c>
      <c r="E143" s="2">
        <v>1.109</v>
      </c>
      <c r="F143" s="2">
        <v>1</v>
      </c>
    </row>
    <row r="144" spans="1:6" ht="14.25" customHeight="1">
      <c r="A144" s="2">
        <v>31</v>
      </c>
      <c r="B144" s="2">
        <v>143</v>
      </c>
      <c r="C144" s="2">
        <v>1</v>
      </c>
      <c r="D144" s="2">
        <v>0</v>
      </c>
      <c r="E144" s="2">
        <v>1.0429999999999999</v>
      </c>
      <c r="F144" s="2">
        <v>2</v>
      </c>
    </row>
    <row r="145" spans="1:6" ht="14.25" customHeight="1">
      <c r="A145" s="2">
        <v>31</v>
      </c>
      <c r="B145" s="2">
        <v>144</v>
      </c>
      <c r="C145" s="2">
        <v>8</v>
      </c>
      <c r="D145" s="2">
        <v>1</v>
      </c>
      <c r="E145" s="2">
        <v>1.3180000000000001</v>
      </c>
      <c r="F145" s="2">
        <v>2</v>
      </c>
    </row>
    <row r="146" spans="1:6" ht="14.25" customHeight="1">
      <c r="A146" s="2">
        <v>31</v>
      </c>
      <c r="B146" s="2">
        <v>145</v>
      </c>
      <c r="C146" s="2">
        <v>5</v>
      </c>
      <c r="D146" s="2">
        <v>0</v>
      </c>
      <c r="E146" s="2">
        <v>0.88900000000000001</v>
      </c>
      <c r="F146" s="2">
        <v>1</v>
      </c>
    </row>
    <row r="147" spans="1:6" ht="14.25" customHeight="1">
      <c r="A147" s="2">
        <v>31</v>
      </c>
      <c r="B147" s="2">
        <v>146</v>
      </c>
      <c r="C147" s="2">
        <v>2</v>
      </c>
      <c r="D147" s="2">
        <v>1</v>
      </c>
      <c r="E147" s="2">
        <v>1.5840000000000001</v>
      </c>
      <c r="F147" s="2">
        <v>2</v>
      </c>
    </row>
    <row r="148" spans="1:6" ht="14.25" customHeight="1">
      <c r="A148" s="2">
        <v>31</v>
      </c>
      <c r="B148" s="2">
        <v>147</v>
      </c>
      <c r="C148" s="2">
        <v>6</v>
      </c>
      <c r="D148" s="2">
        <v>1</v>
      </c>
      <c r="E148" s="2">
        <v>0.83599999999999997</v>
      </c>
      <c r="F148" s="2">
        <v>1</v>
      </c>
    </row>
    <row r="149" spans="1:6" ht="14.25" customHeight="1">
      <c r="A149" s="2">
        <v>31</v>
      </c>
      <c r="B149" s="2">
        <v>148</v>
      </c>
      <c r="C149" s="2">
        <v>1</v>
      </c>
      <c r="D149" s="2">
        <v>1</v>
      </c>
      <c r="E149" s="2">
        <v>0.82</v>
      </c>
      <c r="F149" s="2">
        <v>2</v>
      </c>
    </row>
    <row r="150" spans="1:6" ht="14.25" customHeight="1">
      <c r="A150" s="2">
        <v>31</v>
      </c>
      <c r="B150" s="2">
        <v>149</v>
      </c>
      <c r="C150" s="2">
        <v>5</v>
      </c>
      <c r="D150" s="2">
        <v>0</v>
      </c>
      <c r="E150" s="2">
        <v>1.6539999999999999</v>
      </c>
      <c r="F150" s="2">
        <v>2</v>
      </c>
    </row>
    <row r="151" spans="1:6" ht="14.25" customHeight="1">
      <c r="A151" s="2">
        <v>31</v>
      </c>
      <c r="B151" s="2">
        <v>150</v>
      </c>
      <c r="C151" s="2">
        <v>3</v>
      </c>
      <c r="D151" s="2">
        <v>0</v>
      </c>
      <c r="E151" s="2">
        <v>1.446</v>
      </c>
      <c r="F151" s="2">
        <v>2</v>
      </c>
    </row>
    <row r="152" spans="1:6" ht="14.25" customHeight="1">
      <c r="A152" s="2">
        <v>31</v>
      </c>
      <c r="B152" s="2">
        <v>151</v>
      </c>
      <c r="C152" s="2">
        <v>3</v>
      </c>
      <c r="D152" s="2">
        <v>0</v>
      </c>
      <c r="E152" s="2">
        <v>1.589</v>
      </c>
      <c r="F152" s="2">
        <v>2</v>
      </c>
    </row>
    <row r="153" spans="1:6" ht="14.25" customHeight="1">
      <c r="A153" s="2">
        <v>31</v>
      </c>
      <c r="B153" s="2">
        <v>152</v>
      </c>
      <c r="C153" s="2">
        <v>4</v>
      </c>
      <c r="D153" s="2">
        <v>0</v>
      </c>
      <c r="E153" s="2">
        <v>1.0529999999999999</v>
      </c>
      <c r="F153" s="2">
        <v>1</v>
      </c>
    </row>
    <row r="154" spans="1:6" ht="14.25" customHeight="1">
      <c r="A154" s="2">
        <v>31</v>
      </c>
      <c r="B154" s="2">
        <v>153</v>
      </c>
      <c r="C154" s="2">
        <v>2</v>
      </c>
      <c r="D154" s="2">
        <v>0</v>
      </c>
      <c r="E154" s="2">
        <v>1.143</v>
      </c>
      <c r="F154" s="2">
        <v>2</v>
      </c>
    </row>
    <row r="155" spans="1:6" ht="14.25" customHeight="1">
      <c r="A155" s="2">
        <v>31</v>
      </c>
      <c r="B155" s="2">
        <v>154</v>
      </c>
      <c r="C155" s="2">
        <v>6</v>
      </c>
      <c r="D155" s="2">
        <v>1</v>
      </c>
      <c r="E155" s="2">
        <v>1.3140000000000001</v>
      </c>
      <c r="F155" s="2">
        <v>1</v>
      </c>
    </row>
    <row r="156" spans="1:6" ht="14.25" customHeight="1">
      <c r="A156" s="2">
        <v>31</v>
      </c>
      <c r="B156" s="2">
        <v>155</v>
      </c>
      <c r="C156" s="2">
        <v>2</v>
      </c>
      <c r="D156" s="2">
        <v>0</v>
      </c>
      <c r="E156" s="2">
        <v>1.1759999999999999</v>
      </c>
      <c r="F156" s="2">
        <v>1</v>
      </c>
    </row>
    <row r="157" spans="1:6" ht="14.25" customHeight="1">
      <c r="A157" s="2">
        <v>31</v>
      </c>
      <c r="B157" s="2">
        <v>156</v>
      </c>
      <c r="C157" s="2">
        <v>5</v>
      </c>
      <c r="D157" s="2">
        <v>0</v>
      </c>
      <c r="E157" s="2">
        <v>1.3240000000000001</v>
      </c>
      <c r="F157" s="2">
        <v>2</v>
      </c>
    </row>
    <row r="158" spans="1:6" ht="14.25" customHeight="1">
      <c r="A158" s="2">
        <v>31</v>
      </c>
      <c r="B158" s="2">
        <v>157</v>
      </c>
      <c r="C158" s="2">
        <v>7</v>
      </c>
      <c r="D158" s="2">
        <v>0</v>
      </c>
      <c r="E158" s="2">
        <v>1.208</v>
      </c>
      <c r="F158" s="2">
        <v>2</v>
      </c>
    </row>
    <row r="159" spans="1:6" ht="14.25" customHeight="1">
      <c r="A159" s="2">
        <v>31</v>
      </c>
      <c r="B159" s="2">
        <v>158</v>
      </c>
      <c r="C159" s="2">
        <v>4</v>
      </c>
      <c r="D159" s="2">
        <v>1</v>
      </c>
      <c r="E159" s="2">
        <v>1.2989999999999999</v>
      </c>
      <c r="F159" s="2">
        <v>1</v>
      </c>
    </row>
    <row r="160" spans="1:6" ht="14.25" customHeight="1">
      <c r="A160" s="2">
        <v>31</v>
      </c>
      <c r="B160" s="2">
        <v>159</v>
      </c>
      <c r="C160" s="2">
        <v>8</v>
      </c>
      <c r="D160" s="2">
        <v>1</v>
      </c>
      <c r="E160" s="2">
        <v>0.46600000000000003</v>
      </c>
      <c r="F160" s="2">
        <v>1</v>
      </c>
    </row>
    <row r="161" spans="1:6" ht="14.25" customHeight="1">
      <c r="A161" s="2">
        <v>31</v>
      </c>
      <c r="B161" s="2">
        <v>160</v>
      </c>
      <c r="C161" s="2">
        <v>7</v>
      </c>
      <c r="D161" s="2">
        <v>1</v>
      </c>
      <c r="E161" s="2">
        <v>0.96899999999999997</v>
      </c>
      <c r="F161" s="2">
        <v>2</v>
      </c>
    </row>
    <row r="162" spans="1:6" ht="14.25" customHeight="1">
      <c r="A162" s="2">
        <v>31</v>
      </c>
      <c r="B162" s="2">
        <v>161</v>
      </c>
      <c r="C162" s="2">
        <v>2</v>
      </c>
      <c r="D162" s="2">
        <v>1</v>
      </c>
      <c r="E162" s="2">
        <v>1.0249999999999999</v>
      </c>
      <c r="F162" s="2">
        <v>1</v>
      </c>
    </row>
    <row r="163" spans="1:6" ht="14.25" customHeight="1">
      <c r="A163" s="2">
        <v>31</v>
      </c>
      <c r="B163" s="2">
        <v>162</v>
      </c>
      <c r="C163" s="2">
        <v>5</v>
      </c>
      <c r="D163" s="2">
        <v>1</v>
      </c>
      <c r="E163" s="2">
        <v>0.93300000000000005</v>
      </c>
      <c r="F163" s="2">
        <v>2</v>
      </c>
    </row>
    <row r="164" spans="1:6" ht="14.25" customHeight="1">
      <c r="A164" s="2">
        <v>31</v>
      </c>
      <c r="B164" s="2">
        <v>163</v>
      </c>
      <c r="C164" s="2">
        <v>7</v>
      </c>
      <c r="D164" s="2">
        <v>1</v>
      </c>
      <c r="E164" s="2">
        <v>1.1120000000000001</v>
      </c>
      <c r="F164" s="2">
        <v>2</v>
      </c>
    </row>
    <row r="165" spans="1:6" ht="14.25" customHeight="1">
      <c r="A165" s="2">
        <v>31</v>
      </c>
      <c r="B165" s="2">
        <v>164</v>
      </c>
      <c r="C165" s="2">
        <v>6</v>
      </c>
      <c r="D165" s="2">
        <v>1</v>
      </c>
      <c r="E165" s="2">
        <v>0.75</v>
      </c>
      <c r="F165" s="2">
        <v>1</v>
      </c>
    </row>
    <row r="166" spans="1:6" ht="14.25" customHeight="1">
      <c r="A166" s="2">
        <v>31</v>
      </c>
      <c r="B166" s="2">
        <v>165</v>
      </c>
      <c r="C166" s="2">
        <v>1</v>
      </c>
      <c r="D166" s="2">
        <v>1</v>
      </c>
      <c r="E166" s="2">
        <v>0.441</v>
      </c>
      <c r="F166" s="2">
        <v>1</v>
      </c>
    </row>
    <row r="167" spans="1:6" ht="14.25" customHeight="1">
      <c r="A167" s="2">
        <v>31</v>
      </c>
      <c r="B167" s="2">
        <v>166</v>
      </c>
      <c r="C167" s="2">
        <v>5</v>
      </c>
      <c r="D167" s="2">
        <v>1</v>
      </c>
      <c r="E167" s="2">
        <v>1.2270000000000001</v>
      </c>
      <c r="F167" s="2">
        <v>2</v>
      </c>
    </row>
    <row r="168" spans="1:6" ht="14.25" customHeight="1">
      <c r="A168" s="2">
        <v>31</v>
      </c>
      <c r="B168" s="2">
        <v>167</v>
      </c>
      <c r="C168" s="2">
        <v>8</v>
      </c>
      <c r="D168" s="2">
        <v>1</v>
      </c>
      <c r="E168" s="2">
        <v>1.0449999999999999</v>
      </c>
      <c r="F168" s="2">
        <v>2</v>
      </c>
    </row>
    <row r="169" spans="1:6" ht="14.25" customHeight="1">
      <c r="A169" s="2">
        <v>31</v>
      </c>
      <c r="B169" s="2">
        <v>168</v>
      </c>
      <c r="C169" s="2">
        <v>2</v>
      </c>
      <c r="D169" s="2">
        <v>0</v>
      </c>
      <c r="E169" s="2">
        <v>0.64500000000000002</v>
      </c>
      <c r="F169" s="2">
        <v>1</v>
      </c>
    </row>
    <row r="170" spans="1:6" ht="14.25" customHeight="1">
      <c r="A170" s="2">
        <v>31</v>
      </c>
      <c r="B170" s="2">
        <v>169</v>
      </c>
      <c r="C170" s="2">
        <v>3</v>
      </c>
      <c r="D170" s="2">
        <v>1</v>
      </c>
      <c r="E170" s="2">
        <v>0.85399999999999998</v>
      </c>
      <c r="F170" s="2">
        <v>2</v>
      </c>
    </row>
    <row r="171" spans="1:6" ht="14.25" customHeight="1">
      <c r="A171" s="2">
        <v>31</v>
      </c>
      <c r="B171" s="2">
        <v>170</v>
      </c>
      <c r="C171" s="2">
        <v>6</v>
      </c>
      <c r="D171" s="2">
        <v>0</v>
      </c>
      <c r="E171" s="2">
        <v>0.79100000000000004</v>
      </c>
      <c r="F171" s="2">
        <v>2</v>
      </c>
    </row>
    <row r="172" spans="1:6" ht="14.25" customHeight="1">
      <c r="A172" s="2">
        <v>31</v>
      </c>
      <c r="B172" s="2">
        <v>171</v>
      </c>
      <c r="C172" s="2">
        <v>3</v>
      </c>
      <c r="D172" s="2">
        <v>1</v>
      </c>
      <c r="E172" s="2">
        <v>0.76100000000000001</v>
      </c>
      <c r="F172" s="2">
        <v>1</v>
      </c>
    </row>
    <row r="173" spans="1:6" ht="14.25" customHeight="1">
      <c r="A173" s="2">
        <v>31</v>
      </c>
      <c r="B173" s="2">
        <v>172</v>
      </c>
      <c r="C173" s="2">
        <v>1</v>
      </c>
      <c r="D173" s="2">
        <v>1</v>
      </c>
      <c r="E173" s="2">
        <v>0.81200000000000006</v>
      </c>
      <c r="F173" s="2">
        <v>2</v>
      </c>
    </row>
    <row r="174" spans="1:6" ht="14.25" customHeight="1">
      <c r="A174" s="2">
        <v>31</v>
      </c>
      <c r="B174" s="2">
        <v>173</v>
      </c>
      <c r="C174" s="2">
        <v>4</v>
      </c>
      <c r="D174" s="2">
        <v>1</v>
      </c>
      <c r="E174" s="2">
        <v>1.4950000000000001</v>
      </c>
      <c r="F174" s="2">
        <v>2</v>
      </c>
    </row>
    <row r="175" spans="1:6" ht="14.25" customHeight="1">
      <c r="A175" s="2">
        <v>31</v>
      </c>
      <c r="B175" s="2">
        <v>174</v>
      </c>
      <c r="C175" s="2">
        <v>2</v>
      </c>
      <c r="D175" s="2">
        <v>1</v>
      </c>
      <c r="E175" s="2">
        <v>0.97299999999999998</v>
      </c>
      <c r="F175" s="2">
        <v>2</v>
      </c>
    </row>
    <row r="176" spans="1:6" ht="14.25" customHeight="1">
      <c r="A176" s="2">
        <v>31</v>
      </c>
      <c r="B176" s="2">
        <v>175</v>
      </c>
      <c r="C176" s="2">
        <v>5</v>
      </c>
      <c r="D176" s="2">
        <v>0</v>
      </c>
      <c r="E176" s="2">
        <v>1</v>
      </c>
      <c r="F176" s="2">
        <v>1</v>
      </c>
    </row>
    <row r="177" spans="1:6" ht="14.25" customHeight="1">
      <c r="A177" s="2">
        <v>31</v>
      </c>
      <c r="B177" s="2">
        <v>176</v>
      </c>
      <c r="C177" s="2">
        <v>6</v>
      </c>
      <c r="D177" s="2">
        <v>0</v>
      </c>
      <c r="E177" s="2">
        <v>0.69099999999999995</v>
      </c>
      <c r="F177" s="2">
        <v>2</v>
      </c>
    </row>
    <row r="178" spans="1:6" ht="14.25" customHeight="1">
      <c r="A178" s="2">
        <v>31</v>
      </c>
      <c r="B178" s="2">
        <v>177</v>
      </c>
      <c r="C178" s="2">
        <v>1</v>
      </c>
      <c r="D178" s="2">
        <v>0</v>
      </c>
      <c r="E178" s="2">
        <v>1.4339999999999999</v>
      </c>
      <c r="F178" s="2">
        <v>2</v>
      </c>
    </row>
    <row r="179" spans="1:6" ht="14.25" customHeight="1">
      <c r="A179" s="2">
        <v>31</v>
      </c>
      <c r="B179" s="2">
        <v>178</v>
      </c>
      <c r="C179" s="2">
        <v>5</v>
      </c>
      <c r="D179" s="2">
        <v>1</v>
      </c>
      <c r="E179" s="2">
        <v>1.1379999999999999</v>
      </c>
      <c r="F179" s="2">
        <v>2</v>
      </c>
    </row>
    <row r="180" spans="1:6" ht="14.25" customHeight="1">
      <c r="A180" s="2">
        <v>31</v>
      </c>
      <c r="B180" s="2">
        <v>179</v>
      </c>
      <c r="C180" s="2">
        <v>1</v>
      </c>
      <c r="D180" s="2">
        <v>1</v>
      </c>
      <c r="E180" s="2">
        <v>1.1439999999999999</v>
      </c>
      <c r="F180" s="2">
        <v>1</v>
      </c>
    </row>
    <row r="181" spans="1:6" ht="14.25" customHeight="1">
      <c r="A181" s="2">
        <v>31</v>
      </c>
      <c r="B181" s="2">
        <v>180</v>
      </c>
      <c r="C181" s="2">
        <v>7</v>
      </c>
      <c r="D181" s="2">
        <v>0</v>
      </c>
      <c r="E181" s="2">
        <v>0.90900000000000003</v>
      </c>
      <c r="F181" s="2">
        <v>2</v>
      </c>
    </row>
    <row r="182" spans="1:6" ht="14.25" customHeight="1">
      <c r="A182" s="2">
        <v>31</v>
      </c>
      <c r="B182" s="2">
        <v>181</v>
      </c>
      <c r="C182" s="2">
        <v>8</v>
      </c>
      <c r="D182" s="2">
        <v>0</v>
      </c>
      <c r="E182" s="2">
        <v>1.498</v>
      </c>
      <c r="F182" s="2">
        <v>2</v>
      </c>
    </row>
    <row r="183" spans="1:6" ht="14.25" customHeight="1">
      <c r="A183" s="2">
        <v>31</v>
      </c>
      <c r="B183" s="2">
        <v>182</v>
      </c>
      <c r="C183" s="2">
        <v>6</v>
      </c>
      <c r="D183" s="2">
        <v>1</v>
      </c>
      <c r="E183" s="2">
        <v>0.69699999999999995</v>
      </c>
      <c r="F183" s="2">
        <v>2</v>
      </c>
    </row>
    <row r="184" spans="1:6" ht="14.25" customHeight="1">
      <c r="A184" s="2">
        <v>31</v>
      </c>
      <c r="B184" s="2">
        <v>183</v>
      </c>
      <c r="C184" s="2">
        <v>5</v>
      </c>
      <c r="D184" s="2">
        <v>1</v>
      </c>
      <c r="E184" s="2">
        <v>1.3280000000000001</v>
      </c>
      <c r="F184" s="2">
        <v>2</v>
      </c>
    </row>
    <row r="185" spans="1:6" ht="14.25" customHeight="1">
      <c r="A185" s="2">
        <v>31</v>
      </c>
      <c r="B185" s="2">
        <v>184</v>
      </c>
      <c r="C185" s="2">
        <v>1</v>
      </c>
      <c r="D185" s="2">
        <v>1</v>
      </c>
      <c r="E185" s="2">
        <v>1.036</v>
      </c>
      <c r="F185" s="2">
        <v>2</v>
      </c>
    </row>
    <row r="186" spans="1:6" ht="14.25" customHeight="1">
      <c r="A186" s="2">
        <v>31</v>
      </c>
      <c r="B186" s="2">
        <v>185</v>
      </c>
      <c r="C186" s="2">
        <v>3</v>
      </c>
      <c r="D186" s="2">
        <v>0</v>
      </c>
      <c r="E186" s="2">
        <v>1.653</v>
      </c>
      <c r="F186" s="2">
        <v>2</v>
      </c>
    </row>
    <row r="187" spans="1:6" ht="14.25" customHeight="1">
      <c r="A187" s="2">
        <v>31</v>
      </c>
      <c r="B187" s="2">
        <v>186</v>
      </c>
      <c r="C187" s="2">
        <v>2</v>
      </c>
      <c r="D187" s="2">
        <v>1</v>
      </c>
      <c r="E187" s="2">
        <v>1.302</v>
      </c>
      <c r="F187" s="2">
        <v>2</v>
      </c>
    </row>
    <row r="188" spans="1:6" ht="14.25" customHeight="1">
      <c r="A188" s="2">
        <v>31</v>
      </c>
      <c r="B188" s="2">
        <v>187</v>
      </c>
      <c r="C188" s="2">
        <v>7</v>
      </c>
      <c r="D188" s="2">
        <v>1</v>
      </c>
      <c r="E188" s="2">
        <v>1.2909999999999999</v>
      </c>
      <c r="F188" s="2">
        <v>1</v>
      </c>
    </row>
    <row r="189" spans="1:6" ht="14.25" customHeight="1">
      <c r="A189" s="2">
        <v>31</v>
      </c>
      <c r="B189" s="2">
        <v>188</v>
      </c>
      <c r="C189" s="2">
        <v>1</v>
      </c>
      <c r="D189" s="2">
        <v>1</v>
      </c>
      <c r="E189" s="2">
        <v>1.627</v>
      </c>
      <c r="F189" s="2">
        <v>1</v>
      </c>
    </row>
    <row r="190" spans="1:6" ht="14.25" customHeight="1">
      <c r="A190" s="2">
        <v>31</v>
      </c>
      <c r="B190" s="2">
        <v>189</v>
      </c>
      <c r="C190" s="2">
        <v>4</v>
      </c>
      <c r="D190" s="2">
        <v>1</v>
      </c>
      <c r="E190" s="2">
        <v>0.93899999999999995</v>
      </c>
      <c r="F190" s="2">
        <v>2</v>
      </c>
    </row>
    <row r="191" spans="1:6" ht="14.25" customHeight="1">
      <c r="A191" s="2">
        <v>31</v>
      </c>
      <c r="B191" s="2">
        <v>190</v>
      </c>
      <c r="C191" s="2">
        <v>5</v>
      </c>
      <c r="D191" s="2">
        <v>1</v>
      </c>
      <c r="E191" s="2">
        <v>0.95199999999999996</v>
      </c>
      <c r="F191" s="2">
        <v>1</v>
      </c>
    </row>
    <row r="192" spans="1:6" ht="14.25" customHeight="1">
      <c r="A192" s="2">
        <v>31</v>
      </c>
      <c r="B192" s="2">
        <v>191</v>
      </c>
      <c r="C192" s="2">
        <v>7</v>
      </c>
      <c r="D192" s="2">
        <v>1</v>
      </c>
      <c r="E192" s="2">
        <v>0.86</v>
      </c>
      <c r="F192" s="2">
        <v>2</v>
      </c>
    </row>
    <row r="193" spans="1:6" ht="14.25" customHeight="1">
      <c r="A193" s="2">
        <v>31</v>
      </c>
      <c r="B193" s="2">
        <v>192</v>
      </c>
      <c r="C193" s="2">
        <v>8</v>
      </c>
      <c r="D193" s="2">
        <v>0</v>
      </c>
      <c r="E193" s="2">
        <v>1.028</v>
      </c>
      <c r="F193" s="2">
        <v>2</v>
      </c>
    </row>
    <row r="194" spans="1:6" ht="14.25" customHeight="1">
      <c r="A194" s="2">
        <v>31</v>
      </c>
      <c r="B194" s="2">
        <v>193</v>
      </c>
      <c r="C194" s="2">
        <v>6</v>
      </c>
      <c r="D194" s="2">
        <v>1</v>
      </c>
      <c r="E194" s="2">
        <v>1.077</v>
      </c>
      <c r="F194" s="2">
        <v>1</v>
      </c>
    </row>
    <row r="195" spans="1:6" ht="14.25" customHeight="1">
      <c r="A195" s="2">
        <v>31</v>
      </c>
      <c r="B195" s="2">
        <v>194</v>
      </c>
      <c r="C195" s="2">
        <v>4</v>
      </c>
      <c r="D195" s="2">
        <v>1</v>
      </c>
      <c r="E195" s="2">
        <v>0.749</v>
      </c>
      <c r="F195" s="2">
        <v>2</v>
      </c>
    </row>
    <row r="196" spans="1:6" ht="14.25" customHeight="1">
      <c r="A196" s="2">
        <v>31</v>
      </c>
      <c r="B196" s="2">
        <v>195</v>
      </c>
      <c r="C196" s="2">
        <v>8</v>
      </c>
      <c r="D196" s="2">
        <v>1</v>
      </c>
      <c r="E196" s="2">
        <v>0.68100000000000005</v>
      </c>
      <c r="F196" s="2">
        <v>2</v>
      </c>
    </row>
    <row r="197" spans="1:6" ht="14.25" customHeight="1">
      <c r="A197" s="2">
        <v>31</v>
      </c>
      <c r="B197" s="2">
        <v>196</v>
      </c>
      <c r="C197" s="2">
        <v>5</v>
      </c>
      <c r="D197" s="2">
        <v>0</v>
      </c>
      <c r="E197" s="2">
        <v>1.0009999999999999</v>
      </c>
      <c r="F197" s="2">
        <v>1</v>
      </c>
    </row>
    <row r="198" spans="1:6" ht="14.25" customHeight="1">
      <c r="A198" s="2">
        <v>31</v>
      </c>
      <c r="B198" s="2">
        <v>197</v>
      </c>
      <c r="C198" s="2">
        <v>3</v>
      </c>
      <c r="D198" s="2">
        <v>1</v>
      </c>
      <c r="E198" s="2">
        <v>1.2769999999999999</v>
      </c>
      <c r="F198" s="2">
        <v>1</v>
      </c>
    </row>
    <row r="199" spans="1:6" ht="14.25" customHeight="1">
      <c r="A199" s="2">
        <v>31</v>
      </c>
      <c r="B199" s="2">
        <v>198</v>
      </c>
      <c r="C199" s="2">
        <v>4</v>
      </c>
      <c r="D199" s="2">
        <v>1</v>
      </c>
      <c r="E199" s="2">
        <v>0.64200000000000002</v>
      </c>
      <c r="F199" s="2">
        <v>2</v>
      </c>
    </row>
    <row r="200" spans="1:6" ht="14.25" customHeight="1">
      <c r="A200" s="2">
        <v>31</v>
      </c>
      <c r="B200" s="2">
        <v>199</v>
      </c>
      <c r="C200" s="2">
        <v>3</v>
      </c>
      <c r="D200" s="2">
        <v>1</v>
      </c>
      <c r="E200" s="2">
        <v>1.4</v>
      </c>
      <c r="F200" s="2">
        <v>1</v>
      </c>
    </row>
    <row r="201" spans="1:6" ht="14.25" customHeight="1">
      <c r="A201" s="2">
        <v>31</v>
      </c>
      <c r="B201" s="2">
        <v>200</v>
      </c>
      <c r="C201" s="2">
        <v>8</v>
      </c>
      <c r="D201" s="2">
        <v>1</v>
      </c>
      <c r="E201" s="2">
        <v>1.085</v>
      </c>
      <c r="F201" s="2">
        <v>1</v>
      </c>
    </row>
    <row r="202" spans="1:6" ht="14.25" customHeight="1">
      <c r="A202" s="2">
        <v>31</v>
      </c>
      <c r="B202" s="2">
        <v>201</v>
      </c>
      <c r="C202" s="2">
        <v>6</v>
      </c>
      <c r="D202" s="2">
        <v>1</v>
      </c>
      <c r="E202" s="2">
        <v>1.61</v>
      </c>
      <c r="F202" s="2">
        <v>1</v>
      </c>
    </row>
    <row r="203" spans="1:6" ht="14.25" customHeight="1">
      <c r="A203" s="2">
        <v>31</v>
      </c>
      <c r="B203" s="2">
        <v>202</v>
      </c>
      <c r="C203" s="2">
        <v>1</v>
      </c>
      <c r="D203" s="2">
        <v>1</v>
      </c>
      <c r="E203" s="2">
        <v>1.8660000000000001</v>
      </c>
      <c r="F203" s="2">
        <v>2</v>
      </c>
    </row>
    <row r="204" spans="1:6" ht="14.25" customHeight="1">
      <c r="A204" s="2">
        <v>31</v>
      </c>
      <c r="B204" s="2">
        <v>203</v>
      </c>
      <c r="C204" s="2">
        <v>6</v>
      </c>
      <c r="D204" s="2">
        <v>1</v>
      </c>
      <c r="E204" s="2">
        <v>1.393</v>
      </c>
      <c r="F204" s="2">
        <v>1</v>
      </c>
    </row>
    <row r="205" spans="1:6" ht="14.25" customHeight="1">
      <c r="A205" s="2">
        <v>31</v>
      </c>
      <c r="B205" s="2">
        <v>204</v>
      </c>
      <c r="C205" s="2">
        <v>1</v>
      </c>
      <c r="D205" s="2">
        <v>1</v>
      </c>
      <c r="E205" s="2">
        <v>0.84499999999999997</v>
      </c>
      <c r="F205" s="2">
        <v>1</v>
      </c>
    </row>
    <row r="206" spans="1:6" ht="14.25" customHeight="1">
      <c r="A206" s="2">
        <v>31</v>
      </c>
      <c r="B206" s="2">
        <v>205</v>
      </c>
      <c r="C206" s="2">
        <v>3</v>
      </c>
      <c r="D206" s="2">
        <v>1</v>
      </c>
      <c r="E206" s="2">
        <v>1.34</v>
      </c>
      <c r="F206" s="2">
        <v>2</v>
      </c>
    </row>
    <row r="207" spans="1:6" ht="14.25" customHeight="1">
      <c r="A207" s="2">
        <v>31</v>
      </c>
      <c r="B207" s="2">
        <v>206</v>
      </c>
      <c r="C207" s="2">
        <v>8</v>
      </c>
      <c r="E207" s="2">
        <v>2.0009999999999999</v>
      </c>
    </row>
    <row r="208" spans="1:6" ht="14.25" customHeight="1">
      <c r="A208" s="2">
        <v>31</v>
      </c>
      <c r="B208" s="2">
        <v>207</v>
      </c>
      <c r="C208" s="2">
        <v>3</v>
      </c>
      <c r="D208" s="2">
        <v>1</v>
      </c>
      <c r="E208" s="2">
        <v>1.1850000000000001</v>
      </c>
      <c r="F208" s="2">
        <v>1</v>
      </c>
    </row>
    <row r="209" spans="1:6" ht="14.25" customHeight="1">
      <c r="A209" s="2">
        <v>31</v>
      </c>
      <c r="B209" s="2">
        <v>208</v>
      </c>
      <c r="C209" s="2">
        <v>2</v>
      </c>
      <c r="D209" s="2">
        <v>0</v>
      </c>
      <c r="E209" s="2">
        <v>1.0049999999999999</v>
      </c>
      <c r="F209" s="2">
        <v>2</v>
      </c>
    </row>
    <row r="210" spans="1:6" ht="14.25" customHeight="1">
      <c r="A210" s="2">
        <v>31</v>
      </c>
      <c r="B210" s="2">
        <v>209</v>
      </c>
      <c r="C210" s="2">
        <v>5</v>
      </c>
      <c r="D210" s="2">
        <v>1</v>
      </c>
      <c r="E210" s="2">
        <v>0.97399999999999998</v>
      </c>
      <c r="F210" s="2">
        <v>1</v>
      </c>
    </row>
    <row r="211" spans="1:6" ht="14.25" customHeight="1">
      <c r="A211" s="2">
        <v>31</v>
      </c>
      <c r="B211" s="2">
        <v>210</v>
      </c>
      <c r="C211" s="2">
        <v>8</v>
      </c>
      <c r="D211" s="2">
        <v>0</v>
      </c>
      <c r="E211" s="2">
        <v>1.339</v>
      </c>
      <c r="F211" s="2">
        <v>1</v>
      </c>
    </row>
    <row r="212" spans="1:6" ht="14.25" customHeight="1">
      <c r="A212" s="2">
        <v>31</v>
      </c>
      <c r="B212" s="2">
        <v>211</v>
      </c>
      <c r="C212" s="2">
        <v>5</v>
      </c>
      <c r="D212" s="2">
        <v>1</v>
      </c>
      <c r="E212" s="2">
        <v>1.222</v>
      </c>
      <c r="F212" s="2">
        <v>1</v>
      </c>
    </row>
    <row r="213" spans="1:6" ht="14.25" customHeight="1">
      <c r="A213" s="2">
        <v>31</v>
      </c>
      <c r="B213" s="2">
        <v>212</v>
      </c>
      <c r="C213" s="2">
        <v>6</v>
      </c>
      <c r="D213" s="2">
        <v>1</v>
      </c>
      <c r="E213" s="2">
        <v>1.5760000000000001</v>
      </c>
      <c r="F213" s="2">
        <v>2</v>
      </c>
    </row>
    <row r="214" spans="1:6" ht="14.25" customHeight="1">
      <c r="A214" s="2">
        <v>31</v>
      </c>
      <c r="B214" s="2">
        <v>213</v>
      </c>
      <c r="C214" s="2">
        <v>1</v>
      </c>
      <c r="D214" s="2">
        <v>1</v>
      </c>
      <c r="E214" s="2">
        <v>1.0900000000000001</v>
      </c>
      <c r="F214" s="2">
        <v>2</v>
      </c>
    </row>
    <row r="215" spans="1:6" ht="14.25" customHeight="1">
      <c r="A215" s="2">
        <v>31</v>
      </c>
      <c r="B215" s="2">
        <v>214</v>
      </c>
      <c r="C215" s="2">
        <v>7</v>
      </c>
      <c r="D215" s="2">
        <v>1</v>
      </c>
      <c r="E215" s="2">
        <v>0.64</v>
      </c>
      <c r="F215" s="2">
        <v>1</v>
      </c>
    </row>
    <row r="216" spans="1:6" ht="14.25" customHeight="1">
      <c r="A216" s="2">
        <v>31</v>
      </c>
      <c r="B216" s="2">
        <v>215</v>
      </c>
      <c r="C216" s="2">
        <v>6</v>
      </c>
      <c r="D216" s="2">
        <v>1</v>
      </c>
      <c r="E216" s="2">
        <v>1.145</v>
      </c>
      <c r="F216" s="2">
        <v>1</v>
      </c>
    </row>
    <row r="217" spans="1:6" ht="14.25" customHeight="1">
      <c r="A217" s="2">
        <v>31</v>
      </c>
      <c r="B217" s="2">
        <v>216</v>
      </c>
      <c r="C217" s="2">
        <v>5</v>
      </c>
      <c r="D217" s="2">
        <v>1</v>
      </c>
      <c r="E217" s="2">
        <v>0.83899999999999997</v>
      </c>
      <c r="F217" s="2">
        <v>2</v>
      </c>
    </row>
    <row r="218" spans="1:6" ht="14.25" customHeight="1">
      <c r="A218" s="2">
        <v>31</v>
      </c>
      <c r="B218" s="2">
        <v>217</v>
      </c>
      <c r="C218" s="2">
        <v>7</v>
      </c>
      <c r="D218" s="2">
        <v>1</v>
      </c>
      <c r="E218" s="2">
        <v>0.90100000000000002</v>
      </c>
      <c r="F218" s="2">
        <v>2</v>
      </c>
    </row>
    <row r="219" spans="1:6" ht="14.25" customHeight="1">
      <c r="A219" s="2">
        <v>31</v>
      </c>
      <c r="B219" s="2">
        <v>218</v>
      </c>
      <c r="C219" s="2">
        <v>3</v>
      </c>
      <c r="D219" s="2">
        <v>0</v>
      </c>
      <c r="E219" s="2">
        <v>1.236</v>
      </c>
      <c r="F219" s="2">
        <v>1</v>
      </c>
    </row>
    <row r="220" spans="1:6" ht="14.25" customHeight="1">
      <c r="A220" s="2">
        <v>31</v>
      </c>
      <c r="B220" s="2">
        <v>219</v>
      </c>
      <c r="C220" s="2">
        <v>4</v>
      </c>
      <c r="D220" s="2">
        <v>1</v>
      </c>
      <c r="E220" s="2">
        <v>0.86799999999999999</v>
      </c>
      <c r="F220" s="2">
        <v>2</v>
      </c>
    </row>
    <row r="221" spans="1:6" ht="14.25" customHeight="1">
      <c r="A221" s="2">
        <v>31</v>
      </c>
      <c r="B221" s="2">
        <v>220</v>
      </c>
      <c r="C221" s="2">
        <v>5</v>
      </c>
      <c r="D221" s="2">
        <v>1</v>
      </c>
      <c r="E221" s="2">
        <v>1.379</v>
      </c>
      <c r="F221" s="2">
        <v>1</v>
      </c>
    </row>
    <row r="222" spans="1:6" ht="14.25" customHeight="1">
      <c r="A222" s="2">
        <v>31</v>
      </c>
      <c r="B222" s="2">
        <v>221</v>
      </c>
      <c r="C222" s="2">
        <v>3</v>
      </c>
      <c r="D222" s="2">
        <v>1</v>
      </c>
      <c r="E222" s="2">
        <v>1.27</v>
      </c>
      <c r="F222" s="2">
        <v>1</v>
      </c>
    </row>
    <row r="223" spans="1:6" ht="14.25" customHeight="1">
      <c r="A223" s="2">
        <v>31</v>
      </c>
      <c r="B223" s="2">
        <v>222</v>
      </c>
      <c r="C223" s="2">
        <v>8</v>
      </c>
      <c r="D223" s="2">
        <v>0</v>
      </c>
      <c r="E223" s="2">
        <v>1.742</v>
      </c>
      <c r="F223" s="2">
        <v>1</v>
      </c>
    </row>
    <row r="224" spans="1:6" ht="14.25" customHeight="1">
      <c r="A224" s="2">
        <v>31</v>
      </c>
      <c r="B224" s="2">
        <v>223</v>
      </c>
      <c r="C224" s="2">
        <v>3</v>
      </c>
      <c r="E224" s="2">
        <v>2.0009999999999999</v>
      </c>
    </row>
    <row r="225" spans="1:6" ht="14.25" customHeight="1">
      <c r="A225" s="2">
        <v>31</v>
      </c>
      <c r="B225" s="2">
        <v>224</v>
      </c>
      <c r="C225" s="2">
        <v>2</v>
      </c>
      <c r="D225" s="2">
        <v>1</v>
      </c>
      <c r="E225" s="2">
        <v>0.69299999999999995</v>
      </c>
      <c r="F225" s="2">
        <v>2</v>
      </c>
    </row>
    <row r="226" spans="1:6" ht="14.25" customHeight="1">
      <c r="A226" s="2">
        <v>31</v>
      </c>
      <c r="B226" s="2">
        <v>225</v>
      </c>
      <c r="C226" s="2">
        <v>5</v>
      </c>
      <c r="D226" s="2">
        <v>0</v>
      </c>
      <c r="E226" s="2">
        <v>1.131</v>
      </c>
      <c r="F226" s="2">
        <v>1</v>
      </c>
    </row>
    <row r="227" spans="1:6" ht="14.25" customHeight="1">
      <c r="A227" s="2">
        <v>31</v>
      </c>
      <c r="B227" s="2">
        <v>226</v>
      </c>
      <c r="C227" s="2">
        <v>7</v>
      </c>
      <c r="D227" s="2">
        <v>1</v>
      </c>
      <c r="E227" s="2">
        <v>1.206</v>
      </c>
      <c r="F227" s="2">
        <v>1</v>
      </c>
    </row>
    <row r="228" spans="1:6" ht="14.25" customHeight="1">
      <c r="A228" s="2">
        <v>31</v>
      </c>
      <c r="B228" s="2">
        <v>227</v>
      </c>
      <c r="C228" s="2">
        <v>4</v>
      </c>
      <c r="D228" s="2">
        <v>1</v>
      </c>
      <c r="E228" s="2">
        <v>1.4019999999999999</v>
      </c>
      <c r="F228" s="2">
        <v>1</v>
      </c>
    </row>
    <row r="229" spans="1:6" ht="14.25" customHeight="1">
      <c r="A229" s="2">
        <v>31</v>
      </c>
      <c r="B229" s="2">
        <v>228</v>
      </c>
      <c r="C229" s="2">
        <v>2</v>
      </c>
      <c r="D229" s="2">
        <v>1</v>
      </c>
      <c r="E229" s="2">
        <v>0.85299999999999998</v>
      </c>
      <c r="F229" s="2">
        <v>2</v>
      </c>
    </row>
    <row r="230" spans="1:6" ht="14.25" customHeight="1">
      <c r="A230" s="2">
        <v>31</v>
      </c>
      <c r="B230" s="2">
        <v>229</v>
      </c>
      <c r="C230" s="2">
        <v>4</v>
      </c>
      <c r="D230" s="2">
        <v>1</v>
      </c>
      <c r="E230" s="2">
        <v>1.1160000000000001</v>
      </c>
      <c r="F230" s="2">
        <v>1</v>
      </c>
    </row>
    <row r="231" spans="1:6" ht="14.25" customHeight="1">
      <c r="A231" s="2">
        <v>31</v>
      </c>
      <c r="B231" s="2">
        <v>230</v>
      </c>
      <c r="C231" s="2">
        <v>8</v>
      </c>
      <c r="D231" s="2">
        <v>1</v>
      </c>
      <c r="E231" s="2">
        <v>1.129</v>
      </c>
      <c r="F231" s="2">
        <v>1</v>
      </c>
    </row>
    <row r="232" spans="1:6" ht="14.25" customHeight="1">
      <c r="A232" s="2">
        <v>31</v>
      </c>
      <c r="B232" s="2">
        <v>231</v>
      </c>
      <c r="C232" s="2">
        <v>2</v>
      </c>
      <c r="D232" s="2">
        <v>1</v>
      </c>
      <c r="E232" s="2">
        <v>0.92600000000000005</v>
      </c>
      <c r="F232" s="2">
        <v>1</v>
      </c>
    </row>
    <row r="233" spans="1:6" ht="14.25" customHeight="1">
      <c r="A233" s="2">
        <v>31</v>
      </c>
      <c r="B233" s="2">
        <v>232</v>
      </c>
      <c r="C233" s="2">
        <v>1</v>
      </c>
      <c r="D233" s="2">
        <v>1</v>
      </c>
      <c r="E233" s="2">
        <v>0.91400000000000003</v>
      </c>
      <c r="F233" s="2">
        <v>2</v>
      </c>
    </row>
    <row r="234" spans="1:6" ht="14.25" customHeight="1">
      <c r="A234" s="2">
        <v>31</v>
      </c>
      <c r="B234" s="2">
        <v>233</v>
      </c>
      <c r="C234" s="2">
        <v>4</v>
      </c>
      <c r="D234" s="2">
        <v>1</v>
      </c>
      <c r="E234" s="2">
        <v>0.88900000000000001</v>
      </c>
      <c r="F234" s="2">
        <v>2</v>
      </c>
    </row>
    <row r="235" spans="1:6" ht="14.25" customHeight="1">
      <c r="A235" s="2">
        <v>31</v>
      </c>
      <c r="B235" s="2">
        <v>234</v>
      </c>
      <c r="C235" s="2">
        <v>5</v>
      </c>
      <c r="D235" s="2">
        <v>1</v>
      </c>
      <c r="E235" s="2">
        <v>0.623</v>
      </c>
      <c r="F235" s="2">
        <v>2</v>
      </c>
    </row>
    <row r="236" spans="1:6" ht="14.25" customHeight="1">
      <c r="A236" s="2">
        <v>31</v>
      </c>
      <c r="B236" s="2">
        <v>235</v>
      </c>
      <c r="C236" s="2">
        <v>6</v>
      </c>
      <c r="D236" s="2">
        <v>1</v>
      </c>
      <c r="E236" s="2">
        <v>1.17</v>
      </c>
      <c r="F236" s="2">
        <v>1</v>
      </c>
    </row>
    <row r="237" spans="1:6" ht="14.25" customHeight="1">
      <c r="A237" s="2">
        <v>31</v>
      </c>
      <c r="B237" s="2">
        <v>236</v>
      </c>
      <c r="C237" s="2">
        <v>7</v>
      </c>
      <c r="D237" s="2">
        <v>1</v>
      </c>
      <c r="E237" s="2">
        <v>0.71499999999999997</v>
      </c>
      <c r="F237" s="2">
        <v>2</v>
      </c>
    </row>
    <row r="238" spans="1:6" ht="14.25" customHeight="1">
      <c r="A238" s="2">
        <v>31</v>
      </c>
      <c r="B238" s="2">
        <v>237</v>
      </c>
      <c r="C238" s="2">
        <v>1</v>
      </c>
      <c r="D238" s="2">
        <v>1</v>
      </c>
      <c r="E238" s="2">
        <v>1.2809999999999999</v>
      </c>
      <c r="F238" s="2">
        <v>1</v>
      </c>
    </row>
    <row r="239" spans="1:6" ht="14.25" customHeight="1">
      <c r="A239" s="2">
        <v>31</v>
      </c>
      <c r="B239" s="2">
        <v>238</v>
      </c>
      <c r="C239" s="2">
        <v>4</v>
      </c>
      <c r="D239" s="2">
        <v>0</v>
      </c>
      <c r="E239" s="2">
        <v>0.96099999999999997</v>
      </c>
      <c r="F239" s="2">
        <v>2</v>
      </c>
    </row>
    <row r="240" spans="1:6" ht="14.25" customHeight="1">
      <c r="A240" s="2">
        <v>31</v>
      </c>
      <c r="B240" s="2">
        <v>239</v>
      </c>
      <c r="C240" s="2">
        <v>7</v>
      </c>
      <c r="D240" s="2">
        <v>1</v>
      </c>
      <c r="E240" s="2">
        <v>1.02</v>
      </c>
      <c r="F240" s="2">
        <v>2</v>
      </c>
    </row>
    <row r="241" spans="1:6" ht="14.25" customHeight="1">
      <c r="A241" s="2">
        <v>31</v>
      </c>
      <c r="B241" s="2">
        <v>240</v>
      </c>
      <c r="C241" s="2">
        <v>2</v>
      </c>
      <c r="D241" s="2">
        <v>1</v>
      </c>
      <c r="E241" s="2">
        <v>1.222</v>
      </c>
      <c r="F241" s="2">
        <v>1</v>
      </c>
    </row>
    <row r="242" spans="1:6" ht="14.25" customHeight="1">
      <c r="A242" s="2">
        <v>31</v>
      </c>
      <c r="B242" s="2">
        <v>241</v>
      </c>
      <c r="C242" s="2">
        <v>4</v>
      </c>
      <c r="D242" s="2">
        <v>1</v>
      </c>
      <c r="E242" s="2">
        <v>1.0629999999999999</v>
      </c>
      <c r="F242" s="2">
        <v>2</v>
      </c>
    </row>
    <row r="243" spans="1:6" ht="14.25" customHeight="1">
      <c r="A243" s="2">
        <v>31</v>
      </c>
      <c r="B243" s="2">
        <v>242</v>
      </c>
      <c r="C243" s="2">
        <v>5</v>
      </c>
      <c r="D243" s="2">
        <v>1</v>
      </c>
      <c r="E243" s="2">
        <v>1.34</v>
      </c>
      <c r="F243" s="2">
        <v>1</v>
      </c>
    </row>
    <row r="244" spans="1:6" ht="14.25" customHeight="1">
      <c r="A244" s="2">
        <v>31</v>
      </c>
      <c r="B244" s="2">
        <v>243</v>
      </c>
      <c r="C244" s="2">
        <v>8</v>
      </c>
      <c r="D244" s="2">
        <v>0</v>
      </c>
      <c r="E244" s="2">
        <v>0.76200000000000001</v>
      </c>
      <c r="F244" s="2">
        <v>2</v>
      </c>
    </row>
    <row r="245" spans="1:6" ht="14.25" customHeight="1">
      <c r="A245" s="2">
        <v>31</v>
      </c>
      <c r="B245" s="2">
        <v>244</v>
      </c>
      <c r="C245" s="2">
        <v>5</v>
      </c>
      <c r="D245" s="2">
        <v>1</v>
      </c>
      <c r="E245" s="2">
        <v>0.65400000000000003</v>
      </c>
      <c r="F245" s="2">
        <v>2</v>
      </c>
    </row>
    <row r="246" spans="1:6" ht="14.25" customHeight="1">
      <c r="A246" s="2">
        <v>31</v>
      </c>
      <c r="B246" s="2">
        <v>245</v>
      </c>
      <c r="C246" s="2">
        <v>6</v>
      </c>
      <c r="D246" s="2">
        <v>1</v>
      </c>
      <c r="E246" s="2">
        <v>0.751</v>
      </c>
      <c r="F246" s="2">
        <v>2</v>
      </c>
    </row>
    <row r="247" spans="1:6" ht="14.25" customHeight="1">
      <c r="A247" s="2">
        <v>31</v>
      </c>
      <c r="B247" s="2">
        <v>246</v>
      </c>
      <c r="C247" s="2">
        <v>7</v>
      </c>
      <c r="D247" s="2">
        <v>1</v>
      </c>
      <c r="E247" s="2">
        <v>1.4039999999999999</v>
      </c>
      <c r="F247" s="2">
        <v>2</v>
      </c>
    </row>
    <row r="248" spans="1:6" ht="14.25" customHeight="1">
      <c r="A248" s="2">
        <v>31</v>
      </c>
      <c r="B248" s="2">
        <v>247</v>
      </c>
      <c r="C248" s="2">
        <v>2</v>
      </c>
      <c r="D248" s="2">
        <v>1</v>
      </c>
      <c r="E248" s="2">
        <v>1.2150000000000001</v>
      </c>
      <c r="F248" s="2">
        <v>1</v>
      </c>
    </row>
    <row r="249" spans="1:6" ht="14.25" customHeight="1">
      <c r="A249" s="2">
        <v>31</v>
      </c>
      <c r="B249" s="2">
        <v>248</v>
      </c>
      <c r="C249" s="2">
        <v>1</v>
      </c>
      <c r="D249" s="2">
        <v>1</v>
      </c>
      <c r="E249" s="2">
        <v>0.96399999999999997</v>
      </c>
      <c r="F249" s="2">
        <v>2</v>
      </c>
    </row>
    <row r="250" spans="1:6" ht="14.25" customHeight="1">
      <c r="A250" s="2">
        <v>31</v>
      </c>
      <c r="B250" s="2">
        <v>249</v>
      </c>
      <c r="C250" s="2">
        <v>8</v>
      </c>
      <c r="D250" s="2">
        <v>1</v>
      </c>
      <c r="E250" s="2">
        <v>1.8819999999999999</v>
      </c>
      <c r="F250" s="2">
        <v>1</v>
      </c>
    </row>
    <row r="251" spans="1:6" ht="14.25" customHeight="1">
      <c r="A251" s="2">
        <v>31</v>
      </c>
      <c r="B251" s="2">
        <v>250</v>
      </c>
      <c r="C251" s="2">
        <v>3</v>
      </c>
      <c r="D251" s="2">
        <v>1</v>
      </c>
      <c r="E251" s="2">
        <v>0.93700000000000006</v>
      </c>
      <c r="F251" s="2">
        <v>1</v>
      </c>
    </row>
    <row r="252" spans="1:6" ht="14.25" customHeight="1">
      <c r="A252" s="2">
        <v>31</v>
      </c>
      <c r="B252" s="2">
        <v>251</v>
      </c>
      <c r="C252" s="2">
        <v>7</v>
      </c>
      <c r="D252" s="2">
        <v>1</v>
      </c>
      <c r="E252" s="2">
        <v>1.0920000000000001</v>
      </c>
      <c r="F252" s="2">
        <v>1</v>
      </c>
    </row>
    <row r="253" spans="1:6" ht="14.25" customHeight="1">
      <c r="A253" s="2">
        <v>31</v>
      </c>
      <c r="B253" s="2">
        <v>252</v>
      </c>
      <c r="C253" s="2">
        <v>4</v>
      </c>
      <c r="D253" s="2">
        <v>1</v>
      </c>
      <c r="E253" s="2">
        <v>1.0009999999999999</v>
      </c>
      <c r="F253" s="2">
        <v>2</v>
      </c>
    </row>
    <row r="254" spans="1:6" ht="14.25" customHeight="1">
      <c r="A254" s="2">
        <v>31</v>
      </c>
      <c r="B254" s="2">
        <v>253</v>
      </c>
      <c r="C254" s="2">
        <v>5</v>
      </c>
      <c r="D254" s="2">
        <v>1</v>
      </c>
      <c r="E254" s="2">
        <v>1.091</v>
      </c>
      <c r="F254" s="2">
        <v>1</v>
      </c>
    </row>
    <row r="255" spans="1:6" ht="14.25" customHeight="1">
      <c r="A255" s="2">
        <v>31</v>
      </c>
      <c r="B255" s="2">
        <v>254</v>
      </c>
      <c r="C255" s="2">
        <v>7</v>
      </c>
      <c r="D255" s="2">
        <v>1</v>
      </c>
      <c r="E255" s="2">
        <v>0.625</v>
      </c>
      <c r="F255" s="2">
        <v>1</v>
      </c>
    </row>
    <row r="256" spans="1:6" ht="14.25" customHeight="1">
      <c r="A256" s="2">
        <v>31</v>
      </c>
      <c r="B256" s="2">
        <v>255</v>
      </c>
      <c r="C256" s="2">
        <v>3</v>
      </c>
      <c r="D256" s="2">
        <v>1</v>
      </c>
      <c r="E256" s="2">
        <v>0.746</v>
      </c>
      <c r="F256" s="2">
        <v>2</v>
      </c>
    </row>
    <row r="257" spans="1:6" ht="14.25" customHeight="1">
      <c r="A257" s="2">
        <v>31</v>
      </c>
      <c r="B257" s="2">
        <v>256</v>
      </c>
      <c r="C257" s="2">
        <v>5</v>
      </c>
      <c r="D257" s="2">
        <v>1</v>
      </c>
      <c r="E257" s="2">
        <v>1.2110000000000001</v>
      </c>
      <c r="F257" s="2">
        <v>1</v>
      </c>
    </row>
    <row r="258" spans="1:6" ht="14.25" customHeight="1">
      <c r="A258" s="2">
        <v>31</v>
      </c>
      <c r="B258" s="2">
        <v>257</v>
      </c>
      <c r="C258" s="2">
        <v>8</v>
      </c>
      <c r="D258" s="2">
        <v>1</v>
      </c>
      <c r="E258" s="2">
        <v>1.216</v>
      </c>
      <c r="F258" s="2">
        <v>1</v>
      </c>
    </row>
    <row r="259" spans="1:6" ht="14.25" customHeight="1">
      <c r="A259" s="2">
        <v>31</v>
      </c>
      <c r="B259" s="2">
        <v>258</v>
      </c>
      <c r="C259" s="2">
        <v>5</v>
      </c>
      <c r="D259" s="2">
        <v>1</v>
      </c>
      <c r="E259" s="2">
        <v>1.4330000000000001</v>
      </c>
      <c r="F259" s="2">
        <v>1</v>
      </c>
    </row>
    <row r="260" spans="1:6" ht="14.25" customHeight="1">
      <c r="A260" s="2">
        <v>31</v>
      </c>
      <c r="B260" s="2">
        <v>259</v>
      </c>
      <c r="C260" s="2">
        <v>2</v>
      </c>
      <c r="D260" s="2">
        <v>0</v>
      </c>
      <c r="E260" s="2">
        <v>1.2889999999999999</v>
      </c>
      <c r="F260" s="2">
        <v>2</v>
      </c>
    </row>
    <row r="261" spans="1:6" ht="14.25" customHeight="1">
      <c r="A261" s="2">
        <v>31</v>
      </c>
      <c r="B261" s="2">
        <v>260</v>
      </c>
      <c r="C261" s="2">
        <v>4</v>
      </c>
      <c r="D261" s="2">
        <v>1</v>
      </c>
      <c r="E261" s="2">
        <v>1.554</v>
      </c>
      <c r="F261" s="2">
        <v>2</v>
      </c>
    </row>
    <row r="262" spans="1:6" ht="14.25" customHeight="1">
      <c r="A262" s="2">
        <v>31</v>
      </c>
      <c r="B262" s="2">
        <v>261</v>
      </c>
      <c r="C262" s="2">
        <v>8</v>
      </c>
      <c r="D262" s="2">
        <v>1</v>
      </c>
      <c r="E262" s="2">
        <v>1.1879999999999999</v>
      </c>
      <c r="F262" s="2">
        <v>1</v>
      </c>
    </row>
    <row r="263" spans="1:6" ht="14.25" customHeight="1">
      <c r="A263" s="2">
        <v>31</v>
      </c>
      <c r="B263" s="2">
        <v>262</v>
      </c>
      <c r="C263" s="2">
        <v>6</v>
      </c>
      <c r="D263" s="2">
        <v>1</v>
      </c>
      <c r="E263" s="2">
        <v>1.669</v>
      </c>
      <c r="F263" s="2">
        <v>2</v>
      </c>
    </row>
    <row r="264" spans="1:6" ht="14.25" customHeight="1">
      <c r="A264" s="2">
        <v>31</v>
      </c>
      <c r="B264" s="2">
        <v>263</v>
      </c>
      <c r="C264" s="2">
        <v>3</v>
      </c>
      <c r="D264" s="2">
        <v>1</v>
      </c>
      <c r="E264" s="2">
        <v>1.78</v>
      </c>
      <c r="F264" s="2">
        <v>2</v>
      </c>
    </row>
    <row r="265" spans="1:6" ht="14.25" customHeight="1">
      <c r="A265" s="2">
        <v>31</v>
      </c>
      <c r="B265" s="2">
        <v>264</v>
      </c>
      <c r="C265" s="2">
        <v>6</v>
      </c>
      <c r="D265" s="2">
        <v>1</v>
      </c>
      <c r="E265" s="2">
        <v>1.016</v>
      </c>
      <c r="F265" s="2">
        <v>1</v>
      </c>
    </row>
    <row r="266" spans="1:6" ht="14.25" customHeight="1">
      <c r="A266" s="2">
        <v>31</v>
      </c>
      <c r="B266" s="2">
        <v>265</v>
      </c>
      <c r="C266" s="2">
        <v>1</v>
      </c>
      <c r="D266" s="2">
        <v>1</v>
      </c>
      <c r="E266" s="2">
        <v>0.94599999999999995</v>
      </c>
      <c r="F266" s="2">
        <v>1</v>
      </c>
    </row>
    <row r="267" spans="1:6" ht="14.25" customHeight="1">
      <c r="A267" s="2">
        <v>31</v>
      </c>
      <c r="B267" s="2">
        <v>266</v>
      </c>
      <c r="C267" s="2">
        <v>4</v>
      </c>
      <c r="D267" s="2">
        <v>1</v>
      </c>
      <c r="E267" s="2">
        <v>0.83099999999999996</v>
      </c>
      <c r="F267" s="2">
        <v>2</v>
      </c>
    </row>
    <row r="268" spans="1:6" ht="14.25" customHeight="1">
      <c r="A268" s="2">
        <v>31</v>
      </c>
      <c r="B268" s="2">
        <v>267</v>
      </c>
      <c r="C268" s="2">
        <v>7</v>
      </c>
      <c r="D268" s="2">
        <v>1</v>
      </c>
      <c r="E268" s="2">
        <v>0.876</v>
      </c>
      <c r="F268" s="2">
        <v>2</v>
      </c>
    </row>
    <row r="269" spans="1:6" ht="14.25" customHeight="1">
      <c r="A269" s="2">
        <v>31</v>
      </c>
      <c r="B269" s="2">
        <v>268</v>
      </c>
      <c r="C269" s="2">
        <v>2</v>
      </c>
      <c r="D269" s="2">
        <v>0</v>
      </c>
      <c r="E269" s="2">
        <v>1.5489999999999999</v>
      </c>
      <c r="F269" s="2">
        <v>1</v>
      </c>
    </row>
    <row r="270" spans="1:6" ht="14.25" customHeight="1">
      <c r="A270" s="2">
        <v>31</v>
      </c>
      <c r="B270" s="2">
        <v>269</v>
      </c>
      <c r="C270" s="2">
        <v>4</v>
      </c>
      <c r="D270" s="2">
        <v>1</v>
      </c>
      <c r="E270" s="2">
        <v>0.90200000000000002</v>
      </c>
      <c r="F270" s="2">
        <v>2</v>
      </c>
    </row>
    <row r="271" spans="1:6" ht="14.25" customHeight="1">
      <c r="A271" s="2">
        <v>31</v>
      </c>
      <c r="B271" s="2">
        <v>270</v>
      </c>
      <c r="C271" s="2">
        <v>5</v>
      </c>
      <c r="D271" s="2">
        <v>1</v>
      </c>
      <c r="E271" s="2">
        <v>1.399</v>
      </c>
      <c r="F271" s="2">
        <v>1</v>
      </c>
    </row>
    <row r="272" spans="1:6" ht="14.25" customHeight="1">
      <c r="A272" s="2">
        <v>31</v>
      </c>
      <c r="B272" s="2">
        <v>271</v>
      </c>
      <c r="C272" s="2">
        <v>6</v>
      </c>
      <c r="D272" s="2">
        <v>0</v>
      </c>
      <c r="E272" s="2">
        <v>0.745</v>
      </c>
      <c r="F272" s="2">
        <v>2</v>
      </c>
    </row>
    <row r="273" spans="1:6" ht="14.25" customHeight="1">
      <c r="A273" s="2">
        <v>31</v>
      </c>
      <c r="B273" s="2">
        <v>272</v>
      </c>
      <c r="C273" s="2">
        <v>8</v>
      </c>
      <c r="D273" s="2">
        <v>1</v>
      </c>
      <c r="E273" s="2">
        <v>0.77500000000000002</v>
      </c>
      <c r="F273" s="2">
        <v>2</v>
      </c>
    </row>
    <row r="274" spans="1:6" ht="14.25" customHeight="1">
      <c r="A274" s="2">
        <v>31</v>
      </c>
      <c r="B274" s="2">
        <v>273</v>
      </c>
      <c r="C274" s="2">
        <v>3</v>
      </c>
      <c r="D274" s="2">
        <v>1</v>
      </c>
      <c r="E274" s="2">
        <v>1.0109999999999999</v>
      </c>
      <c r="F274" s="2">
        <v>2</v>
      </c>
    </row>
    <row r="275" spans="1:6" ht="14.25" customHeight="1">
      <c r="A275" s="2">
        <v>31</v>
      </c>
      <c r="B275" s="2">
        <v>274</v>
      </c>
      <c r="C275" s="2">
        <v>1</v>
      </c>
      <c r="D275" s="2">
        <v>1</v>
      </c>
      <c r="E275" s="2">
        <v>0.77900000000000003</v>
      </c>
      <c r="F275" s="2">
        <v>2</v>
      </c>
    </row>
    <row r="276" spans="1:6" ht="14.25" customHeight="1">
      <c r="A276" s="2">
        <v>31</v>
      </c>
      <c r="B276" s="2">
        <v>275</v>
      </c>
      <c r="C276" s="2">
        <v>5</v>
      </c>
      <c r="D276" s="2">
        <v>1</v>
      </c>
      <c r="E276" s="2">
        <v>1.0609999999999999</v>
      </c>
      <c r="F276" s="2">
        <v>2</v>
      </c>
    </row>
    <row r="277" spans="1:6" ht="14.25" customHeight="1">
      <c r="A277" s="2">
        <v>31</v>
      </c>
      <c r="B277" s="2">
        <v>276</v>
      </c>
      <c r="C277" s="2">
        <v>1</v>
      </c>
      <c r="D277" s="2">
        <v>1</v>
      </c>
      <c r="E277" s="2">
        <v>1.302</v>
      </c>
      <c r="F277" s="2">
        <v>1</v>
      </c>
    </row>
    <row r="278" spans="1:6" ht="14.25" customHeight="1">
      <c r="A278" s="2">
        <v>31</v>
      </c>
      <c r="B278" s="2">
        <v>277</v>
      </c>
      <c r="C278" s="2">
        <v>8</v>
      </c>
      <c r="D278" s="2">
        <v>1</v>
      </c>
      <c r="E278" s="2">
        <v>1.3480000000000001</v>
      </c>
      <c r="F278" s="2">
        <v>1</v>
      </c>
    </row>
    <row r="279" spans="1:6" ht="14.25" customHeight="1">
      <c r="A279" s="2">
        <v>31</v>
      </c>
      <c r="B279" s="2">
        <v>278</v>
      </c>
      <c r="C279" s="2">
        <v>4</v>
      </c>
      <c r="D279" s="2">
        <v>1</v>
      </c>
      <c r="E279" s="2">
        <v>0.76800000000000002</v>
      </c>
      <c r="F279" s="2">
        <v>2</v>
      </c>
    </row>
    <row r="280" spans="1:6" ht="14.25" customHeight="1">
      <c r="A280" s="2">
        <v>31</v>
      </c>
      <c r="B280" s="2">
        <v>279</v>
      </c>
      <c r="C280" s="2">
        <v>3</v>
      </c>
      <c r="D280" s="2">
        <v>1</v>
      </c>
      <c r="E280" s="2">
        <v>1.411</v>
      </c>
      <c r="F280" s="2">
        <v>1</v>
      </c>
    </row>
    <row r="281" spans="1:6" ht="14.25" customHeight="1">
      <c r="A281" s="2">
        <v>31</v>
      </c>
      <c r="B281" s="2">
        <v>280</v>
      </c>
      <c r="C281" s="2">
        <v>7</v>
      </c>
      <c r="D281" s="2">
        <v>1</v>
      </c>
      <c r="E281" s="2">
        <v>1.2689999999999999</v>
      </c>
      <c r="F281" s="2">
        <v>1</v>
      </c>
    </row>
    <row r="282" spans="1:6" ht="14.25" customHeight="1">
      <c r="A282" s="2">
        <v>31</v>
      </c>
      <c r="B282" s="2">
        <v>281</v>
      </c>
      <c r="C282" s="2">
        <v>2</v>
      </c>
      <c r="D282" s="2">
        <v>1</v>
      </c>
      <c r="E282" s="2">
        <v>1.2509999999999999</v>
      </c>
      <c r="F282" s="2">
        <v>1</v>
      </c>
    </row>
    <row r="283" spans="1:6" ht="14.25" customHeight="1">
      <c r="A283" s="2">
        <v>31</v>
      </c>
      <c r="B283" s="2">
        <v>282</v>
      </c>
      <c r="C283" s="2">
        <v>5</v>
      </c>
      <c r="D283" s="2">
        <v>1</v>
      </c>
      <c r="E283" s="2">
        <v>0.57199999999999995</v>
      </c>
      <c r="F283" s="2">
        <v>2</v>
      </c>
    </row>
    <row r="284" spans="1:6" ht="14.25" customHeight="1">
      <c r="A284" s="2">
        <v>31</v>
      </c>
      <c r="B284" s="2">
        <v>283</v>
      </c>
      <c r="C284" s="2">
        <v>7</v>
      </c>
      <c r="D284" s="2">
        <v>1</v>
      </c>
      <c r="E284" s="2">
        <v>0.875</v>
      </c>
      <c r="F284" s="2">
        <v>2</v>
      </c>
    </row>
    <row r="285" spans="1:6" ht="14.25" customHeight="1">
      <c r="A285" s="2">
        <v>31</v>
      </c>
      <c r="B285" s="2">
        <v>284</v>
      </c>
      <c r="C285" s="2">
        <v>1</v>
      </c>
      <c r="D285" s="2">
        <v>0</v>
      </c>
      <c r="E285" s="2">
        <v>1.446</v>
      </c>
      <c r="F285" s="2">
        <v>1</v>
      </c>
    </row>
    <row r="286" spans="1:6" ht="14.25" customHeight="1">
      <c r="A286" s="2">
        <v>31</v>
      </c>
      <c r="B286" s="2">
        <v>285</v>
      </c>
      <c r="C286" s="2">
        <v>7</v>
      </c>
      <c r="D286" s="2">
        <v>1</v>
      </c>
      <c r="E286" s="2">
        <v>1.165</v>
      </c>
      <c r="F286" s="2">
        <v>1</v>
      </c>
    </row>
    <row r="287" spans="1:6" ht="14.25" customHeight="1">
      <c r="A287" s="2">
        <v>31</v>
      </c>
      <c r="B287" s="2">
        <v>286</v>
      </c>
      <c r="C287" s="2">
        <v>8</v>
      </c>
      <c r="D287" s="2">
        <v>1</v>
      </c>
      <c r="E287" s="2">
        <v>1.2609999999999999</v>
      </c>
      <c r="F287" s="2">
        <v>2</v>
      </c>
    </row>
    <row r="288" spans="1:6" ht="14.25" customHeight="1">
      <c r="A288" s="2">
        <v>31</v>
      </c>
      <c r="B288" s="2">
        <v>287</v>
      </c>
      <c r="C288" s="2">
        <v>6</v>
      </c>
      <c r="D288" s="2">
        <v>1</v>
      </c>
      <c r="E288" s="2">
        <v>1.149</v>
      </c>
      <c r="F288" s="2">
        <v>1</v>
      </c>
    </row>
    <row r="289" spans="1:6" ht="14.25" customHeight="1">
      <c r="A289" s="2">
        <v>31</v>
      </c>
      <c r="B289" s="2">
        <v>288</v>
      </c>
      <c r="C289" s="2">
        <v>1</v>
      </c>
      <c r="D289" s="2">
        <v>1</v>
      </c>
      <c r="E289" s="2">
        <v>1.458</v>
      </c>
      <c r="F289" s="2">
        <v>1</v>
      </c>
    </row>
    <row r="290" spans="1:6" ht="14.25" customHeight="1">
      <c r="A290" s="2">
        <v>31</v>
      </c>
      <c r="B290" s="2">
        <v>289</v>
      </c>
      <c r="C290" s="2">
        <v>4</v>
      </c>
      <c r="D290" s="2">
        <v>1</v>
      </c>
      <c r="E290" s="2">
        <v>0.72099999999999997</v>
      </c>
      <c r="F290" s="2">
        <v>2</v>
      </c>
    </row>
    <row r="291" spans="1:6" ht="14.25" customHeight="1">
      <c r="A291" s="2">
        <v>31</v>
      </c>
      <c r="B291" s="2">
        <v>290</v>
      </c>
      <c r="C291" s="2">
        <v>5</v>
      </c>
      <c r="D291" s="2">
        <v>1</v>
      </c>
      <c r="E291" s="2">
        <v>1.216</v>
      </c>
      <c r="F291" s="2">
        <v>1</v>
      </c>
    </row>
    <row r="292" spans="1:6" ht="14.25" customHeight="1">
      <c r="A292" s="2">
        <v>31</v>
      </c>
      <c r="B292" s="2">
        <v>291</v>
      </c>
      <c r="C292" s="2">
        <v>2</v>
      </c>
      <c r="D292" s="2">
        <v>1</v>
      </c>
      <c r="E292" s="2">
        <v>0.88700000000000001</v>
      </c>
      <c r="F292" s="2">
        <v>2</v>
      </c>
    </row>
    <row r="293" spans="1:6" ht="14.25" customHeight="1">
      <c r="A293" s="2">
        <v>31</v>
      </c>
      <c r="B293" s="2">
        <v>292</v>
      </c>
      <c r="C293" s="2">
        <v>8</v>
      </c>
      <c r="D293" s="2">
        <v>1</v>
      </c>
      <c r="E293" s="2">
        <v>1.3260000000000001</v>
      </c>
      <c r="F293" s="2">
        <v>1</v>
      </c>
    </row>
    <row r="294" spans="1:6" ht="14.25" customHeight="1">
      <c r="A294" s="2">
        <v>31</v>
      </c>
      <c r="B294" s="2">
        <v>293</v>
      </c>
      <c r="C294" s="2">
        <v>6</v>
      </c>
      <c r="D294" s="2">
        <v>1</v>
      </c>
      <c r="E294" s="2">
        <v>1.0429999999999999</v>
      </c>
      <c r="F294" s="2">
        <v>1</v>
      </c>
    </row>
    <row r="295" spans="1:6" ht="14.25" customHeight="1">
      <c r="A295" s="2">
        <v>31</v>
      </c>
      <c r="B295" s="2">
        <v>294</v>
      </c>
      <c r="C295" s="2">
        <v>3</v>
      </c>
      <c r="D295" s="2">
        <v>1</v>
      </c>
      <c r="E295" s="2">
        <v>0.90400000000000003</v>
      </c>
      <c r="F295" s="2">
        <v>2</v>
      </c>
    </row>
    <row r="296" spans="1:6" ht="14.25" customHeight="1">
      <c r="A296" s="2">
        <v>31</v>
      </c>
      <c r="B296" s="2">
        <v>295</v>
      </c>
      <c r="C296" s="2">
        <v>6</v>
      </c>
      <c r="D296" s="2">
        <v>1</v>
      </c>
      <c r="E296" s="2">
        <v>0.64900000000000002</v>
      </c>
      <c r="F296" s="2">
        <v>2</v>
      </c>
    </row>
    <row r="297" spans="1:6" ht="14.25" customHeight="1">
      <c r="A297" s="2">
        <v>31</v>
      </c>
      <c r="B297" s="2">
        <v>296</v>
      </c>
      <c r="C297" s="2">
        <v>2</v>
      </c>
      <c r="D297" s="2">
        <v>1</v>
      </c>
      <c r="E297" s="2">
        <v>1.198</v>
      </c>
      <c r="F297" s="2">
        <v>2</v>
      </c>
    </row>
    <row r="298" spans="1:6" ht="14.25" customHeight="1">
      <c r="A298" s="2">
        <v>31</v>
      </c>
      <c r="B298" s="2">
        <v>297</v>
      </c>
      <c r="C298" s="2">
        <v>3</v>
      </c>
      <c r="D298" s="2">
        <v>1</v>
      </c>
      <c r="E298" s="2">
        <v>1.3779999999999999</v>
      </c>
      <c r="F298" s="2">
        <v>1</v>
      </c>
    </row>
    <row r="299" spans="1:6" ht="14.25" customHeight="1">
      <c r="A299" s="2">
        <v>31</v>
      </c>
      <c r="B299" s="2">
        <v>298</v>
      </c>
      <c r="C299" s="2">
        <v>5</v>
      </c>
      <c r="D299" s="2">
        <v>1</v>
      </c>
      <c r="E299" s="2">
        <v>0.67600000000000005</v>
      </c>
      <c r="F299" s="2">
        <v>2</v>
      </c>
    </row>
    <row r="300" spans="1:6" ht="14.25" customHeight="1">
      <c r="A300" s="2">
        <v>31</v>
      </c>
      <c r="B300" s="2">
        <v>299</v>
      </c>
      <c r="C300" s="2">
        <v>1</v>
      </c>
      <c r="D300" s="2">
        <v>1</v>
      </c>
      <c r="E300" s="2">
        <v>1.4890000000000001</v>
      </c>
      <c r="F300" s="2">
        <v>1</v>
      </c>
    </row>
    <row r="301" spans="1:6" ht="14.25" customHeight="1">
      <c r="A301" s="2">
        <v>31</v>
      </c>
      <c r="B301" s="2">
        <v>300</v>
      </c>
      <c r="C301" s="2">
        <v>2</v>
      </c>
      <c r="D301" s="2">
        <v>1</v>
      </c>
      <c r="E301" s="2">
        <v>1.6950000000000001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32</v>
      </c>
      <c r="I1" s="2">
        <v>101</v>
      </c>
      <c r="J1" s="2">
        <v>4</v>
      </c>
      <c r="K1" s="2">
        <v>0</v>
      </c>
      <c r="L1" s="2">
        <v>1.64</v>
      </c>
      <c r="M1" s="2">
        <v>2</v>
      </c>
    </row>
    <row r="2" spans="1:25" ht="14.25" customHeight="1">
      <c r="A2" s="2">
        <v>32</v>
      </c>
      <c r="B2" s="2">
        <v>1</v>
      </c>
      <c r="C2" s="2">
        <v>1</v>
      </c>
      <c r="E2" s="2">
        <v>2.0009999999999999</v>
      </c>
      <c r="H2" s="2">
        <v>32</v>
      </c>
      <c r="I2" s="2">
        <v>102</v>
      </c>
      <c r="J2" s="2">
        <v>2</v>
      </c>
      <c r="K2" s="2">
        <v>1</v>
      </c>
      <c r="L2" s="2">
        <v>0.64800000000000002</v>
      </c>
      <c r="M2" s="2">
        <v>1</v>
      </c>
    </row>
    <row r="3" spans="1:25" ht="14.25" customHeight="1">
      <c r="A3" s="2">
        <v>32</v>
      </c>
      <c r="B3" s="2">
        <v>2</v>
      </c>
      <c r="C3" s="2">
        <v>5</v>
      </c>
      <c r="E3" s="2">
        <v>2.0009999999999999</v>
      </c>
      <c r="H3" s="2">
        <v>32</v>
      </c>
      <c r="I3" s="2">
        <v>103</v>
      </c>
      <c r="J3" s="2">
        <v>1</v>
      </c>
      <c r="K3" s="2">
        <v>0</v>
      </c>
      <c r="L3" s="2">
        <v>0.59299999999999997</v>
      </c>
      <c r="M3" s="2">
        <v>2</v>
      </c>
    </row>
    <row r="4" spans="1:25" ht="14.25" customHeight="1">
      <c r="A4" s="2">
        <v>32</v>
      </c>
      <c r="B4" s="2">
        <v>3</v>
      </c>
      <c r="C4" s="2">
        <v>1</v>
      </c>
      <c r="D4" s="2">
        <v>1</v>
      </c>
      <c r="E4" s="2">
        <v>0.96099999999999997</v>
      </c>
      <c r="F4" s="2">
        <v>1</v>
      </c>
      <c r="H4" s="2">
        <v>32</v>
      </c>
      <c r="I4" s="2">
        <v>104</v>
      </c>
      <c r="J4" s="2">
        <v>7</v>
      </c>
      <c r="K4" s="2">
        <v>1</v>
      </c>
      <c r="L4" s="2">
        <v>0.58699999999999997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32</v>
      </c>
      <c r="B5" s="2">
        <v>4</v>
      </c>
      <c r="C5" s="2">
        <v>6</v>
      </c>
      <c r="E5" s="2">
        <v>2</v>
      </c>
      <c r="H5" s="2">
        <v>32</v>
      </c>
      <c r="I5" s="2">
        <v>105</v>
      </c>
      <c r="J5" s="2">
        <v>6</v>
      </c>
      <c r="K5" s="2">
        <v>1</v>
      </c>
      <c r="L5" s="2">
        <v>1.6220000000000001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32</v>
      </c>
      <c r="B6" s="2">
        <v>5</v>
      </c>
      <c r="C6" s="2">
        <v>3</v>
      </c>
      <c r="D6" s="2">
        <v>1</v>
      </c>
      <c r="E6" s="2">
        <v>1.5189999999999999</v>
      </c>
      <c r="F6" s="2">
        <v>1</v>
      </c>
      <c r="H6" s="2">
        <v>32</v>
      </c>
      <c r="I6" s="2">
        <v>106</v>
      </c>
      <c r="J6" s="2">
        <v>5</v>
      </c>
      <c r="K6" s="2">
        <v>0</v>
      </c>
      <c r="L6" s="2">
        <v>1.468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32</v>
      </c>
      <c r="B7" s="2">
        <v>6</v>
      </c>
      <c r="C7" s="2">
        <v>1</v>
      </c>
      <c r="D7" s="2">
        <v>1</v>
      </c>
      <c r="E7" s="2">
        <v>0.84099999999999997</v>
      </c>
      <c r="F7" s="2">
        <v>1</v>
      </c>
      <c r="H7" s="2">
        <v>32</v>
      </c>
      <c r="I7" s="2">
        <v>107</v>
      </c>
      <c r="J7" s="2">
        <v>7</v>
      </c>
      <c r="K7" s="2">
        <v>1</v>
      </c>
      <c r="L7" s="2">
        <v>1.661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32</v>
      </c>
      <c r="B8" s="2">
        <v>7</v>
      </c>
      <c r="C8" s="2">
        <v>3</v>
      </c>
      <c r="E8" s="2">
        <v>2</v>
      </c>
      <c r="H8" s="2">
        <v>32</v>
      </c>
      <c r="I8" s="2">
        <v>108</v>
      </c>
      <c r="J8" s="2">
        <v>2</v>
      </c>
      <c r="K8" s="2">
        <v>1</v>
      </c>
      <c r="L8" s="2">
        <v>0.88100000000000001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32</v>
      </c>
      <c r="B9" s="2">
        <v>8</v>
      </c>
      <c r="C9" s="2">
        <v>7</v>
      </c>
      <c r="E9" s="2">
        <v>2</v>
      </c>
      <c r="H9" s="2">
        <v>32</v>
      </c>
      <c r="I9" s="2">
        <v>109</v>
      </c>
      <c r="J9" s="2">
        <v>1</v>
      </c>
      <c r="K9" s="2">
        <v>0</v>
      </c>
      <c r="L9" s="2">
        <v>1.276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32</v>
      </c>
      <c r="B10" s="2">
        <v>9</v>
      </c>
      <c r="C10" s="2">
        <v>4</v>
      </c>
      <c r="D10" s="2">
        <v>0</v>
      </c>
      <c r="E10" s="2">
        <v>0.871</v>
      </c>
      <c r="F10" s="2">
        <v>1</v>
      </c>
      <c r="H10" s="2">
        <v>32</v>
      </c>
      <c r="I10" s="2">
        <v>110</v>
      </c>
      <c r="J10" s="2">
        <v>6</v>
      </c>
      <c r="K10" s="2">
        <v>1</v>
      </c>
      <c r="L10" s="2">
        <v>0.65500000000000003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32</v>
      </c>
      <c r="B11" s="2">
        <v>10</v>
      </c>
      <c r="C11" s="2">
        <v>6</v>
      </c>
      <c r="D11" s="2">
        <v>1</v>
      </c>
      <c r="E11" s="2">
        <v>1.343</v>
      </c>
      <c r="F11" s="2">
        <v>1</v>
      </c>
      <c r="H11" s="2">
        <v>32</v>
      </c>
      <c r="I11" s="2">
        <v>111</v>
      </c>
      <c r="J11" s="2">
        <v>5</v>
      </c>
      <c r="K11" s="2">
        <v>1</v>
      </c>
      <c r="L11" s="2">
        <v>0.70199999999999996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32</v>
      </c>
      <c r="B12" s="2">
        <v>11</v>
      </c>
      <c r="C12" s="2">
        <v>8</v>
      </c>
      <c r="E12" s="2">
        <v>2</v>
      </c>
      <c r="H12" s="2">
        <v>32</v>
      </c>
      <c r="I12" s="2">
        <v>112</v>
      </c>
      <c r="J12" s="2">
        <v>1</v>
      </c>
      <c r="K12" s="2">
        <v>1</v>
      </c>
      <c r="L12" s="2">
        <v>1.6970000000000001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32</v>
      </c>
      <c r="B13" s="2">
        <v>12</v>
      </c>
      <c r="C13" s="2">
        <v>1</v>
      </c>
      <c r="D13" s="2">
        <v>1</v>
      </c>
      <c r="E13" s="2">
        <v>0.98299999999999998</v>
      </c>
      <c r="F13" s="2">
        <v>1</v>
      </c>
      <c r="H13" s="2">
        <v>32</v>
      </c>
      <c r="I13" s="2">
        <v>113</v>
      </c>
      <c r="J13" s="2">
        <v>8</v>
      </c>
      <c r="K13" s="2">
        <v>1</v>
      </c>
      <c r="L13" s="2">
        <v>0.76400000000000001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32</v>
      </c>
      <c r="B14" s="2">
        <v>13</v>
      </c>
      <c r="C14" s="2">
        <v>7</v>
      </c>
      <c r="D14" s="2">
        <v>1</v>
      </c>
      <c r="E14" s="2">
        <v>1.1639999999999999</v>
      </c>
      <c r="F14" s="2">
        <v>2</v>
      </c>
      <c r="H14" s="2">
        <v>32</v>
      </c>
      <c r="I14" s="2">
        <v>114</v>
      </c>
      <c r="J14" s="2">
        <v>7</v>
      </c>
      <c r="K14" s="2">
        <v>1</v>
      </c>
      <c r="L14" s="2">
        <v>1.792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32</v>
      </c>
      <c r="B15" s="2">
        <v>14</v>
      </c>
      <c r="C15" s="2">
        <v>4</v>
      </c>
      <c r="D15" s="2">
        <v>0</v>
      </c>
      <c r="E15" s="2">
        <v>1.351</v>
      </c>
      <c r="F15" s="2">
        <v>1</v>
      </c>
      <c r="H15" s="2">
        <v>32</v>
      </c>
      <c r="I15" s="2">
        <v>115</v>
      </c>
      <c r="J15" s="2">
        <v>4</v>
      </c>
      <c r="K15" s="2">
        <v>1</v>
      </c>
      <c r="L15" s="2">
        <v>1.01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32</v>
      </c>
      <c r="B16" s="2">
        <v>15</v>
      </c>
      <c r="C16" s="2">
        <v>3</v>
      </c>
      <c r="D16" s="2">
        <v>0</v>
      </c>
      <c r="E16" s="2">
        <v>0.97199999999999998</v>
      </c>
      <c r="F16" s="2">
        <v>2</v>
      </c>
      <c r="H16" s="2">
        <v>32</v>
      </c>
      <c r="I16" s="2">
        <v>116</v>
      </c>
      <c r="J16" s="2">
        <v>6</v>
      </c>
      <c r="K16" s="2">
        <v>1</v>
      </c>
      <c r="L16" s="2">
        <v>0.76500000000000001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32</v>
      </c>
      <c r="B17" s="2">
        <v>16</v>
      </c>
      <c r="C17" s="2">
        <v>7</v>
      </c>
      <c r="D17" s="2">
        <v>0</v>
      </c>
      <c r="E17" s="2">
        <v>1.079</v>
      </c>
      <c r="F17" s="2">
        <v>1</v>
      </c>
      <c r="H17" s="2">
        <v>32</v>
      </c>
      <c r="I17" s="2">
        <v>117</v>
      </c>
      <c r="J17" s="2">
        <v>7</v>
      </c>
      <c r="K17" s="2">
        <v>1</v>
      </c>
      <c r="L17" s="2">
        <v>0.78500000000000003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9.0000000000000427E-2</v>
      </c>
      <c r="Q17" s="3">
        <f t="shared" ref="Q17:Q22" si="2">(Q6*COUNTIF($J$1:$J$101,Q$16) - COUNTIFS($J$1:$J$101,Q$16,$K$1:$K$101,"=0"))^2</f>
        <v>8.9999999999999955E-2</v>
      </c>
      <c r="R17" s="3">
        <f t="shared" ref="R17:R22" si="3">(R6*COUNTIF($J$1:$J$101,R$16) - COUNTIFS($J$1:$J$101,R$16,$K$1:$K$101,"=1"))^2</f>
        <v>0.48999999999999899</v>
      </c>
      <c r="S17" s="3">
        <f t="shared" ref="S17:T17" si="4">(S6*COUNTIF($J$1:$J$101,S$16) - COUNTIFS($J$1:$J$101,S$16,$K$1:$K$101,"=0"))^2</f>
        <v>0.48999999999999994</v>
      </c>
      <c r="T17" s="3">
        <f t="shared" si="4"/>
        <v>2.7224999999999997</v>
      </c>
      <c r="U17" s="3">
        <f t="shared" ref="U17:V17" si="5">(U6*COUNTIF($J$1:$J$101,U$16) - COUNTIFS($J$1:$J$101,U$16,$K$1:$K$101,"=1"))^2</f>
        <v>9.0000000000000427E-2</v>
      </c>
      <c r="V17" s="3">
        <f t="shared" si="5"/>
        <v>0.48999999999999899</v>
      </c>
      <c r="W17" s="4"/>
      <c r="X17" s="4"/>
      <c r="Y17" s="4"/>
    </row>
    <row r="18" spans="1:25" ht="14.25" customHeight="1">
      <c r="A18" s="2">
        <v>32</v>
      </c>
      <c r="B18" s="2">
        <v>17</v>
      </c>
      <c r="C18" s="2">
        <v>8</v>
      </c>
      <c r="D18" s="2">
        <v>0</v>
      </c>
      <c r="E18" s="2">
        <v>1.4059999999999999</v>
      </c>
      <c r="F18" s="2">
        <v>1</v>
      </c>
      <c r="H18" s="2">
        <v>32</v>
      </c>
      <c r="I18" s="2">
        <v>118</v>
      </c>
      <c r="J18" s="2">
        <v>1</v>
      </c>
      <c r="K18" s="2">
        <v>1</v>
      </c>
      <c r="L18" s="2">
        <v>1.3320000000000001</v>
      </c>
      <c r="M18" s="2">
        <v>2</v>
      </c>
      <c r="N18" s="3">
        <v>2</v>
      </c>
      <c r="O18" s="3">
        <f t="shared" si="0"/>
        <v>2.8899999999999997</v>
      </c>
      <c r="P18" s="3">
        <f t="shared" si="1"/>
        <v>32.49</v>
      </c>
      <c r="Q18" s="6">
        <f t="shared" si="2"/>
        <v>36</v>
      </c>
      <c r="R18" s="3">
        <f t="shared" si="3"/>
        <v>0.48999999999999899</v>
      </c>
      <c r="S18" s="6">
        <f t="shared" ref="S18:T18" si="6">(S7*COUNTIF($J$1:$J$101,S$16) - COUNTIFS($J$1:$J$101,S$16,$K$1:$K$101,"=0"))^2</f>
        <v>0.48999999999999994</v>
      </c>
      <c r="T18" s="6">
        <f t="shared" si="6"/>
        <v>2.7224999999999997</v>
      </c>
      <c r="U18" s="6">
        <f t="shared" ref="U18:V18" si="7">(U7*COUNTIF($J$1:$J$101,U$16) - COUNTIFS($J$1:$J$101,U$16,$K$1:$K$101,"=1"))^2</f>
        <v>9.0000000000000427E-2</v>
      </c>
      <c r="V18" s="6">
        <f t="shared" si="7"/>
        <v>0.48999999999999899</v>
      </c>
      <c r="W18" s="4"/>
      <c r="X18" s="4"/>
      <c r="Y18" s="4"/>
    </row>
    <row r="19" spans="1:25" ht="14.25" customHeight="1">
      <c r="A19" s="2">
        <v>32</v>
      </c>
      <c r="B19" s="2">
        <v>18</v>
      </c>
      <c r="C19" s="2">
        <v>2</v>
      </c>
      <c r="D19" s="2">
        <v>0</v>
      </c>
      <c r="E19" s="2">
        <v>1.44</v>
      </c>
      <c r="F19" s="2">
        <v>1</v>
      </c>
      <c r="H19" s="2">
        <v>32</v>
      </c>
      <c r="I19" s="2">
        <v>119</v>
      </c>
      <c r="J19" s="2">
        <v>8</v>
      </c>
      <c r="K19" s="2">
        <v>1</v>
      </c>
      <c r="L19" s="2">
        <v>0.76900000000000002</v>
      </c>
      <c r="M19" s="2">
        <v>1</v>
      </c>
      <c r="N19" s="3">
        <v>3</v>
      </c>
      <c r="O19" s="3">
        <f t="shared" si="0"/>
        <v>2.8899999999999997</v>
      </c>
      <c r="P19" s="3">
        <f t="shared" si="1"/>
        <v>9.0000000000000427E-2</v>
      </c>
      <c r="Q19" s="3">
        <f t="shared" si="2"/>
        <v>8.9999999999999955E-2</v>
      </c>
      <c r="R19" s="3">
        <f t="shared" si="3"/>
        <v>0.48999999999999899</v>
      </c>
      <c r="S19" s="6">
        <f t="shared" ref="S19:T19" si="8">(S8*COUNTIF($J$1:$J$101,S$16) - COUNTIFS($J$1:$J$101,S$16,$K$1:$K$101,"=0"))^2</f>
        <v>0.48999999999999994</v>
      </c>
      <c r="T19" s="6">
        <f t="shared" si="8"/>
        <v>21.622499999999995</v>
      </c>
      <c r="U19" s="3">
        <f t="shared" ref="U19:V19" si="9">(U8*COUNTIF($J$1:$J$101,U$16) - COUNTIFS($J$1:$J$101,U$16,$K$1:$K$101,"=1"))^2</f>
        <v>32.49</v>
      </c>
      <c r="V19" s="6">
        <f t="shared" si="9"/>
        <v>0.48999999999999899</v>
      </c>
      <c r="W19" s="4"/>
      <c r="X19" s="4"/>
      <c r="Y19" s="4"/>
    </row>
    <row r="20" spans="1:25" ht="14.25" customHeight="1">
      <c r="A20" s="2">
        <v>32</v>
      </c>
      <c r="B20" s="2">
        <v>19</v>
      </c>
      <c r="C20" s="2">
        <v>6</v>
      </c>
      <c r="D20" s="2">
        <v>1</v>
      </c>
      <c r="E20" s="2">
        <v>1.4650000000000001</v>
      </c>
      <c r="F20" s="2">
        <v>1</v>
      </c>
      <c r="H20" s="2">
        <v>32</v>
      </c>
      <c r="I20" s="2">
        <v>120</v>
      </c>
      <c r="J20" s="2">
        <v>2</v>
      </c>
      <c r="K20" s="2">
        <v>1</v>
      </c>
      <c r="L20" s="2">
        <v>1.3480000000000001</v>
      </c>
      <c r="M20" s="2">
        <v>1</v>
      </c>
      <c r="N20" s="3">
        <v>4</v>
      </c>
      <c r="O20" s="3">
        <f t="shared" si="0"/>
        <v>1</v>
      </c>
      <c r="P20" s="3">
        <f t="shared" si="1"/>
        <v>9</v>
      </c>
      <c r="Q20" s="3">
        <f t="shared" si="2"/>
        <v>6.25</v>
      </c>
      <c r="R20" s="3">
        <f t="shared" si="3"/>
        <v>4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2.7224999999999997</v>
      </c>
      <c r="U20" s="6">
        <f t="shared" ref="U20:V20" si="11">(U9*COUNTIF($J$1:$J$101,U$16) - COUNTIFS($J$1:$J$101,U$16,$K$1:$K$101,"=1"))^2</f>
        <v>9.0000000000000427E-2</v>
      </c>
      <c r="V20" s="6">
        <f t="shared" si="11"/>
        <v>0.48999999999999899</v>
      </c>
      <c r="W20" s="4"/>
      <c r="X20" s="4"/>
      <c r="Y20" s="4"/>
    </row>
    <row r="21" spans="1:25" ht="14.25" customHeight="1">
      <c r="A21" s="2">
        <v>32</v>
      </c>
      <c r="B21" s="2">
        <v>20</v>
      </c>
      <c r="C21" s="2">
        <v>5</v>
      </c>
      <c r="D21" s="2">
        <v>1</v>
      </c>
      <c r="E21" s="2">
        <v>0.88100000000000001</v>
      </c>
      <c r="F21" s="2">
        <v>1</v>
      </c>
      <c r="H21" s="2">
        <v>32</v>
      </c>
      <c r="I21" s="2">
        <v>121</v>
      </c>
      <c r="J21" s="2">
        <v>4</v>
      </c>
      <c r="K21" s="2">
        <v>1</v>
      </c>
      <c r="L21" s="2">
        <v>0.754</v>
      </c>
      <c r="M21" s="2">
        <v>2</v>
      </c>
      <c r="N21" s="3">
        <v>5</v>
      </c>
      <c r="O21" s="3">
        <f t="shared" si="0"/>
        <v>2.8899999999999997</v>
      </c>
      <c r="P21" s="3">
        <f t="shared" si="1"/>
        <v>9.0000000000000427E-2</v>
      </c>
      <c r="Q21" s="3">
        <f t="shared" si="2"/>
        <v>8.9999999999999955E-2</v>
      </c>
      <c r="R21" s="3">
        <f t="shared" si="3"/>
        <v>0.48999999999999899</v>
      </c>
      <c r="S21" s="6">
        <f t="shared" ref="S21:T21" si="12">(S10*COUNTIF($J$1:$J$101,S$16) - COUNTIFS($J$1:$J$101,S$16,$K$1:$K$101,"=0"))^2</f>
        <v>4</v>
      </c>
      <c r="T21" s="6">
        <f t="shared" si="12"/>
        <v>2.25</v>
      </c>
      <c r="U21" s="6">
        <f t="shared" ref="U21:V21" si="13">(U10*COUNTIF($J$1:$J$101,U$16) - COUNTIFS($J$1:$J$101,U$16,$K$1:$K$101,"=1"))^2</f>
        <v>9</v>
      </c>
      <c r="V21" s="6">
        <f t="shared" si="13"/>
        <v>4</v>
      </c>
      <c r="W21" s="4"/>
      <c r="X21" s="4"/>
      <c r="Y21" s="4"/>
    </row>
    <row r="22" spans="1:25" ht="14.25" customHeight="1">
      <c r="A22" s="2">
        <v>32</v>
      </c>
      <c r="B22" s="2">
        <v>21</v>
      </c>
      <c r="C22" s="2">
        <v>7</v>
      </c>
      <c r="D22" s="2">
        <v>1</v>
      </c>
      <c r="E22" s="2">
        <v>0.872</v>
      </c>
      <c r="F22" s="2">
        <v>2</v>
      </c>
      <c r="H22" s="2">
        <v>32</v>
      </c>
      <c r="I22" s="2">
        <v>122</v>
      </c>
      <c r="J22" s="2">
        <v>2</v>
      </c>
      <c r="K22" s="2">
        <v>1</v>
      </c>
      <c r="L22" s="2">
        <v>0.875</v>
      </c>
      <c r="M22" s="2">
        <v>1</v>
      </c>
      <c r="N22" s="3">
        <v>6</v>
      </c>
      <c r="O22" s="3">
        <f t="shared" si="0"/>
        <v>1</v>
      </c>
      <c r="P22" s="3">
        <f t="shared" si="1"/>
        <v>9</v>
      </c>
      <c r="Q22" s="3">
        <f t="shared" si="2"/>
        <v>6.25</v>
      </c>
      <c r="R22" s="3">
        <f t="shared" si="3"/>
        <v>4</v>
      </c>
      <c r="S22" s="6">
        <f t="shared" ref="S22:T22" si="14">(S11*COUNTIF($J$1:$J$101,S$16) - COUNTIFS($J$1:$J$101,S$16,$K$1:$K$101,"=0"))^2</f>
        <v>4</v>
      </c>
      <c r="T22" s="6">
        <f t="shared" si="14"/>
        <v>2.25</v>
      </c>
      <c r="U22" s="6">
        <f t="shared" ref="U22:V22" si="15">(U11*COUNTIF($J$1:$J$101,U$16) - COUNTIFS($J$1:$J$101,U$16,$K$1:$K$101,"=1"))^2</f>
        <v>9</v>
      </c>
      <c r="V22" s="6">
        <f t="shared" si="15"/>
        <v>4</v>
      </c>
      <c r="W22" s="4"/>
      <c r="X22" s="4"/>
      <c r="Y22" s="4"/>
    </row>
    <row r="23" spans="1:25" ht="14.25" customHeight="1">
      <c r="A23" s="2">
        <v>32</v>
      </c>
      <c r="B23" s="2">
        <v>22</v>
      </c>
      <c r="C23" s="2">
        <v>6</v>
      </c>
      <c r="D23" s="2">
        <v>1</v>
      </c>
      <c r="E23" s="2">
        <v>0.90300000000000002</v>
      </c>
      <c r="F23" s="2">
        <v>1</v>
      </c>
      <c r="H23" s="2">
        <v>32</v>
      </c>
      <c r="I23" s="2">
        <v>123</v>
      </c>
      <c r="J23" s="2">
        <v>6</v>
      </c>
      <c r="K23" s="2">
        <v>0</v>
      </c>
      <c r="L23" s="2">
        <v>1.1819999999999999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32</v>
      </c>
      <c r="B24" s="2">
        <v>23</v>
      </c>
      <c r="C24" s="2">
        <v>2</v>
      </c>
      <c r="D24" s="2">
        <v>1</v>
      </c>
      <c r="E24" s="2">
        <v>1.573</v>
      </c>
      <c r="F24" s="2">
        <v>2</v>
      </c>
      <c r="H24" s="2">
        <v>32</v>
      </c>
      <c r="I24" s="2">
        <v>124</v>
      </c>
      <c r="J24" s="2">
        <v>5</v>
      </c>
      <c r="K24" s="2">
        <v>1</v>
      </c>
      <c r="L24" s="2">
        <v>1.881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32</v>
      </c>
      <c r="B25" s="2">
        <v>24</v>
      </c>
      <c r="C25" s="2">
        <v>3</v>
      </c>
      <c r="D25" s="2">
        <v>0</v>
      </c>
      <c r="E25" s="2">
        <v>1.4410000000000001</v>
      </c>
      <c r="F25" s="2">
        <v>2</v>
      </c>
      <c r="H25" s="2">
        <v>32</v>
      </c>
      <c r="I25" s="2">
        <v>125</v>
      </c>
      <c r="J25" s="2">
        <v>6</v>
      </c>
      <c r="K25" s="2">
        <v>1</v>
      </c>
      <c r="L25" s="2">
        <v>0.95299999999999996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32</v>
      </c>
      <c r="B26" s="2">
        <v>25</v>
      </c>
      <c r="C26" s="2">
        <v>5</v>
      </c>
      <c r="D26" s="2">
        <v>1</v>
      </c>
      <c r="E26" s="2">
        <v>1.9370000000000001</v>
      </c>
      <c r="F26" s="2">
        <v>1</v>
      </c>
      <c r="H26" s="2">
        <v>32</v>
      </c>
      <c r="I26" s="2">
        <v>126</v>
      </c>
      <c r="J26" s="2">
        <v>3</v>
      </c>
      <c r="K26" s="2">
        <v>1</v>
      </c>
      <c r="L26" s="2">
        <v>0.58599999999999997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49</v>
      </c>
      <c r="R26" s="3">
        <f t="shared" si="16"/>
        <v>36</v>
      </c>
      <c r="S26" s="3">
        <f t="shared" si="16"/>
        <v>36</v>
      </c>
      <c r="T26" s="3">
        <f t="shared" si="16"/>
        <v>49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32</v>
      </c>
      <c r="B27" s="2">
        <v>26</v>
      </c>
      <c r="C27" s="2">
        <v>6</v>
      </c>
      <c r="D27" s="2">
        <v>1</v>
      </c>
      <c r="E27" s="2">
        <v>0.69899999999999995</v>
      </c>
      <c r="F27" s="2">
        <v>1</v>
      </c>
      <c r="H27" s="2">
        <v>32</v>
      </c>
      <c r="I27" s="2">
        <v>127</v>
      </c>
      <c r="J27" s="2">
        <v>4</v>
      </c>
      <c r="K27" s="2">
        <v>1</v>
      </c>
      <c r="L27" s="2">
        <v>1.165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32</v>
      </c>
      <c r="B28" s="2">
        <v>27</v>
      </c>
      <c r="C28" s="2">
        <v>4</v>
      </c>
      <c r="D28" s="2">
        <v>1</v>
      </c>
      <c r="E28" s="2">
        <v>1.0649999999999999</v>
      </c>
      <c r="F28" s="2">
        <v>2</v>
      </c>
      <c r="H28" s="2">
        <v>32</v>
      </c>
      <c r="I28" s="2">
        <v>128</v>
      </c>
      <c r="J28" s="2">
        <v>5</v>
      </c>
      <c r="K28" s="2">
        <v>1</v>
      </c>
      <c r="L28" s="2">
        <v>0.79700000000000004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32</v>
      </c>
      <c r="B29" s="2">
        <v>28</v>
      </c>
      <c r="C29" s="2">
        <v>7</v>
      </c>
      <c r="D29" s="2">
        <v>1</v>
      </c>
      <c r="E29" s="2">
        <v>1.2649999999999999</v>
      </c>
      <c r="F29" s="2">
        <v>2</v>
      </c>
      <c r="H29" s="2">
        <v>32</v>
      </c>
      <c r="I29" s="2">
        <v>129</v>
      </c>
      <c r="J29" s="2">
        <v>4</v>
      </c>
      <c r="K29" s="2">
        <v>1</v>
      </c>
      <c r="L29" s="2">
        <v>0.61499999999999999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32</v>
      </c>
      <c r="B30" s="2">
        <v>29</v>
      </c>
      <c r="C30" s="2">
        <v>8</v>
      </c>
      <c r="D30" s="2">
        <v>1</v>
      </c>
      <c r="E30" s="2">
        <v>0.80600000000000005</v>
      </c>
      <c r="F30" s="2">
        <v>2</v>
      </c>
      <c r="H30" s="2">
        <v>32</v>
      </c>
      <c r="I30" s="2">
        <v>130</v>
      </c>
      <c r="J30" s="2">
        <v>3</v>
      </c>
      <c r="K30" s="2">
        <v>0</v>
      </c>
      <c r="L30" s="2">
        <v>1.177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32</v>
      </c>
      <c r="B31" s="2">
        <v>30</v>
      </c>
      <c r="C31" s="2">
        <v>4</v>
      </c>
      <c r="D31" s="2">
        <v>0</v>
      </c>
      <c r="E31" s="2">
        <v>1.31</v>
      </c>
      <c r="F31" s="2">
        <v>1</v>
      </c>
      <c r="H31" s="2">
        <v>32</v>
      </c>
      <c r="I31" s="2">
        <v>131</v>
      </c>
      <c r="J31" s="2">
        <v>8</v>
      </c>
      <c r="K31" s="2">
        <v>1</v>
      </c>
      <c r="L31" s="2">
        <v>0.66900000000000004</v>
      </c>
      <c r="M31" s="2">
        <v>1</v>
      </c>
      <c r="N31" s="3">
        <v>1</v>
      </c>
      <c r="O31" s="3">
        <f t="shared" ref="O31:O36" si="17">SUM(O17:V17)/SUM(O$26:V$26)</f>
        <v>2.34156050955414E-2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32</v>
      </c>
      <c r="B32" s="2">
        <v>31</v>
      </c>
      <c r="C32" s="2">
        <v>6</v>
      </c>
      <c r="D32" s="2">
        <v>1</v>
      </c>
      <c r="E32" s="2">
        <v>1.0209999999999999</v>
      </c>
      <c r="F32" s="2">
        <v>1</v>
      </c>
      <c r="H32" s="2">
        <v>32</v>
      </c>
      <c r="I32" s="2">
        <v>132</v>
      </c>
      <c r="J32" s="2">
        <v>6</v>
      </c>
      <c r="K32" s="2">
        <v>0</v>
      </c>
      <c r="L32" s="2">
        <v>1.42</v>
      </c>
      <c r="M32" s="2">
        <v>1</v>
      </c>
      <c r="N32" s="3">
        <v>2</v>
      </c>
      <c r="O32" s="3">
        <f t="shared" si="17"/>
        <v>0.24096337579617827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32</v>
      </c>
      <c r="B33" s="2">
        <v>32</v>
      </c>
      <c r="C33" s="2">
        <v>2</v>
      </c>
      <c r="D33" s="2">
        <v>1</v>
      </c>
      <c r="E33" s="2">
        <v>1.075</v>
      </c>
      <c r="F33" s="2">
        <v>2</v>
      </c>
      <c r="H33" s="2">
        <v>32</v>
      </c>
      <c r="I33" s="2">
        <v>133</v>
      </c>
      <c r="J33" s="2">
        <v>2</v>
      </c>
      <c r="K33" s="2">
        <v>1</v>
      </c>
      <c r="L33" s="2">
        <v>1.6819999999999999</v>
      </c>
      <c r="M33" s="2">
        <v>1</v>
      </c>
      <c r="N33" s="3">
        <v>3</v>
      </c>
      <c r="O33" s="3">
        <f t="shared" si="17"/>
        <v>0.18679140127388533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32</v>
      </c>
      <c r="B34" s="2">
        <v>33</v>
      </c>
      <c r="C34" s="2">
        <v>3</v>
      </c>
      <c r="D34" s="2">
        <v>1</v>
      </c>
      <c r="E34" s="2">
        <v>1.7809999999999999</v>
      </c>
      <c r="F34" s="2">
        <v>1</v>
      </c>
      <c r="H34" s="2">
        <v>32</v>
      </c>
      <c r="I34" s="2">
        <v>134</v>
      </c>
      <c r="J34" s="2">
        <v>3</v>
      </c>
      <c r="K34" s="2">
        <v>1</v>
      </c>
      <c r="L34" s="2">
        <v>1.1020000000000001</v>
      </c>
      <c r="M34" s="2">
        <v>2</v>
      </c>
      <c r="N34" s="3">
        <v>4</v>
      </c>
      <c r="O34" s="3">
        <f t="shared" si="17"/>
        <v>7.6568471337579602E-2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32</v>
      </c>
      <c r="B35" s="2">
        <v>34</v>
      </c>
      <c r="C35" s="2">
        <v>4</v>
      </c>
      <c r="D35" s="2">
        <v>1</v>
      </c>
      <c r="E35" s="2">
        <v>1.018</v>
      </c>
      <c r="F35" s="2">
        <v>2</v>
      </c>
      <c r="H35" s="2">
        <v>32</v>
      </c>
      <c r="I35" s="2">
        <v>135</v>
      </c>
      <c r="J35" s="2">
        <v>8</v>
      </c>
      <c r="K35" s="2">
        <v>1</v>
      </c>
      <c r="L35" s="2">
        <v>0.74</v>
      </c>
      <c r="M35" s="2">
        <v>2</v>
      </c>
      <c r="N35" s="3">
        <v>5</v>
      </c>
      <c r="O35" s="3">
        <f t="shared" si="17"/>
        <v>7.2643312101910829E-2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32</v>
      </c>
      <c r="B36" s="2">
        <v>35</v>
      </c>
      <c r="C36" s="2">
        <v>8</v>
      </c>
      <c r="D36" s="2">
        <v>1</v>
      </c>
      <c r="E36" s="2">
        <v>1.3109999999999999</v>
      </c>
      <c r="F36" s="2">
        <v>2</v>
      </c>
      <c r="H36" s="2">
        <v>32</v>
      </c>
      <c r="I36" s="2">
        <v>136</v>
      </c>
      <c r="J36" s="2">
        <v>6</v>
      </c>
      <c r="K36" s="2">
        <v>1</v>
      </c>
      <c r="L36" s="2">
        <v>1.55</v>
      </c>
      <c r="M36" s="2">
        <v>2</v>
      </c>
      <c r="N36" s="3">
        <v>6</v>
      </c>
      <c r="O36" s="3">
        <f t="shared" si="17"/>
        <v>0.12579617834394904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32</v>
      </c>
      <c r="B37" s="2">
        <v>36</v>
      </c>
      <c r="C37" s="2">
        <v>4</v>
      </c>
      <c r="D37" s="2">
        <v>1</v>
      </c>
      <c r="E37" s="2">
        <v>1.113</v>
      </c>
      <c r="F37" s="2">
        <v>2</v>
      </c>
      <c r="H37" s="2">
        <v>32</v>
      </c>
      <c r="I37" s="2">
        <v>137</v>
      </c>
      <c r="J37" s="2">
        <v>4</v>
      </c>
      <c r="K37" s="2">
        <v>1</v>
      </c>
      <c r="L37" s="2">
        <v>0.61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32</v>
      </c>
      <c r="B38" s="2">
        <v>37</v>
      </c>
      <c r="C38" s="2">
        <v>8</v>
      </c>
      <c r="D38" s="2">
        <v>1</v>
      </c>
      <c r="E38" s="2">
        <v>1.248</v>
      </c>
      <c r="F38" s="2">
        <v>2</v>
      </c>
      <c r="H38" s="2">
        <v>32</v>
      </c>
      <c r="I38" s="2">
        <v>138</v>
      </c>
      <c r="J38" s="2">
        <v>1</v>
      </c>
      <c r="K38" s="2">
        <v>1</v>
      </c>
      <c r="L38" s="2">
        <v>1.089</v>
      </c>
      <c r="M38" s="2">
        <v>1</v>
      </c>
    </row>
    <row r="39" spans="1:25" ht="14.25" customHeight="1">
      <c r="A39" s="2">
        <v>32</v>
      </c>
      <c r="B39" s="2">
        <v>38</v>
      </c>
      <c r="C39" s="2">
        <v>3</v>
      </c>
      <c r="D39" s="2">
        <v>0</v>
      </c>
      <c r="E39" s="2">
        <v>1.552</v>
      </c>
      <c r="F39" s="2">
        <v>2</v>
      </c>
      <c r="H39" s="2">
        <v>32</v>
      </c>
      <c r="I39" s="2">
        <v>139</v>
      </c>
      <c r="J39" s="2">
        <v>3</v>
      </c>
      <c r="K39" s="2">
        <v>1</v>
      </c>
      <c r="L39" s="2">
        <v>1.8680000000000001</v>
      </c>
      <c r="M39" s="2">
        <v>2</v>
      </c>
    </row>
    <row r="40" spans="1:25" ht="14.25" customHeight="1">
      <c r="A40" s="2">
        <v>32</v>
      </c>
      <c r="B40" s="2">
        <v>39</v>
      </c>
      <c r="C40" s="2">
        <v>2</v>
      </c>
      <c r="D40" s="2">
        <v>0</v>
      </c>
      <c r="E40" s="2">
        <v>1.0960000000000001</v>
      </c>
      <c r="F40" s="2">
        <v>1</v>
      </c>
      <c r="H40" s="2">
        <v>32</v>
      </c>
      <c r="I40" s="2">
        <v>140</v>
      </c>
      <c r="J40" s="2">
        <v>5</v>
      </c>
      <c r="K40" s="2">
        <v>1</v>
      </c>
      <c r="L40" s="2">
        <v>0.85399999999999998</v>
      </c>
      <c r="M40" s="2">
        <v>1</v>
      </c>
    </row>
    <row r="41" spans="1:25" ht="14.25" customHeight="1">
      <c r="A41" s="2">
        <v>32</v>
      </c>
      <c r="B41" s="2">
        <v>40</v>
      </c>
      <c r="C41" s="2">
        <v>5</v>
      </c>
      <c r="D41" s="2">
        <v>1</v>
      </c>
      <c r="E41" s="2">
        <v>0.94699999999999995</v>
      </c>
      <c r="F41" s="2">
        <v>1</v>
      </c>
      <c r="H41" s="2">
        <v>32</v>
      </c>
      <c r="I41" s="2">
        <v>141</v>
      </c>
      <c r="J41" s="2">
        <v>3</v>
      </c>
      <c r="K41" s="2">
        <v>1</v>
      </c>
      <c r="L41" s="2">
        <v>0.9</v>
      </c>
      <c r="M41" s="2">
        <v>1</v>
      </c>
    </row>
    <row r="42" spans="1:25" ht="14.25" customHeight="1">
      <c r="A42" s="2">
        <v>32</v>
      </c>
      <c r="B42" s="2">
        <v>41</v>
      </c>
      <c r="C42" s="2">
        <v>1</v>
      </c>
      <c r="D42" s="2">
        <v>0</v>
      </c>
      <c r="E42" s="2">
        <v>1.0489999999999999</v>
      </c>
      <c r="F42" s="2">
        <v>2</v>
      </c>
      <c r="H42" s="2">
        <v>32</v>
      </c>
      <c r="I42" s="2">
        <v>142</v>
      </c>
      <c r="J42" s="2">
        <v>2</v>
      </c>
      <c r="K42" s="2">
        <v>1</v>
      </c>
      <c r="L42" s="2">
        <v>1.3859999999999999</v>
      </c>
      <c r="M42" s="2">
        <v>2</v>
      </c>
    </row>
    <row r="43" spans="1:25" ht="14.25" customHeight="1">
      <c r="A43" s="2">
        <v>32</v>
      </c>
      <c r="B43" s="2">
        <v>42</v>
      </c>
      <c r="C43" s="2">
        <v>2</v>
      </c>
      <c r="D43" s="2">
        <v>0</v>
      </c>
      <c r="E43" s="2">
        <v>1.3129999999999999</v>
      </c>
      <c r="F43" s="2">
        <v>1</v>
      </c>
      <c r="H43" s="2">
        <v>32</v>
      </c>
      <c r="I43" s="2">
        <v>143</v>
      </c>
      <c r="J43" s="2">
        <v>3</v>
      </c>
      <c r="K43" s="2">
        <v>1</v>
      </c>
      <c r="L43" s="2">
        <v>0.72599999999999998</v>
      </c>
      <c r="M43" s="2">
        <v>1</v>
      </c>
    </row>
    <row r="44" spans="1:25" ht="14.25" customHeight="1">
      <c r="A44" s="2">
        <v>32</v>
      </c>
      <c r="B44" s="2">
        <v>43</v>
      </c>
      <c r="C44" s="2">
        <v>5</v>
      </c>
      <c r="D44" s="2">
        <v>1</v>
      </c>
      <c r="E44" s="2">
        <v>1.038</v>
      </c>
      <c r="F44" s="2">
        <v>1</v>
      </c>
      <c r="H44" s="2">
        <v>32</v>
      </c>
      <c r="I44" s="2">
        <v>144</v>
      </c>
      <c r="J44" s="2">
        <v>1</v>
      </c>
      <c r="K44" s="2">
        <v>1</v>
      </c>
      <c r="L44" s="2">
        <v>0.751</v>
      </c>
      <c r="M44" s="2">
        <v>2</v>
      </c>
    </row>
    <row r="45" spans="1:25" ht="14.25" customHeight="1">
      <c r="A45" s="2">
        <v>32</v>
      </c>
      <c r="B45" s="2">
        <v>44</v>
      </c>
      <c r="C45" s="2">
        <v>8</v>
      </c>
      <c r="D45" s="2">
        <v>1</v>
      </c>
      <c r="E45" s="2">
        <v>1.2190000000000001</v>
      </c>
      <c r="F45" s="2">
        <v>2</v>
      </c>
      <c r="H45" s="2">
        <v>32</v>
      </c>
      <c r="I45" s="2">
        <v>145</v>
      </c>
      <c r="J45" s="2">
        <v>7</v>
      </c>
      <c r="K45" s="2">
        <v>1</v>
      </c>
      <c r="L45" s="2">
        <v>1.9950000000000001</v>
      </c>
      <c r="M45" s="2">
        <v>1</v>
      </c>
    </row>
    <row r="46" spans="1:25" ht="14.25" customHeight="1">
      <c r="A46" s="2">
        <v>32</v>
      </c>
      <c r="B46" s="2">
        <v>45</v>
      </c>
      <c r="C46" s="2">
        <v>3</v>
      </c>
      <c r="D46" s="2">
        <v>0</v>
      </c>
      <c r="E46" s="2">
        <v>1.522</v>
      </c>
      <c r="F46" s="2">
        <v>2</v>
      </c>
      <c r="H46" s="2">
        <v>32</v>
      </c>
      <c r="I46" s="2">
        <v>146</v>
      </c>
      <c r="J46" s="2">
        <v>8</v>
      </c>
      <c r="K46" s="2">
        <v>0</v>
      </c>
      <c r="L46" s="2">
        <v>1.6060000000000001</v>
      </c>
      <c r="M46" s="2">
        <v>2</v>
      </c>
    </row>
    <row r="47" spans="1:25" ht="14.25" customHeight="1">
      <c r="A47" s="2">
        <v>32</v>
      </c>
      <c r="B47" s="2">
        <v>46</v>
      </c>
      <c r="C47" s="2">
        <v>1</v>
      </c>
      <c r="D47" s="2">
        <v>0</v>
      </c>
      <c r="E47" s="2">
        <v>1.2629999999999999</v>
      </c>
      <c r="F47" s="2">
        <v>2</v>
      </c>
      <c r="H47" s="2">
        <v>32</v>
      </c>
      <c r="I47" s="2">
        <v>147</v>
      </c>
      <c r="J47" s="2">
        <v>5</v>
      </c>
      <c r="K47" s="2">
        <v>1</v>
      </c>
      <c r="L47" s="2">
        <v>0.88600000000000001</v>
      </c>
      <c r="M47" s="2">
        <v>2</v>
      </c>
    </row>
    <row r="48" spans="1:25" ht="14.25" customHeight="1">
      <c r="A48" s="2">
        <v>32</v>
      </c>
      <c r="B48" s="2">
        <v>47</v>
      </c>
      <c r="C48" s="2">
        <v>2</v>
      </c>
      <c r="E48" s="2">
        <v>2</v>
      </c>
      <c r="H48" s="2">
        <v>32</v>
      </c>
      <c r="I48" s="2">
        <v>148</v>
      </c>
      <c r="J48" s="2">
        <v>7</v>
      </c>
      <c r="K48" s="2">
        <v>1</v>
      </c>
      <c r="L48" s="2">
        <v>0.73299999999999998</v>
      </c>
      <c r="M48" s="2">
        <v>1</v>
      </c>
    </row>
    <row r="49" spans="1:13" ht="14.25" customHeight="1">
      <c r="A49" s="2">
        <v>32</v>
      </c>
      <c r="B49" s="2">
        <v>48</v>
      </c>
      <c r="C49" s="2">
        <v>5</v>
      </c>
      <c r="D49" s="2">
        <v>1</v>
      </c>
      <c r="E49" s="2">
        <v>0.72699999999999998</v>
      </c>
      <c r="F49" s="2">
        <v>1</v>
      </c>
      <c r="H49" s="2">
        <v>32</v>
      </c>
      <c r="I49" s="2">
        <v>149</v>
      </c>
      <c r="J49" s="2">
        <v>8</v>
      </c>
      <c r="K49" s="2">
        <v>1</v>
      </c>
      <c r="L49" s="2">
        <v>0.72199999999999998</v>
      </c>
      <c r="M49" s="2">
        <v>1</v>
      </c>
    </row>
    <row r="50" spans="1:13" ht="14.25" customHeight="1">
      <c r="A50" s="2">
        <v>32</v>
      </c>
      <c r="B50" s="2">
        <v>49</v>
      </c>
      <c r="C50" s="2">
        <v>6</v>
      </c>
      <c r="D50" s="2">
        <v>1</v>
      </c>
      <c r="E50" s="2">
        <v>1.079</v>
      </c>
      <c r="F50" s="2">
        <v>1</v>
      </c>
      <c r="H50" s="2">
        <v>32</v>
      </c>
      <c r="I50" s="2">
        <v>150</v>
      </c>
      <c r="J50" s="2">
        <v>3</v>
      </c>
      <c r="K50" s="2">
        <v>1</v>
      </c>
      <c r="L50" s="2">
        <v>0.86599999999999999</v>
      </c>
      <c r="M50" s="2">
        <v>2</v>
      </c>
    </row>
    <row r="51" spans="1:13" ht="14.25" customHeight="1">
      <c r="A51" s="2">
        <v>32</v>
      </c>
      <c r="B51" s="2">
        <v>50</v>
      </c>
      <c r="C51" s="2">
        <v>7</v>
      </c>
      <c r="D51" s="2">
        <v>1</v>
      </c>
      <c r="E51" s="2">
        <v>1.518</v>
      </c>
      <c r="F51" s="2">
        <v>2</v>
      </c>
    </row>
    <row r="52" spans="1:13" ht="14.25" customHeight="1">
      <c r="A52" s="2">
        <v>32</v>
      </c>
      <c r="B52" s="2">
        <v>51</v>
      </c>
      <c r="C52" s="2">
        <v>5</v>
      </c>
      <c r="D52" s="2">
        <v>0</v>
      </c>
      <c r="E52" s="2">
        <v>1.2689999999999999</v>
      </c>
      <c r="F52" s="2">
        <v>2</v>
      </c>
    </row>
    <row r="53" spans="1:13" ht="14.25" customHeight="1">
      <c r="A53" s="2">
        <v>32</v>
      </c>
      <c r="B53" s="2">
        <v>52</v>
      </c>
      <c r="C53" s="2">
        <v>1</v>
      </c>
      <c r="D53" s="2">
        <v>1</v>
      </c>
      <c r="E53" s="2">
        <v>0.86799999999999999</v>
      </c>
      <c r="F53" s="2">
        <v>1</v>
      </c>
    </row>
    <row r="54" spans="1:13" ht="14.25" customHeight="1">
      <c r="A54" s="2">
        <v>32</v>
      </c>
      <c r="B54" s="2">
        <v>53</v>
      </c>
      <c r="C54" s="2">
        <v>5</v>
      </c>
      <c r="D54" s="2">
        <v>1</v>
      </c>
      <c r="E54" s="2">
        <v>1.524</v>
      </c>
      <c r="F54" s="2">
        <v>1</v>
      </c>
    </row>
    <row r="55" spans="1:13" ht="14.25" customHeight="1">
      <c r="A55" s="2">
        <v>32</v>
      </c>
      <c r="B55" s="2">
        <v>54</v>
      </c>
      <c r="C55" s="2">
        <v>4</v>
      </c>
      <c r="D55" s="2">
        <v>1</v>
      </c>
      <c r="E55" s="2">
        <v>0.85399999999999998</v>
      </c>
      <c r="F55" s="2">
        <v>1</v>
      </c>
    </row>
    <row r="56" spans="1:13" ht="14.25" customHeight="1">
      <c r="A56" s="2">
        <v>32</v>
      </c>
      <c r="B56" s="2">
        <v>55</v>
      </c>
      <c r="C56" s="2">
        <v>1</v>
      </c>
      <c r="D56" s="2">
        <v>0</v>
      </c>
      <c r="E56" s="2">
        <v>0.80200000000000005</v>
      </c>
      <c r="F56" s="2">
        <v>2</v>
      </c>
    </row>
    <row r="57" spans="1:13" ht="14.25" customHeight="1">
      <c r="A57" s="2">
        <v>32</v>
      </c>
      <c r="B57" s="2">
        <v>56</v>
      </c>
      <c r="C57" s="2">
        <v>5</v>
      </c>
      <c r="D57" s="2">
        <v>0</v>
      </c>
      <c r="E57" s="2">
        <v>1.3680000000000001</v>
      </c>
      <c r="F57" s="2">
        <v>2</v>
      </c>
    </row>
    <row r="58" spans="1:13" ht="14.25" customHeight="1">
      <c r="A58" s="2">
        <v>32</v>
      </c>
      <c r="B58" s="2">
        <v>57</v>
      </c>
      <c r="C58" s="2">
        <v>6</v>
      </c>
      <c r="D58" s="2">
        <v>0</v>
      </c>
      <c r="E58" s="2">
        <v>1.732</v>
      </c>
      <c r="F58" s="2">
        <v>2</v>
      </c>
    </row>
    <row r="59" spans="1:13" ht="14.25" customHeight="1">
      <c r="A59" s="2">
        <v>32</v>
      </c>
      <c r="B59" s="2">
        <v>58</v>
      </c>
      <c r="C59" s="2">
        <v>3</v>
      </c>
      <c r="D59" s="2">
        <v>1</v>
      </c>
      <c r="E59" s="2">
        <v>1.1379999999999999</v>
      </c>
      <c r="F59" s="2">
        <v>2</v>
      </c>
    </row>
    <row r="60" spans="1:13" ht="14.25" customHeight="1">
      <c r="A60" s="2">
        <v>32</v>
      </c>
      <c r="B60" s="2">
        <v>59</v>
      </c>
      <c r="C60" s="2">
        <v>8</v>
      </c>
      <c r="D60" s="2">
        <v>0</v>
      </c>
      <c r="E60" s="2">
        <v>1.0980000000000001</v>
      </c>
      <c r="F60" s="2">
        <v>1</v>
      </c>
    </row>
    <row r="61" spans="1:13" ht="14.25" customHeight="1">
      <c r="A61" s="2">
        <v>32</v>
      </c>
      <c r="B61" s="2">
        <v>60</v>
      </c>
      <c r="C61" s="2">
        <v>3</v>
      </c>
      <c r="D61" s="2">
        <v>1</v>
      </c>
      <c r="E61" s="2">
        <v>0.89</v>
      </c>
      <c r="F61" s="2">
        <v>1</v>
      </c>
    </row>
    <row r="62" spans="1:13" ht="14.25" customHeight="1">
      <c r="A62" s="2">
        <v>32</v>
      </c>
      <c r="B62" s="2">
        <v>61</v>
      </c>
      <c r="C62" s="2">
        <v>2</v>
      </c>
      <c r="D62" s="2">
        <v>0</v>
      </c>
      <c r="E62" s="2">
        <v>1.651</v>
      </c>
      <c r="F62" s="2">
        <v>1</v>
      </c>
    </row>
    <row r="63" spans="1:13" ht="14.25" customHeight="1">
      <c r="A63" s="2">
        <v>32</v>
      </c>
      <c r="B63" s="2">
        <v>62</v>
      </c>
      <c r="C63" s="2">
        <v>6</v>
      </c>
      <c r="D63" s="2">
        <v>0</v>
      </c>
      <c r="E63" s="2">
        <v>1.52</v>
      </c>
      <c r="F63" s="2">
        <v>2</v>
      </c>
    </row>
    <row r="64" spans="1:13" ht="14.25" customHeight="1">
      <c r="A64" s="2">
        <v>32</v>
      </c>
      <c r="B64" s="2">
        <v>63</v>
      </c>
      <c r="C64" s="2">
        <v>8</v>
      </c>
      <c r="D64" s="2">
        <v>1</v>
      </c>
      <c r="E64" s="2">
        <v>1.0469999999999999</v>
      </c>
      <c r="F64" s="2">
        <v>2</v>
      </c>
    </row>
    <row r="65" spans="1:6" ht="14.25" customHeight="1">
      <c r="A65" s="2">
        <v>32</v>
      </c>
      <c r="B65" s="2">
        <v>64</v>
      </c>
      <c r="C65" s="2">
        <v>7</v>
      </c>
      <c r="D65" s="2">
        <v>0</v>
      </c>
      <c r="E65" s="2">
        <v>1.21</v>
      </c>
      <c r="F65" s="2">
        <v>1</v>
      </c>
    </row>
    <row r="66" spans="1:6" ht="14.25" customHeight="1">
      <c r="A66" s="2">
        <v>32</v>
      </c>
      <c r="B66" s="2">
        <v>65</v>
      </c>
      <c r="C66" s="2">
        <v>3</v>
      </c>
      <c r="D66" s="2">
        <v>0</v>
      </c>
      <c r="E66" s="2">
        <v>1.7090000000000001</v>
      </c>
      <c r="F66" s="2">
        <v>2</v>
      </c>
    </row>
    <row r="67" spans="1:6" ht="14.25" customHeight="1">
      <c r="A67" s="2">
        <v>32</v>
      </c>
      <c r="B67" s="2">
        <v>66</v>
      </c>
      <c r="C67" s="2">
        <v>4</v>
      </c>
      <c r="D67" s="2">
        <v>1</v>
      </c>
      <c r="E67" s="2">
        <v>1.2030000000000001</v>
      </c>
      <c r="F67" s="2">
        <v>2</v>
      </c>
    </row>
    <row r="68" spans="1:6" ht="14.25" customHeight="1">
      <c r="A68" s="2">
        <v>32</v>
      </c>
      <c r="B68" s="2">
        <v>67</v>
      </c>
      <c r="C68" s="2">
        <v>6</v>
      </c>
      <c r="D68" s="2">
        <v>1</v>
      </c>
      <c r="E68" s="2">
        <v>1.01</v>
      </c>
      <c r="F68" s="2">
        <v>2</v>
      </c>
    </row>
    <row r="69" spans="1:6" ht="14.25" customHeight="1">
      <c r="A69" s="2">
        <v>32</v>
      </c>
      <c r="B69" s="2">
        <v>68</v>
      </c>
      <c r="C69" s="2">
        <v>2</v>
      </c>
      <c r="D69" s="2">
        <v>0</v>
      </c>
      <c r="E69" s="2">
        <v>1.111</v>
      </c>
      <c r="F69" s="2">
        <v>1</v>
      </c>
    </row>
    <row r="70" spans="1:6" ht="14.25" customHeight="1">
      <c r="A70" s="2">
        <v>32</v>
      </c>
      <c r="B70" s="2">
        <v>69</v>
      </c>
      <c r="C70" s="2">
        <v>1</v>
      </c>
      <c r="D70" s="2">
        <v>1</v>
      </c>
      <c r="E70" s="2">
        <v>0.53300000000000003</v>
      </c>
      <c r="F70" s="2">
        <v>1</v>
      </c>
    </row>
    <row r="71" spans="1:6" ht="14.25" customHeight="1">
      <c r="A71" s="2">
        <v>32</v>
      </c>
      <c r="B71" s="2">
        <v>70</v>
      </c>
      <c r="C71" s="2">
        <v>7</v>
      </c>
      <c r="D71" s="2">
        <v>0</v>
      </c>
      <c r="E71" s="2">
        <v>1.1950000000000001</v>
      </c>
      <c r="F71" s="2">
        <v>2</v>
      </c>
    </row>
    <row r="72" spans="1:6" ht="14.25" customHeight="1">
      <c r="A72" s="2">
        <v>32</v>
      </c>
      <c r="B72" s="2">
        <v>71</v>
      </c>
      <c r="C72" s="2">
        <v>8</v>
      </c>
      <c r="D72" s="2">
        <v>1</v>
      </c>
      <c r="E72" s="2">
        <v>1.1220000000000001</v>
      </c>
      <c r="F72" s="2">
        <v>2</v>
      </c>
    </row>
    <row r="73" spans="1:6" ht="14.25" customHeight="1">
      <c r="A73" s="2">
        <v>32</v>
      </c>
      <c r="B73" s="2">
        <v>72</v>
      </c>
      <c r="C73" s="2">
        <v>1</v>
      </c>
      <c r="D73" s="2">
        <v>1</v>
      </c>
      <c r="E73" s="2">
        <v>0.875</v>
      </c>
      <c r="F73" s="2">
        <v>1</v>
      </c>
    </row>
    <row r="74" spans="1:6" ht="14.25" customHeight="1">
      <c r="A74" s="2">
        <v>32</v>
      </c>
      <c r="B74" s="2">
        <v>73</v>
      </c>
      <c r="C74" s="2">
        <v>3</v>
      </c>
      <c r="D74" s="2">
        <v>0</v>
      </c>
      <c r="E74" s="2">
        <v>0.61099999999999999</v>
      </c>
      <c r="F74" s="2">
        <v>1</v>
      </c>
    </row>
    <row r="75" spans="1:6" ht="14.25" customHeight="1">
      <c r="A75" s="2">
        <v>32</v>
      </c>
      <c r="B75" s="2">
        <v>74</v>
      </c>
      <c r="C75" s="2">
        <v>6</v>
      </c>
      <c r="D75" s="2">
        <v>1</v>
      </c>
      <c r="E75" s="2">
        <v>1.5609999999999999</v>
      </c>
      <c r="F75" s="2">
        <v>1</v>
      </c>
    </row>
    <row r="76" spans="1:6" ht="14.25" customHeight="1">
      <c r="A76" s="2">
        <v>32</v>
      </c>
      <c r="B76" s="2">
        <v>75</v>
      </c>
      <c r="C76" s="2">
        <v>8</v>
      </c>
      <c r="D76" s="2">
        <v>1</v>
      </c>
      <c r="E76" s="2">
        <v>0.80900000000000005</v>
      </c>
      <c r="F76" s="2">
        <v>1</v>
      </c>
    </row>
    <row r="77" spans="1:6" ht="14.25" customHeight="1">
      <c r="A77" s="2">
        <v>32</v>
      </c>
      <c r="B77" s="2">
        <v>76</v>
      </c>
      <c r="C77" s="2">
        <v>6</v>
      </c>
      <c r="D77" s="2">
        <v>1</v>
      </c>
      <c r="E77" s="2">
        <v>0.76200000000000001</v>
      </c>
      <c r="F77" s="2">
        <v>1</v>
      </c>
    </row>
    <row r="78" spans="1:6" ht="14.25" customHeight="1">
      <c r="A78" s="2">
        <v>32</v>
      </c>
      <c r="B78" s="2">
        <v>77</v>
      </c>
      <c r="C78" s="2">
        <v>5</v>
      </c>
      <c r="D78" s="2">
        <v>1</v>
      </c>
      <c r="E78" s="2">
        <v>1.175</v>
      </c>
      <c r="F78" s="2">
        <v>2</v>
      </c>
    </row>
    <row r="79" spans="1:6" ht="14.25" customHeight="1">
      <c r="A79" s="2">
        <v>32</v>
      </c>
      <c r="B79" s="2">
        <v>78</v>
      </c>
      <c r="C79" s="2">
        <v>7</v>
      </c>
      <c r="D79" s="2">
        <v>1</v>
      </c>
      <c r="E79" s="2">
        <v>0.86499999999999999</v>
      </c>
      <c r="F79" s="2">
        <v>2</v>
      </c>
    </row>
    <row r="80" spans="1:6" ht="14.25" customHeight="1">
      <c r="A80" s="2">
        <v>32</v>
      </c>
      <c r="B80" s="2">
        <v>79</v>
      </c>
      <c r="C80" s="2">
        <v>1</v>
      </c>
      <c r="D80" s="2">
        <v>1</v>
      </c>
      <c r="E80" s="2">
        <v>0.85799999999999998</v>
      </c>
      <c r="F80" s="2">
        <v>2</v>
      </c>
    </row>
    <row r="81" spans="1:6" ht="14.25" customHeight="1">
      <c r="A81" s="2">
        <v>32</v>
      </c>
      <c r="B81" s="2">
        <v>80</v>
      </c>
      <c r="C81" s="2">
        <v>8</v>
      </c>
      <c r="D81" s="2">
        <v>0</v>
      </c>
      <c r="E81" s="2">
        <v>1.258</v>
      </c>
      <c r="F81" s="2">
        <v>1</v>
      </c>
    </row>
    <row r="82" spans="1:6" ht="14.25" customHeight="1">
      <c r="A82" s="2">
        <v>32</v>
      </c>
      <c r="B82" s="2">
        <v>81</v>
      </c>
      <c r="C82" s="2">
        <v>4</v>
      </c>
      <c r="D82" s="2">
        <v>1</v>
      </c>
      <c r="E82" s="2">
        <v>0.73</v>
      </c>
      <c r="F82" s="2">
        <v>1</v>
      </c>
    </row>
    <row r="83" spans="1:6" ht="14.25" customHeight="1">
      <c r="A83" s="2">
        <v>32</v>
      </c>
      <c r="B83" s="2">
        <v>82</v>
      </c>
      <c r="C83" s="2">
        <v>5</v>
      </c>
      <c r="D83" s="2">
        <v>0</v>
      </c>
      <c r="E83" s="2">
        <v>0.76700000000000002</v>
      </c>
      <c r="F83" s="2">
        <v>1</v>
      </c>
    </row>
    <row r="84" spans="1:6" ht="14.25" customHeight="1">
      <c r="A84" s="2">
        <v>32</v>
      </c>
      <c r="B84" s="2">
        <v>83</v>
      </c>
      <c r="C84" s="2">
        <v>4</v>
      </c>
      <c r="D84" s="2">
        <v>1</v>
      </c>
      <c r="E84" s="2">
        <v>1.5549999999999999</v>
      </c>
      <c r="F84" s="2">
        <v>1</v>
      </c>
    </row>
    <row r="85" spans="1:6" ht="14.25" customHeight="1">
      <c r="A85" s="2">
        <v>32</v>
      </c>
      <c r="B85" s="2">
        <v>84</v>
      </c>
      <c r="C85" s="2">
        <v>7</v>
      </c>
      <c r="D85" s="2">
        <v>1</v>
      </c>
      <c r="E85" s="2">
        <v>1.2589999999999999</v>
      </c>
      <c r="F85" s="2">
        <v>2</v>
      </c>
    </row>
    <row r="86" spans="1:6" ht="14.25" customHeight="1">
      <c r="A86" s="2">
        <v>32</v>
      </c>
      <c r="B86" s="2">
        <v>85</v>
      </c>
      <c r="C86" s="2">
        <v>2</v>
      </c>
      <c r="D86" s="2">
        <v>1</v>
      </c>
      <c r="E86" s="2">
        <v>0.86399999999999999</v>
      </c>
      <c r="F86" s="2">
        <v>2</v>
      </c>
    </row>
    <row r="87" spans="1:6" ht="14.25" customHeight="1">
      <c r="A87" s="2">
        <v>32</v>
      </c>
      <c r="B87" s="2">
        <v>86</v>
      </c>
      <c r="C87" s="2">
        <v>3</v>
      </c>
      <c r="D87" s="2">
        <v>0</v>
      </c>
      <c r="E87" s="2">
        <v>1.583</v>
      </c>
      <c r="F87" s="2">
        <v>1</v>
      </c>
    </row>
    <row r="88" spans="1:6" ht="14.25" customHeight="1">
      <c r="A88" s="2">
        <v>32</v>
      </c>
      <c r="B88" s="2">
        <v>87</v>
      </c>
      <c r="C88" s="2">
        <v>4</v>
      </c>
      <c r="D88" s="2">
        <v>1</v>
      </c>
      <c r="E88" s="2">
        <v>1.091</v>
      </c>
      <c r="F88" s="2">
        <v>2</v>
      </c>
    </row>
    <row r="89" spans="1:6" ht="14.25" customHeight="1">
      <c r="A89" s="2">
        <v>32</v>
      </c>
      <c r="B89" s="2">
        <v>88</v>
      </c>
      <c r="C89" s="2">
        <v>3</v>
      </c>
      <c r="D89" s="2">
        <v>0</v>
      </c>
      <c r="E89" s="2">
        <v>1.639</v>
      </c>
      <c r="F89" s="2">
        <v>2</v>
      </c>
    </row>
    <row r="90" spans="1:6" ht="14.25" customHeight="1">
      <c r="A90" s="2">
        <v>32</v>
      </c>
      <c r="B90" s="2">
        <v>89</v>
      </c>
      <c r="C90" s="2">
        <v>2</v>
      </c>
      <c r="E90" s="2">
        <v>2</v>
      </c>
    </row>
    <row r="91" spans="1:6" ht="14.25" customHeight="1">
      <c r="A91" s="2">
        <v>32</v>
      </c>
      <c r="B91" s="2">
        <v>90</v>
      </c>
      <c r="C91" s="2">
        <v>6</v>
      </c>
      <c r="D91" s="2">
        <v>1</v>
      </c>
      <c r="E91" s="2">
        <v>0.86599999999999999</v>
      </c>
      <c r="F91" s="2">
        <v>1</v>
      </c>
    </row>
    <row r="92" spans="1:6" ht="14.25" customHeight="1">
      <c r="A92" s="2">
        <v>32</v>
      </c>
      <c r="B92" s="2">
        <v>91</v>
      </c>
      <c r="C92" s="2">
        <v>3</v>
      </c>
      <c r="D92" s="2">
        <v>0</v>
      </c>
      <c r="E92" s="2">
        <v>1.454</v>
      </c>
      <c r="F92" s="2">
        <v>2</v>
      </c>
    </row>
    <row r="93" spans="1:6" ht="14.25" customHeight="1">
      <c r="A93" s="2">
        <v>32</v>
      </c>
      <c r="B93" s="2">
        <v>92</v>
      </c>
      <c r="C93" s="2">
        <v>4</v>
      </c>
      <c r="D93" s="2">
        <v>1</v>
      </c>
      <c r="E93" s="2">
        <v>1.7070000000000001</v>
      </c>
      <c r="F93" s="2">
        <v>2</v>
      </c>
    </row>
    <row r="94" spans="1:6" ht="14.25" customHeight="1">
      <c r="A94" s="2">
        <v>32</v>
      </c>
      <c r="B94" s="2">
        <v>93</v>
      </c>
      <c r="C94" s="2">
        <v>6</v>
      </c>
      <c r="D94" s="2">
        <v>1</v>
      </c>
      <c r="E94" s="2">
        <v>0.876</v>
      </c>
      <c r="F94" s="2">
        <v>1</v>
      </c>
    </row>
    <row r="95" spans="1:6" ht="14.25" customHeight="1">
      <c r="A95" s="2">
        <v>32</v>
      </c>
      <c r="B95" s="2">
        <v>94</v>
      </c>
      <c r="C95" s="2">
        <v>2</v>
      </c>
      <c r="D95" s="2">
        <v>1</v>
      </c>
      <c r="E95" s="2">
        <v>0.86799999999999999</v>
      </c>
      <c r="F95" s="2">
        <v>2</v>
      </c>
    </row>
    <row r="96" spans="1:6" ht="14.25" customHeight="1">
      <c r="A96" s="2">
        <v>32</v>
      </c>
      <c r="B96" s="2">
        <v>95</v>
      </c>
      <c r="C96" s="2">
        <v>7</v>
      </c>
      <c r="D96" s="2">
        <v>0</v>
      </c>
      <c r="E96" s="2">
        <v>1.3560000000000001</v>
      </c>
      <c r="F96" s="2">
        <v>2</v>
      </c>
    </row>
    <row r="97" spans="1:6" ht="14.25" customHeight="1">
      <c r="A97" s="2">
        <v>32</v>
      </c>
      <c r="B97" s="2">
        <v>96</v>
      </c>
      <c r="C97" s="2">
        <v>8</v>
      </c>
      <c r="D97" s="2">
        <v>0</v>
      </c>
      <c r="E97" s="2">
        <v>1.4770000000000001</v>
      </c>
      <c r="F97" s="2">
        <v>2</v>
      </c>
    </row>
    <row r="98" spans="1:6" ht="14.25" customHeight="1">
      <c r="A98" s="2">
        <v>32</v>
      </c>
      <c r="B98" s="2">
        <v>97</v>
      </c>
      <c r="C98" s="2">
        <v>2</v>
      </c>
      <c r="D98" s="2">
        <v>1</v>
      </c>
      <c r="E98" s="2">
        <v>1.1359999999999999</v>
      </c>
      <c r="F98" s="2">
        <v>2</v>
      </c>
    </row>
    <row r="99" spans="1:6" ht="14.25" customHeight="1">
      <c r="A99" s="2">
        <v>32</v>
      </c>
      <c r="B99" s="2">
        <v>98</v>
      </c>
      <c r="C99" s="2">
        <v>5</v>
      </c>
      <c r="D99" s="2">
        <v>1</v>
      </c>
      <c r="E99" s="2">
        <v>0.61399999999999999</v>
      </c>
      <c r="F99" s="2">
        <v>1</v>
      </c>
    </row>
    <row r="100" spans="1:6" ht="14.25" customHeight="1">
      <c r="A100" s="2">
        <v>32</v>
      </c>
      <c r="B100" s="2">
        <v>99</v>
      </c>
      <c r="C100" s="2">
        <v>7</v>
      </c>
      <c r="D100" s="2">
        <v>1</v>
      </c>
      <c r="E100" s="2">
        <v>0.65600000000000003</v>
      </c>
      <c r="F100" s="2">
        <v>1</v>
      </c>
    </row>
    <row r="101" spans="1:6" ht="14.25" customHeight="1">
      <c r="A101" s="2">
        <v>32</v>
      </c>
      <c r="B101" s="2">
        <v>100</v>
      </c>
      <c r="C101" s="2">
        <v>1</v>
      </c>
      <c r="D101" s="2">
        <v>1</v>
      </c>
      <c r="E101" s="2">
        <v>0.79700000000000004</v>
      </c>
      <c r="F101" s="2">
        <v>2</v>
      </c>
    </row>
    <row r="102" spans="1:6" ht="14.25" customHeight="1">
      <c r="A102" s="2">
        <v>32</v>
      </c>
      <c r="B102" s="2">
        <v>101</v>
      </c>
      <c r="C102" s="2">
        <v>4</v>
      </c>
      <c r="D102" s="2">
        <v>0</v>
      </c>
      <c r="E102" s="2">
        <v>1.64</v>
      </c>
      <c r="F102" s="2">
        <v>2</v>
      </c>
    </row>
    <row r="103" spans="1:6" ht="14.25" customHeight="1">
      <c r="A103" s="2">
        <v>32</v>
      </c>
      <c r="B103" s="2">
        <v>102</v>
      </c>
      <c r="C103" s="2">
        <v>2</v>
      </c>
      <c r="D103" s="2">
        <v>1</v>
      </c>
      <c r="E103" s="2">
        <v>0.64800000000000002</v>
      </c>
      <c r="F103" s="2">
        <v>1</v>
      </c>
    </row>
    <row r="104" spans="1:6" ht="14.25" customHeight="1">
      <c r="A104" s="2">
        <v>32</v>
      </c>
      <c r="B104" s="2">
        <v>103</v>
      </c>
      <c r="C104" s="2">
        <v>1</v>
      </c>
      <c r="D104" s="2">
        <v>0</v>
      </c>
      <c r="E104" s="2">
        <v>0.59299999999999997</v>
      </c>
      <c r="F104" s="2">
        <v>2</v>
      </c>
    </row>
    <row r="105" spans="1:6" ht="14.25" customHeight="1">
      <c r="A105" s="2">
        <v>32</v>
      </c>
      <c r="B105" s="2">
        <v>104</v>
      </c>
      <c r="C105" s="2">
        <v>7</v>
      </c>
      <c r="D105" s="2">
        <v>1</v>
      </c>
      <c r="E105" s="2">
        <v>0.58699999999999997</v>
      </c>
      <c r="F105" s="2">
        <v>1</v>
      </c>
    </row>
    <row r="106" spans="1:6" ht="14.25" customHeight="1">
      <c r="A106" s="2">
        <v>32</v>
      </c>
      <c r="B106" s="2">
        <v>105</v>
      </c>
      <c r="C106" s="2">
        <v>6</v>
      </c>
      <c r="D106" s="2">
        <v>1</v>
      </c>
      <c r="E106" s="2">
        <v>1.6220000000000001</v>
      </c>
      <c r="F106" s="2">
        <v>1</v>
      </c>
    </row>
    <row r="107" spans="1:6" ht="14.25" customHeight="1">
      <c r="A107" s="2">
        <v>32</v>
      </c>
      <c r="B107" s="2">
        <v>106</v>
      </c>
      <c r="C107" s="2">
        <v>5</v>
      </c>
      <c r="D107" s="2">
        <v>0</v>
      </c>
      <c r="E107" s="2">
        <v>1.468</v>
      </c>
      <c r="F107" s="2">
        <v>2</v>
      </c>
    </row>
    <row r="108" spans="1:6" ht="14.25" customHeight="1">
      <c r="A108" s="2">
        <v>32</v>
      </c>
      <c r="B108" s="2">
        <v>107</v>
      </c>
      <c r="C108" s="2">
        <v>7</v>
      </c>
      <c r="D108" s="2">
        <v>1</v>
      </c>
      <c r="E108" s="2">
        <v>1.661</v>
      </c>
      <c r="F108" s="2">
        <v>1</v>
      </c>
    </row>
    <row r="109" spans="1:6" ht="14.25" customHeight="1">
      <c r="A109" s="2">
        <v>32</v>
      </c>
      <c r="B109" s="2">
        <v>108</v>
      </c>
      <c r="C109" s="2">
        <v>2</v>
      </c>
      <c r="D109" s="2">
        <v>1</v>
      </c>
      <c r="E109" s="2">
        <v>0.88100000000000001</v>
      </c>
      <c r="F109" s="2">
        <v>2</v>
      </c>
    </row>
    <row r="110" spans="1:6" ht="14.25" customHeight="1">
      <c r="A110" s="2">
        <v>32</v>
      </c>
      <c r="B110" s="2">
        <v>109</v>
      </c>
      <c r="C110" s="2">
        <v>1</v>
      </c>
      <c r="D110" s="2">
        <v>0</v>
      </c>
      <c r="E110" s="2">
        <v>1.276</v>
      </c>
      <c r="F110" s="2">
        <v>1</v>
      </c>
    </row>
    <row r="111" spans="1:6" ht="14.25" customHeight="1">
      <c r="A111" s="2">
        <v>32</v>
      </c>
      <c r="B111" s="2">
        <v>110</v>
      </c>
      <c r="C111" s="2">
        <v>6</v>
      </c>
      <c r="D111" s="2">
        <v>1</v>
      </c>
      <c r="E111" s="2">
        <v>0.65500000000000003</v>
      </c>
      <c r="F111" s="2">
        <v>1</v>
      </c>
    </row>
    <row r="112" spans="1:6" ht="14.25" customHeight="1">
      <c r="A112" s="2">
        <v>32</v>
      </c>
      <c r="B112" s="2">
        <v>111</v>
      </c>
      <c r="C112" s="2">
        <v>5</v>
      </c>
      <c r="D112" s="2">
        <v>1</v>
      </c>
      <c r="E112" s="2">
        <v>0.70199999999999996</v>
      </c>
      <c r="F112" s="2">
        <v>2</v>
      </c>
    </row>
    <row r="113" spans="1:6" ht="14.25" customHeight="1">
      <c r="A113" s="2">
        <v>32</v>
      </c>
      <c r="B113" s="2">
        <v>112</v>
      </c>
      <c r="C113" s="2">
        <v>1</v>
      </c>
      <c r="D113" s="2">
        <v>1</v>
      </c>
      <c r="E113" s="2">
        <v>1.6970000000000001</v>
      </c>
      <c r="F113" s="2">
        <v>1</v>
      </c>
    </row>
    <row r="114" spans="1:6" ht="14.25" customHeight="1">
      <c r="A114" s="2">
        <v>32</v>
      </c>
      <c r="B114" s="2">
        <v>113</v>
      </c>
      <c r="C114" s="2">
        <v>8</v>
      </c>
      <c r="D114" s="2">
        <v>1</v>
      </c>
      <c r="E114" s="2">
        <v>0.76400000000000001</v>
      </c>
      <c r="F114" s="2">
        <v>2</v>
      </c>
    </row>
    <row r="115" spans="1:6" ht="14.25" customHeight="1">
      <c r="A115" s="2">
        <v>32</v>
      </c>
      <c r="B115" s="2">
        <v>114</v>
      </c>
      <c r="C115" s="2">
        <v>7</v>
      </c>
      <c r="D115" s="2">
        <v>1</v>
      </c>
      <c r="E115" s="2">
        <v>1.792</v>
      </c>
      <c r="F115" s="2">
        <v>2</v>
      </c>
    </row>
    <row r="116" spans="1:6" ht="14.25" customHeight="1">
      <c r="A116" s="2">
        <v>32</v>
      </c>
      <c r="B116" s="2">
        <v>115</v>
      </c>
      <c r="C116" s="2">
        <v>4</v>
      </c>
      <c r="D116" s="2">
        <v>1</v>
      </c>
      <c r="E116" s="2">
        <v>1.01</v>
      </c>
      <c r="F116" s="2">
        <v>1</v>
      </c>
    </row>
    <row r="117" spans="1:6" ht="14.25" customHeight="1">
      <c r="A117" s="2">
        <v>32</v>
      </c>
      <c r="B117" s="2">
        <v>116</v>
      </c>
      <c r="C117" s="2">
        <v>6</v>
      </c>
      <c r="D117" s="2">
        <v>1</v>
      </c>
      <c r="E117" s="2">
        <v>0.76500000000000001</v>
      </c>
      <c r="F117" s="2">
        <v>2</v>
      </c>
    </row>
    <row r="118" spans="1:6" ht="14.25" customHeight="1">
      <c r="A118" s="2">
        <v>32</v>
      </c>
      <c r="B118" s="2">
        <v>117</v>
      </c>
      <c r="C118" s="2">
        <v>7</v>
      </c>
      <c r="D118" s="2">
        <v>1</v>
      </c>
      <c r="E118" s="2">
        <v>0.78500000000000003</v>
      </c>
      <c r="F118" s="2">
        <v>2</v>
      </c>
    </row>
    <row r="119" spans="1:6" ht="14.25" customHeight="1">
      <c r="A119" s="2">
        <v>32</v>
      </c>
      <c r="B119" s="2">
        <v>118</v>
      </c>
      <c r="C119" s="2">
        <v>1</v>
      </c>
      <c r="D119" s="2">
        <v>1</v>
      </c>
      <c r="E119" s="2">
        <v>1.3320000000000001</v>
      </c>
      <c r="F119" s="2">
        <v>2</v>
      </c>
    </row>
    <row r="120" spans="1:6" ht="14.25" customHeight="1">
      <c r="A120" s="2">
        <v>32</v>
      </c>
      <c r="B120" s="2">
        <v>119</v>
      </c>
      <c r="C120" s="2">
        <v>8</v>
      </c>
      <c r="D120" s="2">
        <v>1</v>
      </c>
      <c r="E120" s="2">
        <v>0.76900000000000002</v>
      </c>
      <c r="F120" s="2">
        <v>1</v>
      </c>
    </row>
    <row r="121" spans="1:6" ht="14.25" customHeight="1">
      <c r="A121" s="2">
        <v>32</v>
      </c>
      <c r="B121" s="2">
        <v>120</v>
      </c>
      <c r="C121" s="2">
        <v>2</v>
      </c>
      <c r="D121" s="2">
        <v>1</v>
      </c>
      <c r="E121" s="2">
        <v>1.3480000000000001</v>
      </c>
      <c r="F121" s="2">
        <v>1</v>
      </c>
    </row>
    <row r="122" spans="1:6" ht="14.25" customHeight="1">
      <c r="A122" s="2">
        <v>32</v>
      </c>
      <c r="B122" s="2">
        <v>121</v>
      </c>
      <c r="C122" s="2">
        <v>4</v>
      </c>
      <c r="D122" s="2">
        <v>1</v>
      </c>
      <c r="E122" s="2">
        <v>0.754</v>
      </c>
      <c r="F122" s="2">
        <v>2</v>
      </c>
    </row>
    <row r="123" spans="1:6" ht="14.25" customHeight="1">
      <c r="A123" s="2">
        <v>32</v>
      </c>
      <c r="B123" s="2">
        <v>122</v>
      </c>
      <c r="C123" s="2">
        <v>2</v>
      </c>
      <c r="D123" s="2">
        <v>1</v>
      </c>
      <c r="E123" s="2">
        <v>0.875</v>
      </c>
      <c r="F123" s="2">
        <v>1</v>
      </c>
    </row>
    <row r="124" spans="1:6" ht="14.25" customHeight="1">
      <c r="A124" s="2">
        <v>32</v>
      </c>
      <c r="B124" s="2">
        <v>123</v>
      </c>
      <c r="C124" s="2">
        <v>6</v>
      </c>
      <c r="D124" s="2">
        <v>0</v>
      </c>
      <c r="E124" s="2">
        <v>1.1819999999999999</v>
      </c>
      <c r="F124" s="2">
        <v>1</v>
      </c>
    </row>
    <row r="125" spans="1:6" ht="14.25" customHeight="1">
      <c r="A125" s="2">
        <v>32</v>
      </c>
      <c r="B125" s="2">
        <v>124</v>
      </c>
      <c r="C125" s="2">
        <v>5</v>
      </c>
      <c r="D125" s="2">
        <v>1</v>
      </c>
      <c r="E125" s="2">
        <v>1.881</v>
      </c>
      <c r="F125" s="2">
        <v>1</v>
      </c>
    </row>
    <row r="126" spans="1:6" ht="14.25" customHeight="1">
      <c r="A126" s="2">
        <v>32</v>
      </c>
      <c r="B126" s="2">
        <v>125</v>
      </c>
      <c r="C126" s="2">
        <v>6</v>
      </c>
      <c r="D126" s="2">
        <v>1</v>
      </c>
      <c r="E126" s="2">
        <v>0.95299999999999996</v>
      </c>
      <c r="F126" s="2">
        <v>1</v>
      </c>
    </row>
    <row r="127" spans="1:6" ht="14.25" customHeight="1">
      <c r="A127" s="2">
        <v>32</v>
      </c>
      <c r="B127" s="2">
        <v>126</v>
      </c>
      <c r="C127" s="2">
        <v>3</v>
      </c>
      <c r="D127" s="2">
        <v>1</v>
      </c>
      <c r="E127" s="2">
        <v>0.58599999999999997</v>
      </c>
      <c r="F127" s="2">
        <v>1</v>
      </c>
    </row>
    <row r="128" spans="1:6" ht="14.25" customHeight="1">
      <c r="A128" s="2">
        <v>32</v>
      </c>
      <c r="B128" s="2">
        <v>127</v>
      </c>
      <c r="C128" s="2">
        <v>4</v>
      </c>
      <c r="D128" s="2">
        <v>1</v>
      </c>
      <c r="E128" s="2">
        <v>1.165</v>
      </c>
      <c r="F128" s="2">
        <v>2</v>
      </c>
    </row>
    <row r="129" spans="1:6" ht="14.25" customHeight="1">
      <c r="A129" s="2">
        <v>32</v>
      </c>
      <c r="B129" s="2">
        <v>128</v>
      </c>
      <c r="C129" s="2">
        <v>5</v>
      </c>
      <c r="D129" s="2">
        <v>1</v>
      </c>
      <c r="E129" s="2">
        <v>0.79700000000000004</v>
      </c>
      <c r="F129" s="2">
        <v>2</v>
      </c>
    </row>
    <row r="130" spans="1:6" ht="14.25" customHeight="1">
      <c r="A130" s="2">
        <v>32</v>
      </c>
      <c r="B130" s="2">
        <v>129</v>
      </c>
      <c r="C130" s="2">
        <v>4</v>
      </c>
      <c r="D130" s="2">
        <v>1</v>
      </c>
      <c r="E130" s="2">
        <v>0.61499999999999999</v>
      </c>
      <c r="F130" s="2">
        <v>2</v>
      </c>
    </row>
    <row r="131" spans="1:6" ht="14.25" customHeight="1">
      <c r="A131" s="2">
        <v>32</v>
      </c>
      <c r="B131" s="2">
        <v>130</v>
      </c>
      <c r="C131" s="2">
        <v>3</v>
      </c>
      <c r="D131" s="2">
        <v>0</v>
      </c>
      <c r="E131" s="2">
        <v>1.177</v>
      </c>
      <c r="F131" s="2">
        <v>1</v>
      </c>
    </row>
    <row r="132" spans="1:6" ht="14.25" customHeight="1">
      <c r="A132" s="2">
        <v>32</v>
      </c>
      <c r="B132" s="2">
        <v>131</v>
      </c>
      <c r="C132" s="2">
        <v>8</v>
      </c>
      <c r="D132" s="2">
        <v>1</v>
      </c>
      <c r="E132" s="2">
        <v>0.66900000000000004</v>
      </c>
      <c r="F132" s="2">
        <v>1</v>
      </c>
    </row>
    <row r="133" spans="1:6" ht="14.25" customHeight="1">
      <c r="A133" s="2">
        <v>32</v>
      </c>
      <c r="B133" s="2">
        <v>132</v>
      </c>
      <c r="C133" s="2">
        <v>6</v>
      </c>
      <c r="D133" s="2">
        <v>0</v>
      </c>
      <c r="E133" s="2">
        <v>1.42</v>
      </c>
      <c r="F133" s="2">
        <v>1</v>
      </c>
    </row>
    <row r="134" spans="1:6" ht="14.25" customHeight="1">
      <c r="A134" s="2">
        <v>32</v>
      </c>
      <c r="B134" s="2">
        <v>133</v>
      </c>
      <c r="C134" s="2">
        <v>2</v>
      </c>
      <c r="D134" s="2">
        <v>1</v>
      </c>
      <c r="E134" s="2">
        <v>1.6819999999999999</v>
      </c>
      <c r="F134" s="2">
        <v>1</v>
      </c>
    </row>
    <row r="135" spans="1:6" ht="14.25" customHeight="1">
      <c r="A135" s="2">
        <v>32</v>
      </c>
      <c r="B135" s="2">
        <v>134</v>
      </c>
      <c r="C135" s="2">
        <v>3</v>
      </c>
      <c r="D135" s="2">
        <v>1</v>
      </c>
      <c r="E135" s="2">
        <v>1.1020000000000001</v>
      </c>
      <c r="F135" s="2">
        <v>2</v>
      </c>
    </row>
    <row r="136" spans="1:6" ht="14.25" customHeight="1">
      <c r="A136" s="2">
        <v>32</v>
      </c>
      <c r="B136" s="2">
        <v>135</v>
      </c>
      <c r="C136" s="2">
        <v>8</v>
      </c>
      <c r="D136" s="2">
        <v>1</v>
      </c>
      <c r="E136" s="2">
        <v>0.74</v>
      </c>
      <c r="F136" s="2">
        <v>2</v>
      </c>
    </row>
    <row r="137" spans="1:6" ht="14.25" customHeight="1">
      <c r="A137" s="2">
        <v>32</v>
      </c>
      <c r="B137" s="2">
        <v>136</v>
      </c>
      <c r="C137" s="2">
        <v>6</v>
      </c>
      <c r="D137" s="2">
        <v>1</v>
      </c>
      <c r="E137" s="2">
        <v>1.55</v>
      </c>
      <c r="F137" s="2">
        <v>2</v>
      </c>
    </row>
    <row r="138" spans="1:6" ht="14.25" customHeight="1">
      <c r="A138" s="2">
        <v>32</v>
      </c>
      <c r="B138" s="2">
        <v>137</v>
      </c>
      <c r="C138" s="2">
        <v>4</v>
      </c>
      <c r="D138" s="2">
        <v>1</v>
      </c>
      <c r="E138" s="2">
        <v>0.61</v>
      </c>
      <c r="F138" s="2">
        <v>2</v>
      </c>
    </row>
    <row r="139" spans="1:6" ht="14.25" customHeight="1">
      <c r="A139" s="2">
        <v>32</v>
      </c>
      <c r="B139" s="2">
        <v>138</v>
      </c>
      <c r="C139" s="2">
        <v>1</v>
      </c>
      <c r="D139" s="2">
        <v>1</v>
      </c>
      <c r="E139" s="2">
        <v>1.089</v>
      </c>
      <c r="F139" s="2">
        <v>1</v>
      </c>
    </row>
    <row r="140" spans="1:6" ht="14.25" customHeight="1">
      <c r="A140" s="2">
        <v>32</v>
      </c>
      <c r="B140" s="2">
        <v>139</v>
      </c>
      <c r="C140" s="2">
        <v>3</v>
      </c>
      <c r="D140" s="2">
        <v>1</v>
      </c>
      <c r="E140" s="2">
        <v>1.8680000000000001</v>
      </c>
      <c r="F140" s="2">
        <v>2</v>
      </c>
    </row>
    <row r="141" spans="1:6" ht="14.25" customHeight="1">
      <c r="A141" s="2">
        <v>32</v>
      </c>
      <c r="B141" s="2">
        <v>140</v>
      </c>
      <c r="C141" s="2">
        <v>5</v>
      </c>
      <c r="D141" s="2">
        <v>1</v>
      </c>
      <c r="E141" s="2">
        <v>0.85399999999999998</v>
      </c>
      <c r="F141" s="2">
        <v>1</v>
      </c>
    </row>
    <row r="142" spans="1:6" ht="14.25" customHeight="1">
      <c r="A142" s="2">
        <v>32</v>
      </c>
      <c r="B142" s="2">
        <v>141</v>
      </c>
      <c r="C142" s="2">
        <v>3</v>
      </c>
      <c r="D142" s="2">
        <v>1</v>
      </c>
      <c r="E142" s="2">
        <v>0.9</v>
      </c>
      <c r="F142" s="2">
        <v>1</v>
      </c>
    </row>
    <row r="143" spans="1:6" ht="14.25" customHeight="1">
      <c r="A143" s="2">
        <v>32</v>
      </c>
      <c r="B143" s="2">
        <v>142</v>
      </c>
      <c r="C143" s="2">
        <v>2</v>
      </c>
      <c r="D143" s="2">
        <v>1</v>
      </c>
      <c r="E143" s="2">
        <v>1.3859999999999999</v>
      </c>
      <c r="F143" s="2">
        <v>2</v>
      </c>
    </row>
    <row r="144" spans="1:6" ht="14.25" customHeight="1">
      <c r="A144" s="2">
        <v>32</v>
      </c>
      <c r="B144" s="2">
        <v>143</v>
      </c>
      <c r="C144" s="2">
        <v>3</v>
      </c>
      <c r="D144" s="2">
        <v>1</v>
      </c>
      <c r="E144" s="2">
        <v>0.72599999999999998</v>
      </c>
      <c r="F144" s="2">
        <v>1</v>
      </c>
    </row>
    <row r="145" spans="1:6" ht="14.25" customHeight="1">
      <c r="A145" s="2">
        <v>32</v>
      </c>
      <c r="B145" s="2">
        <v>144</v>
      </c>
      <c r="C145" s="2">
        <v>1</v>
      </c>
      <c r="D145" s="2">
        <v>1</v>
      </c>
      <c r="E145" s="2">
        <v>0.751</v>
      </c>
      <c r="F145" s="2">
        <v>2</v>
      </c>
    </row>
    <row r="146" spans="1:6" ht="14.25" customHeight="1">
      <c r="A146" s="2">
        <v>32</v>
      </c>
      <c r="B146" s="2">
        <v>145</v>
      </c>
      <c r="C146" s="2">
        <v>7</v>
      </c>
      <c r="D146" s="2">
        <v>1</v>
      </c>
      <c r="E146" s="2">
        <v>1.9950000000000001</v>
      </c>
      <c r="F146" s="2">
        <v>1</v>
      </c>
    </row>
    <row r="147" spans="1:6" ht="14.25" customHeight="1">
      <c r="A147" s="2">
        <v>32</v>
      </c>
      <c r="B147" s="2">
        <v>146</v>
      </c>
      <c r="C147" s="2">
        <v>8</v>
      </c>
      <c r="D147" s="2">
        <v>0</v>
      </c>
      <c r="E147" s="2">
        <v>1.6060000000000001</v>
      </c>
      <c r="F147" s="2">
        <v>2</v>
      </c>
    </row>
    <row r="148" spans="1:6" ht="14.25" customHeight="1">
      <c r="A148" s="2">
        <v>32</v>
      </c>
      <c r="B148" s="2">
        <v>147</v>
      </c>
      <c r="C148" s="2">
        <v>5</v>
      </c>
      <c r="D148" s="2">
        <v>1</v>
      </c>
      <c r="E148" s="2">
        <v>0.88600000000000001</v>
      </c>
      <c r="F148" s="2">
        <v>2</v>
      </c>
    </row>
    <row r="149" spans="1:6" ht="14.25" customHeight="1">
      <c r="A149" s="2">
        <v>32</v>
      </c>
      <c r="B149" s="2">
        <v>148</v>
      </c>
      <c r="C149" s="2">
        <v>7</v>
      </c>
      <c r="D149" s="2">
        <v>1</v>
      </c>
      <c r="E149" s="2">
        <v>0.73299999999999998</v>
      </c>
      <c r="F149" s="2">
        <v>1</v>
      </c>
    </row>
    <row r="150" spans="1:6" ht="14.25" customHeight="1">
      <c r="A150" s="2">
        <v>32</v>
      </c>
      <c r="B150" s="2">
        <v>149</v>
      </c>
      <c r="C150" s="2">
        <v>8</v>
      </c>
      <c r="D150" s="2">
        <v>1</v>
      </c>
      <c r="E150" s="2">
        <v>0.72199999999999998</v>
      </c>
      <c r="F150" s="2">
        <v>1</v>
      </c>
    </row>
    <row r="151" spans="1:6" ht="14.25" customHeight="1">
      <c r="A151" s="2">
        <v>32</v>
      </c>
      <c r="B151" s="2">
        <v>150</v>
      </c>
      <c r="C151" s="2">
        <v>3</v>
      </c>
      <c r="D151" s="2">
        <v>1</v>
      </c>
      <c r="E151" s="2">
        <v>0.86599999999999999</v>
      </c>
      <c r="F151" s="2">
        <v>2</v>
      </c>
    </row>
    <row r="152" spans="1:6" ht="14.25" customHeight="1">
      <c r="A152" s="2">
        <v>32</v>
      </c>
      <c r="B152" s="2">
        <v>151</v>
      </c>
      <c r="C152" s="2">
        <v>2</v>
      </c>
      <c r="D152" s="2">
        <v>0</v>
      </c>
      <c r="E152" s="2">
        <v>1.135</v>
      </c>
      <c r="F152" s="2">
        <v>2</v>
      </c>
    </row>
    <row r="153" spans="1:6" ht="14.25" customHeight="1">
      <c r="A153" s="2">
        <v>32</v>
      </c>
      <c r="B153" s="2">
        <v>152</v>
      </c>
      <c r="C153" s="2">
        <v>6</v>
      </c>
      <c r="D153" s="2">
        <v>1</v>
      </c>
      <c r="E153" s="2">
        <v>0.73699999999999999</v>
      </c>
      <c r="F153" s="2">
        <v>1</v>
      </c>
    </row>
    <row r="154" spans="1:6" ht="14.25" customHeight="1">
      <c r="A154" s="2">
        <v>32</v>
      </c>
      <c r="B154" s="2">
        <v>153</v>
      </c>
      <c r="C154" s="2">
        <v>2</v>
      </c>
      <c r="D154" s="2">
        <v>1</v>
      </c>
      <c r="E154" s="2">
        <v>0.46500000000000002</v>
      </c>
      <c r="F154" s="2">
        <v>1</v>
      </c>
    </row>
    <row r="155" spans="1:6" ht="14.25" customHeight="1">
      <c r="A155" s="2">
        <v>32</v>
      </c>
      <c r="B155" s="2">
        <v>154</v>
      </c>
      <c r="C155" s="2">
        <v>6</v>
      </c>
      <c r="D155" s="2">
        <v>1</v>
      </c>
      <c r="E155" s="2">
        <v>0.45300000000000001</v>
      </c>
      <c r="F155" s="2">
        <v>1</v>
      </c>
    </row>
    <row r="156" spans="1:6" ht="14.25" customHeight="1">
      <c r="A156" s="2">
        <v>32</v>
      </c>
      <c r="B156" s="2">
        <v>155</v>
      </c>
      <c r="C156" s="2">
        <v>1</v>
      </c>
      <c r="D156" s="2">
        <v>1</v>
      </c>
      <c r="E156" s="2">
        <v>1.8220000000000001</v>
      </c>
      <c r="F156" s="2">
        <v>1</v>
      </c>
    </row>
    <row r="157" spans="1:6" ht="14.25" customHeight="1">
      <c r="A157" s="2">
        <v>32</v>
      </c>
      <c r="B157" s="2">
        <v>156</v>
      </c>
      <c r="C157" s="2">
        <v>6</v>
      </c>
      <c r="D157" s="2">
        <v>0</v>
      </c>
      <c r="E157" s="2">
        <v>1.1599999999999999</v>
      </c>
      <c r="F157" s="2">
        <v>2</v>
      </c>
    </row>
    <row r="158" spans="1:6" ht="14.25" customHeight="1">
      <c r="A158" s="2">
        <v>32</v>
      </c>
      <c r="B158" s="2">
        <v>157</v>
      </c>
      <c r="C158" s="2">
        <v>7</v>
      </c>
      <c r="D158" s="2">
        <v>1</v>
      </c>
      <c r="E158" s="2">
        <v>1.599</v>
      </c>
      <c r="F158" s="2">
        <v>1</v>
      </c>
    </row>
    <row r="159" spans="1:6" ht="14.25" customHeight="1">
      <c r="A159" s="2">
        <v>32</v>
      </c>
      <c r="B159" s="2">
        <v>158</v>
      </c>
      <c r="C159" s="2">
        <v>3</v>
      </c>
      <c r="D159" s="2">
        <v>1</v>
      </c>
      <c r="E159" s="2">
        <v>0.75900000000000001</v>
      </c>
      <c r="F159" s="2">
        <v>2</v>
      </c>
    </row>
    <row r="160" spans="1:6" ht="14.25" customHeight="1">
      <c r="A160" s="2">
        <v>32</v>
      </c>
      <c r="B160" s="2">
        <v>159</v>
      </c>
      <c r="C160" s="2">
        <v>5</v>
      </c>
      <c r="D160" s="2">
        <v>1</v>
      </c>
      <c r="E160" s="2">
        <v>1.635</v>
      </c>
      <c r="F160" s="2">
        <v>2</v>
      </c>
    </row>
    <row r="161" spans="1:6" ht="14.25" customHeight="1">
      <c r="A161" s="2">
        <v>32</v>
      </c>
      <c r="B161" s="2">
        <v>160</v>
      </c>
      <c r="C161" s="2">
        <v>4</v>
      </c>
      <c r="D161" s="2">
        <v>1</v>
      </c>
      <c r="E161" s="2">
        <v>0.86099999999999999</v>
      </c>
      <c r="F161" s="2">
        <v>1</v>
      </c>
    </row>
    <row r="162" spans="1:6" ht="14.25" customHeight="1">
      <c r="A162" s="2">
        <v>32</v>
      </c>
      <c r="B162" s="2">
        <v>161</v>
      </c>
      <c r="C162" s="2">
        <v>6</v>
      </c>
      <c r="D162" s="2">
        <v>1</v>
      </c>
      <c r="E162" s="2">
        <v>0.80400000000000005</v>
      </c>
      <c r="F162" s="2">
        <v>2</v>
      </c>
    </row>
    <row r="163" spans="1:6" ht="14.25" customHeight="1">
      <c r="A163" s="2">
        <v>32</v>
      </c>
      <c r="B163" s="2">
        <v>162</v>
      </c>
      <c r="C163" s="2">
        <v>4</v>
      </c>
      <c r="D163" s="2">
        <v>0</v>
      </c>
      <c r="E163" s="2">
        <v>1.6379999999999999</v>
      </c>
      <c r="F163" s="2">
        <v>2</v>
      </c>
    </row>
    <row r="164" spans="1:6" ht="14.25" customHeight="1">
      <c r="A164" s="2">
        <v>32</v>
      </c>
      <c r="B164" s="2">
        <v>163</v>
      </c>
      <c r="C164" s="2">
        <v>3</v>
      </c>
      <c r="D164" s="2">
        <v>1</v>
      </c>
      <c r="E164" s="2">
        <v>0.99099999999999999</v>
      </c>
      <c r="F164" s="2">
        <v>2</v>
      </c>
    </row>
    <row r="165" spans="1:6" ht="14.25" customHeight="1">
      <c r="A165" s="2">
        <v>32</v>
      </c>
      <c r="B165" s="2">
        <v>164</v>
      </c>
      <c r="C165" s="2">
        <v>6</v>
      </c>
      <c r="E165" s="2">
        <v>2</v>
      </c>
    </row>
    <row r="166" spans="1:6" ht="14.25" customHeight="1">
      <c r="A166" s="2">
        <v>32</v>
      </c>
      <c r="B166" s="2">
        <v>165</v>
      </c>
      <c r="C166" s="2">
        <v>2</v>
      </c>
      <c r="D166" s="2">
        <v>1</v>
      </c>
      <c r="E166" s="2">
        <v>1.544</v>
      </c>
      <c r="F166" s="2">
        <v>1</v>
      </c>
    </row>
    <row r="167" spans="1:6" ht="14.25" customHeight="1">
      <c r="A167" s="2">
        <v>32</v>
      </c>
      <c r="B167" s="2">
        <v>166</v>
      </c>
      <c r="C167" s="2">
        <v>4</v>
      </c>
      <c r="D167" s="2">
        <v>1</v>
      </c>
      <c r="E167" s="2">
        <v>0.77100000000000002</v>
      </c>
      <c r="F167" s="2">
        <v>2</v>
      </c>
    </row>
    <row r="168" spans="1:6" ht="14.25" customHeight="1">
      <c r="A168" s="2">
        <v>32</v>
      </c>
      <c r="B168" s="2">
        <v>167</v>
      </c>
      <c r="C168" s="2">
        <v>1</v>
      </c>
      <c r="D168" s="2">
        <v>1</v>
      </c>
      <c r="E168" s="2">
        <v>0.753</v>
      </c>
      <c r="F168" s="2">
        <v>2</v>
      </c>
    </row>
    <row r="169" spans="1:6" ht="14.25" customHeight="1">
      <c r="A169" s="2">
        <v>32</v>
      </c>
      <c r="B169" s="2">
        <v>168</v>
      </c>
      <c r="C169" s="2">
        <v>7</v>
      </c>
      <c r="D169" s="2">
        <v>1</v>
      </c>
      <c r="E169" s="2">
        <v>1.2430000000000001</v>
      </c>
      <c r="F169" s="2">
        <v>2</v>
      </c>
    </row>
    <row r="170" spans="1:6" ht="14.25" customHeight="1">
      <c r="A170" s="2">
        <v>32</v>
      </c>
      <c r="B170" s="2">
        <v>169</v>
      </c>
      <c r="C170" s="2">
        <v>8</v>
      </c>
      <c r="D170" s="2">
        <v>1</v>
      </c>
      <c r="E170" s="2">
        <v>0.78</v>
      </c>
      <c r="F170" s="2">
        <v>1</v>
      </c>
    </row>
    <row r="171" spans="1:6" ht="14.25" customHeight="1">
      <c r="A171" s="2">
        <v>32</v>
      </c>
      <c r="B171" s="2">
        <v>170</v>
      </c>
      <c r="C171" s="2">
        <v>5</v>
      </c>
      <c r="D171" s="2">
        <v>1</v>
      </c>
      <c r="E171" s="2">
        <v>0.72</v>
      </c>
      <c r="F171" s="2">
        <v>1</v>
      </c>
    </row>
    <row r="172" spans="1:6" ht="14.25" customHeight="1">
      <c r="A172" s="2">
        <v>32</v>
      </c>
      <c r="B172" s="2">
        <v>171</v>
      </c>
      <c r="C172" s="2">
        <v>7</v>
      </c>
      <c r="D172" s="2">
        <v>0</v>
      </c>
      <c r="E172" s="2">
        <v>0.67200000000000004</v>
      </c>
      <c r="F172" s="2">
        <v>1</v>
      </c>
    </row>
    <row r="173" spans="1:6" ht="14.25" customHeight="1">
      <c r="A173" s="2">
        <v>32</v>
      </c>
      <c r="B173" s="2">
        <v>172</v>
      </c>
      <c r="C173" s="2">
        <v>2</v>
      </c>
      <c r="D173" s="2">
        <v>1</v>
      </c>
      <c r="E173" s="2">
        <v>0.83</v>
      </c>
      <c r="F173" s="2">
        <v>1</v>
      </c>
    </row>
    <row r="174" spans="1:6" ht="14.25" customHeight="1">
      <c r="A174" s="2">
        <v>32</v>
      </c>
      <c r="B174" s="2">
        <v>173</v>
      </c>
      <c r="C174" s="2">
        <v>3</v>
      </c>
      <c r="D174" s="2">
        <v>0</v>
      </c>
      <c r="E174" s="2">
        <v>1.9590000000000001</v>
      </c>
      <c r="F174" s="2">
        <v>1</v>
      </c>
    </row>
    <row r="175" spans="1:6" ht="14.25" customHeight="1">
      <c r="A175" s="2">
        <v>32</v>
      </c>
      <c r="B175" s="2">
        <v>174</v>
      </c>
      <c r="C175" s="2">
        <v>8</v>
      </c>
      <c r="D175" s="2">
        <v>1</v>
      </c>
      <c r="E175" s="2">
        <v>1.901</v>
      </c>
      <c r="F175" s="2">
        <v>1</v>
      </c>
    </row>
    <row r="176" spans="1:6" ht="14.25" customHeight="1">
      <c r="A176" s="2">
        <v>32</v>
      </c>
      <c r="B176" s="2">
        <v>175</v>
      </c>
      <c r="C176" s="2">
        <v>7</v>
      </c>
      <c r="D176" s="2">
        <v>1</v>
      </c>
      <c r="E176" s="2">
        <v>1.004</v>
      </c>
      <c r="F176" s="2">
        <v>1</v>
      </c>
    </row>
    <row r="177" spans="1:6" ht="14.25" customHeight="1">
      <c r="A177" s="2">
        <v>32</v>
      </c>
      <c r="B177" s="2">
        <v>176</v>
      </c>
      <c r="C177" s="2">
        <v>8</v>
      </c>
      <c r="D177" s="2">
        <v>1</v>
      </c>
      <c r="E177" s="2">
        <v>0.57199999999999995</v>
      </c>
      <c r="F177" s="2">
        <v>1</v>
      </c>
    </row>
    <row r="178" spans="1:6" ht="14.25" customHeight="1">
      <c r="A178" s="2">
        <v>32</v>
      </c>
      <c r="B178" s="2">
        <v>177</v>
      </c>
      <c r="C178" s="2">
        <v>6</v>
      </c>
      <c r="D178" s="2">
        <v>1</v>
      </c>
      <c r="E178" s="2">
        <v>1.1060000000000001</v>
      </c>
      <c r="F178" s="2">
        <v>2</v>
      </c>
    </row>
    <row r="179" spans="1:6" ht="14.25" customHeight="1">
      <c r="A179" s="2">
        <v>32</v>
      </c>
      <c r="B179" s="2">
        <v>178</v>
      </c>
      <c r="C179" s="2">
        <v>7</v>
      </c>
      <c r="D179" s="2">
        <v>1</v>
      </c>
      <c r="E179" s="2">
        <v>0.91800000000000004</v>
      </c>
      <c r="F179" s="2">
        <v>2</v>
      </c>
    </row>
    <row r="180" spans="1:6" ht="14.25" customHeight="1">
      <c r="A180" s="2">
        <v>32</v>
      </c>
      <c r="B180" s="2">
        <v>179</v>
      </c>
      <c r="C180" s="2">
        <v>1</v>
      </c>
      <c r="D180" s="2">
        <v>1</v>
      </c>
      <c r="E180" s="2">
        <v>0.629</v>
      </c>
      <c r="F180" s="2">
        <v>2</v>
      </c>
    </row>
    <row r="181" spans="1:6" ht="14.25" customHeight="1">
      <c r="A181" s="2">
        <v>32</v>
      </c>
      <c r="B181" s="2">
        <v>180</v>
      </c>
      <c r="C181" s="2">
        <v>4</v>
      </c>
      <c r="D181" s="2">
        <v>1</v>
      </c>
      <c r="E181" s="2">
        <v>1.7370000000000001</v>
      </c>
      <c r="F181" s="2">
        <v>2</v>
      </c>
    </row>
    <row r="182" spans="1:6" ht="14.25" customHeight="1">
      <c r="A182" s="2">
        <v>32</v>
      </c>
      <c r="B182" s="2">
        <v>181</v>
      </c>
      <c r="C182" s="2">
        <v>3</v>
      </c>
      <c r="D182" s="2">
        <v>1</v>
      </c>
      <c r="E182" s="2">
        <v>1.046</v>
      </c>
      <c r="F182" s="2">
        <v>1</v>
      </c>
    </row>
    <row r="183" spans="1:6" ht="14.25" customHeight="1">
      <c r="A183" s="2">
        <v>32</v>
      </c>
      <c r="B183" s="2">
        <v>182</v>
      </c>
      <c r="C183" s="2">
        <v>5</v>
      </c>
      <c r="D183" s="2">
        <v>1</v>
      </c>
      <c r="E183" s="2">
        <v>1.7010000000000001</v>
      </c>
      <c r="F183" s="2">
        <v>2</v>
      </c>
    </row>
    <row r="184" spans="1:6" ht="14.25" customHeight="1">
      <c r="A184" s="2">
        <v>32</v>
      </c>
      <c r="B184" s="2">
        <v>183</v>
      </c>
      <c r="C184" s="2">
        <v>3</v>
      </c>
      <c r="D184" s="2">
        <v>1</v>
      </c>
      <c r="E184" s="2">
        <v>1.9159999999999999</v>
      </c>
      <c r="F184" s="2">
        <v>1</v>
      </c>
    </row>
    <row r="185" spans="1:6" ht="14.25" customHeight="1">
      <c r="A185" s="2">
        <v>32</v>
      </c>
      <c r="B185" s="2">
        <v>184</v>
      </c>
      <c r="C185" s="2">
        <v>1</v>
      </c>
      <c r="D185" s="2">
        <v>1</v>
      </c>
      <c r="E185" s="2">
        <v>1.228</v>
      </c>
      <c r="F185" s="2">
        <v>2</v>
      </c>
    </row>
    <row r="186" spans="1:6" ht="14.25" customHeight="1">
      <c r="A186" s="2">
        <v>32</v>
      </c>
      <c r="B186" s="2">
        <v>185</v>
      </c>
      <c r="C186" s="2">
        <v>2</v>
      </c>
      <c r="D186" s="2">
        <v>1</v>
      </c>
      <c r="E186" s="2">
        <v>0.95599999999999996</v>
      </c>
      <c r="F186" s="2">
        <v>2</v>
      </c>
    </row>
    <row r="187" spans="1:6" ht="14.25" customHeight="1">
      <c r="A187" s="2">
        <v>32</v>
      </c>
      <c r="B187" s="2">
        <v>186</v>
      </c>
      <c r="C187" s="2">
        <v>5</v>
      </c>
      <c r="D187" s="2">
        <v>1</v>
      </c>
      <c r="E187" s="2">
        <v>1.073</v>
      </c>
      <c r="F187" s="2">
        <v>2</v>
      </c>
    </row>
    <row r="188" spans="1:6" ht="14.25" customHeight="1">
      <c r="A188" s="2">
        <v>32</v>
      </c>
      <c r="B188" s="2">
        <v>187</v>
      </c>
      <c r="C188" s="2">
        <v>4</v>
      </c>
      <c r="D188" s="2">
        <v>1</v>
      </c>
      <c r="E188" s="2">
        <v>1.329</v>
      </c>
      <c r="F188" s="2">
        <v>2</v>
      </c>
    </row>
    <row r="189" spans="1:6" ht="14.25" customHeight="1">
      <c r="A189" s="2">
        <v>32</v>
      </c>
      <c r="B189" s="2">
        <v>188</v>
      </c>
      <c r="C189" s="2">
        <v>8</v>
      </c>
      <c r="D189" s="2">
        <v>1</v>
      </c>
      <c r="E189" s="2">
        <v>1.627</v>
      </c>
      <c r="F189" s="2">
        <v>1</v>
      </c>
    </row>
    <row r="190" spans="1:6" ht="14.25" customHeight="1">
      <c r="A190" s="2">
        <v>32</v>
      </c>
      <c r="B190" s="2">
        <v>189</v>
      </c>
      <c r="C190" s="2">
        <v>1</v>
      </c>
      <c r="D190" s="2">
        <v>0</v>
      </c>
      <c r="E190" s="2">
        <v>1.6930000000000001</v>
      </c>
      <c r="F190" s="2">
        <v>1</v>
      </c>
    </row>
    <row r="191" spans="1:6" ht="14.25" customHeight="1">
      <c r="A191" s="2">
        <v>32</v>
      </c>
      <c r="B191" s="2">
        <v>190</v>
      </c>
      <c r="C191" s="2">
        <v>5</v>
      </c>
      <c r="D191" s="2">
        <v>1</v>
      </c>
      <c r="E191" s="2">
        <v>0.94099999999999995</v>
      </c>
      <c r="F191" s="2">
        <v>1</v>
      </c>
    </row>
    <row r="192" spans="1:6" ht="14.25" customHeight="1">
      <c r="A192" s="2">
        <v>32</v>
      </c>
      <c r="B192" s="2">
        <v>191</v>
      </c>
      <c r="C192" s="2">
        <v>1</v>
      </c>
      <c r="D192" s="2">
        <v>1</v>
      </c>
      <c r="E192" s="2">
        <v>1.6830000000000001</v>
      </c>
      <c r="F192" s="2">
        <v>1</v>
      </c>
    </row>
    <row r="193" spans="1:6" ht="14.25" customHeight="1">
      <c r="A193" s="2">
        <v>32</v>
      </c>
      <c r="B193" s="2">
        <v>192</v>
      </c>
      <c r="C193" s="2">
        <v>7</v>
      </c>
      <c r="D193" s="2">
        <v>1</v>
      </c>
      <c r="E193" s="2">
        <v>1.603</v>
      </c>
      <c r="F193" s="2">
        <v>2</v>
      </c>
    </row>
    <row r="194" spans="1:6" ht="14.25" customHeight="1">
      <c r="A194" s="2">
        <v>32</v>
      </c>
      <c r="B194" s="2">
        <v>193</v>
      </c>
      <c r="C194" s="2">
        <v>6</v>
      </c>
      <c r="D194" s="2">
        <v>1</v>
      </c>
      <c r="E194" s="2">
        <v>0.73899999999999999</v>
      </c>
      <c r="F194" s="2">
        <v>1</v>
      </c>
    </row>
    <row r="195" spans="1:6" ht="14.25" customHeight="1">
      <c r="A195" s="2">
        <v>32</v>
      </c>
      <c r="B195" s="2">
        <v>194</v>
      </c>
      <c r="C195" s="2">
        <v>8</v>
      </c>
      <c r="D195" s="2">
        <v>1</v>
      </c>
      <c r="E195" s="2">
        <v>0.93700000000000006</v>
      </c>
      <c r="F195" s="2">
        <v>2</v>
      </c>
    </row>
    <row r="196" spans="1:6" ht="14.25" customHeight="1">
      <c r="A196" s="2">
        <v>32</v>
      </c>
      <c r="B196" s="2">
        <v>195</v>
      </c>
      <c r="C196" s="2">
        <v>3</v>
      </c>
      <c r="D196" s="2">
        <v>1</v>
      </c>
      <c r="E196" s="2">
        <v>1.8140000000000001</v>
      </c>
      <c r="F196" s="2">
        <v>1</v>
      </c>
    </row>
    <row r="197" spans="1:6" ht="14.25" customHeight="1">
      <c r="A197" s="2">
        <v>32</v>
      </c>
      <c r="B197" s="2">
        <v>196</v>
      </c>
      <c r="C197" s="2">
        <v>2</v>
      </c>
      <c r="D197" s="2">
        <v>1</v>
      </c>
      <c r="E197" s="2">
        <v>1.587</v>
      </c>
      <c r="F197" s="2">
        <v>1</v>
      </c>
    </row>
    <row r="198" spans="1:6" ht="14.25" customHeight="1">
      <c r="A198" s="2">
        <v>32</v>
      </c>
      <c r="B198" s="2">
        <v>197</v>
      </c>
      <c r="C198" s="2">
        <v>8</v>
      </c>
      <c r="D198" s="2">
        <v>0</v>
      </c>
      <c r="E198" s="2">
        <v>1.0760000000000001</v>
      </c>
      <c r="F198" s="2">
        <v>1</v>
      </c>
    </row>
    <row r="199" spans="1:6" ht="14.25" customHeight="1">
      <c r="A199" s="2">
        <v>32</v>
      </c>
      <c r="B199" s="2">
        <v>198</v>
      </c>
      <c r="C199" s="2">
        <v>4</v>
      </c>
      <c r="D199" s="2">
        <v>1</v>
      </c>
      <c r="E199" s="2">
        <v>0.92500000000000004</v>
      </c>
      <c r="F199" s="2">
        <v>1</v>
      </c>
    </row>
    <row r="200" spans="1:6" ht="14.25" customHeight="1">
      <c r="A200" s="2">
        <v>32</v>
      </c>
      <c r="B200" s="2">
        <v>199</v>
      </c>
      <c r="C200" s="2">
        <v>5</v>
      </c>
      <c r="D200" s="2">
        <v>1</v>
      </c>
      <c r="E200" s="2">
        <v>0.68799999999999994</v>
      </c>
      <c r="F200" s="2">
        <v>1</v>
      </c>
    </row>
    <row r="201" spans="1:6" ht="14.25" customHeight="1">
      <c r="A201" s="2">
        <v>32</v>
      </c>
      <c r="B201" s="2">
        <v>200</v>
      </c>
      <c r="C201" s="2">
        <v>3</v>
      </c>
      <c r="D201" s="2">
        <v>1</v>
      </c>
      <c r="E201" s="2">
        <v>0.97499999999999998</v>
      </c>
      <c r="F201" s="2">
        <v>2</v>
      </c>
    </row>
    <row r="202" spans="1:6" ht="14.25" customHeight="1">
      <c r="A202" s="2">
        <v>32</v>
      </c>
      <c r="B202" s="2">
        <v>201</v>
      </c>
      <c r="C202" s="2">
        <v>3</v>
      </c>
      <c r="E202" s="2">
        <v>2</v>
      </c>
    </row>
    <row r="203" spans="1:6" ht="14.25" customHeight="1">
      <c r="A203" s="2">
        <v>32</v>
      </c>
      <c r="B203" s="2">
        <v>202</v>
      </c>
      <c r="C203" s="2">
        <v>5</v>
      </c>
      <c r="D203" s="2">
        <v>1</v>
      </c>
      <c r="E203" s="2">
        <v>0.72099999999999997</v>
      </c>
      <c r="F203" s="2">
        <v>1</v>
      </c>
    </row>
    <row r="204" spans="1:6" ht="14.25" customHeight="1">
      <c r="A204" s="2">
        <v>32</v>
      </c>
      <c r="B204" s="2">
        <v>203</v>
      </c>
      <c r="C204" s="2">
        <v>1</v>
      </c>
      <c r="D204" s="2">
        <v>1</v>
      </c>
      <c r="E204" s="2">
        <v>1.3540000000000001</v>
      </c>
      <c r="F204" s="2">
        <v>1</v>
      </c>
    </row>
    <row r="205" spans="1:6" ht="14.25" customHeight="1">
      <c r="A205" s="2">
        <v>32</v>
      </c>
      <c r="B205" s="2">
        <v>204</v>
      </c>
      <c r="C205" s="2">
        <v>4</v>
      </c>
      <c r="D205" s="2">
        <v>1</v>
      </c>
      <c r="E205" s="2">
        <v>0.94199999999999995</v>
      </c>
      <c r="F205" s="2">
        <v>1</v>
      </c>
    </row>
    <row r="206" spans="1:6" ht="14.25" customHeight="1">
      <c r="A206" s="2">
        <v>32</v>
      </c>
      <c r="B206" s="2">
        <v>205</v>
      </c>
      <c r="C206" s="2">
        <v>7</v>
      </c>
      <c r="D206" s="2">
        <v>1</v>
      </c>
      <c r="E206" s="2">
        <v>1.889</v>
      </c>
      <c r="F206" s="2">
        <v>1</v>
      </c>
    </row>
    <row r="207" spans="1:6" ht="14.25" customHeight="1">
      <c r="A207" s="2">
        <v>32</v>
      </c>
      <c r="B207" s="2">
        <v>206</v>
      </c>
      <c r="C207" s="2">
        <v>5</v>
      </c>
      <c r="D207" s="2">
        <v>1</v>
      </c>
      <c r="E207" s="2">
        <v>1.248</v>
      </c>
      <c r="F207" s="2">
        <v>1</v>
      </c>
    </row>
    <row r="208" spans="1:6" ht="14.25" customHeight="1">
      <c r="A208" s="2">
        <v>32</v>
      </c>
      <c r="B208" s="2">
        <v>207</v>
      </c>
      <c r="C208" s="2">
        <v>2</v>
      </c>
      <c r="D208" s="2">
        <v>1</v>
      </c>
      <c r="E208" s="2">
        <v>1.002</v>
      </c>
      <c r="F208" s="2">
        <v>1</v>
      </c>
    </row>
    <row r="209" spans="1:6" ht="14.25" customHeight="1">
      <c r="A209" s="2">
        <v>32</v>
      </c>
      <c r="B209" s="2">
        <v>208</v>
      </c>
      <c r="C209" s="2">
        <v>4</v>
      </c>
      <c r="D209" s="2">
        <v>1</v>
      </c>
      <c r="E209" s="2">
        <v>0.52600000000000002</v>
      </c>
      <c r="F209" s="2">
        <v>2</v>
      </c>
    </row>
    <row r="210" spans="1:6" ht="14.25" customHeight="1">
      <c r="A210" s="2">
        <v>32</v>
      </c>
      <c r="B210" s="2">
        <v>209</v>
      </c>
      <c r="C210" s="2">
        <v>6</v>
      </c>
      <c r="D210" s="2">
        <v>1</v>
      </c>
      <c r="E210" s="2">
        <v>1.099</v>
      </c>
      <c r="F210" s="2">
        <v>2</v>
      </c>
    </row>
    <row r="211" spans="1:6" ht="14.25" customHeight="1">
      <c r="A211" s="2">
        <v>32</v>
      </c>
      <c r="B211" s="2">
        <v>210</v>
      </c>
      <c r="C211" s="2">
        <v>5</v>
      </c>
      <c r="D211" s="2">
        <v>1</v>
      </c>
      <c r="E211" s="2">
        <v>1.0720000000000001</v>
      </c>
      <c r="F211" s="2">
        <v>1</v>
      </c>
    </row>
    <row r="212" spans="1:6" ht="14.25" customHeight="1">
      <c r="A212" s="2">
        <v>32</v>
      </c>
      <c r="B212" s="2">
        <v>211</v>
      </c>
      <c r="C212" s="2">
        <v>3</v>
      </c>
      <c r="D212" s="2">
        <v>1</v>
      </c>
      <c r="E212" s="2">
        <v>0.69499999999999995</v>
      </c>
      <c r="F212" s="2">
        <v>2</v>
      </c>
    </row>
    <row r="213" spans="1:6" ht="14.25" customHeight="1">
      <c r="A213" s="2">
        <v>32</v>
      </c>
      <c r="B213" s="2">
        <v>212</v>
      </c>
      <c r="C213" s="2">
        <v>4</v>
      </c>
      <c r="D213" s="2">
        <v>1</v>
      </c>
      <c r="E213" s="2">
        <v>1.607</v>
      </c>
      <c r="F213" s="2">
        <v>1</v>
      </c>
    </row>
    <row r="214" spans="1:6" ht="14.25" customHeight="1">
      <c r="A214" s="2">
        <v>32</v>
      </c>
      <c r="B214" s="2">
        <v>213</v>
      </c>
      <c r="C214" s="2">
        <v>6</v>
      </c>
      <c r="D214" s="2">
        <v>1</v>
      </c>
      <c r="E214" s="2">
        <v>0.746</v>
      </c>
      <c r="F214" s="2">
        <v>2</v>
      </c>
    </row>
    <row r="215" spans="1:6" ht="14.25" customHeight="1">
      <c r="A215" s="2">
        <v>32</v>
      </c>
      <c r="B215" s="2">
        <v>214</v>
      </c>
      <c r="C215" s="2">
        <v>2</v>
      </c>
      <c r="D215" s="2">
        <v>1</v>
      </c>
      <c r="E215" s="2">
        <v>1.1080000000000001</v>
      </c>
      <c r="F215" s="2">
        <v>2</v>
      </c>
    </row>
    <row r="216" spans="1:6" ht="14.25" customHeight="1">
      <c r="A216" s="2">
        <v>32</v>
      </c>
      <c r="B216" s="2">
        <v>215</v>
      </c>
      <c r="C216" s="2">
        <v>8</v>
      </c>
      <c r="D216" s="2">
        <v>1</v>
      </c>
      <c r="E216" s="2">
        <v>1.8120000000000001</v>
      </c>
      <c r="F216" s="2">
        <v>1</v>
      </c>
    </row>
    <row r="217" spans="1:6" ht="14.25" customHeight="1">
      <c r="A217" s="2">
        <v>32</v>
      </c>
      <c r="B217" s="2">
        <v>216</v>
      </c>
      <c r="C217" s="2">
        <v>2</v>
      </c>
      <c r="D217" s="2">
        <v>1</v>
      </c>
      <c r="E217" s="2">
        <v>0.68400000000000005</v>
      </c>
      <c r="F217" s="2">
        <v>2</v>
      </c>
    </row>
    <row r="218" spans="1:6" ht="14.25" customHeight="1">
      <c r="A218" s="2">
        <v>32</v>
      </c>
      <c r="B218" s="2">
        <v>217</v>
      </c>
      <c r="C218" s="2">
        <v>4</v>
      </c>
      <c r="D218" s="2">
        <v>1</v>
      </c>
      <c r="E218" s="2">
        <v>0.71499999999999997</v>
      </c>
      <c r="F218" s="2">
        <v>2</v>
      </c>
    </row>
    <row r="219" spans="1:6" ht="14.25" customHeight="1">
      <c r="A219" s="2">
        <v>32</v>
      </c>
      <c r="B219" s="2">
        <v>218</v>
      </c>
      <c r="C219" s="2">
        <v>8</v>
      </c>
      <c r="D219" s="2">
        <v>0</v>
      </c>
      <c r="E219" s="2">
        <v>0.86599999999999999</v>
      </c>
      <c r="F219" s="2">
        <v>1</v>
      </c>
    </row>
    <row r="220" spans="1:6" ht="14.25" customHeight="1">
      <c r="A220" s="2">
        <v>32</v>
      </c>
      <c r="B220" s="2">
        <v>219</v>
      </c>
      <c r="C220" s="2">
        <v>6</v>
      </c>
      <c r="D220" s="2">
        <v>1</v>
      </c>
      <c r="E220" s="2">
        <v>0.67400000000000004</v>
      </c>
      <c r="F220" s="2">
        <v>1</v>
      </c>
    </row>
    <row r="221" spans="1:6" ht="14.25" customHeight="1">
      <c r="A221" s="2">
        <v>32</v>
      </c>
      <c r="B221" s="2">
        <v>220</v>
      </c>
      <c r="C221" s="2">
        <v>2</v>
      </c>
      <c r="D221" s="2">
        <v>1</v>
      </c>
      <c r="E221" s="2">
        <v>0.93799999999999994</v>
      </c>
      <c r="F221" s="2">
        <v>1</v>
      </c>
    </row>
    <row r="222" spans="1:6" ht="14.25" customHeight="1">
      <c r="A222" s="2">
        <v>32</v>
      </c>
      <c r="B222" s="2">
        <v>221</v>
      </c>
      <c r="C222" s="2">
        <v>3</v>
      </c>
      <c r="D222" s="2">
        <v>1</v>
      </c>
      <c r="E222" s="2">
        <v>0.81399999999999995</v>
      </c>
      <c r="F222" s="2">
        <v>2</v>
      </c>
    </row>
    <row r="223" spans="1:6" ht="14.25" customHeight="1">
      <c r="A223" s="2">
        <v>32</v>
      </c>
      <c r="B223" s="2">
        <v>222</v>
      </c>
      <c r="C223" s="2">
        <v>1</v>
      </c>
      <c r="D223" s="2">
        <v>1</v>
      </c>
      <c r="E223" s="2">
        <v>0.61699999999999999</v>
      </c>
      <c r="F223" s="2">
        <v>1</v>
      </c>
    </row>
    <row r="224" spans="1:6" ht="14.25" customHeight="1">
      <c r="A224" s="2">
        <v>32</v>
      </c>
      <c r="B224" s="2">
        <v>223</v>
      </c>
      <c r="C224" s="2">
        <v>5</v>
      </c>
      <c r="D224" s="2">
        <v>1</v>
      </c>
      <c r="E224" s="2">
        <v>1.2030000000000001</v>
      </c>
      <c r="F224" s="2">
        <v>2</v>
      </c>
    </row>
    <row r="225" spans="1:6" ht="14.25" customHeight="1">
      <c r="A225" s="2">
        <v>32</v>
      </c>
      <c r="B225" s="2">
        <v>224</v>
      </c>
      <c r="C225" s="2">
        <v>6</v>
      </c>
      <c r="D225" s="2">
        <v>1</v>
      </c>
      <c r="E225" s="2">
        <v>1.1890000000000001</v>
      </c>
      <c r="F225" s="2">
        <v>1</v>
      </c>
    </row>
    <row r="226" spans="1:6" ht="14.25" customHeight="1">
      <c r="A226" s="2">
        <v>32</v>
      </c>
      <c r="B226" s="2">
        <v>225</v>
      </c>
      <c r="C226" s="2">
        <v>5</v>
      </c>
      <c r="D226" s="2">
        <v>1</v>
      </c>
      <c r="E226" s="2">
        <v>0.83499999999999996</v>
      </c>
      <c r="F226" s="2">
        <v>1</v>
      </c>
    </row>
    <row r="227" spans="1:6" ht="14.25" customHeight="1">
      <c r="A227" s="2">
        <v>32</v>
      </c>
      <c r="B227" s="2">
        <v>226</v>
      </c>
      <c r="C227" s="2">
        <v>7</v>
      </c>
      <c r="D227" s="2">
        <v>1</v>
      </c>
      <c r="E227" s="2">
        <v>0.59299999999999997</v>
      </c>
      <c r="F227" s="2">
        <v>1</v>
      </c>
    </row>
    <row r="228" spans="1:6" ht="14.25" customHeight="1">
      <c r="A228" s="2">
        <v>32</v>
      </c>
      <c r="B228" s="2">
        <v>227</v>
      </c>
      <c r="C228" s="2">
        <v>3</v>
      </c>
      <c r="D228" s="2">
        <v>1</v>
      </c>
      <c r="E228" s="2">
        <v>1.0369999999999999</v>
      </c>
      <c r="F228" s="2">
        <v>2</v>
      </c>
    </row>
    <row r="229" spans="1:6" ht="14.25" customHeight="1">
      <c r="A229" s="2">
        <v>32</v>
      </c>
      <c r="B229" s="2">
        <v>228</v>
      </c>
      <c r="C229" s="2">
        <v>1</v>
      </c>
      <c r="D229" s="2">
        <v>1</v>
      </c>
      <c r="E229" s="2">
        <v>0.83</v>
      </c>
      <c r="F229" s="2">
        <v>2</v>
      </c>
    </row>
    <row r="230" spans="1:6" ht="14.25" customHeight="1">
      <c r="A230" s="2">
        <v>32</v>
      </c>
      <c r="B230" s="2">
        <v>229</v>
      </c>
      <c r="C230" s="2">
        <v>8</v>
      </c>
      <c r="D230" s="2">
        <v>1</v>
      </c>
      <c r="E230" s="2">
        <v>0.64700000000000002</v>
      </c>
      <c r="F230" s="2">
        <v>2</v>
      </c>
    </row>
    <row r="231" spans="1:6" ht="14.25" customHeight="1">
      <c r="A231" s="2">
        <v>32</v>
      </c>
      <c r="B231" s="2">
        <v>230</v>
      </c>
      <c r="C231" s="2">
        <v>1</v>
      </c>
      <c r="D231" s="2">
        <v>0</v>
      </c>
      <c r="E231" s="2">
        <v>1.0109999999999999</v>
      </c>
      <c r="F231" s="2">
        <v>1</v>
      </c>
    </row>
    <row r="232" spans="1:6" ht="14.25" customHeight="1">
      <c r="A232" s="2">
        <v>32</v>
      </c>
      <c r="B232" s="2">
        <v>231</v>
      </c>
      <c r="C232" s="2">
        <v>4</v>
      </c>
      <c r="D232" s="2">
        <v>1</v>
      </c>
      <c r="E232" s="2">
        <v>0.996</v>
      </c>
      <c r="F232" s="2">
        <v>1</v>
      </c>
    </row>
    <row r="233" spans="1:6" ht="14.25" customHeight="1">
      <c r="A233" s="2">
        <v>32</v>
      </c>
      <c r="B233" s="2">
        <v>232</v>
      </c>
      <c r="C233" s="2">
        <v>7</v>
      </c>
      <c r="D233" s="2">
        <v>1</v>
      </c>
      <c r="E233" s="2">
        <v>1.137</v>
      </c>
      <c r="F233" s="2">
        <v>2</v>
      </c>
    </row>
    <row r="234" spans="1:6" ht="14.25" customHeight="1">
      <c r="A234" s="2">
        <v>32</v>
      </c>
      <c r="B234" s="2">
        <v>233</v>
      </c>
      <c r="C234" s="2">
        <v>8</v>
      </c>
      <c r="D234" s="2">
        <v>1</v>
      </c>
      <c r="E234" s="2">
        <v>1.196</v>
      </c>
      <c r="F234" s="2">
        <v>1</v>
      </c>
    </row>
    <row r="235" spans="1:6" ht="14.25" customHeight="1">
      <c r="A235" s="2">
        <v>32</v>
      </c>
      <c r="B235" s="2">
        <v>234</v>
      </c>
      <c r="C235" s="2">
        <v>3</v>
      </c>
      <c r="D235" s="2">
        <v>1</v>
      </c>
      <c r="E235" s="2">
        <v>1.0329999999999999</v>
      </c>
      <c r="F235" s="2">
        <v>2</v>
      </c>
    </row>
    <row r="236" spans="1:6" ht="14.25" customHeight="1">
      <c r="A236" s="2">
        <v>32</v>
      </c>
      <c r="B236" s="2">
        <v>235</v>
      </c>
      <c r="C236" s="2">
        <v>7</v>
      </c>
      <c r="D236" s="2">
        <v>1</v>
      </c>
      <c r="E236" s="2">
        <v>0.72899999999999998</v>
      </c>
      <c r="F236" s="2">
        <v>2</v>
      </c>
    </row>
    <row r="237" spans="1:6" ht="14.25" customHeight="1">
      <c r="A237" s="2">
        <v>32</v>
      </c>
      <c r="B237" s="2">
        <v>236</v>
      </c>
      <c r="C237" s="2">
        <v>6</v>
      </c>
      <c r="D237" s="2">
        <v>1</v>
      </c>
      <c r="E237" s="2">
        <v>1.1359999999999999</v>
      </c>
      <c r="F237" s="2">
        <v>2</v>
      </c>
    </row>
    <row r="238" spans="1:6" ht="14.25" customHeight="1">
      <c r="A238" s="2">
        <v>32</v>
      </c>
      <c r="B238" s="2">
        <v>237</v>
      </c>
      <c r="C238" s="2">
        <v>4</v>
      </c>
      <c r="D238" s="2">
        <v>1</v>
      </c>
      <c r="E238" s="2">
        <v>0.73199999999999998</v>
      </c>
      <c r="F238" s="2">
        <v>2</v>
      </c>
    </row>
    <row r="239" spans="1:6" ht="14.25" customHeight="1">
      <c r="A239" s="2">
        <v>32</v>
      </c>
      <c r="B239" s="2">
        <v>238</v>
      </c>
      <c r="C239" s="2">
        <v>6</v>
      </c>
      <c r="D239" s="2">
        <v>1</v>
      </c>
      <c r="E239" s="2">
        <v>1.2729999999999999</v>
      </c>
      <c r="F239" s="2">
        <v>1</v>
      </c>
    </row>
    <row r="240" spans="1:6" ht="14.25" customHeight="1">
      <c r="A240" s="2">
        <v>32</v>
      </c>
      <c r="B240" s="2">
        <v>239</v>
      </c>
      <c r="C240" s="2">
        <v>8</v>
      </c>
      <c r="D240" s="2">
        <v>1</v>
      </c>
      <c r="E240" s="2">
        <v>1.036</v>
      </c>
      <c r="F240" s="2">
        <v>2</v>
      </c>
    </row>
    <row r="241" spans="1:6" ht="14.25" customHeight="1">
      <c r="A241" s="2">
        <v>32</v>
      </c>
      <c r="B241" s="2">
        <v>240</v>
      </c>
      <c r="C241" s="2">
        <v>1</v>
      </c>
      <c r="D241" s="2">
        <v>1</v>
      </c>
      <c r="E241" s="2">
        <v>0.94</v>
      </c>
      <c r="F241" s="2">
        <v>1</v>
      </c>
    </row>
    <row r="242" spans="1:6" ht="14.25" customHeight="1">
      <c r="A242" s="2">
        <v>32</v>
      </c>
      <c r="B242" s="2">
        <v>241</v>
      </c>
      <c r="C242" s="2">
        <v>2</v>
      </c>
      <c r="D242" s="2">
        <v>1</v>
      </c>
      <c r="E242" s="2">
        <v>1.8149999999999999</v>
      </c>
      <c r="F242" s="2">
        <v>1</v>
      </c>
    </row>
    <row r="243" spans="1:6" ht="14.25" customHeight="1">
      <c r="A243" s="2">
        <v>32</v>
      </c>
      <c r="B243" s="2">
        <v>242</v>
      </c>
      <c r="C243" s="2">
        <v>3</v>
      </c>
      <c r="D243" s="2">
        <v>1</v>
      </c>
      <c r="E243" s="2">
        <v>0.96899999999999997</v>
      </c>
      <c r="F243" s="2">
        <v>2</v>
      </c>
    </row>
    <row r="244" spans="1:6" ht="14.25" customHeight="1">
      <c r="A244" s="2">
        <v>32</v>
      </c>
      <c r="B244" s="2">
        <v>243</v>
      </c>
      <c r="C244" s="2">
        <v>8</v>
      </c>
      <c r="D244" s="2">
        <v>1</v>
      </c>
      <c r="E244" s="2">
        <v>0.53400000000000003</v>
      </c>
      <c r="F244" s="2">
        <v>1</v>
      </c>
    </row>
    <row r="245" spans="1:6" ht="14.25" customHeight="1">
      <c r="A245" s="2">
        <v>32</v>
      </c>
      <c r="B245" s="2">
        <v>244</v>
      </c>
      <c r="C245" s="2">
        <v>7</v>
      </c>
      <c r="D245" s="2">
        <v>1</v>
      </c>
      <c r="E245" s="2">
        <v>0.70699999999999996</v>
      </c>
      <c r="F245" s="2">
        <v>2</v>
      </c>
    </row>
    <row r="246" spans="1:6" ht="14.25" customHeight="1">
      <c r="A246" s="2">
        <v>32</v>
      </c>
      <c r="B246" s="2">
        <v>245</v>
      </c>
      <c r="C246" s="2">
        <v>6</v>
      </c>
      <c r="D246" s="2">
        <v>1</v>
      </c>
      <c r="E246" s="2">
        <v>1.0740000000000001</v>
      </c>
      <c r="F246" s="2">
        <v>1</v>
      </c>
    </row>
    <row r="247" spans="1:6" ht="14.25" customHeight="1">
      <c r="A247" s="2">
        <v>32</v>
      </c>
      <c r="B247" s="2">
        <v>246</v>
      </c>
      <c r="C247" s="2">
        <v>2</v>
      </c>
      <c r="D247" s="2">
        <v>1</v>
      </c>
      <c r="E247" s="2">
        <v>1.353</v>
      </c>
      <c r="F247" s="2">
        <v>1</v>
      </c>
    </row>
    <row r="248" spans="1:6" ht="14.25" customHeight="1">
      <c r="A248" s="2">
        <v>32</v>
      </c>
      <c r="B248" s="2">
        <v>247</v>
      </c>
      <c r="C248" s="2">
        <v>5</v>
      </c>
      <c r="D248" s="2">
        <v>1</v>
      </c>
      <c r="E248" s="2">
        <v>0.86399999999999999</v>
      </c>
      <c r="F248" s="2">
        <v>2</v>
      </c>
    </row>
    <row r="249" spans="1:6" ht="14.25" customHeight="1">
      <c r="A249" s="2">
        <v>32</v>
      </c>
      <c r="B249" s="2">
        <v>248</v>
      </c>
      <c r="C249" s="2">
        <v>3</v>
      </c>
      <c r="D249" s="2">
        <v>1</v>
      </c>
      <c r="E249" s="2">
        <v>0.71199999999999997</v>
      </c>
      <c r="F249" s="2">
        <v>1</v>
      </c>
    </row>
    <row r="250" spans="1:6" ht="14.25" customHeight="1">
      <c r="A250" s="2">
        <v>32</v>
      </c>
      <c r="B250" s="2">
        <v>249</v>
      </c>
      <c r="C250" s="2">
        <v>1</v>
      </c>
      <c r="D250" s="2">
        <v>1</v>
      </c>
      <c r="E250" s="2">
        <v>0.60299999999999998</v>
      </c>
      <c r="F250" s="2">
        <v>1</v>
      </c>
    </row>
    <row r="251" spans="1:6" ht="14.25" customHeight="1">
      <c r="A251" s="2">
        <v>32</v>
      </c>
      <c r="B251" s="2">
        <v>250</v>
      </c>
      <c r="C251" s="2">
        <v>7</v>
      </c>
      <c r="D251" s="2">
        <v>0</v>
      </c>
      <c r="E251" s="2">
        <v>0.621</v>
      </c>
      <c r="F251" s="2">
        <v>1</v>
      </c>
    </row>
    <row r="252" spans="1:6" ht="14.25" customHeight="1">
      <c r="A252" s="2">
        <v>32</v>
      </c>
      <c r="B252" s="2">
        <v>251</v>
      </c>
      <c r="C252" s="2">
        <v>8</v>
      </c>
      <c r="D252" s="2">
        <v>1</v>
      </c>
      <c r="E252" s="2">
        <v>1.1160000000000001</v>
      </c>
    </row>
    <row r="253" spans="1:6" ht="14.25" customHeight="1">
      <c r="A253" s="2">
        <v>32</v>
      </c>
      <c r="B253" s="2">
        <v>252</v>
      </c>
      <c r="C253" s="2">
        <v>3</v>
      </c>
      <c r="D253" s="2">
        <v>1</v>
      </c>
      <c r="E253" s="2">
        <v>0.46</v>
      </c>
    </row>
    <row r="254" spans="1:6" ht="14.25" customHeight="1">
      <c r="A254" s="2">
        <v>32</v>
      </c>
      <c r="B254" s="2">
        <v>253</v>
      </c>
      <c r="C254" s="2">
        <v>4</v>
      </c>
      <c r="D254" s="2">
        <v>1</v>
      </c>
      <c r="E254" s="2">
        <v>1.2350000000000001</v>
      </c>
    </row>
    <row r="255" spans="1:6" ht="14.25" customHeight="1">
      <c r="A255" s="2">
        <v>32</v>
      </c>
      <c r="B255" s="2">
        <v>254</v>
      </c>
      <c r="C255" s="2">
        <v>5</v>
      </c>
      <c r="D255" s="2">
        <v>1</v>
      </c>
      <c r="E255" s="2">
        <v>0.53300000000000003</v>
      </c>
    </row>
    <row r="256" spans="1:6" ht="14.25" customHeight="1">
      <c r="A256" s="2">
        <v>32</v>
      </c>
      <c r="B256" s="2">
        <v>255</v>
      </c>
      <c r="C256" s="2">
        <v>8</v>
      </c>
      <c r="D256" s="2">
        <v>1</v>
      </c>
      <c r="E256" s="2">
        <v>1.0820000000000001</v>
      </c>
    </row>
    <row r="257" spans="1:5" ht="14.25" customHeight="1">
      <c r="A257" s="2">
        <v>32</v>
      </c>
      <c r="B257" s="2">
        <v>256</v>
      </c>
      <c r="C257" s="2">
        <v>4</v>
      </c>
      <c r="D257" s="2">
        <v>1</v>
      </c>
      <c r="E257" s="2">
        <v>0.77900000000000003</v>
      </c>
    </row>
    <row r="258" spans="1:5" ht="14.25" customHeight="1">
      <c r="A258" s="2">
        <v>32</v>
      </c>
      <c r="B258" s="2">
        <v>257</v>
      </c>
      <c r="C258" s="2">
        <v>1</v>
      </c>
      <c r="D258" s="2">
        <v>1</v>
      </c>
      <c r="E258" s="2">
        <v>0.73299999999999998</v>
      </c>
    </row>
    <row r="259" spans="1:5" ht="14.25" customHeight="1">
      <c r="A259" s="2">
        <v>32</v>
      </c>
      <c r="B259" s="2">
        <v>258</v>
      </c>
      <c r="C259" s="2">
        <v>7</v>
      </c>
      <c r="D259" s="2">
        <v>1</v>
      </c>
      <c r="E259" s="2">
        <v>0.49199999999999999</v>
      </c>
    </row>
    <row r="260" spans="1:5" ht="14.25" customHeight="1">
      <c r="A260" s="2">
        <v>32</v>
      </c>
      <c r="B260" s="2">
        <v>259</v>
      </c>
      <c r="C260" s="2">
        <v>5</v>
      </c>
      <c r="D260" s="2">
        <v>1</v>
      </c>
      <c r="E260" s="2">
        <v>1.042</v>
      </c>
    </row>
    <row r="261" spans="1:5" ht="14.25" customHeight="1">
      <c r="A261" s="2">
        <v>32</v>
      </c>
      <c r="B261" s="2">
        <v>260</v>
      </c>
      <c r="C261" s="2">
        <v>6</v>
      </c>
      <c r="D261" s="2">
        <v>1</v>
      </c>
      <c r="E261" s="2">
        <v>0.71399999999999997</v>
      </c>
    </row>
    <row r="262" spans="1:5" ht="14.25" customHeight="1">
      <c r="A262" s="2">
        <v>32</v>
      </c>
      <c r="B262" s="2">
        <v>261</v>
      </c>
      <c r="C262" s="2">
        <v>8</v>
      </c>
      <c r="D262" s="2">
        <v>1</v>
      </c>
      <c r="E262" s="2">
        <v>0.77700000000000002</v>
      </c>
    </row>
    <row r="263" spans="1:5" ht="14.25" customHeight="1">
      <c r="A263" s="2">
        <v>32</v>
      </c>
      <c r="B263" s="2">
        <v>262</v>
      </c>
      <c r="C263" s="2">
        <v>2</v>
      </c>
      <c r="D263" s="2">
        <v>1</v>
      </c>
      <c r="E263" s="2">
        <v>1.0580000000000001</v>
      </c>
    </row>
    <row r="264" spans="1:5" ht="14.25" customHeight="1">
      <c r="A264" s="2">
        <v>32</v>
      </c>
      <c r="B264" s="2">
        <v>263</v>
      </c>
      <c r="C264" s="2">
        <v>7</v>
      </c>
      <c r="D264" s="2">
        <v>1</v>
      </c>
      <c r="E264" s="2">
        <v>0.72199999999999998</v>
      </c>
    </row>
    <row r="265" spans="1:5" ht="14.25" customHeight="1">
      <c r="A265" s="2">
        <v>32</v>
      </c>
      <c r="B265" s="2">
        <v>264</v>
      </c>
      <c r="C265" s="2">
        <v>6</v>
      </c>
      <c r="D265" s="2">
        <v>1</v>
      </c>
      <c r="E265" s="2">
        <v>1.2809999999999999</v>
      </c>
    </row>
    <row r="266" spans="1:5" ht="14.25" customHeight="1">
      <c r="A266" s="2">
        <v>32</v>
      </c>
      <c r="B266" s="2">
        <v>265</v>
      </c>
      <c r="C266" s="2">
        <v>3</v>
      </c>
      <c r="D266" s="2">
        <v>1</v>
      </c>
      <c r="E266" s="2">
        <v>1.3360000000000001</v>
      </c>
    </row>
    <row r="267" spans="1:5" ht="14.25" customHeight="1">
      <c r="A267" s="2">
        <v>32</v>
      </c>
      <c r="B267" s="2">
        <v>266</v>
      </c>
      <c r="C267" s="2">
        <v>2</v>
      </c>
      <c r="D267" s="2">
        <v>1</v>
      </c>
      <c r="E267" s="2">
        <v>0.78100000000000003</v>
      </c>
    </row>
    <row r="268" spans="1:5" ht="14.25" customHeight="1">
      <c r="A268" s="2">
        <v>32</v>
      </c>
      <c r="B268" s="2">
        <v>267</v>
      </c>
      <c r="C268" s="2">
        <v>3</v>
      </c>
      <c r="D268" s="2">
        <v>1</v>
      </c>
      <c r="E268" s="2">
        <v>0.71299999999999997</v>
      </c>
    </row>
    <row r="269" spans="1:5" ht="14.25" customHeight="1">
      <c r="A269" s="2">
        <v>32</v>
      </c>
      <c r="B269" s="2">
        <v>268</v>
      </c>
      <c r="C269" s="2">
        <v>2</v>
      </c>
      <c r="D269" s="2">
        <v>1</v>
      </c>
      <c r="E269" s="2">
        <v>1.6240000000000001</v>
      </c>
    </row>
    <row r="270" spans="1:5" ht="14.25" customHeight="1">
      <c r="A270" s="2">
        <v>32</v>
      </c>
      <c r="B270" s="2">
        <v>269</v>
      </c>
      <c r="C270" s="2">
        <v>1</v>
      </c>
      <c r="D270" s="2">
        <v>1</v>
      </c>
      <c r="E270" s="2">
        <v>0.873</v>
      </c>
    </row>
    <row r="271" spans="1:5" ht="14.25" customHeight="1">
      <c r="A271" s="2">
        <v>32</v>
      </c>
      <c r="B271" s="2">
        <v>270</v>
      </c>
      <c r="C271" s="2">
        <v>7</v>
      </c>
      <c r="D271" s="2">
        <v>1</v>
      </c>
      <c r="E271" s="2">
        <v>0.66300000000000003</v>
      </c>
    </row>
    <row r="272" spans="1:5" ht="14.25" customHeight="1">
      <c r="A272" s="2">
        <v>32</v>
      </c>
      <c r="B272" s="2">
        <v>271</v>
      </c>
      <c r="C272" s="2">
        <v>4</v>
      </c>
      <c r="D272" s="2">
        <v>1</v>
      </c>
      <c r="E272" s="2">
        <v>0.76700000000000002</v>
      </c>
    </row>
    <row r="273" spans="1:5" ht="14.25" customHeight="1">
      <c r="A273" s="2">
        <v>32</v>
      </c>
      <c r="B273" s="2">
        <v>272</v>
      </c>
      <c r="C273" s="2">
        <v>6</v>
      </c>
      <c r="D273" s="2">
        <v>1</v>
      </c>
      <c r="E273" s="2">
        <v>0.66700000000000004</v>
      </c>
    </row>
    <row r="274" spans="1:5" ht="14.25" customHeight="1">
      <c r="A274" s="2">
        <v>32</v>
      </c>
      <c r="B274" s="2">
        <v>273</v>
      </c>
      <c r="C274" s="2">
        <v>3</v>
      </c>
      <c r="D274" s="2">
        <v>1</v>
      </c>
      <c r="E274" s="2">
        <v>1.1240000000000001</v>
      </c>
    </row>
    <row r="275" spans="1:5" ht="14.25" customHeight="1">
      <c r="A275" s="2">
        <v>32</v>
      </c>
      <c r="B275" s="2">
        <v>274</v>
      </c>
      <c r="C275" s="2">
        <v>2</v>
      </c>
      <c r="D275" s="2">
        <v>1</v>
      </c>
      <c r="E275" s="2">
        <v>1.1299999999999999</v>
      </c>
    </row>
    <row r="276" spans="1:5" ht="14.25" customHeight="1">
      <c r="A276" s="2">
        <v>32</v>
      </c>
      <c r="B276" s="2">
        <v>275</v>
      </c>
      <c r="C276" s="2">
        <v>8</v>
      </c>
      <c r="D276" s="2">
        <v>1</v>
      </c>
      <c r="E276" s="2">
        <v>0.94199999999999995</v>
      </c>
    </row>
    <row r="277" spans="1:5" ht="14.25" customHeight="1">
      <c r="A277" s="2">
        <v>32</v>
      </c>
      <c r="B277" s="2">
        <v>276</v>
      </c>
      <c r="C277" s="2">
        <v>3</v>
      </c>
      <c r="D277" s="2">
        <v>1</v>
      </c>
      <c r="E277" s="2">
        <v>0.55500000000000005</v>
      </c>
    </row>
    <row r="278" spans="1:5" ht="14.25" customHeight="1">
      <c r="A278" s="2">
        <v>32</v>
      </c>
      <c r="B278" s="2">
        <v>277</v>
      </c>
      <c r="C278" s="2">
        <v>6</v>
      </c>
      <c r="D278" s="2">
        <v>1</v>
      </c>
      <c r="E278" s="2">
        <v>1.016</v>
      </c>
    </row>
    <row r="279" spans="1:5" ht="14.25" customHeight="1">
      <c r="A279" s="2">
        <v>32</v>
      </c>
      <c r="B279" s="2">
        <v>278</v>
      </c>
      <c r="C279" s="2">
        <v>1</v>
      </c>
      <c r="D279" s="2">
        <v>1</v>
      </c>
      <c r="E279" s="2">
        <v>0.85099999999999998</v>
      </c>
    </row>
    <row r="280" spans="1:5" ht="14.25" customHeight="1">
      <c r="A280" s="2">
        <v>32</v>
      </c>
      <c r="B280" s="2">
        <v>279</v>
      </c>
      <c r="C280" s="2">
        <v>4</v>
      </c>
      <c r="D280" s="2">
        <v>1</v>
      </c>
      <c r="E280" s="2">
        <v>0.58699999999999997</v>
      </c>
    </row>
    <row r="281" spans="1:5" ht="14.25" customHeight="1">
      <c r="A281" s="2">
        <v>32</v>
      </c>
      <c r="B281" s="2">
        <v>280</v>
      </c>
      <c r="C281" s="2">
        <v>1</v>
      </c>
      <c r="D281" s="2">
        <v>1</v>
      </c>
      <c r="E281" s="2">
        <v>0.998</v>
      </c>
    </row>
    <row r="282" spans="1:5" ht="14.25" customHeight="1">
      <c r="A282" s="2">
        <v>32</v>
      </c>
      <c r="B282" s="2">
        <v>281</v>
      </c>
      <c r="C282" s="2">
        <v>6</v>
      </c>
      <c r="D282" s="2">
        <v>1</v>
      </c>
      <c r="E282" s="2">
        <v>0.86399999999999999</v>
      </c>
    </row>
    <row r="283" spans="1:5" ht="14.25" customHeight="1">
      <c r="A283" s="2">
        <v>32</v>
      </c>
      <c r="B283" s="2">
        <v>282</v>
      </c>
      <c r="C283" s="2">
        <v>1</v>
      </c>
      <c r="D283" s="2">
        <v>1</v>
      </c>
      <c r="E283" s="2">
        <v>1.032</v>
      </c>
    </row>
    <row r="284" spans="1:5" ht="14.25" customHeight="1">
      <c r="A284" s="2">
        <v>32</v>
      </c>
      <c r="B284" s="2">
        <v>283</v>
      </c>
      <c r="C284" s="2">
        <v>4</v>
      </c>
      <c r="D284" s="2">
        <v>1</v>
      </c>
      <c r="E284" s="2">
        <v>1.083</v>
      </c>
    </row>
    <row r="285" spans="1:5" ht="14.25" customHeight="1">
      <c r="A285" s="2">
        <v>32</v>
      </c>
      <c r="B285" s="2">
        <v>284</v>
      </c>
      <c r="C285" s="2">
        <v>3</v>
      </c>
      <c r="D285" s="2">
        <v>1</v>
      </c>
      <c r="E285" s="2">
        <v>1.0640000000000001</v>
      </c>
    </row>
    <row r="286" spans="1:5" ht="14.25" customHeight="1">
      <c r="A286" s="2">
        <v>32</v>
      </c>
      <c r="B286" s="2">
        <v>285</v>
      </c>
      <c r="C286" s="2">
        <v>4</v>
      </c>
      <c r="D286" s="2">
        <v>1</v>
      </c>
      <c r="E286" s="2">
        <v>0.77600000000000002</v>
      </c>
    </row>
    <row r="287" spans="1:5" ht="14.25" customHeight="1">
      <c r="A287" s="2">
        <v>32</v>
      </c>
      <c r="B287" s="2">
        <v>286</v>
      </c>
      <c r="C287" s="2">
        <v>5</v>
      </c>
      <c r="D287" s="2">
        <v>1</v>
      </c>
      <c r="E287" s="2">
        <v>0.92500000000000004</v>
      </c>
    </row>
    <row r="288" spans="1:5" ht="14.25" customHeight="1">
      <c r="A288" s="2">
        <v>32</v>
      </c>
      <c r="B288" s="2">
        <v>287</v>
      </c>
      <c r="C288" s="2">
        <v>8</v>
      </c>
      <c r="D288" s="2">
        <v>1</v>
      </c>
      <c r="E288" s="2">
        <v>0.624</v>
      </c>
    </row>
    <row r="289" spans="1:5" ht="14.25" customHeight="1">
      <c r="A289" s="2">
        <v>32</v>
      </c>
      <c r="B289" s="2">
        <v>288</v>
      </c>
      <c r="C289" s="2">
        <v>5</v>
      </c>
      <c r="D289" s="2">
        <v>1</v>
      </c>
      <c r="E289" s="2">
        <v>0.98</v>
      </c>
    </row>
    <row r="290" spans="1:5" ht="14.25" customHeight="1">
      <c r="A290" s="2">
        <v>32</v>
      </c>
      <c r="B290" s="2">
        <v>289</v>
      </c>
      <c r="C290" s="2">
        <v>1</v>
      </c>
      <c r="D290" s="2">
        <v>1</v>
      </c>
      <c r="E290" s="2">
        <v>0.877</v>
      </c>
    </row>
    <row r="291" spans="1:5" ht="14.25" customHeight="1">
      <c r="A291" s="2">
        <v>32</v>
      </c>
      <c r="B291" s="2">
        <v>290</v>
      </c>
      <c r="C291" s="2">
        <v>5</v>
      </c>
      <c r="D291" s="2">
        <v>1</v>
      </c>
      <c r="E291" s="2">
        <v>1.02</v>
      </c>
    </row>
    <row r="292" spans="1:5" ht="14.25" customHeight="1">
      <c r="A292" s="2">
        <v>32</v>
      </c>
      <c r="B292" s="2">
        <v>291</v>
      </c>
      <c r="C292" s="2">
        <v>6</v>
      </c>
      <c r="D292" s="2">
        <v>0</v>
      </c>
      <c r="E292" s="2">
        <v>1.0629999999999999</v>
      </c>
    </row>
    <row r="293" spans="1:5" ht="14.25" customHeight="1">
      <c r="A293" s="2">
        <v>32</v>
      </c>
      <c r="B293" s="2">
        <v>292</v>
      </c>
      <c r="C293" s="2">
        <v>2</v>
      </c>
      <c r="D293" s="2">
        <v>1</v>
      </c>
      <c r="E293" s="2">
        <v>0.93400000000000005</v>
      </c>
    </row>
    <row r="294" spans="1:5" ht="14.25" customHeight="1">
      <c r="A294" s="2">
        <v>32</v>
      </c>
      <c r="B294" s="2">
        <v>293</v>
      </c>
      <c r="C294" s="2">
        <v>3</v>
      </c>
      <c r="D294" s="2">
        <v>1</v>
      </c>
      <c r="E294" s="2">
        <v>0.60599999999999998</v>
      </c>
    </row>
    <row r="295" spans="1:5" ht="14.25" customHeight="1">
      <c r="A295" s="2">
        <v>32</v>
      </c>
      <c r="B295" s="2">
        <v>294</v>
      </c>
      <c r="C295" s="2">
        <v>2</v>
      </c>
      <c r="D295" s="2">
        <v>1</v>
      </c>
      <c r="E295" s="2">
        <v>0.74299999999999999</v>
      </c>
    </row>
    <row r="296" spans="1:5" ht="14.25" customHeight="1">
      <c r="A296" s="2">
        <v>32</v>
      </c>
      <c r="B296" s="2">
        <v>295</v>
      </c>
      <c r="C296" s="2">
        <v>7</v>
      </c>
      <c r="D296" s="2">
        <v>1</v>
      </c>
      <c r="E296" s="2">
        <v>1.331</v>
      </c>
    </row>
    <row r="297" spans="1:5" ht="14.25" customHeight="1">
      <c r="A297" s="2">
        <v>32</v>
      </c>
      <c r="B297" s="2">
        <v>296</v>
      </c>
      <c r="C297" s="2">
        <v>6</v>
      </c>
      <c r="D297" s="2">
        <v>1</v>
      </c>
      <c r="E297" s="2">
        <v>0.83199999999999996</v>
      </c>
    </row>
    <row r="298" spans="1:5" ht="14.25" customHeight="1">
      <c r="A298" s="2">
        <v>32</v>
      </c>
      <c r="B298" s="2">
        <v>297</v>
      </c>
      <c r="C298" s="2">
        <v>7</v>
      </c>
      <c r="D298" s="2">
        <v>1</v>
      </c>
      <c r="E298" s="2">
        <v>0.68100000000000005</v>
      </c>
    </row>
    <row r="299" spans="1:5" ht="14.25" customHeight="1">
      <c r="A299" s="2">
        <v>32</v>
      </c>
      <c r="B299" s="2">
        <v>298</v>
      </c>
      <c r="C299" s="2">
        <v>8</v>
      </c>
      <c r="D299" s="2">
        <v>1</v>
      </c>
      <c r="E299" s="2">
        <v>0.63300000000000001</v>
      </c>
    </row>
    <row r="300" spans="1:5" ht="14.25" customHeight="1">
      <c r="A300" s="2">
        <v>32</v>
      </c>
      <c r="B300" s="2">
        <v>299</v>
      </c>
      <c r="C300" s="2">
        <v>7</v>
      </c>
      <c r="D300" s="2">
        <v>1</v>
      </c>
      <c r="E300" s="2">
        <v>0.60899999999999999</v>
      </c>
    </row>
    <row r="301" spans="1:5" ht="14.25" customHeight="1">
      <c r="A301" s="2">
        <v>32</v>
      </c>
      <c r="B301" s="2">
        <v>300</v>
      </c>
      <c r="C301" s="2">
        <v>5</v>
      </c>
      <c r="D301" s="2">
        <v>0</v>
      </c>
      <c r="E301" s="2">
        <v>0.60299999999999998</v>
      </c>
    </row>
    <row r="302" spans="1:5" ht="14.25" customHeight="1"/>
    <row r="303" spans="1:5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5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33</v>
      </c>
      <c r="I1" s="2">
        <v>1</v>
      </c>
      <c r="J1" s="2">
        <v>2</v>
      </c>
      <c r="L1" s="2">
        <v>2.0009999999999999</v>
      </c>
    </row>
    <row r="2" spans="1:25" ht="14.25" customHeight="1">
      <c r="A2" s="2">
        <v>33</v>
      </c>
      <c r="B2" s="2">
        <v>1</v>
      </c>
      <c r="C2" s="2">
        <v>2</v>
      </c>
      <c r="E2" s="2">
        <v>2.0009999999999999</v>
      </c>
      <c r="H2" s="2">
        <v>33</v>
      </c>
      <c r="I2" s="2">
        <v>2</v>
      </c>
      <c r="J2" s="2">
        <v>4</v>
      </c>
      <c r="K2" s="2">
        <v>0</v>
      </c>
      <c r="L2" s="2">
        <v>1.1459999999999999</v>
      </c>
      <c r="M2" s="2">
        <v>1</v>
      </c>
    </row>
    <row r="3" spans="1:25" ht="14.25" customHeight="1">
      <c r="A3" s="2">
        <v>33</v>
      </c>
      <c r="B3" s="2">
        <v>2</v>
      </c>
      <c r="C3" s="2">
        <v>4</v>
      </c>
      <c r="D3" s="2">
        <v>0</v>
      </c>
      <c r="E3" s="2">
        <v>1.1459999999999999</v>
      </c>
      <c r="F3" s="2">
        <v>1</v>
      </c>
      <c r="H3" s="2">
        <v>33</v>
      </c>
      <c r="I3" s="2">
        <v>3</v>
      </c>
      <c r="J3" s="2">
        <v>6</v>
      </c>
      <c r="K3" s="2">
        <v>1</v>
      </c>
      <c r="L3" s="2">
        <v>1.2949999999999999</v>
      </c>
      <c r="M3" s="2">
        <v>1</v>
      </c>
    </row>
    <row r="4" spans="1:25" ht="14.25" customHeight="1">
      <c r="A4" s="2">
        <v>33</v>
      </c>
      <c r="B4" s="2">
        <v>3</v>
      </c>
      <c r="C4" s="2">
        <v>6</v>
      </c>
      <c r="D4" s="2">
        <v>1</v>
      </c>
      <c r="E4" s="2">
        <v>1.2949999999999999</v>
      </c>
      <c r="F4" s="2">
        <v>1</v>
      </c>
      <c r="H4" s="2">
        <v>33</v>
      </c>
      <c r="I4" s="2">
        <v>4</v>
      </c>
      <c r="J4" s="2">
        <v>8</v>
      </c>
      <c r="K4" s="2">
        <v>1</v>
      </c>
      <c r="L4" s="2">
        <v>0.70599999999999996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33</v>
      </c>
      <c r="B5" s="2">
        <v>4</v>
      </c>
      <c r="C5" s="2">
        <v>8</v>
      </c>
      <c r="D5" s="2">
        <v>1</v>
      </c>
      <c r="E5" s="2">
        <v>0.70599999999999996</v>
      </c>
      <c r="F5" s="2">
        <v>2</v>
      </c>
      <c r="H5" s="2">
        <v>33</v>
      </c>
      <c r="I5" s="2">
        <v>5</v>
      </c>
      <c r="J5" s="2">
        <v>6</v>
      </c>
      <c r="K5" s="2">
        <v>1</v>
      </c>
      <c r="L5" s="2">
        <v>1.278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33</v>
      </c>
      <c r="B6" s="2">
        <v>5</v>
      </c>
      <c r="C6" s="2">
        <v>6</v>
      </c>
      <c r="D6" s="2">
        <v>1</v>
      </c>
      <c r="E6" s="2">
        <v>1.278</v>
      </c>
      <c r="F6" s="2">
        <v>1</v>
      </c>
      <c r="H6" s="2">
        <v>33</v>
      </c>
      <c r="I6" s="2">
        <v>6</v>
      </c>
      <c r="J6" s="2">
        <v>1</v>
      </c>
      <c r="K6" s="2">
        <v>1</v>
      </c>
      <c r="L6" s="2">
        <v>1.726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33</v>
      </c>
      <c r="B7" s="2">
        <v>6</v>
      </c>
      <c r="C7" s="2">
        <v>1</v>
      </c>
      <c r="D7" s="2">
        <v>1</v>
      </c>
      <c r="E7" s="2">
        <v>1.726</v>
      </c>
      <c r="F7" s="2">
        <v>1</v>
      </c>
      <c r="H7" s="2">
        <v>33</v>
      </c>
      <c r="I7" s="2">
        <v>7</v>
      </c>
      <c r="J7" s="2">
        <v>4</v>
      </c>
      <c r="K7" s="2">
        <v>0</v>
      </c>
      <c r="L7" s="2">
        <v>1.92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33</v>
      </c>
      <c r="B8" s="2">
        <v>7</v>
      </c>
      <c r="C8" s="2">
        <v>4</v>
      </c>
      <c r="D8" s="2">
        <v>0</v>
      </c>
      <c r="E8" s="2">
        <v>1.92</v>
      </c>
      <c r="F8" s="2">
        <v>1</v>
      </c>
      <c r="H8" s="2">
        <v>33</v>
      </c>
      <c r="I8" s="2">
        <v>8</v>
      </c>
      <c r="J8" s="2">
        <v>5</v>
      </c>
      <c r="L8" s="2">
        <v>2.0009999999999999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33</v>
      </c>
      <c r="B9" s="2">
        <v>8</v>
      </c>
      <c r="C9" s="2">
        <v>5</v>
      </c>
      <c r="E9" s="2">
        <v>2.0009999999999999</v>
      </c>
      <c r="H9" s="2">
        <v>33</v>
      </c>
      <c r="I9" s="2">
        <v>9</v>
      </c>
      <c r="J9" s="2">
        <v>2</v>
      </c>
      <c r="K9" s="2">
        <v>1</v>
      </c>
      <c r="L9" s="2">
        <v>1.28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33</v>
      </c>
      <c r="B10" s="2">
        <v>9</v>
      </c>
      <c r="C10" s="2">
        <v>2</v>
      </c>
      <c r="D10" s="2">
        <v>1</v>
      </c>
      <c r="E10" s="2">
        <v>1.28</v>
      </c>
      <c r="F10" s="2">
        <v>2</v>
      </c>
      <c r="H10" s="2">
        <v>33</v>
      </c>
      <c r="I10" s="2">
        <v>10</v>
      </c>
      <c r="J10" s="2">
        <v>1</v>
      </c>
      <c r="K10" s="2">
        <v>0</v>
      </c>
      <c r="L10" s="2">
        <v>1.405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33</v>
      </c>
      <c r="B11" s="2">
        <v>10</v>
      </c>
      <c r="C11" s="2">
        <v>1</v>
      </c>
      <c r="D11" s="2">
        <v>0</v>
      </c>
      <c r="E11" s="2">
        <v>1.405</v>
      </c>
      <c r="F11" s="2">
        <v>2</v>
      </c>
      <c r="H11" s="2">
        <v>33</v>
      </c>
      <c r="I11" s="2">
        <v>11</v>
      </c>
      <c r="J11" s="2">
        <v>4</v>
      </c>
      <c r="K11" s="2">
        <v>1</v>
      </c>
      <c r="L11" s="2">
        <v>1.4339999999999999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33</v>
      </c>
      <c r="B12" s="2">
        <v>11</v>
      </c>
      <c r="C12" s="2">
        <v>4</v>
      </c>
      <c r="D12" s="2">
        <v>1</v>
      </c>
      <c r="E12" s="2">
        <v>1.4339999999999999</v>
      </c>
      <c r="F12" s="2">
        <v>2</v>
      </c>
      <c r="H12" s="2">
        <v>33</v>
      </c>
      <c r="I12" s="2">
        <v>12</v>
      </c>
      <c r="J12" s="2">
        <v>2</v>
      </c>
      <c r="L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33</v>
      </c>
      <c r="B13" s="2">
        <v>12</v>
      </c>
      <c r="C13" s="2">
        <v>2</v>
      </c>
      <c r="E13" s="2">
        <v>2</v>
      </c>
      <c r="H13" s="2">
        <v>33</v>
      </c>
      <c r="I13" s="2">
        <v>13</v>
      </c>
      <c r="J13" s="2">
        <v>7</v>
      </c>
      <c r="K13" s="2">
        <v>0</v>
      </c>
      <c r="L13" s="2">
        <v>0.92800000000000005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33</v>
      </c>
      <c r="B14" s="2">
        <v>13</v>
      </c>
      <c r="C14" s="2">
        <v>7</v>
      </c>
      <c r="D14" s="2">
        <v>0</v>
      </c>
      <c r="E14" s="2">
        <v>0.92800000000000005</v>
      </c>
      <c r="F14" s="2">
        <v>1</v>
      </c>
      <c r="H14" s="2">
        <v>33</v>
      </c>
      <c r="I14" s="2">
        <v>14</v>
      </c>
      <c r="J14" s="2">
        <v>3</v>
      </c>
      <c r="K14" s="2">
        <v>1</v>
      </c>
      <c r="L14" s="2">
        <v>1.599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33</v>
      </c>
      <c r="B15" s="2">
        <v>14</v>
      </c>
      <c r="C15" s="2">
        <v>3</v>
      </c>
      <c r="D15" s="2">
        <v>1</v>
      </c>
      <c r="E15" s="2">
        <v>1.599</v>
      </c>
      <c r="F15" s="2">
        <v>1</v>
      </c>
      <c r="H15" s="2">
        <v>33</v>
      </c>
      <c r="I15" s="2">
        <v>15</v>
      </c>
      <c r="J15" s="2">
        <v>1</v>
      </c>
      <c r="K15" s="2">
        <v>1</v>
      </c>
      <c r="L15" s="2">
        <v>1.0720000000000001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33</v>
      </c>
      <c r="B16" s="2">
        <v>15</v>
      </c>
      <c r="C16" s="2">
        <v>1</v>
      </c>
      <c r="D16" s="2">
        <v>1</v>
      </c>
      <c r="E16" s="2">
        <v>1.0720000000000001</v>
      </c>
      <c r="F16" s="2">
        <v>1</v>
      </c>
      <c r="H16" s="2">
        <v>33</v>
      </c>
      <c r="I16" s="2">
        <v>16</v>
      </c>
      <c r="J16" s="2">
        <v>4</v>
      </c>
      <c r="L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33</v>
      </c>
      <c r="B17" s="2">
        <v>16</v>
      </c>
      <c r="C17" s="2">
        <v>4</v>
      </c>
      <c r="E17" s="2">
        <v>2</v>
      </c>
      <c r="H17" s="2">
        <v>33</v>
      </c>
      <c r="I17" s="2">
        <v>17</v>
      </c>
      <c r="J17" s="2">
        <v>3</v>
      </c>
      <c r="K17" s="2">
        <v>0</v>
      </c>
      <c r="L17" s="2">
        <v>1.49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7.0225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22.089999999999993</v>
      </c>
      <c r="S17" s="3">
        <f t="shared" ref="S17:T17" si="4">(S6*COUNTIF($J$1:$J$101,S$16) - COUNTIFS($J$1:$J$101,S$16,$K$1:$K$101,"=0"))^2</f>
        <v>0.48999999999999994</v>
      </c>
      <c r="T17" s="3">
        <f t="shared" si="4"/>
        <v>9.0000000000000024E-2</v>
      </c>
      <c r="U17" s="3">
        <f t="shared" ref="U17:V17" si="5">(U6*COUNTIF($J$1:$J$101,U$16) - COUNTIFS($J$1:$J$101,U$16,$K$1:$K$101,"=1"))^2</f>
        <v>2.7224999999999984</v>
      </c>
      <c r="V17" s="3">
        <f t="shared" si="5"/>
        <v>2.8899999999999975</v>
      </c>
      <c r="W17" s="4"/>
      <c r="X17" s="4"/>
      <c r="Y17" s="4"/>
    </row>
    <row r="18" spans="1:25" ht="14.25" customHeight="1">
      <c r="A18" s="2">
        <v>33</v>
      </c>
      <c r="B18" s="2">
        <v>17</v>
      </c>
      <c r="C18" s="2">
        <v>3</v>
      </c>
      <c r="D18" s="2">
        <v>0</v>
      </c>
      <c r="E18" s="2">
        <v>1.49</v>
      </c>
      <c r="F18" s="2">
        <v>2</v>
      </c>
      <c r="H18" s="2">
        <v>33</v>
      </c>
      <c r="I18" s="2">
        <v>18</v>
      </c>
      <c r="J18" s="2">
        <v>2</v>
      </c>
      <c r="K18" s="2">
        <v>1</v>
      </c>
      <c r="L18" s="2">
        <v>1.544</v>
      </c>
      <c r="M18" s="2">
        <v>2</v>
      </c>
      <c r="N18" s="3">
        <v>2</v>
      </c>
      <c r="O18" s="3">
        <f t="shared" si="0"/>
        <v>7.0225</v>
      </c>
      <c r="P18" s="3">
        <f t="shared" si="1"/>
        <v>7.2900000000000009</v>
      </c>
      <c r="Q18" s="6">
        <f t="shared" si="2"/>
        <v>25</v>
      </c>
      <c r="R18" s="3">
        <f t="shared" si="3"/>
        <v>22.089999999999993</v>
      </c>
      <c r="S18" s="6">
        <f t="shared" ref="S18:T18" si="6">(S7*COUNTIF($J$1:$J$101,S$16) - COUNTIFS($J$1:$J$101,S$16,$K$1:$K$101,"=0"))^2</f>
        <v>0.48999999999999994</v>
      </c>
      <c r="T18" s="6">
        <f t="shared" si="6"/>
        <v>9.0000000000000024E-2</v>
      </c>
      <c r="U18" s="6">
        <f t="shared" ref="U18:V18" si="7">(U7*COUNTIF($J$1:$J$101,U$16) - COUNTIFS($J$1:$J$101,U$16,$K$1:$K$101,"=1"))^2</f>
        <v>2.7224999999999984</v>
      </c>
      <c r="V18" s="6">
        <f t="shared" si="7"/>
        <v>2.8899999999999975</v>
      </c>
      <c r="W18" s="4"/>
      <c r="X18" s="4"/>
      <c r="Y18" s="4"/>
    </row>
    <row r="19" spans="1:25" ht="14.25" customHeight="1">
      <c r="A19" s="2">
        <v>33</v>
      </c>
      <c r="B19" s="2">
        <v>18</v>
      </c>
      <c r="C19" s="2">
        <v>2</v>
      </c>
      <c r="D19" s="2">
        <v>1</v>
      </c>
      <c r="E19" s="2">
        <v>1.544</v>
      </c>
      <c r="F19" s="2">
        <v>2</v>
      </c>
      <c r="H19" s="2">
        <v>33</v>
      </c>
      <c r="I19" s="2">
        <v>19</v>
      </c>
      <c r="J19" s="2">
        <v>7</v>
      </c>
      <c r="K19" s="2">
        <v>0</v>
      </c>
      <c r="L19" s="2">
        <v>0.8</v>
      </c>
      <c r="M19" s="2">
        <v>1</v>
      </c>
      <c r="N19" s="3">
        <v>3</v>
      </c>
      <c r="O19" s="3">
        <f t="shared" si="0"/>
        <v>7.0225</v>
      </c>
      <c r="P19" s="3">
        <f t="shared" si="1"/>
        <v>7.2899999999999965</v>
      </c>
      <c r="Q19" s="3">
        <f t="shared" si="2"/>
        <v>0.15999999999999992</v>
      </c>
      <c r="R19" s="3">
        <f t="shared" si="3"/>
        <v>22.089999999999993</v>
      </c>
      <c r="S19" s="6">
        <f t="shared" ref="S19:T19" si="8">(S8*COUNTIF($J$1:$J$101,S$16) - COUNTIFS($J$1:$J$101,S$16,$K$1:$K$101,"=0"))^2</f>
        <v>0.48999999999999994</v>
      </c>
      <c r="T19" s="6">
        <f t="shared" si="8"/>
        <v>32.489999999999995</v>
      </c>
      <c r="U19" s="3">
        <f t="shared" ref="U19:V19" si="9">(U8*COUNTIF($J$1:$J$101,U$16) - COUNTIFS($J$1:$J$101,U$16,$K$1:$K$101,"=1"))^2</f>
        <v>21.622500000000002</v>
      </c>
      <c r="V19" s="6">
        <f t="shared" si="9"/>
        <v>2.8899999999999975</v>
      </c>
      <c r="W19" s="4"/>
      <c r="X19" s="4"/>
      <c r="Y19" s="4"/>
    </row>
    <row r="20" spans="1:25" ht="14.25" customHeight="1">
      <c r="A20" s="2">
        <v>33</v>
      </c>
      <c r="B20" s="2">
        <v>19</v>
      </c>
      <c r="C20" s="2">
        <v>7</v>
      </c>
      <c r="D20" s="2">
        <v>0</v>
      </c>
      <c r="E20" s="2">
        <v>0.8</v>
      </c>
      <c r="F20" s="2">
        <v>1</v>
      </c>
      <c r="H20" s="2">
        <v>33</v>
      </c>
      <c r="I20" s="2">
        <v>20</v>
      </c>
      <c r="J20" s="2">
        <v>1</v>
      </c>
      <c r="K20" s="2">
        <v>1</v>
      </c>
      <c r="L20" s="2">
        <v>1.36</v>
      </c>
      <c r="M20" s="2">
        <v>1</v>
      </c>
      <c r="N20" s="3">
        <v>4</v>
      </c>
      <c r="O20" s="3">
        <f t="shared" si="0"/>
        <v>0.25</v>
      </c>
      <c r="P20" s="3">
        <f t="shared" si="1"/>
        <v>0</v>
      </c>
      <c r="Q20" s="3">
        <f t="shared" si="2"/>
        <v>4</v>
      </c>
      <c r="R20" s="3">
        <f t="shared" si="3"/>
        <v>4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9.0000000000000024E-2</v>
      </c>
      <c r="U20" s="6">
        <f t="shared" ref="U20:V20" si="11">(U9*COUNTIF($J$1:$J$101,U$16) - COUNTIFS($J$1:$J$101,U$16,$K$1:$K$101,"=1"))^2</f>
        <v>2.7224999999999984</v>
      </c>
      <c r="V20" s="6">
        <f t="shared" si="11"/>
        <v>2.8899999999999975</v>
      </c>
      <c r="W20" s="4"/>
      <c r="X20" s="4"/>
      <c r="Y20" s="4"/>
    </row>
    <row r="21" spans="1:25" ht="14.25" customHeight="1">
      <c r="A21" s="2">
        <v>33</v>
      </c>
      <c r="B21" s="2">
        <v>20</v>
      </c>
      <c r="C21" s="2">
        <v>1</v>
      </c>
      <c r="D21" s="2">
        <v>1</v>
      </c>
      <c r="E21" s="2">
        <v>1.36</v>
      </c>
      <c r="F21" s="2">
        <v>1</v>
      </c>
      <c r="H21" s="2">
        <v>33</v>
      </c>
      <c r="I21" s="2">
        <v>21</v>
      </c>
      <c r="J21" s="2">
        <v>5</v>
      </c>
      <c r="K21" s="2">
        <v>0</v>
      </c>
      <c r="L21" s="2">
        <v>1.2849999999999999</v>
      </c>
      <c r="M21" s="2">
        <v>2</v>
      </c>
      <c r="N21" s="3">
        <v>5</v>
      </c>
      <c r="O21" s="3">
        <f t="shared" si="0"/>
        <v>7.0225</v>
      </c>
      <c r="P21" s="3">
        <f t="shared" si="1"/>
        <v>7.2899999999999965</v>
      </c>
      <c r="Q21" s="3">
        <f t="shared" si="2"/>
        <v>0.15999999999999992</v>
      </c>
      <c r="R21" s="3">
        <f t="shared" si="3"/>
        <v>22.089999999999993</v>
      </c>
      <c r="S21" s="6">
        <f t="shared" ref="S21:T21" si="12">(S10*COUNTIF($J$1:$J$101,S$16) - COUNTIFS($J$1:$J$101,S$16,$K$1:$K$101,"=0"))^2</f>
        <v>4</v>
      </c>
      <c r="T21" s="6">
        <f t="shared" si="12"/>
        <v>9</v>
      </c>
      <c r="U21" s="6">
        <f t="shared" ref="U21:V21" si="13">(U10*COUNTIF($J$1:$J$101,U$16) - COUNTIFS($J$1:$J$101,U$16,$K$1:$K$101,"=1"))^2</f>
        <v>2.25</v>
      </c>
      <c r="V21" s="6">
        <f t="shared" si="13"/>
        <v>1</v>
      </c>
      <c r="W21" s="4"/>
      <c r="X21" s="4"/>
      <c r="Y21" s="4"/>
    </row>
    <row r="22" spans="1:25" ht="14.25" customHeight="1">
      <c r="A22" s="2">
        <v>33</v>
      </c>
      <c r="B22" s="2">
        <v>21</v>
      </c>
      <c r="C22" s="2">
        <v>5</v>
      </c>
      <c r="D22" s="2">
        <v>0</v>
      </c>
      <c r="E22" s="2">
        <v>1.2849999999999999</v>
      </c>
      <c r="F22" s="2">
        <v>2</v>
      </c>
      <c r="H22" s="2">
        <v>33</v>
      </c>
      <c r="I22" s="2">
        <v>22</v>
      </c>
      <c r="J22" s="2">
        <v>7</v>
      </c>
      <c r="K22" s="2">
        <v>1</v>
      </c>
      <c r="L22" s="2">
        <v>1.593</v>
      </c>
      <c r="M22" s="2">
        <v>2</v>
      </c>
      <c r="N22" s="3">
        <v>6</v>
      </c>
      <c r="O22" s="3">
        <f t="shared" si="0"/>
        <v>0.25</v>
      </c>
      <c r="P22" s="3">
        <f t="shared" si="1"/>
        <v>0</v>
      </c>
      <c r="Q22" s="3">
        <f t="shared" si="2"/>
        <v>4</v>
      </c>
      <c r="R22" s="3">
        <f t="shared" si="3"/>
        <v>4</v>
      </c>
      <c r="S22" s="6">
        <f t="shared" ref="S22:T22" si="14">(S11*COUNTIF($J$1:$J$101,S$16) - COUNTIFS($J$1:$J$101,S$16,$K$1:$K$101,"=0"))^2</f>
        <v>4</v>
      </c>
      <c r="T22" s="6">
        <f t="shared" si="14"/>
        <v>9</v>
      </c>
      <c r="U22" s="6">
        <f t="shared" ref="U22:V22" si="15">(U11*COUNTIF($J$1:$J$101,U$16) - COUNTIFS($J$1:$J$101,U$16,$K$1:$K$101,"=1"))^2</f>
        <v>2.25</v>
      </c>
      <c r="V22" s="6">
        <f t="shared" si="15"/>
        <v>1</v>
      </c>
      <c r="W22" s="4"/>
      <c r="X22" s="4"/>
      <c r="Y22" s="4"/>
    </row>
    <row r="23" spans="1:25" ht="14.25" customHeight="1">
      <c r="A23" s="2">
        <v>33</v>
      </c>
      <c r="B23" s="2">
        <v>22</v>
      </c>
      <c r="C23" s="2">
        <v>7</v>
      </c>
      <c r="D23" s="2">
        <v>1</v>
      </c>
      <c r="E23" s="2">
        <v>1.593</v>
      </c>
      <c r="F23" s="2">
        <v>2</v>
      </c>
      <c r="H23" s="2">
        <v>33</v>
      </c>
      <c r="I23" s="2">
        <v>23</v>
      </c>
      <c r="J23" s="2">
        <v>4</v>
      </c>
      <c r="K23" s="2">
        <v>0</v>
      </c>
      <c r="L23" s="2">
        <v>1.47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33</v>
      </c>
      <c r="B24" s="2">
        <v>23</v>
      </c>
      <c r="C24" s="2">
        <v>4</v>
      </c>
      <c r="D24" s="2">
        <v>0</v>
      </c>
      <c r="E24" s="2">
        <v>1.47</v>
      </c>
      <c r="F24" s="2">
        <v>1</v>
      </c>
      <c r="H24" s="2">
        <v>33</v>
      </c>
      <c r="I24" s="2">
        <v>24</v>
      </c>
      <c r="J24" s="2">
        <v>8</v>
      </c>
      <c r="K24" s="2">
        <v>0</v>
      </c>
      <c r="L24" s="2">
        <v>1.54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33</v>
      </c>
      <c r="B25" s="2">
        <v>24</v>
      </c>
      <c r="C25" s="2">
        <v>8</v>
      </c>
      <c r="D25" s="2">
        <v>0</v>
      </c>
      <c r="E25" s="2">
        <v>1.54</v>
      </c>
      <c r="F25" s="2">
        <v>1</v>
      </c>
      <c r="H25" s="2">
        <v>33</v>
      </c>
      <c r="I25" s="2">
        <v>25</v>
      </c>
      <c r="J25" s="2">
        <v>1</v>
      </c>
      <c r="K25" s="2">
        <v>1</v>
      </c>
      <c r="L25" s="2">
        <v>1.8759999999999999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33</v>
      </c>
      <c r="B26" s="2">
        <v>25</v>
      </c>
      <c r="C26" s="2">
        <v>1</v>
      </c>
      <c r="D26" s="2">
        <v>1</v>
      </c>
      <c r="E26" s="2">
        <v>1.8759999999999999</v>
      </c>
      <c r="F26" s="2">
        <v>1</v>
      </c>
      <c r="H26" s="2">
        <v>33</v>
      </c>
      <c r="I26" s="2">
        <v>26</v>
      </c>
      <c r="J26" s="2">
        <v>7</v>
      </c>
      <c r="K26" s="2">
        <v>1</v>
      </c>
      <c r="L26" s="2">
        <v>1.264</v>
      </c>
      <c r="M26" s="2">
        <v>2</v>
      </c>
      <c r="N26" s="4"/>
      <c r="O26" s="3">
        <f t="shared" ref="O26:V26" si="16">COUNTIF($J$1:$J$102,O16)*COUNTIF($J$1:$J$102,O16)</f>
        <v>49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33</v>
      </c>
      <c r="B27" s="2">
        <v>26</v>
      </c>
      <c r="C27" s="2">
        <v>7</v>
      </c>
      <c r="D27" s="2">
        <v>1</v>
      </c>
      <c r="E27" s="2">
        <v>1.264</v>
      </c>
      <c r="F27" s="2">
        <v>2</v>
      </c>
      <c r="H27" s="2">
        <v>33</v>
      </c>
      <c r="I27" s="2">
        <v>27</v>
      </c>
      <c r="J27" s="2">
        <v>8</v>
      </c>
      <c r="K27" s="2">
        <v>0</v>
      </c>
      <c r="L27" s="2">
        <v>1.24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33</v>
      </c>
      <c r="B28" s="2">
        <v>27</v>
      </c>
      <c r="C28" s="2">
        <v>8</v>
      </c>
      <c r="D28" s="2">
        <v>0</v>
      </c>
      <c r="E28" s="2">
        <v>1.24</v>
      </c>
      <c r="F28" s="2">
        <v>1</v>
      </c>
      <c r="H28" s="2">
        <v>33</v>
      </c>
      <c r="I28" s="2">
        <v>28</v>
      </c>
      <c r="J28" s="2">
        <v>6</v>
      </c>
      <c r="K28" s="2">
        <v>1</v>
      </c>
      <c r="L28" s="2">
        <v>1.6679999999999999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33</v>
      </c>
      <c r="B29" s="2">
        <v>28</v>
      </c>
      <c r="C29" s="2">
        <v>6</v>
      </c>
      <c r="D29" s="2">
        <v>1</v>
      </c>
      <c r="E29" s="2">
        <v>1.6679999999999999</v>
      </c>
      <c r="F29" s="2">
        <v>1</v>
      </c>
      <c r="H29" s="2">
        <v>33</v>
      </c>
      <c r="I29" s="2">
        <v>29</v>
      </c>
      <c r="J29" s="2">
        <v>3</v>
      </c>
      <c r="K29" s="2">
        <v>1</v>
      </c>
      <c r="L29" s="2">
        <v>1.3029999999999999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33</v>
      </c>
      <c r="B30" s="2">
        <v>29</v>
      </c>
      <c r="C30" s="2">
        <v>3</v>
      </c>
      <c r="D30" s="2">
        <v>1</v>
      </c>
      <c r="E30" s="2">
        <v>1.3029999999999999</v>
      </c>
      <c r="F30" s="2">
        <v>1</v>
      </c>
      <c r="H30" s="2">
        <v>33</v>
      </c>
      <c r="I30" s="2">
        <v>30</v>
      </c>
      <c r="J30" s="2">
        <v>5</v>
      </c>
      <c r="K30" s="2">
        <v>1</v>
      </c>
      <c r="L30" s="2">
        <v>1.929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33</v>
      </c>
      <c r="B31" s="2">
        <v>30</v>
      </c>
      <c r="C31" s="2">
        <v>5</v>
      </c>
      <c r="D31" s="2">
        <v>1</v>
      </c>
      <c r="E31" s="2">
        <v>1.929</v>
      </c>
      <c r="F31" s="2">
        <v>1</v>
      </c>
      <c r="H31" s="2">
        <v>33</v>
      </c>
      <c r="I31" s="2">
        <v>31</v>
      </c>
      <c r="J31" s="2">
        <v>8</v>
      </c>
      <c r="K31" s="2">
        <v>1</v>
      </c>
      <c r="L31" s="2">
        <v>1.119</v>
      </c>
      <c r="M31" s="2">
        <v>2</v>
      </c>
      <c r="N31" s="3">
        <v>1</v>
      </c>
      <c r="O31" s="3">
        <f t="shared" ref="O31:O36" si="17">SUM(O17:V17)/SUM(O$26:V$26)</f>
        <v>0.13616242038216556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33</v>
      </c>
      <c r="B32" s="2">
        <v>31</v>
      </c>
      <c r="C32" s="2">
        <v>8</v>
      </c>
      <c r="D32" s="2">
        <v>1</v>
      </c>
      <c r="E32" s="2">
        <v>1.119</v>
      </c>
      <c r="F32" s="2">
        <v>2</v>
      </c>
      <c r="H32" s="2">
        <v>33</v>
      </c>
      <c r="I32" s="2">
        <v>32</v>
      </c>
      <c r="J32" s="2">
        <v>3</v>
      </c>
      <c r="K32" s="2">
        <v>1</v>
      </c>
      <c r="L32" s="2">
        <v>1.3049999999999999</v>
      </c>
      <c r="M32" s="2">
        <v>1</v>
      </c>
      <c r="N32" s="3">
        <v>2</v>
      </c>
      <c r="O32" s="3">
        <f t="shared" si="17"/>
        <v>0.21527070063694267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33</v>
      </c>
      <c r="B33" s="2">
        <v>32</v>
      </c>
      <c r="C33" s="2">
        <v>3</v>
      </c>
      <c r="D33" s="2">
        <v>1</v>
      </c>
      <c r="E33" s="2">
        <v>1.3049999999999999</v>
      </c>
      <c r="F33" s="2">
        <v>1</v>
      </c>
      <c r="H33" s="2">
        <v>33</v>
      </c>
      <c r="I33" s="2">
        <v>33</v>
      </c>
      <c r="J33" s="2">
        <v>6</v>
      </c>
      <c r="K33" s="2">
        <v>1</v>
      </c>
      <c r="L33" s="2">
        <v>1.5940000000000001</v>
      </c>
      <c r="M33" s="2">
        <v>1</v>
      </c>
      <c r="N33" s="3">
        <v>3</v>
      </c>
      <c r="O33" s="3">
        <f t="shared" si="17"/>
        <v>0.29953821656050955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33</v>
      </c>
      <c r="B34" s="2">
        <v>33</v>
      </c>
      <c r="C34" s="2">
        <v>6</v>
      </c>
      <c r="D34" s="2">
        <v>1</v>
      </c>
      <c r="E34" s="2">
        <v>1.5940000000000001</v>
      </c>
      <c r="F34" s="2">
        <v>1</v>
      </c>
      <c r="H34" s="2">
        <v>33</v>
      </c>
      <c r="I34" s="2">
        <v>34</v>
      </c>
      <c r="J34" s="2">
        <v>3</v>
      </c>
      <c r="K34" s="2">
        <v>1</v>
      </c>
      <c r="L34" s="2">
        <v>1.294</v>
      </c>
      <c r="M34" s="2">
        <v>1</v>
      </c>
      <c r="N34" s="3">
        <v>4</v>
      </c>
      <c r="O34" s="3">
        <f t="shared" si="17"/>
        <v>4.599522292993629E-2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33</v>
      </c>
      <c r="B35" s="2">
        <v>34</v>
      </c>
      <c r="C35" s="2">
        <v>3</v>
      </c>
      <c r="D35" s="2">
        <v>1</v>
      </c>
      <c r="E35" s="2">
        <v>1.294</v>
      </c>
      <c r="F35" s="2">
        <v>1</v>
      </c>
      <c r="H35" s="2">
        <v>33</v>
      </c>
      <c r="I35" s="2">
        <v>35</v>
      </c>
      <c r="J35" s="2">
        <v>7</v>
      </c>
      <c r="K35" s="2">
        <v>1</v>
      </c>
      <c r="L35" s="2">
        <v>1.018</v>
      </c>
      <c r="M35" s="2">
        <v>2</v>
      </c>
      <c r="N35" s="3">
        <v>5</v>
      </c>
      <c r="O35" s="3">
        <f t="shared" si="17"/>
        <v>0.16819267515923561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33</v>
      </c>
      <c r="B36" s="2">
        <v>35</v>
      </c>
      <c r="C36" s="2">
        <v>7</v>
      </c>
      <c r="D36" s="2">
        <v>1</v>
      </c>
      <c r="E36" s="2">
        <v>1.018</v>
      </c>
      <c r="F36" s="2">
        <v>2</v>
      </c>
      <c r="H36" s="2">
        <v>33</v>
      </c>
      <c r="I36" s="2">
        <v>36</v>
      </c>
      <c r="J36" s="2">
        <v>6</v>
      </c>
      <c r="K36" s="2">
        <v>1</v>
      </c>
      <c r="L36" s="2">
        <v>0.88</v>
      </c>
      <c r="M36" s="2">
        <v>1</v>
      </c>
      <c r="N36" s="3">
        <v>6</v>
      </c>
      <c r="O36" s="3">
        <f t="shared" si="17"/>
        <v>7.8025477707006366E-2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33</v>
      </c>
      <c r="B37" s="2">
        <v>36</v>
      </c>
      <c r="C37" s="2">
        <v>6</v>
      </c>
      <c r="D37" s="2">
        <v>1</v>
      </c>
      <c r="E37" s="2">
        <v>0.88</v>
      </c>
      <c r="F37" s="2">
        <v>1</v>
      </c>
      <c r="H37" s="2">
        <v>33</v>
      </c>
      <c r="I37" s="2">
        <v>37</v>
      </c>
      <c r="J37" s="2">
        <v>5</v>
      </c>
      <c r="K37" s="2">
        <v>1</v>
      </c>
      <c r="L37" s="2">
        <v>1.4179999999999999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33</v>
      </c>
      <c r="B38" s="2">
        <v>37</v>
      </c>
      <c r="C38" s="2">
        <v>5</v>
      </c>
      <c r="D38" s="2">
        <v>1</v>
      </c>
      <c r="E38" s="2">
        <v>1.4179999999999999</v>
      </c>
      <c r="F38" s="2">
        <v>1</v>
      </c>
      <c r="H38" s="2">
        <v>33</v>
      </c>
      <c r="I38" s="2">
        <v>38</v>
      </c>
      <c r="J38" s="2">
        <v>7</v>
      </c>
      <c r="K38" s="2">
        <v>1</v>
      </c>
      <c r="L38" s="2">
        <v>1.0620000000000001</v>
      </c>
      <c r="M38" s="2">
        <v>2</v>
      </c>
    </row>
    <row r="39" spans="1:25" ht="14.25" customHeight="1">
      <c r="A39" s="2">
        <v>33</v>
      </c>
      <c r="B39" s="2">
        <v>38</v>
      </c>
      <c r="C39" s="2">
        <v>7</v>
      </c>
      <c r="D39" s="2">
        <v>1</v>
      </c>
      <c r="E39" s="2">
        <v>1.0620000000000001</v>
      </c>
      <c r="F39" s="2">
        <v>2</v>
      </c>
      <c r="H39" s="2">
        <v>33</v>
      </c>
      <c r="I39" s="2">
        <v>39</v>
      </c>
      <c r="J39" s="2">
        <v>1</v>
      </c>
      <c r="K39" s="2">
        <v>0</v>
      </c>
      <c r="L39" s="2">
        <v>1.4410000000000001</v>
      </c>
      <c r="M39" s="2">
        <v>2</v>
      </c>
    </row>
    <row r="40" spans="1:25" ht="14.25" customHeight="1">
      <c r="A40" s="2">
        <v>33</v>
      </c>
      <c r="B40" s="2">
        <v>39</v>
      </c>
      <c r="C40" s="2">
        <v>1</v>
      </c>
      <c r="D40" s="2">
        <v>0</v>
      </c>
      <c r="E40" s="2">
        <v>1.4410000000000001</v>
      </c>
      <c r="F40" s="2">
        <v>2</v>
      </c>
      <c r="H40" s="2">
        <v>33</v>
      </c>
      <c r="I40" s="2">
        <v>40</v>
      </c>
      <c r="J40" s="2">
        <v>8</v>
      </c>
      <c r="K40" s="2">
        <v>1</v>
      </c>
      <c r="L40" s="2">
        <v>1.4</v>
      </c>
      <c r="M40" s="2">
        <v>2</v>
      </c>
    </row>
    <row r="41" spans="1:25" ht="14.25" customHeight="1">
      <c r="A41" s="2">
        <v>33</v>
      </c>
      <c r="B41" s="2">
        <v>40</v>
      </c>
      <c r="C41" s="2">
        <v>8</v>
      </c>
      <c r="D41" s="2">
        <v>1</v>
      </c>
      <c r="E41" s="2">
        <v>1.4</v>
      </c>
      <c r="F41" s="2">
        <v>2</v>
      </c>
      <c r="H41" s="2">
        <v>33</v>
      </c>
      <c r="I41" s="2">
        <v>41</v>
      </c>
      <c r="J41" s="2">
        <v>2</v>
      </c>
      <c r="K41" s="2">
        <v>0</v>
      </c>
      <c r="L41" s="2">
        <v>1.9490000000000001</v>
      </c>
      <c r="M41" s="2">
        <v>1</v>
      </c>
    </row>
    <row r="42" spans="1:25" ht="14.25" customHeight="1">
      <c r="A42" s="2">
        <v>33</v>
      </c>
      <c r="B42" s="2">
        <v>41</v>
      </c>
      <c r="C42" s="2">
        <v>2</v>
      </c>
      <c r="D42" s="2">
        <v>0</v>
      </c>
      <c r="E42" s="2">
        <v>1.9490000000000001</v>
      </c>
      <c r="F42" s="2">
        <v>1</v>
      </c>
      <c r="H42" s="2">
        <v>33</v>
      </c>
      <c r="I42" s="2">
        <v>42</v>
      </c>
      <c r="J42" s="2">
        <v>5</v>
      </c>
      <c r="K42" s="2">
        <v>1</v>
      </c>
      <c r="L42" s="2">
        <v>1.3029999999999999</v>
      </c>
      <c r="M42" s="2">
        <v>1</v>
      </c>
    </row>
    <row r="43" spans="1:25" ht="14.25" customHeight="1">
      <c r="A43" s="2">
        <v>33</v>
      </c>
      <c r="B43" s="2">
        <v>42</v>
      </c>
      <c r="C43" s="2">
        <v>5</v>
      </c>
      <c r="D43" s="2">
        <v>1</v>
      </c>
      <c r="E43" s="2">
        <v>1.3029999999999999</v>
      </c>
      <c r="F43" s="2">
        <v>1</v>
      </c>
      <c r="H43" s="2">
        <v>33</v>
      </c>
      <c r="I43" s="2">
        <v>43</v>
      </c>
      <c r="J43" s="2">
        <v>2</v>
      </c>
      <c r="K43" s="2">
        <v>1</v>
      </c>
      <c r="L43" s="2">
        <v>1.3260000000000001</v>
      </c>
      <c r="M43" s="2">
        <v>2</v>
      </c>
    </row>
    <row r="44" spans="1:25" ht="14.25" customHeight="1">
      <c r="A44" s="2">
        <v>33</v>
      </c>
      <c r="B44" s="2">
        <v>43</v>
      </c>
      <c r="C44" s="2">
        <v>2</v>
      </c>
      <c r="D44" s="2">
        <v>1</v>
      </c>
      <c r="E44" s="2">
        <v>1.3260000000000001</v>
      </c>
      <c r="F44" s="2">
        <v>2</v>
      </c>
      <c r="H44" s="2">
        <v>33</v>
      </c>
      <c r="I44" s="2">
        <v>44</v>
      </c>
      <c r="J44" s="2">
        <v>7</v>
      </c>
      <c r="K44" s="2">
        <v>1</v>
      </c>
      <c r="L44" s="2">
        <v>1.0269999999999999</v>
      </c>
      <c r="M44" s="2">
        <v>2</v>
      </c>
    </row>
    <row r="45" spans="1:25" ht="14.25" customHeight="1">
      <c r="A45" s="2">
        <v>33</v>
      </c>
      <c r="B45" s="2">
        <v>44</v>
      </c>
      <c r="C45" s="2">
        <v>7</v>
      </c>
      <c r="D45" s="2">
        <v>1</v>
      </c>
      <c r="E45" s="2">
        <v>1.0269999999999999</v>
      </c>
      <c r="F45" s="2">
        <v>2</v>
      </c>
      <c r="H45" s="2">
        <v>33</v>
      </c>
      <c r="I45" s="2">
        <v>45</v>
      </c>
      <c r="J45" s="2">
        <v>1</v>
      </c>
      <c r="K45" s="2">
        <v>0</v>
      </c>
      <c r="L45" s="2">
        <v>1.718</v>
      </c>
      <c r="M45" s="2">
        <v>2</v>
      </c>
    </row>
    <row r="46" spans="1:25" ht="14.25" customHeight="1">
      <c r="A46" s="2">
        <v>33</v>
      </c>
      <c r="B46" s="2">
        <v>45</v>
      </c>
      <c r="C46" s="2">
        <v>1</v>
      </c>
      <c r="D46" s="2">
        <v>0</v>
      </c>
      <c r="E46" s="2">
        <v>1.718</v>
      </c>
      <c r="F46" s="2">
        <v>2</v>
      </c>
      <c r="H46" s="2">
        <v>33</v>
      </c>
      <c r="I46" s="2">
        <v>46</v>
      </c>
      <c r="J46" s="2">
        <v>6</v>
      </c>
      <c r="K46" s="2">
        <v>1</v>
      </c>
      <c r="L46" s="2">
        <v>1.599</v>
      </c>
      <c r="M46" s="2">
        <v>1</v>
      </c>
    </row>
    <row r="47" spans="1:25" ht="14.25" customHeight="1">
      <c r="A47" s="2">
        <v>33</v>
      </c>
      <c r="B47" s="2">
        <v>46</v>
      </c>
      <c r="C47" s="2">
        <v>6</v>
      </c>
      <c r="D47" s="2">
        <v>1</v>
      </c>
      <c r="E47" s="2">
        <v>1.599</v>
      </c>
      <c r="F47" s="2">
        <v>1</v>
      </c>
      <c r="H47" s="2">
        <v>33</v>
      </c>
      <c r="I47" s="2">
        <v>47</v>
      </c>
      <c r="J47" s="2">
        <v>3</v>
      </c>
      <c r="K47" s="2">
        <v>1</v>
      </c>
      <c r="L47" s="2">
        <v>1.464</v>
      </c>
      <c r="M47" s="2">
        <v>1</v>
      </c>
    </row>
    <row r="48" spans="1:25" ht="14.25" customHeight="1">
      <c r="A48" s="2">
        <v>33</v>
      </c>
      <c r="B48" s="2">
        <v>47</v>
      </c>
      <c r="C48" s="2">
        <v>3</v>
      </c>
      <c r="D48" s="2">
        <v>1</v>
      </c>
      <c r="E48" s="2">
        <v>1.464</v>
      </c>
      <c r="F48" s="2">
        <v>1</v>
      </c>
      <c r="H48" s="2">
        <v>33</v>
      </c>
      <c r="I48" s="2">
        <v>48</v>
      </c>
      <c r="J48" s="2">
        <v>4</v>
      </c>
      <c r="K48" s="2">
        <v>0</v>
      </c>
      <c r="L48" s="2">
        <v>1.718</v>
      </c>
      <c r="M48" s="2">
        <v>1</v>
      </c>
    </row>
    <row r="49" spans="1:13" ht="14.25" customHeight="1">
      <c r="A49" s="2">
        <v>33</v>
      </c>
      <c r="B49" s="2">
        <v>48</v>
      </c>
      <c r="C49" s="2">
        <v>4</v>
      </c>
      <c r="D49" s="2">
        <v>0</v>
      </c>
      <c r="E49" s="2">
        <v>1.718</v>
      </c>
      <c r="F49" s="2">
        <v>1</v>
      </c>
      <c r="H49" s="2">
        <v>33</v>
      </c>
      <c r="I49" s="2">
        <v>49</v>
      </c>
      <c r="J49" s="2">
        <v>5</v>
      </c>
      <c r="K49" s="2">
        <v>1</v>
      </c>
      <c r="L49" s="2">
        <v>1.337</v>
      </c>
      <c r="M49" s="2">
        <v>1</v>
      </c>
    </row>
    <row r="50" spans="1:13" ht="14.25" customHeight="1">
      <c r="A50" s="2">
        <v>33</v>
      </c>
      <c r="B50" s="2">
        <v>49</v>
      </c>
      <c r="C50" s="2">
        <v>5</v>
      </c>
      <c r="D50" s="2">
        <v>1</v>
      </c>
      <c r="E50" s="2">
        <v>1.337</v>
      </c>
      <c r="F50" s="2">
        <v>1</v>
      </c>
      <c r="H50" s="2">
        <v>33</v>
      </c>
      <c r="I50" s="2">
        <v>50</v>
      </c>
      <c r="J50" s="2">
        <v>8</v>
      </c>
      <c r="K50" s="2">
        <v>1</v>
      </c>
      <c r="L50" s="2">
        <v>1.5129999999999999</v>
      </c>
      <c r="M50" s="2">
        <v>2</v>
      </c>
    </row>
    <row r="51" spans="1:13" ht="14.25" customHeight="1">
      <c r="A51" s="2">
        <v>33</v>
      </c>
      <c r="B51" s="2">
        <v>50</v>
      </c>
      <c r="C51" s="2">
        <v>8</v>
      </c>
      <c r="D51" s="2">
        <v>1</v>
      </c>
      <c r="E51" s="2">
        <v>1.5129999999999999</v>
      </c>
      <c r="F51" s="2">
        <v>2</v>
      </c>
    </row>
    <row r="52" spans="1:13" ht="14.25" customHeight="1">
      <c r="A52" s="2">
        <v>33</v>
      </c>
      <c r="B52" s="2">
        <v>51</v>
      </c>
      <c r="C52" s="2">
        <v>5</v>
      </c>
      <c r="E52" s="2">
        <v>2</v>
      </c>
    </row>
    <row r="53" spans="1:13" ht="14.25" customHeight="1">
      <c r="A53" s="2">
        <v>33</v>
      </c>
      <c r="B53" s="2">
        <v>52</v>
      </c>
      <c r="C53" s="2">
        <v>8</v>
      </c>
      <c r="D53" s="2">
        <v>1</v>
      </c>
      <c r="E53" s="2">
        <v>1.62</v>
      </c>
      <c r="F53" s="2">
        <v>2</v>
      </c>
    </row>
    <row r="54" spans="1:13" ht="14.25" customHeight="1">
      <c r="A54" s="2">
        <v>33</v>
      </c>
      <c r="B54" s="2">
        <v>53</v>
      </c>
      <c r="C54" s="2">
        <v>5</v>
      </c>
      <c r="D54" s="2">
        <v>1</v>
      </c>
      <c r="E54" s="2">
        <v>1.974</v>
      </c>
      <c r="F54" s="2">
        <v>1</v>
      </c>
    </row>
    <row r="55" spans="1:13" ht="14.25" customHeight="1">
      <c r="A55" s="2">
        <v>33</v>
      </c>
      <c r="B55" s="2">
        <v>54</v>
      </c>
      <c r="C55" s="2">
        <v>7</v>
      </c>
      <c r="D55" s="2">
        <v>1</v>
      </c>
      <c r="E55" s="2">
        <v>1.0569999999999999</v>
      </c>
      <c r="F55" s="2">
        <v>2</v>
      </c>
    </row>
    <row r="56" spans="1:13" ht="14.25" customHeight="1">
      <c r="A56" s="2">
        <v>33</v>
      </c>
      <c r="B56" s="2">
        <v>55</v>
      </c>
      <c r="C56" s="2">
        <v>3</v>
      </c>
      <c r="D56" s="2">
        <v>1</v>
      </c>
      <c r="E56" s="2">
        <v>1.153</v>
      </c>
      <c r="F56" s="2">
        <v>1</v>
      </c>
    </row>
    <row r="57" spans="1:13" ht="14.25" customHeight="1">
      <c r="A57" s="2">
        <v>33</v>
      </c>
      <c r="B57" s="2">
        <v>56</v>
      </c>
      <c r="C57" s="2">
        <v>7</v>
      </c>
      <c r="E57" s="2">
        <v>2</v>
      </c>
    </row>
    <row r="58" spans="1:13" ht="14.25" customHeight="1">
      <c r="A58" s="2">
        <v>33</v>
      </c>
      <c r="B58" s="2">
        <v>57</v>
      </c>
      <c r="C58" s="2">
        <v>6</v>
      </c>
      <c r="D58" s="2">
        <v>0</v>
      </c>
      <c r="E58" s="2">
        <v>1.319</v>
      </c>
      <c r="F58" s="2">
        <v>1</v>
      </c>
    </row>
    <row r="59" spans="1:13" ht="14.25" customHeight="1">
      <c r="A59" s="2">
        <v>33</v>
      </c>
      <c r="B59" s="2">
        <v>58</v>
      </c>
      <c r="C59" s="2">
        <v>8</v>
      </c>
      <c r="D59" s="2">
        <v>1</v>
      </c>
      <c r="E59" s="2">
        <v>1.371</v>
      </c>
      <c r="F59" s="2">
        <v>1</v>
      </c>
    </row>
    <row r="60" spans="1:13" ht="14.25" customHeight="1">
      <c r="A60" s="2">
        <v>33</v>
      </c>
      <c r="B60" s="2">
        <v>59</v>
      </c>
      <c r="C60" s="2">
        <v>7</v>
      </c>
      <c r="D60" s="2">
        <v>0</v>
      </c>
      <c r="E60" s="2">
        <v>0.57699999999999996</v>
      </c>
      <c r="F60" s="2">
        <v>1</v>
      </c>
    </row>
    <row r="61" spans="1:13" ht="14.25" customHeight="1">
      <c r="A61" s="2">
        <v>33</v>
      </c>
      <c r="B61" s="2">
        <v>60</v>
      </c>
      <c r="C61" s="2">
        <v>3</v>
      </c>
      <c r="D61" s="2">
        <v>1</v>
      </c>
      <c r="E61" s="2">
        <v>1.702</v>
      </c>
      <c r="F61" s="2">
        <v>1</v>
      </c>
    </row>
    <row r="62" spans="1:13" ht="14.25" customHeight="1">
      <c r="A62" s="2">
        <v>33</v>
      </c>
      <c r="B62" s="2">
        <v>61</v>
      </c>
      <c r="C62" s="2">
        <v>4</v>
      </c>
      <c r="D62" s="2">
        <v>1</v>
      </c>
      <c r="E62" s="2">
        <v>1.5109999999999999</v>
      </c>
      <c r="F62" s="2">
        <v>2</v>
      </c>
    </row>
    <row r="63" spans="1:13" ht="14.25" customHeight="1">
      <c r="A63" s="2">
        <v>33</v>
      </c>
      <c r="B63" s="2">
        <v>62</v>
      </c>
      <c r="C63" s="2">
        <v>1</v>
      </c>
      <c r="D63" s="2">
        <v>0</v>
      </c>
      <c r="E63" s="2">
        <v>0.49</v>
      </c>
      <c r="F63" s="2">
        <v>1</v>
      </c>
    </row>
    <row r="64" spans="1:13" ht="14.25" customHeight="1">
      <c r="A64" s="2">
        <v>33</v>
      </c>
      <c r="B64" s="2">
        <v>63</v>
      </c>
      <c r="C64" s="2">
        <v>7</v>
      </c>
      <c r="D64" s="2">
        <v>1</v>
      </c>
      <c r="E64" s="2">
        <v>1.1319999999999999</v>
      </c>
      <c r="F64" s="2">
        <v>2</v>
      </c>
    </row>
    <row r="65" spans="1:6" ht="14.25" customHeight="1">
      <c r="A65" s="2">
        <v>33</v>
      </c>
      <c r="B65" s="2">
        <v>64</v>
      </c>
      <c r="C65" s="2">
        <v>8</v>
      </c>
      <c r="D65" s="2">
        <v>1</v>
      </c>
      <c r="E65" s="2">
        <v>1.5109999999999999</v>
      </c>
      <c r="F65" s="2">
        <v>1</v>
      </c>
    </row>
    <row r="66" spans="1:6" ht="14.25" customHeight="1">
      <c r="A66" s="2">
        <v>33</v>
      </c>
      <c r="B66" s="2">
        <v>65</v>
      </c>
      <c r="C66" s="2">
        <v>7</v>
      </c>
      <c r="D66" s="2">
        <v>0</v>
      </c>
      <c r="E66" s="2">
        <v>1.98</v>
      </c>
      <c r="F66" s="2">
        <v>2</v>
      </c>
    </row>
    <row r="67" spans="1:6" ht="14.25" customHeight="1">
      <c r="A67" s="2">
        <v>33</v>
      </c>
      <c r="B67" s="2">
        <v>66</v>
      </c>
      <c r="C67" s="2">
        <v>3</v>
      </c>
      <c r="D67" s="2">
        <v>0</v>
      </c>
      <c r="E67" s="2">
        <v>1.361</v>
      </c>
      <c r="F67" s="2">
        <v>1</v>
      </c>
    </row>
    <row r="68" spans="1:6" ht="14.25" customHeight="1">
      <c r="A68" s="2">
        <v>33</v>
      </c>
      <c r="B68" s="2">
        <v>67</v>
      </c>
      <c r="C68" s="2">
        <v>8</v>
      </c>
      <c r="D68" s="2">
        <v>0</v>
      </c>
      <c r="E68" s="2">
        <v>1.1830000000000001</v>
      </c>
      <c r="F68" s="2">
        <v>2</v>
      </c>
    </row>
    <row r="69" spans="1:6" ht="14.25" customHeight="1">
      <c r="A69" s="2">
        <v>33</v>
      </c>
      <c r="B69" s="2">
        <v>68</v>
      </c>
      <c r="C69" s="2">
        <v>2</v>
      </c>
      <c r="D69" s="2">
        <v>0</v>
      </c>
      <c r="E69" s="2">
        <v>1.304</v>
      </c>
      <c r="F69" s="2">
        <v>1</v>
      </c>
    </row>
    <row r="70" spans="1:6" ht="14.25" customHeight="1">
      <c r="A70" s="2">
        <v>33</v>
      </c>
      <c r="B70" s="2">
        <v>69</v>
      </c>
      <c r="C70" s="2">
        <v>3</v>
      </c>
      <c r="D70" s="2">
        <v>1</v>
      </c>
      <c r="E70" s="2">
        <v>0.73599999999999999</v>
      </c>
      <c r="F70" s="2">
        <v>2</v>
      </c>
    </row>
    <row r="71" spans="1:6" ht="14.25" customHeight="1">
      <c r="A71" s="2">
        <v>33</v>
      </c>
      <c r="B71" s="2">
        <v>70</v>
      </c>
      <c r="C71" s="2">
        <v>2</v>
      </c>
      <c r="D71" s="2">
        <v>0</v>
      </c>
      <c r="E71" s="2">
        <v>1.696</v>
      </c>
      <c r="F71" s="2">
        <v>2</v>
      </c>
    </row>
    <row r="72" spans="1:6" ht="14.25" customHeight="1">
      <c r="A72" s="2">
        <v>33</v>
      </c>
      <c r="B72" s="2">
        <v>71</v>
      </c>
      <c r="C72" s="2">
        <v>7</v>
      </c>
      <c r="D72" s="2">
        <v>1</v>
      </c>
      <c r="E72" s="2">
        <v>1.655</v>
      </c>
      <c r="F72" s="2">
        <v>1</v>
      </c>
    </row>
    <row r="73" spans="1:6" ht="14.25" customHeight="1">
      <c r="A73" s="2">
        <v>33</v>
      </c>
      <c r="B73" s="2">
        <v>72</v>
      </c>
      <c r="C73" s="2">
        <v>6</v>
      </c>
      <c r="D73" s="2">
        <v>1</v>
      </c>
      <c r="E73" s="2">
        <v>1.0629999999999999</v>
      </c>
      <c r="F73" s="2">
        <v>2</v>
      </c>
    </row>
    <row r="74" spans="1:6" ht="14.25" customHeight="1">
      <c r="A74" s="2">
        <v>33</v>
      </c>
      <c r="B74" s="2">
        <v>73</v>
      </c>
      <c r="C74" s="2">
        <v>8</v>
      </c>
      <c r="D74" s="2">
        <v>0</v>
      </c>
      <c r="E74" s="2">
        <v>1.6439999999999999</v>
      </c>
      <c r="F74" s="2">
        <v>1</v>
      </c>
    </row>
    <row r="75" spans="1:6" ht="14.25" customHeight="1">
      <c r="A75" s="2">
        <v>33</v>
      </c>
      <c r="B75" s="2">
        <v>74</v>
      </c>
      <c r="C75" s="2">
        <v>6</v>
      </c>
      <c r="D75" s="2">
        <v>1</v>
      </c>
      <c r="E75" s="2">
        <v>1.3460000000000001</v>
      </c>
      <c r="F75" s="2">
        <v>2</v>
      </c>
    </row>
    <row r="76" spans="1:6" ht="14.25" customHeight="1">
      <c r="A76" s="2">
        <v>33</v>
      </c>
      <c r="B76" s="2">
        <v>75</v>
      </c>
      <c r="C76" s="2">
        <v>5</v>
      </c>
      <c r="D76" s="2">
        <v>1</v>
      </c>
      <c r="E76" s="2">
        <v>1.575</v>
      </c>
      <c r="F76" s="2">
        <v>1</v>
      </c>
    </row>
    <row r="77" spans="1:6" ht="14.25" customHeight="1">
      <c r="A77" s="2">
        <v>33</v>
      </c>
      <c r="B77" s="2">
        <v>76</v>
      </c>
      <c r="C77" s="2">
        <v>1</v>
      </c>
      <c r="D77" s="2">
        <v>1</v>
      </c>
      <c r="E77" s="2">
        <v>0.84599999999999997</v>
      </c>
      <c r="F77" s="2">
        <v>2</v>
      </c>
    </row>
    <row r="78" spans="1:6" ht="14.25" customHeight="1">
      <c r="A78" s="2">
        <v>33</v>
      </c>
      <c r="B78" s="2">
        <v>77</v>
      </c>
      <c r="C78" s="2">
        <v>6</v>
      </c>
      <c r="D78" s="2">
        <v>1</v>
      </c>
      <c r="E78" s="2">
        <v>1.409</v>
      </c>
      <c r="F78" s="2">
        <v>2</v>
      </c>
    </row>
    <row r="79" spans="1:6" ht="14.25" customHeight="1">
      <c r="A79" s="2">
        <v>33</v>
      </c>
      <c r="B79" s="2">
        <v>78</v>
      </c>
      <c r="C79" s="2">
        <v>3</v>
      </c>
      <c r="D79" s="2">
        <v>1</v>
      </c>
      <c r="E79" s="2">
        <v>1.7230000000000001</v>
      </c>
      <c r="F79" s="2">
        <v>1</v>
      </c>
    </row>
    <row r="80" spans="1:6" ht="14.25" customHeight="1">
      <c r="A80" s="2">
        <v>33</v>
      </c>
      <c r="B80" s="2">
        <v>79</v>
      </c>
      <c r="C80" s="2">
        <v>2</v>
      </c>
      <c r="D80" s="2">
        <v>0</v>
      </c>
      <c r="E80" s="2">
        <v>1.7270000000000001</v>
      </c>
      <c r="F80" s="2">
        <v>2</v>
      </c>
    </row>
    <row r="81" spans="1:6" ht="14.25" customHeight="1">
      <c r="A81" s="2">
        <v>33</v>
      </c>
      <c r="B81" s="2">
        <v>80</v>
      </c>
      <c r="C81" s="2">
        <v>4</v>
      </c>
      <c r="D81" s="2">
        <v>1</v>
      </c>
      <c r="E81" s="2">
        <v>1.1120000000000001</v>
      </c>
      <c r="F81" s="2">
        <v>1</v>
      </c>
    </row>
    <row r="82" spans="1:6" ht="14.25" customHeight="1">
      <c r="A82" s="2">
        <v>33</v>
      </c>
      <c r="B82" s="2">
        <v>81</v>
      </c>
      <c r="C82" s="2">
        <v>6</v>
      </c>
      <c r="D82" s="2">
        <v>1</v>
      </c>
      <c r="E82" s="2">
        <v>1.056</v>
      </c>
      <c r="F82" s="2">
        <v>2</v>
      </c>
    </row>
    <row r="83" spans="1:6" ht="14.25" customHeight="1">
      <c r="A83" s="2">
        <v>33</v>
      </c>
      <c r="B83" s="2">
        <v>82</v>
      </c>
      <c r="C83" s="2">
        <v>1</v>
      </c>
      <c r="D83" s="2">
        <v>1</v>
      </c>
      <c r="E83" s="2">
        <v>1.4239999999999999</v>
      </c>
      <c r="F83" s="2">
        <v>1</v>
      </c>
    </row>
    <row r="84" spans="1:6" ht="14.25" customHeight="1">
      <c r="A84" s="2">
        <v>33</v>
      </c>
      <c r="B84" s="2">
        <v>83</v>
      </c>
      <c r="C84" s="2">
        <v>2</v>
      </c>
      <c r="D84" s="2">
        <v>1</v>
      </c>
      <c r="E84" s="2">
        <v>1.4750000000000001</v>
      </c>
      <c r="F84" s="2">
        <v>1</v>
      </c>
    </row>
    <row r="85" spans="1:6" ht="14.25" customHeight="1">
      <c r="A85" s="2">
        <v>33</v>
      </c>
      <c r="B85" s="2">
        <v>84</v>
      </c>
      <c r="C85" s="2">
        <v>6</v>
      </c>
      <c r="D85" s="2">
        <v>1</v>
      </c>
      <c r="E85" s="2">
        <v>1.4870000000000001</v>
      </c>
      <c r="F85" s="2">
        <v>1</v>
      </c>
    </row>
    <row r="86" spans="1:6" ht="14.25" customHeight="1">
      <c r="A86" s="2">
        <v>33</v>
      </c>
      <c r="B86" s="2">
        <v>85</v>
      </c>
      <c r="C86" s="2">
        <v>4</v>
      </c>
      <c r="D86" s="2">
        <v>1</v>
      </c>
      <c r="E86" s="2">
        <v>0.91900000000000004</v>
      </c>
      <c r="F86" s="2">
        <v>2</v>
      </c>
    </row>
    <row r="87" spans="1:6" ht="14.25" customHeight="1">
      <c r="A87" s="2">
        <v>33</v>
      </c>
      <c r="B87" s="2">
        <v>86</v>
      </c>
      <c r="C87" s="2">
        <v>3</v>
      </c>
      <c r="D87" s="2">
        <v>1</v>
      </c>
      <c r="E87" s="2">
        <v>1.3759999999999999</v>
      </c>
      <c r="F87" s="2">
        <v>1</v>
      </c>
    </row>
    <row r="88" spans="1:6" ht="14.25" customHeight="1">
      <c r="A88" s="2">
        <v>33</v>
      </c>
      <c r="B88" s="2">
        <v>87</v>
      </c>
      <c r="C88" s="2">
        <v>1</v>
      </c>
      <c r="D88" s="2">
        <v>1</v>
      </c>
      <c r="E88" s="2">
        <v>1.151</v>
      </c>
      <c r="F88" s="2">
        <v>1</v>
      </c>
    </row>
    <row r="89" spans="1:6" ht="14.25" customHeight="1">
      <c r="A89" s="2">
        <v>33</v>
      </c>
      <c r="B89" s="2">
        <v>88</v>
      </c>
      <c r="C89" s="2">
        <v>4</v>
      </c>
      <c r="D89" s="2">
        <v>1</v>
      </c>
      <c r="E89" s="2">
        <v>1.1990000000000001</v>
      </c>
      <c r="F89" s="2">
        <v>2</v>
      </c>
    </row>
    <row r="90" spans="1:6" ht="14.25" customHeight="1">
      <c r="A90" s="2">
        <v>33</v>
      </c>
      <c r="B90" s="2">
        <v>89</v>
      </c>
      <c r="C90" s="2">
        <v>2</v>
      </c>
      <c r="D90" s="2">
        <v>1</v>
      </c>
      <c r="E90" s="2">
        <v>1.5209999999999999</v>
      </c>
      <c r="F90" s="2">
        <v>1</v>
      </c>
    </row>
    <row r="91" spans="1:6" ht="14.25" customHeight="1">
      <c r="A91" s="2">
        <v>33</v>
      </c>
      <c r="B91" s="2">
        <v>90</v>
      </c>
      <c r="C91" s="2">
        <v>1</v>
      </c>
      <c r="D91" s="2">
        <v>1</v>
      </c>
      <c r="E91" s="2">
        <v>0.94799999999999995</v>
      </c>
      <c r="F91" s="2">
        <v>2</v>
      </c>
    </row>
    <row r="92" spans="1:6" ht="14.25" customHeight="1">
      <c r="A92" s="2">
        <v>33</v>
      </c>
      <c r="B92" s="2">
        <v>91</v>
      </c>
      <c r="C92" s="2">
        <v>5</v>
      </c>
      <c r="D92" s="2">
        <v>1</v>
      </c>
      <c r="E92" s="2">
        <v>1.3440000000000001</v>
      </c>
      <c r="F92" s="2">
        <v>2</v>
      </c>
    </row>
    <row r="93" spans="1:6" ht="14.25" customHeight="1">
      <c r="A93" s="2">
        <v>33</v>
      </c>
      <c r="B93" s="2">
        <v>92</v>
      </c>
      <c r="C93" s="2">
        <v>4</v>
      </c>
      <c r="D93" s="2">
        <v>1</v>
      </c>
      <c r="E93" s="2">
        <v>1.2649999999999999</v>
      </c>
      <c r="F93" s="2">
        <v>1</v>
      </c>
    </row>
    <row r="94" spans="1:6" ht="14.25" customHeight="1">
      <c r="A94" s="2">
        <v>33</v>
      </c>
      <c r="B94" s="2">
        <v>93</v>
      </c>
      <c r="C94" s="2">
        <v>2</v>
      </c>
      <c r="E94" s="2">
        <v>2</v>
      </c>
    </row>
    <row r="95" spans="1:6" ht="14.25" customHeight="1">
      <c r="A95" s="2">
        <v>33</v>
      </c>
      <c r="B95" s="2">
        <v>94</v>
      </c>
      <c r="C95" s="2">
        <v>7</v>
      </c>
      <c r="D95" s="2">
        <v>1</v>
      </c>
      <c r="E95" s="2">
        <v>0.96799999999999997</v>
      </c>
      <c r="F95" s="2">
        <v>2</v>
      </c>
    </row>
    <row r="96" spans="1:6" ht="14.25" customHeight="1">
      <c r="A96" s="2">
        <v>33</v>
      </c>
      <c r="B96" s="2">
        <v>95</v>
      </c>
      <c r="C96" s="2">
        <v>1</v>
      </c>
      <c r="D96" s="2">
        <v>1</v>
      </c>
      <c r="E96" s="2">
        <v>0.96299999999999997</v>
      </c>
      <c r="F96" s="2">
        <v>1</v>
      </c>
    </row>
    <row r="97" spans="1:6" ht="14.25" customHeight="1">
      <c r="A97" s="2">
        <v>33</v>
      </c>
      <c r="B97" s="2">
        <v>96</v>
      </c>
      <c r="C97" s="2">
        <v>5</v>
      </c>
      <c r="D97" s="2">
        <v>1</v>
      </c>
      <c r="E97" s="2">
        <v>1.0840000000000001</v>
      </c>
      <c r="F97" s="2">
        <v>1</v>
      </c>
    </row>
    <row r="98" spans="1:6" ht="14.25" customHeight="1">
      <c r="A98" s="2">
        <v>33</v>
      </c>
      <c r="B98" s="2">
        <v>97</v>
      </c>
      <c r="C98" s="2">
        <v>1</v>
      </c>
      <c r="D98" s="2">
        <v>1</v>
      </c>
      <c r="E98" s="2">
        <v>0.68700000000000006</v>
      </c>
      <c r="F98" s="2">
        <v>1</v>
      </c>
    </row>
    <row r="99" spans="1:6" ht="14.25" customHeight="1">
      <c r="A99" s="2">
        <v>33</v>
      </c>
      <c r="B99" s="2">
        <v>98</v>
      </c>
      <c r="C99" s="2">
        <v>8</v>
      </c>
      <c r="D99" s="2">
        <v>1</v>
      </c>
      <c r="E99" s="2">
        <v>1.359</v>
      </c>
      <c r="F99" s="2">
        <v>2</v>
      </c>
    </row>
    <row r="100" spans="1:6" ht="14.25" customHeight="1">
      <c r="A100" s="2">
        <v>33</v>
      </c>
      <c r="B100" s="2">
        <v>99</v>
      </c>
      <c r="C100" s="2">
        <v>5</v>
      </c>
      <c r="D100" s="2">
        <v>1</v>
      </c>
      <c r="E100" s="2">
        <v>1.0349999999999999</v>
      </c>
      <c r="F100" s="2">
        <v>1</v>
      </c>
    </row>
    <row r="101" spans="1:6" ht="14.25" customHeight="1">
      <c r="A101" s="2">
        <v>33</v>
      </c>
      <c r="B101" s="2">
        <v>100</v>
      </c>
      <c r="C101" s="2">
        <v>4</v>
      </c>
      <c r="D101" s="2">
        <v>1</v>
      </c>
      <c r="E101" s="2">
        <v>1.1479999999999999</v>
      </c>
      <c r="F101" s="2">
        <v>2</v>
      </c>
    </row>
    <row r="102" spans="1:6" ht="14.25" customHeight="1">
      <c r="A102" s="2">
        <v>33</v>
      </c>
      <c r="B102" s="2">
        <v>101</v>
      </c>
      <c r="C102" s="2">
        <v>7</v>
      </c>
      <c r="D102" s="2">
        <v>1</v>
      </c>
      <c r="E102" s="2">
        <v>1.76</v>
      </c>
    </row>
    <row r="103" spans="1:6" ht="14.25" customHeight="1">
      <c r="A103" s="2">
        <v>33</v>
      </c>
      <c r="B103" s="2">
        <v>102</v>
      </c>
      <c r="C103" s="2">
        <v>2</v>
      </c>
      <c r="D103" s="2">
        <v>1</v>
      </c>
      <c r="E103" s="2">
        <v>1.8740000000000001</v>
      </c>
    </row>
    <row r="104" spans="1:6" ht="14.25" customHeight="1">
      <c r="A104" s="2">
        <v>33</v>
      </c>
      <c r="B104" s="2">
        <v>103</v>
      </c>
      <c r="C104" s="2">
        <v>1</v>
      </c>
      <c r="D104" s="2">
        <v>1</v>
      </c>
      <c r="E104" s="2">
        <v>1.006</v>
      </c>
    </row>
    <row r="105" spans="1:6" ht="14.25" customHeight="1">
      <c r="A105" s="2">
        <v>33</v>
      </c>
      <c r="B105" s="2">
        <v>104</v>
      </c>
      <c r="C105" s="2">
        <v>4</v>
      </c>
      <c r="D105" s="2">
        <v>1</v>
      </c>
      <c r="E105" s="2">
        <v>1.0649999999999999</v>
      </c>
    </row>
    <row r="106" spans="1:6" ht="14.25" customHeight="1">
      <c r="A106" s="2">
        <v>33</v>
      </c>
      <c r="B106" s="2">
        <v>105</v>
      </c>
      <c r="C106" s="2">
        <v>6</v>
      </c>
      <c r="D106" s="2">
        <v>1</v>
      </c>
      <c r="E106" s="2">
        <v>0.93</v>
      </c>
    </row>
    <row r="107" spans="1:6" ht="14.25" customHeight="1">
      <c r="A107" s="2">
        <v>33</v>
      </c>
      <c r="B107" s="2">
        <v>106</v>
      </c>
      <c r="C107" s="2">
        <v>3</v>
      </c>
      <c r="D107" s="2">
        <v>1</v>
      </c>
      <c r="E107" s="2">
        <v>1.133</v>
      </c>
    </row>
    <row r="108" spans="1:6" ht="14.25" customHeight="1">
      <c r="A108" s="2">
        <v>33</v>
      </c>
      <c r="B108" s="2">
        <v>107</v>
      </c>
      <c r="C108" s="2">
        <v>8</v>
      </c>
      <c r="D108" s="2">
        <v>1</v>
      </c>
      <c r="E108" s="2">
        <v>1.141</v>
      </c>
    </row>
    <row r="109" spans="1:6" ht="14.25" customHeight="1">
      <c r="A109" s="2">
        <v>33</v>
      </c>
      <c r="B109" s="2">
        <v>108</v>
      </c>
      <c r="C109" s="2">
        <v>5</v>
      </c>
      <c r="D109" s="2">
        <v>1</v>
      </c>
      <c r="E109" s="2">
        <v>1.0069999999999999</v>
      </c>
    </row>
    <row r="110" spans="1:6" ht="14.25" customHeight="1">
      <c r="A110" s="2">
        <v>33</v>
      </c>
      <c r="B110" s="2">
        <v>109</v>
      </c>
      <c r="C110" s="2">
        <v>6</v>
      </c>
      <c r="D110" s="2">
        <v>0</v>
      </c>
      <c r="E110" s="2">
        <v>1.4810000000000001</v>
      </c>
    </row>
    <row r="111" spans="1:6" ht="14.25" customHeight="1">
      <c r="A111" s="2">
        <v>33</v>
      </c>
      <c r="B111" s="2">
        <v>110</v>
      </c>
      <c r="C111" s="2">
        <v>3</v>
      </c>
      <c r="D111" s="2">
        <v>1</v>
      </c>
      <c r="E111" s="2">
        <v>1.87</v>
      </c>
    </row>
    <row r="112" spans="1:6" ht="14.25" customHeight="1">
      <c r="A112" s="2">
        <v>33</v>
      </c>
      <c r="B112" s="2">
        <v>111</v>
      </c>
      <c r="C112" s="2">
        <v>2</v>
      </c>
      <c r="D112" s="2">
        <v>1</v>
      </c>
      <c r="E112" s="2">
        <v>1.4159999999999999</v>
      </c>
    </row>
    <row r="113" spans="1:5" ht="14.25" customHeight="1">
      <c r="A113" s="2">
        <v>33</v>
      </c>
      <c r="B113" s="2">
        <v>112</v>
      </c>
      <c r="C113" s="2">
        <v>6</v>
      </c>
      <c r="D113" s="2">
        <v>1</v>
      </c>
      <c r="E113" s="2">
        <v>1.591</v>
      </c>
    </row>
    <row r="114" spans="1:5" ht="14.25" customHeight="1">
      <c r="A114" s="2">
        <v>33</v>
      </c>
      <c r="B114" s="2">
        <v>113</v>
      </c>
      <c r="C114" s="2">
        <v>4</v>
      </c>
      <c r="D114" s="2">
        <v>1</v>
      </c>
      <c r="E114" s="2">
        <v>1.087</v>
      </c>
    </row>
    <row r="115" spans="1:5" ht="14.25" customHeight="1">
      <c r="A115" s="2">
        <v>33</v>
      </c>
      <c r="B115" s="2">
        <v>114</v>
      </c>
      <c r="C115" s="2">
        <v>1</v>
      </c>
      <c r="D115" s="2">
        <v>1</v>
      </c>
      <c r="E115" s="2">
        <v>1.1759999999999999</v>
      </c>
    </row>
    <row r="116" spans="1:5" ht="14.25" customHeight="1">
      <c r="A116" s="2">
        <v>33</v>
      </c>
      <c r="B116" s="2">
        <v>115</v>
      </c>
      <c r="C116" s="2">
        <v>7</v>
      </c>
      <c r="D116" s="2">
        <v>1</v>
      </c>
      <c r="E116" s="2">
        <v>1.59</v>
      </c>
    </row>
    <row r="117" spans="1:5" ht="14.25" customHeight="1">
      <c r="A117" s="2">
        <v>33</v>
      </c>
      <c r="B117" s="2">
        <v>116</v>
      </c>
      <c r="C117" s="2">
        <v>8</v>
      </c>
      <c r="D117" s="2">
        <v>1</v>
      </c>
      <c r="E117" s="2">
        <v>1.635</v>
      </c>
    </row>
    <row r="118" spans="1:5" ht="14.25" customHeight="1">
      <c r="A118" s="2">
        <v>33</v>
      </c>
      <c r="B118" s="2">
        <v>117</v>
      </c>
      <c r="C118" s="2">
        <v>3</v>
      </c>
      <c r="D118" s="2">
        <v>1</v>
      </c>
      <c r="E118" s="2">
        <v>1.1759999999999999</v>
      </c>
    </row>
    <row r="119" spans="1:5" ht="14.25" customHeight="1">
      <c r="A119" s="2">
        <v>33</v>
      </c>
      <c r="B119" s="2">
        <v>118</v>
      </c>
      <c r="C119" s="2">
        <v>4</v>
      </c>
      <c r="D119" s="2">
        <v>1</v>
      </c>
      <c r="E119" s="2">
        <v>1.3220000000000001</v>
      </c>
    </row>
    <row r="120" spans="1:5" ht="14.25" customHeight="1">
      <c r="A120" s="2">
        <v>33</v>
      </c>
      <c r="B120" s="2">
        <v>119</v>
      </c>
      <c r="C120" s="2">
        <v>7</v>
      </c>
      <c r="D120" s="2">
        <v>1</v>
      </c>
      <c r="E120" s="2">
        <v>0.93600000000000005</v>
      </c>
    </row>
    <row r="121" spans="1:5" ht="14.25" customHeight="1">
      <c r="A121" s="2">
        <v>33</v>
      </c>
      <c r="B121" s="2">
        <v>120</v>
      </c>
      <c r="C121" s="2">
        <v>4</v>
      </c>
      <c r="D121" s="2">
        <v>1</v>
      </c>
      <c r="E121" s="2">
        <v>1.389</v>
      </c>
    </row>
    <row r="122" spans="1:5" ht="14.25" customHeight="1">
      <c r="A122" s="2">
        <v>33</v>
      </c>
      <c r="B122" s="2">
        <v>121</v>
      </c>
      <c r="C122" s="2">
        <v>7</v>
      </c>
      <c r="D122" s="2">
        <v>1</v>
      </c>
      <c r="E122" s="2">
        <v>1.6950000000000001</v>
      </c>
    </row>
    <row r="123" spans="1:5" ht="14.25" customHeight="1">
      <c r="A123" s="2">
        <v>33</v>
      </c>
      <c r="B123" s="2">
        <v>122</v>
      </c>
      <c r="C123" s="2">
        <v>8</v>
      </c>
      <c r="D123" s="2">
        <v>1</v>
      </c>
      <c r="E123" s="2">
        <v>0.71299999999999997</v>
      </c>
    </row>
    <row r="124" spans="1:5" ht="14.25" customHeight="1">
      <c r="A124" s="2">
        <v>33</v>
      </c>
      <c r="B124" s="2">
        <v>123</v>
      </c>
      <c r="C124" s="2">
        <v>7</v>
      </c>
      <c r="D124" s="2">
        <v>1</v>
      </c>
      <c r="E124" s="2">
        <v>1.6639999999999999</v>
      </c>
    </row>
    <row r="125" spans="1:5" ht="14.25" customHeight="1">
      <c r="A125" s="2">
        <v>33</v>
      </c>
      <c r="B125" s="2">
        <v>124</v>
      </c>
      <c r="C125" s="2">
        <v>4</v>
      </c>
      <c r="D125" s="2">
        <v>1</v>
      </c>
      <c r="E125" s="2">
        <v>0.81499999999999995</v>
      </c>
    </row>
    <row r="126" spans="1:5" ht="14.25" customHeight="1">
      <c r="A126" s="2">
        <v>33</v>
      </c>
      <c r="B126" s="2">
        <v>125</v>
      </c>
      <c r="C126" s="2">
        <v>8</v>
      </c>
      <c r="D126" s="2">
        <v>1</v>
      </c>
      <c r="E126" s="2">
        <v>1.0169999999999999</v>
      </c>
    </row>
    <row r="127" spans="1:5" ht="14.25" customHeight="1">
      <c r="A127" s="2">
        <v>33</v>
      </c>
      <c r="B127" s="2">
        <v>126</v>
      </c>
      <c r="C127" s="2">
        <v>6</v>
      </c>
      <c r="D127" s="2">
        <v>1</v>
      </c>
      <c r="E127" s="2">
        <v>0.56000000000000005</v>
      </c>
    </row>
    <row r="128" spans="1:5" ht="14.25" customHeight="1">
      <c r="A128" s="2">
        <v>33</v>
      </c>
      <c r="B128" s="2">
        <v>127</v>
      </c>
      <c r="C128" s="2">
        <v>5</v>
      </c>
      <c r="D128" s="2">
        <v>1</v>
      </c>
      <c r="E128" s="2">
        <v>0.78</v>
      </c>
    </row>
    <row r="129" spans="1:5" ht="14.25" customHeight="1">
      <c r="A129" s="2">
        <v>33</v>
      </c>
      <c r="B129" s="2">
        <v>128</v>
      </c>
      <c r="C129" s="2">
        <v>6</v>
      </c>
      <c r="D129" s="2">
        <v>1</v>
      </c>
      <c r="E129" s="2">
        <v>1.0980000000000001</v>
      </c>
    </row>
    <row r="130" spans="1:5" ht="14.25" customHeight="1">
      <c r="A130" s="2">
        <v>33</v>
      </c>
      <c r="B130" s="2">
        <v>129</v>
      </c>
      <c r="C130" s="2">
        <v>2</v>
      </c>
      <c r="D130" s="2">
        <v>1</v>
      </c>
      <c r="E130" s="2">
        <v>1.8580000000000001</v>
      </c>
    </row>
    <row r="131" spans="1:5" ht="14.25" customHeight="1">
      <c r="A131" s="2">
        <v>33</v>
      </c>
      <c r="B131" s="2">
        <v>130</v>
      </c>
      <c r="C131" s="2">
        <v>5</v>
      </c>
      <c r="D131" s="2">
        <v>1</v>
      </c>
      <c r="E131" s="2">
        <v>1.0049999999999999</v>
      </c>
    </row>
    <row r="132" spans="1:5" ht="14.25" customHeight="1">
      <c r="A132" s="2">
        <v>33</v>
      </c>
      <c r="B132" s="2">
        <v>131</v>
      </c>
      <c r="C132" s="2">
        <v>8</v>
      </c>
      <c r="D132" s="2">
        <v>1</v>
      </c>
      <c r="E132" s="2">
        <v>0.877</v>
      </c>
    </row>
    <row r="133" spans="1:5" ht="14.25" customHeight="1">
      <c r="A133" s="2">
        <v>33</v>
      </c>
      <c r="B133" s="2">
        <v>132</v>
      </c>
      <c r="C133" s="2">
        <v>1</v>
      </c>
      <c r="D133" s="2">
        <v>1</v>
      </c>
      <c r="E133" s="2">
        <v>1.6890000000000001</v>
      </c>
    </row>
    <row r="134" spans="1:5" ht="14.25" customHeight="1">
      <c r="A134" s="2">
        <v>33</v>
      </c>
      <c r="B134" s="2">
        <v>133</v>
      </c>
      <c r="C134" s="2">
        <v>3</v>
      </c>
      <c r="D134" s="2">
        <v>1</v>
      </c>
      <c r="E134" s="2">
        <v>1.3140000000000001</v>
      </c>
    </row>
    <row r="135" spans="1:5" ht="14.25" customHeight="1">
      <c r="A135" s="2">
        <v>33</v>
      </c>
      <c r="B135" s="2">
        <v>134</v>
      </c>
      <c r="C135" s="2">
        <v>1</v>
      </c>
      <c r="D135" s="2">
        <v>1</v>
      </c>
      <c r="E135" s="2">
        <v>1.3460000000000001</v>
      </c>
    </row>
    <row r="136" spans="1:5" ht="14.25" customHeight="1">
      <c r="A136" s="2">
        <v>33</v>
      </c>
      <c r="B136" s="2">
        <v>135</v>
      </c>
      <c r="C136" s="2">
        <v>4</v>
      </c>
      <c r="D136" s="2">
        <v>1</v>
      </c>
      <c r="E136" s="2">
        <v>0.746</v>
      </c>
    </row>
    <row r="137" spans="1:5" ht="14.25" customHeight="1">
      <c r="A137" s="2">
        <v>33</v>
      </c>
      <c r="B137" s="2">
        <v>136</v>
      </c>
      <c r="C137" s="2">
        <v>5</v>
      </c>
      <c r="D137" s="2">
        <v>1</v>
      </c>
      <c r="E137" s="2">
        <v>0.92500000000000004</v>
      </c>
    </row>
    <row r="138" spans="1:5" ht="14.25" customHeight="1">
      <c r="A138" s="2">
        <v>33</v>
      </c>
      <c r="B138" s="2">
        <v>137</v>
      </c>
      <c r="C138" s="2">
        <v>6</v>
      </c>
      <c r="D138" s="2">
        <v>1</v>
      </c>
      <c r="E138" s="2">
        <v>0.86399999999999999</v>
      </c>
    </row>
    <row r="139" spans="1:5" ht="14.25" customHeight="1">
      <c r="A139" s="2">
        <v>33</v>
      </c>
      <c r="B139" s="2">
        <v>138</v>
      </c>
      <c r="C139" s="2">
        <v>1</v>
      </c>
      <c r="D139" s="2">
        <v>1</v>
      </c>
      <c r="E139" s="2">
        <v>0.81399999999999995</v>
      </c>
    </row>
    <row r="140" spans="1:5" ht="14.25" customHeight="1">
      <c r="A140" s="2">
        <v>33</v>
      </c>
      <c r="B140" s="2">
        <v>139</v>
      </c>
      <c r="C140" s="2">
        <v>7</v>
      </c>
      <c r="D140" s="2">
        <v>1</v>
      </c>
      <c r="E140" s="2">
        <v>1.095</v>
      </c>
    </row>
    <row r="141" spans="1:5" ht="14.25" customHeight="1">
      <c r="A141" s="2">
        <v>33</v>
      </c>
      <c r="B141" s="2">
        <v>140</v>
      </c>
      <c r="C141" s="2">
        <v>3</v>
      </c>
      <c r="D141" s="2">
        <v>1</v>
      </c>
      <c r="E141" s="2">
        <v>0.9</v>
      </c>
    </row>
    <row r="142" spans="1:5" ht="14.25" customHeight="1">
      <c r="A142" s="2">
        <v>33</v>
      </c>
      <c r="B142" s="2">
        <v>141</v>
      </c>
      <c r="C142" s="2">
        <v>7</v>
      </c>
      <c r="D142" s="2">
        <v>1</v>
      </c>
      <c r="E142" s="2">
        <v>1.262</v>
      </c>
    </row>
    <row r="143" spans="1:5" ht="14.25" customHeight="1">
      <c r="A143" s="2">
        <v>33</v>
      </c>
      <c r="B143" s="2">
        <v>142</v>
      </c>
      <c r="C143" s="2">
        <v>8</v>
      </c>
      <c r="D143" s="2">
        <v>1</v>
      </c>
      <c r="E143" s="2">
        <v>1.5329999999999999</v>
      </c>
    </row>
    <row r="144" spans="1:5" ht="14.25" customHeight="1">
      <c r="A144" s="2">
        <v>33</v>
      </c>
      <c r="B144" s="2">
        <v>143</v>
      </c>
      <c r="C144" s="2">
        <v>3</v>
      </c>
      <c r="D144" s="2">
        <v>1</v>
      </c>
      <c r="E144" s="2">
        <v>1.4650000000000001</v>
      </c>
    </row>
    <row r="145" spans="1:5" ht="14.25" customHeight="1">
      <c r="A145" s="2">
        <v>33</v>
      </c>
      <c r="B145" s="2">
        <v>144</v>
      </c>
      <c r="C145" s="2">
        <v>2</v>
      </c>
      <c r="D145" s="2">
        <v>1</v>
      </c>
      <c r="E145" s="2">
        <v>1.2509999999999999</v>
      </c>
    </row>
    <row r="146" spans="1:5" ht="14.25" customHeight="1">
      <c r="A146" s="2">
        <v>33</v>
      </c>
      <c r="B146" s="2">
        <v>145</v>
      </c>
      <c r="C146" s="2">
        <v>5</v>
      </c>
      <c r="D146" s="2">
        <v>1</v>
      </c>
      <c r="E146" s="2">
        <v>1.337</v>
      </c>
    </row>
    <row r="147" spans="1:5" ht="14.25" customHeight="1">
      <c r="A147" s="2">
        <v>33</v>
      </c>
      <c r="B147" s="2">
        <v>146</v>
      </c>
      <c r="C147" s="2">
        <v>2</v>
      </c>
      <c r="D147" s="2">
        <v>1</v>
      </c>
      <c r="E147" s="2">
        <v>0.99299999999999999</v>
      </c>
    </row>
    <row r="148" spans="1:5" ht="14.25" customHeight="1">
      <c r="A148" s="2">
        <v>33</v>
      </c>
      <c r="B148" s="2">
        <v>147</v>
      </c>
      <c r="C148" s="2">
        <v>1</v>
      </c>
      <c r="D148" s="2">
        <v>1</v>
      </c>
      <c r="E148" s="2">
        <v>1.7050000000000001</v>
      </c>
    </row>
    <row r="149" spans="1:5" ht="14.25" customHeight="1">
      <c r="A149" s="2">
        <v>33</v>
      </c>
      <c r="B149" s="2">
        <v>148</v>
      </c>
      <c r="C149" s="2">
        <v>2</v>
      </c>
      <c r="D149" s="2">
        <v>1</v>
      </c>
      <c r="E149" s="2">
        <v>1.1830000000000001</v>
      </c>
    </row>
    <row r="150" spans="1:5" ht="14.25" customHeight="1">
      <c r="A150" s="2">
        <v>33</v>
      </c>
      <c r="B150" s="2">
        <v>149</v>
      </c>
      <c r="C150" s="2">
        <v>5</v>
      </c>
      <c r="D150" s="2">
        <v>1</v>
      </c>
      <c r="E150" s="2">
        <v>0.93600000000000005</v>
      </c>
    </row>
    <row r="151" spans="1:5" ht="14.25" customHeight="1">
      <c r="A151" s="2">
        <v>33</v>
      </c>
      <c r="B151" s="2">
        <v>150</v>
      </c>
      <c r="C151" s="2">
        <v>1</v>
      </c>
      <c r="D151" s="2">
        <v>1</v>
      </c>
      <c r="E151" s="2">
        <v>0.89600000000000002</v>
      </c>
    </row>
    <row r="152" spans="1:5" ht="14.25" customHeight="1">
      <c r="A152" s="2">
        <v>33</v>
      </c>
      <c r="B152" s="2">
        <v>151</v>
      </c>
      <c r="C152" s="2">
        <v>6</v>
      </c>
    </row>
    <row r="153" spans="1:5" ht="14.25" customHeight="1">
      <c r="A153" s="2">
        <v>33</v>
      </c>
      <c r="B153" s="2">
        <v>152</v>
      </c>
      <c r="C153" s="2">
        <v>7</v>
      </c>
    </row>
    <row r="154" spans="1:5" ht="14.25" customHeight="1">
      <c r="A154" s="2">
        <v>33</v>
      </c>
      <c r="B154" s="2">
        <v>153</v>
      </c>
      <c r="C154" s="2">
        <v>1</v>
      </c>
    </row>
    <row r="155" spans="1:5" ht="14.25" customHeight="1">
      <c r="A155" s="2">
        <v>33</v>
      </c>
      <c r="B155" s="2">
        <v>154</v>
      </c>
      <c r="C155" s="2">
        <v>6</v>
      </c>
    </row>
    <row r="156" spans="1:5" ht="14.25" customHeight="1">
      <c r="A156" s="2">
        <v>33</v>
      </c>
      <c r="B156" s="2">
        <v>155</v>
      </c>
      <c r="C156" s="2">
        <v>1</v>
      </c>
    </row>
    <row r="157" spans="1:5" ht="14.25" customHeight="1">
      <c r="A157" s="2">
        <v>33</v>
      </c>
      <c r="B157" s="2">
        <v>156</v>
      </c>
      <c r="C157" s="2">
        <v>2</v>
      </c>
    </row>
    <row r="158" spans="1:5" ht="14.25" customHeight="1">
      <c r="A158" s="2">
        <v>33</v>
      </c>
      <c r="B158" s="2">
        <v>157</v>
      </c>
      <c r="C158" s="2">
        <v>4</v>
      </c>
    </row>
    <row r="159" spans="1:5" ht="14.25" customHeight="1">
      <c r="A159" s="2">
        <v>33</v>
      </c>
      <c r="B159" s="2">
        <v>158</v>
      </c>
      <c r="C159" s="2">
        <v>6</v>
      </c>
    </row>
    <row r="160" spans="1:5" ht="14.25" customHeight="1">
      <c r="A160" s="2">
        <v>33</v>
      </c>
      <c r="B160" s="2">
        <v>159</v>
      </c>
      <c r="C160" s="2">
        <v>5</v>
      </c>
    </row>
    <row r="161" spans="1:3" ht="14.25" customHeight="1">
      <c r="A161" s="2">
        <v>33</v>
      </c>
      <c r="B161" s="2">
        <v>160</v>
      </c>
      <c r="C161" s="2">
        <v>8</v>
      </c>
    </row>
    <row r="162" spans="1:3" ht="14.25" customHeight="1">
      <c r="A162" s="2">
        <v>33</v>
      </c>
      <c r="B162" s="2">
        <v>161</v>
      </c>
      <c r="C162" s="2">
        <v>7</v>
      </c>
    </row>
    <row r="163" spans="1:3" ht="14.25" customHeight="1">
      <c r="A163" s="2">
        <v>33</v>
      </c>
      <c r="B163" s="2">
        <v>162</v>
      </c>
      <c r="C163" s="2">
        <v>2</v>
      </c>
    </row>
    <row r="164" spans="1:3" ht="14.25" customHeight="1">
      <c r="A164" s="2">
        <v>33</v>
      </c>
      <c r="B164" s="2">
        <v>163</v>
      </c>
      <c r="C164" s="2">
        <v>1</v>
      </c>
    </row>
    <row r="165" spans="1:3" ht="14.25" customHeight="1">
      <c r="A165" s="2">
        <v>33</v>
      </c>
      <c r="B165" s="2">
        <v>164</v>
      </c>
      <c r="C165" s="2">
        <v>4</v>
      </c>
    </row>
    <row r="166" spans="1:3" ht="14.25" customHeight="1">
      <c r="A166" s="2">
        <v>33</v>
      </c>
      <c r="B166" s="2">
        <v>165</v>
      </c>
      <c r="C166" s="2">
        <v>7</v>
      </c>
    </row>
    <row r="167" spans="1:3" ht="14.25" customHeight="1">
      <c r="A167" s="2">
        <v>33</v>
      </c>
      <c r="B167" s="2">
        <v>166</v>
      </c>
      <c r="C167" s="2">
        <v>3</v>
      </c>
    </row>
    <row r="168" spans="1:3" ht="14.25" customHeight="1">
      <c r="A168" s="2">
        <v>33</v>
      </c>
      <c r="B168" s="2">
        <v>167</v>
      </c>
      <c r="C168" s="2">
        <v>5</v>
      </c>
    </row>
    <row r="169" spans="1:3" ht="14.25" customHeight="1">
      <c r="A169" s="2">
        <v>33</v>
      </c>
      <c r="B169" s="2">
        <v>168</v>
      </c>
      <c r="C169" s="2">
        <v>2</v>
      </c>
    </row>
    <row r="170" spans="1:3" ht="14.25" customHeight="1">
      <c r="A170" s="2">
        <v>33</v>
      </c>
      <c r="B170" s="2">
        <v>169</v>
      </c>
      <c r="C170" s="2">
        <v>4</v>
      </c>
    </row>
    <row r="171" spans="1:3" ht="14.25" customHeight="1">
      <c r="A171" s="2">
        <v>33</v>
      </c>
      <c r="B171" s="2">
        <v>170</v>
      </c>
      <c r="C171" s="2">
        <v>3</v>
      </c>
    </row>
    <row r="172" spans="1:3" ht="14.25" customHeight="1">
      <c r="A172" s="2">
        <v>33</v>
      </c>
      <c r="B172" s="2">
        <v>171</v>
      </c>
      <c r="C172" s="2">
        <v>1</v>
      </c>
    </row>
    <row r="173" spans="1:3" ht="14.25" customHeight="1">
      <c r="A173" s="2">
        <v>33</v>
      </c>
      <c r="B173" s="2">
        <v>172</v>
      </c>
      <c r="C173" s="2">
        <v>8</v>
      </c>
    </row>
    <row r="174" spans="1:3" ht="14.25" customHeight="1">
      <c r="A174" s="2">
        <v>33</v>
      </c>
      <c r="B174" s="2">
        <v>173</v>
      </c>
      <c r="C174" s="2">
        <v>5</v>
      </c>
    </row>
    <row r="175" spans="1:3" ht="14.25" customHeight="1">
      <c r="A175" s="2">
        <v>33</v>
      </c>
      <c r="B175" s="2">
        <v>174</v>
      </c>
      <c r="C175" s="2">
        <v>3</v>
      </c>
    </row>
    <row r="176" spans="1:3" ht="14.25" customHeight="1">
      <c r="A176" s="2">
        <v>33</v>
      </c>
      <c r="B176" s="2">
        <v>175</v>
      </c>
      <c r="C176" s="2">
        <v>7</v>
      </c>
    </row>
    <row r="177" spans="1:3" ht="14.25" customHeight="1">
      <c r="A177" s="2">
        <v>33</v>
      </c>
      <c r="B177" s="2">
        <v>176</v>
      </c>
      <c r="C177" s="2">
        <v>5</v>
      </c>
    </row>
    <row r="178" spans="1:3" ht="14.25" customHeight="1">
      <c r="A178" s="2">
        <v>33</v>
      </c>
      <c r="B178" s="2">
        <v>177</v>
      </c>
      <c r="C178" s="2">
        <v>4</v>
      </c>
    </row>
    <row r="179" spans="1:3" ht="14.25" customHeight="1">
      <c r="A179" s="2">
        <v>33</v>
      </c>
      <c r="B179" s="2">
        <v>178</v>
      </c>
      <c r="C179" s="2">
        <v>1</v>
      </c>
    </row>
    <row r="180" spans="1:3" ht="14.25" customHeight="1">
      <c r="A180" s="2">
        <v>33</v>
      </c>
      <c r="B180" s="2">
        <v>179</v>
      </c>
      <c r="C180" s="2">
        <v>5</v>
      </c>
    </row>
    <row r="181" spans="1:3" ht="14.25" customHeight="1">
      <c r="A181" s="2">
        <v>33</v>
      </c>
      <c r="B181" s="2">
        <v>180</v>
      </c>
      <c r="C181" s="2">
        <v>8</v>
      </c>
    </row>
    <row r="182" spans="1:3" ht="14.25" customHeight="1">
      <c r="A182" s="2">
        <v>33</v>
      </c>
      <c r="B182" s="2">
        <v>181</v>
      </c>
      <c r="C182" s="2">
        <v>6</v>
      </c>
    </row>
    <row r="183" spans="1:3" ht="14.25" customHeight="1">
      <c r="A183" s="2">
        <v>33</v>
      </c>
      <c r="B183" s="2">
        <v>182</v>
      </c>
      <c r="C183" s="2">
        <v>1</v>
      </c>
    </row>
    <row r="184" spans="1:3" ht="14.25" customHeight="1">
      <c r="A184" s="2">
        <v>33</v>
      </c>
      <c r="B184" s="2">
        <v>183</v>
      </c>
      <c r="C184" s="2">
        <v>3</v>
      </c>
    </row>
    <row r="185" spans="1:3" ht="14.25" customHeight="1">
      <c r="A185" s="2">
        <v>33</v>
      </c>
      <c r="B185" s="2">
        <v>184</v>
      </c>
      <c r="C185" s="2">
        <v>7</v>
      </c>
    </row>
    <row r="186" spans="1:3" ht="14.25" customHeight="1">
      <c r="A186" s="2">
        <v>33</v>
      </c>
      <c r="B186" s="2">
        <v>185</v>
      </c>
      <c r="C186" s="2">
        <v>6</v>
      </c>
    </row>
    <row r="187" spans="1:3" ht="14.25" customHeight="1">
      <c r="A187" s="2">
        <v>33</v>
      </c>
      <c r="B187" s="2">
        <v>186</v>
      </c>
      <c r="C187" s="2">
        <v>3</v>
      </c>
    </row>
    <row r="188" spans="1:3" ht="14.25" customHeight="1">
      <c r="A188" s="2">
        <v>33</v>
      </c>
      <c r="B188" s="2">
        <v>187</v>
      </c>
      <c r="C188" s="2">
        <v>8</v>
      </c>
    </row>
    <row r="189" spans="1:3" ht="14.25" customHeight="1">
      <c r="A189" s="2">
        <v>33</v>
      </c>
      <c r="B189" s="2">
        <v>188</v>
      </c>
      <c r="C189" s="2">
        <v>2</v>
      </c>
    </row>
    <row r="190" spans="1:3" ht="14.25" customHeight="1">
      <c r="A190" s="2">
        <v>33</v>
      </c>
      <c r="B190" s="2">
        <v>189</v>
      </c>
      <c r="C190" s="2">
        <v>8</v>
      </c>
    </row>
    <row r="191" spans="1:3" ht="14.25" customHeight="1">
      <c r="A191" s="2">
        <v>33</v>
      </c>
      <c r="B191" s="2">
        <v>190</v>
      </c>
      <c r="C191" s="2">
        <v>4</v>
      </c>
    </row>
    <row r="192" spans="1:3" ht="14.25" customHeight="1">
      <c r="A192" s="2">
        <v>33</v>
      </c>
      <c r="B192" s="2">
        <v>191</v>
      </c>
      <c r="C192" s="2">
        <v>5</v>
      </c>
    </row>
    <row r="193" spans="1:3" ht="14.25" customHeight="1">
      <c r="A193" s="2">
        <v>33</v>
      </c>
      <c r="B193" s="2">
        <v>192</v>
      </c>
      <c r="C193" s="2">
        <v>6</v>
      </c>
    </row>
    <row r="194" spans="1:3" ht="14.25" customHeight="1">
      <c r="A194" s="2">
        <v>33</v>
      </c>
      <c r="B194" s="2">
        <v>193</v>
      </c>
      <c r="C194" s="2">
        <v>3</v>
      </c>
    </row>
    <row r="195" spans="1:3" ht="14.25" customHeight="1">
      <c r="A195" s="2">
        <v>33</v>
      </c>
      <c r="B195" s="2">
        <v>194</v>
      </c>
      <c r="C195" s="2">
        <v>2</v>
      </c>
    </row>
    <row r="196" spans="1:3" ht="14.25" customHeight="1">
      <c r="A196" s="2">
        <v>33</v>
      </c>
      <c r="B196" s="2">
        <v>195</v>
      </c>
      <c r="C196" s="2">
        <v>7</v>
      </c>
    </row>
    <row r="197" spans="1:3" ht="14.25" customHeight="1">
      <c r="A197" s="2">
        <v>33</v>
      </c>
      <c r="B197" s="2">
        <v>196</v>
      </c>
      <c r="C197" s="2">
        <v>2</v>
      </c>
    </row>
    <row r="198" spans="1:3" ht="14.25" customHeight="1">
      <c r="A198" s="2">
        <v>33</v>
      </c>
      <c r="B198" s="2">
        <v>197</v>
      </c>
      <c r="C198" s="2">
        <v>4</v>
      </c>
    </row>
    <row r="199" spans="1:3" ht="14.25" customHeight="1">
      <c r="A199" s="2">
        <v>33</v>
      </c>
      <c r="B199" s="2">
        <v>198</v>
      </c>
      <c r="C199" s="2">
        <v>1</v>
      </c>
    </row>
    <row r="200" spans="1:3" ht="14.25" customHeight="1">
      <c r="A200" s="2">
        <v>33</v>
      </c>
      <c r="B200" s="2">
        <v>199</v>
      </c>
      <c r="C200" s="2">
        <v>7</v>
      </c>
    </row>
    <row r="201" spans="1:3" ht="14.25" customHeight="1">
      <c r="A201" s="2">
        <v>33</v>
      </c>
      <c r="B201" s="2">
        <v>200</v>
      </c>
      <c r="C201" s="2">
        <v>8</v>
      </c>
    </row>
    <row r="202" spans="1:3" ht="14.25" customHeight="1">
      <c r="A202" s="2">
        <v>33</v>
      </c>
      <c r="B202" s="2">
        <v>201</v>
      </c>
      <c r="C202" s="2">
        <v>7</v>
      </c>
    </row>
    <row r="203" spans="1:3" ht="14.25" customHeight="1">
      <c r="A203" s="2">
        <v>33</v>
      </c>
      <c r="B203" s="2">
        <v>202</v>
      </c>
      <c r="C203" s="2">
        <v>6</v>
      </c>
    </row>
    <row r="204" spans="1:3" ht="14.25" customHeight="1">
      <c r="A204" s="2">
        <v>33</v>
      </c>
      <c r="B204" s="2">
        <v>203</v>
      </c>
      <c r="C204" s="2">
        <v>2</v>
      </c>
    </row>
    <row r="205" spans="1:3" ht="14.25" customHeight="1">
      <c r="A205" s="2">
        <v>33</v>
      </c>
      <c r="B205" s="2">
        <v>204</v>
      </c>
      <c r="C205" s="2">
        <v>5</v>
      </c>
    </row>
    <row r="206" spans="1:3" ht="14.25" customHeight="1">
      <c r="A206" s="2">
        <v>33</v>
      </c>
      <c r="B206" s="2">
        <v>205</v>
      </c>
      <c r="C206" s="2">
        <v>3</v>
      </c>
    </row>
    <row r="207" spans="1:3" ht="14.25" customHeight="1">
      <c r="A207" s="2">
        <v>33</v>
      </c>
      <c r="B207" s="2">
        <v>206</v>
      </c>
      <c r="C207" s="2">
        <v>1</v>
      </c>
    </row>
    <row r="208" spans="1:3" ht="14.25" customHeight="1">
      <c r="A208" s="2">
        <v>33</v>
      </c>
      <c r="B208" s="2">
        <v>207</v>
      </c>
      <c r="C208" s="2">
        <v>8</v>
      </c>
    </row>
    <row r="209" spans="1:3" ht="14.25" customHeight="1">
      <c r="A209" s="2">
        <v>33</v>
      </c>
      <c r="B209" s="2">
        <v>208</v>
      </c>
      <c r="C209" s="2">
        <v>5</v>
      </c>
    </row>
    <row r="210" spans="1:3" ht="14.25" customHeight="1">
      <c r="A210" s="2">
        <v>33</v>
      </c>
      <c r="B210" s="2">
        <v>209</v>
      </c>
      <c r="C210" s="2">
        <v>4</v>
      </c>
    </row>
    <row r="211" spans="1:3" ht="14.25" customHeight="1">
      <c r="A211" s="2">
        <v>33</v>
      </c>
      <c r="B211" s="2">
        <v>210</v>
      </c>
      <c r="C211" s="2">
        <v>3</v>
      </c>
    </row>
    <row r="212" spans="1:3" ht="14.25" customHeight="1">
      <c r="A212" s="2">
        <v>33</v>
      </c>
      <c r="B212" s="2">
        <v>211</v>
      </c>
      <c r="C212" s="2">
        <v>1</v>
      </c>
    </row>
    <row r="213" spans="1:3" ht="14.25" customHeight="1">
      <c r="A213" s="2">
        <v>33</v>
      </c>
      <c r="B213" s="2">
        <v>212</v>
      </c>
      <c r="C213" s="2">
        <v>8</v>
      </c>
    </row>
    <row r="214" spans="1:3" ht="14.25" customHeight="1">
      <c r="A214" s="2">
        <v>33</v>
      </c>
      <c r="B214" s="2">
        <v>213</v>
      </c>
      <c r="C214" s="2">
        <v>4</v>
      </c>
    </row>
    <row r="215" spans="1:3" ht="14.25" customHeight="1">
      <c r="A215" s="2">
        <v>33</v>
      </c>
      <c r="B215" s="2">
        <v>214</v>
      </c>
      <c r="C215" s="2">
        <v>6</v>
      </c>
    </row>
    <row r="216" spans="1:3" ht="14.25" customHeight="1">
      <c r="A216" s="2">
        <v>33</v>
      </c>
      <c r="B216" s="2">
        <v>215</v>
      </c>
      <c r="C216" s="2">
        <v>4</v>
      </c>
    </row>
    <row r="217" spans="1:3" ht="14.25" customHeight="1">
      <c r="A217" s="2">
        <v>33</v>
      </c>
      <c r="B217" s="2">
        <v>216</v>
      </c>
      <c r="C217" s="2">
        <v>5</v>
      </c>
    </row>
    <row r="218" spans="1:3" ht="14.25" customHeight="1">
      <c r="A218" s="2">
        <v>33</v>
      </c>
      <c r="B218" s="2">
        <v>217</v>
      </c>
      <c r="C218" s="2">
        <v>3</v>
      </c>
    </row>
    <row r="219" spans="1:3" ht="14.25" customHeight="1">
      <c r="A219" s="2">
        <v>33</v>
      </c>
      <c r="B219" s="2">
        <v>218</v>
      </c>
      <c r="C219" s="2">
        <v>7</v>
      </c>
    </row>
    <row r="220" spans="1:3" ht="14.25" customHeight="1">
      <c r="A220" s="2">
        <v>33</v>
      </c>
      <c r="B220" s="2">
        <v>219</v>
      </c>
      <c r="C220" s="2">
        <v>2</v>
      </c>
    </row>
    <row r="221" spans="1:3" ht="14.25" customHeight="1">
      <c r="A221" s="2">
        <v>33</v>
      </c>
      <c r="B221" s="2">
        <v>220</v>
      </c>
      <c r="C221" s="2">
        <v>1</v>
      </c>
    </row>
    <row r="222" spans="1:3" ht="14.25" customHeight="1">
      <c r="A222" s="2">
        <v>33</v>
      </c>
      <c r="B222" s="2">
        <v>221</v>
      </c>
      <c r="C222" s="2">
        <v>3</v>
      </c>
    </row>
    <row r="223" spans="1:3" ht="14.25" customHeight="1">
      <c r="A223" s="2">
        <v>33</v>
      </c>
      <c r="B223" s="2">
        <v>222</v>
      </c>
      <c r="C223" s="2">
        <v>7</v>
      </c>
    </row>
    <row r="224" spans="1:3" ht="14.25" customHeight="1">
      <c r="A224" s="2">
        <v>33</v>
      </c>
      <c r="B224" s="2">
        <v>223</v>
      </c>
      <c r="C224" s="2">
        <v>6</v>
      </c>
    </row>
    <row r="225" spans="1:3" ht="14.25" customHeight="1">
      <c r="A225" s="2">
        <v>33</v>
      </c>
      <c r="B225" s="2">
        <v>224</v>
      </c>
      <c r="C225" s="2">
        <v>2</v>
      </c>
    </row>
    <row r="226" spans="1:3" ht="14.25" customHeight="1">
      <c r="A226" s="2">
        <v>33</v>
      </c>
      <c r="B226" s="2">
        <v>225</v>
      </c>
      <c r="C226" s="2">
        <v>5</v>
      </c>
    </row>
    <row r="227" spans="1:3" ht="14.25" customHeight="1">
      <c r="A227" s="2">
        <v>33</v>
      </c>
      <c r="B227" s="2">
        <v>226</v>
      </c>
      <c r="C227" s="2">
        <v>8</v>
      </c>
    </row>
    <row r="228" spans="1:3" ht="14.25" customHeight="1">
      <c r="A228" s="2">
        <v>33</v>
      </c>
      <c r="B228" s="2">
        <v>227</v>
      </c>
      <c r="C228" s="2">
        <v>6</v>
      </c>
    </row>
    <row r="229" spans="1:3" ht="14.25" customHeight="1">
      <c r="A229" s="2">
        <v>33</v>
      </c>
      <c r="B229" s="2">
        <v>228</v>
      </c>
      <c r="C229" s="2">
        <v>4</v>
      </c>
    </row>
    <row r="230" spans="1:3" ht="14.25" customHeight="1">
      <c r="A230" s="2">
        <v>33</v>
      </c>
      <c r="B230" s="2">
        <v>229</v>
      </c>
      <c r="C230" s="2">
        <v>3</v>
      </c>
    </row>
    <row r="231" spans="1:3" ht="14.25" customHeight="1">
      <c r="A231" s="2">
        <v>33</v>
      </c>
      <c r="B231" s="2">
        <v>230</v>
      </c>
      <c r="C231" s="2">
        <v>2</v>
      </c>
    </row>
    <row r="232" spans="1:3" ht="14.25" customHeight="1">
      <c r="A232" s="2">
        <v>33</v>
      </c>
      <c r="B232" s="2">
        <v>231</v>
      </c>
      <c r="C232" s="2">
        <v>7</v>
      </c>
    </row>
    <row r="233" spans="1:3" ht="14.25" customHeight="1">
      <c r="A233" s="2">
        <v>33</v>
      </c>
      <c r="B233" s="2">
        <v>232</v>
      </c>
      <c r="C233" s="2">
        <v>1</v>
      </c>
    </row>
    <row r="234" spans="1:3" ht="14.25" customHeight="1">
      <c r="A234" s="2">
        <v>33</v>
      </c>
      <c r="B234" s="2">
        <v>233</v>
      </c>
      <c r="C234" s="2">
        <v>5</v>
      </c>
    </row>
    <row r="235" spans="1:3" ht="14.25" customHeight="1">
      <c r="A235" s="2">
        <v>33</v>
      </c>
      <c r="B235" s="2">
        <v>234</v>
      </c>
      <c r="C235" s="2">
        <v>1</v>
      </c>
    </row>
    <row r="236" spans="1:3" ht="14.25" customHeight="1">
      <c r="A236" s="2">
        <v>33</v>
      </c>
      <c r="B236" s="2">
        <v>235</v>
      </c>
      <c r="C236" s="2">
        <v>2</v>
      </c>
    </row>
    <row r="237" spans="1:3" ht="14.25" customHeight="1">
      <c r="A237" s="2">
        <v>33</v>
      </c>
      <c r="B237" s="2">
        <v>236</v>
      </c>
      <c r="C237" s="2">
        <v>8</v>
      </c>
    </row>
    <row r="238" spans="1:3" ht="14.25" customHeight="1">
      <c r="A238" s="2">
        <v>33</v>
      </c>
      <c r="B238" s="2">
        <v>237</v>
      </c>
      <c r="C238" s="2">
        <v>5</v>
      </c>
    </row>
    <row r="239" spans="1:3" ht="14.25" customHeight="1">
      <c r="A239" s="2">
        <v>33</v>
      </c>
      <c r="B239" s="2">
        <v>238</v>
      </c>
      <c r="C239" s="2">
        <v>7</v>
      </c>
    </row>
    <row r="240" spans="1:3" ht="14.25" customHeight="1">
      <c r="A240" s="2">
        <v>33</v>
      </c>
      <c r="B240" s="2">
        <v>239</v>
      </c>
      <c r="C240" s="2">
        <v>4</v>
      </c>
    </row>
    <row r="241" spans="1:3" ht="14.25" customHeight="1">
      <c r="A241" s="2">
        <v>33</v>
      </c>
      <c r="B241" s="2">
        <v>240</v>
      </c>
      <c r="C241" s="2">
        <v>8</v>
      </c>
    </row>
    <row r="242" spans="1:3" ht="14.25" customHeight="1">
      <c r="A242" s="2">
        <v>33</v>
      </c>
      <c r="B242" s="2">
        <v>241</v>
      </c>
      <c r="C242" s="2">
        <v>3</v>
      </c>
    </row>
    <row r="243" spans="1:3" ht="14.25" customHeight="1">
      <c r="A243" s="2">
        <v>33</v>
      </c>
      <c r="B243" s="2">
        <v>242</v>
      </c>
      <c r="C243" s="2">
        <v>4</v>
      </c>
    </row>
    <row r="244" spans="1:3" ht="14.25" customHeight="1">
      <c r="A244" s="2">
        <v>33</v>
      </c>
      <c r="B244" s="2">
        <v>243</v>
      </c>
      <c r="C244" s="2">
        <v>1</v>
      </c>
    </row>
    <row r="245" spans="1:3" ht="14.25" customHeight="1">
      <c r="A245" s="2">
        <v>33</v>
      </c>
      <c r="B245" s="2">
        <v>244</v>
      </c>
      <c r="C245" s="2">
        <v>7</v>
      </c>
    </row>
    <row r="246" spans="1:3" ht="14.25" customHeight="1">
      <c r="A246" s="2">
        <v>33</v>
      </c>
      <c r="B246" s="2">
        <v>245</v>
      </c>
      <c r="C246" s="2">
        <v>6</v>
      </c>
    </row>
    <row r="247" spans="1:3" ht="14.25" customHeight="1">
      <c r="A247" s="2">
        <v>33</v>
      </c>
      <c r="B247" s="2">
        <v>246</v>
      </c>
      <c r="C247" s="2">
        <v>7</v>
      </c>
    </row>
    <row r="248" spans="1:3" ht="14.25" customHeight="1">
      <c r="A248" s="2">
        <v>33</v>
      </c>
      <c r="B248" s="2">
        <v>247</v>
      </c>
      <c r="C248" s="2">
        <v>6</v>
      </c>
    </row>
    <row r="249" spans="1:3" ht="14.25" customHeight="1">
      <c r="A249" s="2">
        <v>33</v>
      </c>
      <c r="B249" s="2">
        <v>248</v>
      </c>
      <c r="C249" s="2">
        <v>1</v>
      </c>
    </row>
    <row r="250" spans="1:3" ht="14.25" customHeight="1">
      <c r="A250" s="2">
        <v>33</v>
      </c>
      <c r="B250" s="2">
        <v>249</v>
      </c>
      <c r="C250" s="2">
        <v>8</v>
      </c>
    </row>
    <row r="251" spans="1:3" ht="14.25" customHeight="1">
      <c r="A251" s="2">
        <v>33</v>
      </c>
      <c r="B251" s="2">
        <v>250</v>
      </c>
      <c r="C251" s="2">
        <v>2</v>
      </c>
    </row>
    <row r="252" spans="1:3" ht="14.25" customHeight="1">
      <c r="A252" s="2">
        <v>33</v>
      </c>
      <c r="B252" s="2">
        <v>251</v>
      </c>
      <c r="C252" s="2">
        <v>7</v>
      </c>
    </row>
    <row r="253" spans="1:3" ht="14.25" customHeight="1">
      <c r="A253" s="2">
        <v>33</v>
      </c>
      <c r="B253" s="2">
        <v>252</v>
      </c>
      <c r="C253" s="2">
        <v>3</v>
      </c>
    </row>
    <row r="254" spans="1:3" ht="14.25" customHeight="1">
      <c r="A254" s="2">
        <v>33</v>
      </c>
      <c r="B254" s="2">
        <v>253</v>
      </c>
      <c r="C254" s="2">
        <v>7</v>
      </c>
    </row>
    <row r="255" spans="1:3" ht="14.25" customHeight="1">
      <c r="A255" s="2">
        <v>33</v>
      </c>
      <c r="B255" s="2">
        <v>254</v>
      </c>
      <c r="C255" s="2">
        <v>1</v>
      </c>
    </row>
    <row r="256" spans="1:3" ht="14.25" customHeight="1">
      <c r="A256" s="2">
        <v>33</v>
      </c>
      <c r="B256" s="2">
        <v>255</v>
      </c>
      <c r="C256" s="2">
        <v>5</v>
      </c>
    </row>
    <row r="257" spans="1:3" ht="14.25" customHeight="1">
      <c r="A257" s="2">
        <v>33</v>
      </c>
      <c r="B257" s="2">
        <v>256</v>
      </c>
      <c r="C257" s="2">
        <v>3</v>
      </c>
    </row>
    <row r="258" spans="1:3" ht="14.25" customHeight="1">
      <c r="A258" s="2">
        <v>33</v>
      </c>
      <c r="B258" s="2">
        <v>257</v>
      </c>
      <c r="C258" s="2">
        <v>1</v>
      </c>
    </row>
    <row r="259" spans="1:3" ht="14.25" customHeight="1">
      <c r="A259" s="2">
        <v>33</v>
      </c>
      <c r="B259" s="2">
        <v>258</v>
      </c>
      <c r="C259" s="2">
        <v>7</v>
      </c>
    </row>
    <row r="260" spans="1:3" ht="14.25" customHeight="1">
      <c r="A260" s="2">
        <v>33</v>
      </c>
      <c r="B260" s="2">
        <v>259</v>
      </c>
      <c r="C260" s="2">
        <v>2</v>
      </c>
    </row>
    <row r="261" spans="1:3" ht="14.25" customHeight="1">
      <c r="A261" s="2">
        <v>33</v>
      </c>
      <c r="B261" s="2">
        <v>260</v>
      </c>
      <c r="C261" s="2">
        <v>7</v>
      </c>
    </row>
    <row r="262" spans="1:3" ht="14.25" customHeight="1">
      <c r="A262" s="2">
        <v>33</v>
      </c>
      <c r="B262" s="2">
        <v>261</v>
      </c>
      <c r="C262" s="2">
        <v>2</v>
      </c>
    </row>
    <row r="263" spans="1:3" ht="14.25" customHeight="1">
      <c r="A263" s="2">
        <v>33</v>
      </c>
      <c r="B263" s="2">
        <v>262</v>
      </c>
      <c r="C263" s="2">
        <v>7</v>
      </c>
    </row>
    <row r="264" spans="1:3" ht="14.25" customHeight="1">
      <c r="A264" s="2">
        <v>33</v>
      </c>
      <c r="B264" s="2">
        <v>263</v>
      </c>
      <c r="C264" s="2">
        <v>1</v>
      </c>
    </row>
    <row r="265" spans="1:3" ht="14.25" customHeight="1">
      <c r="A265" s="2">
        <v>33</v>
      </c>
      <c r="B265" s="2">
        <v>264</v>
      </c>
      <c r="C265" s="2">
        <v>5</v>
      </c>
    </row>
    <row r="266" spans="1:3" ht="14.25" customHeight="1">
      <c r="A266" s="2">
        <v>33</v>
      </c>
      <c r="B266" s="2">
        <v>265</v>
      </c>
      <c r="C266" s="2">
        <v>2</v>
      </c>
    </row>
    <row r="267" spans="1:3" ht="14.25" customHeight="1">
      <c r="A267" s="2">
        <v>33</v>
      </c>
      <c r="B267" s="2">
        <v>266</v>
      </c>
      <c r="C267" s="2">
        <v>8</v>
      </c>
    </row>
    <row r="268" spans="1:3" ht="14.25" customHeight="1">
      <c r="A268" s="2">
        <v>33</v>
      </c>
      <c r="B268" s="2">
        <v>267</v>
      </c>
      <c r="C268" s="2">
        <v>6</v>
      </c>
    </row>
    <row r="269" spans="1:3" ht="14.25" customHeight="1">
      <c r="A269" s="2">
        <v>33</v>
      </c>
      <c r="B269" s="2">
        <v>268</v>
      </c>
      <c r="C269" s="2">
        <v>1</v>
      </c>
    </row>
    <row r="270" spans="1:3" ht="14.25" customHeight="1">
      <c r="A270" s="2">
        <v>33</v>
      </c>
      <c r="B270" s="2">
        <v>269</v>
      </c>
      <c r="C270" s="2">
        <v>4</v>
      </c>
    </row>
    <row r="271" spans="1:3" ht="14.25" customHeight="1">
      <c r="A271" s="2">
        <v>33</v>
      </c>
      <c r="B271" s="2">
        <v>270</v>
      </c>
      <c r="C271" s="2">
        <v>8</v>
      </c>
    </row>
    <row r="272" spans="1:3" ht="14.25" customHeight="1">
      <c r="A272" s="2">
        <v>33</v>
      </c>
      <c r="B272" s="2">
        <v>271</v>
      </c>
      <c r="C272" s="2">
        <v>4</v>
      </c>
    </row>
    <row r="273" spans="1:3" ht="14.25" customHeight="1">
      <c r="A273" s="2">
        <v>33</v>
      </c>
      <c r="B273" s="2">
        <v>272</v>
      </c>
      <c r="C273" s="2">
        <v>3</v>
      </c>
    </row>
    <row r="274" spans="1:3" ht="14.25" customHeight="1">
      <c r="A274" s="2">
        <v>33</v>
      </c>
      <c r="B274" s="2">
        <v>273</v>
      </c>
      <c r="C274" s="2">
        <v>4</v>
      </c>
    </row>
    <row r="275" spans="1:3" ht="14.25" customHeight="1">
      <c r="A275" s="2">
        <v>33</v>
      </c>
      <c r="B275" s="2">
        <v>274</v>
      </c>
      <c r="C275" s="2">
        <v>8</v>
      </c>
    </row>
    <row r="276" spans="1:3" ht="14.25" customHeight="1">
      <c r="A276" s="2">
        <v>33</v>
      </c>
      <c r="B276" s="2">
        <v>275</v>
      </c>
      <c r="C276" s="2">
        <v>2</v>
      </c>
    </row>
    <row r="277" spans="1:3" ht="14.25" customHeight="1">
      <c r="A277" s="2">
        <v>33</v>
      </c>
      <c r="B277" s="2">
        <v>276</v>
      </c>
      <c r="C277" s="2">
        <v>3</v>
      </c>
    </row>
    <row r="278" spans="1:3" ht="14.25" customHeight="1">
      <c r="A278" s="2">
        <v>33</v>
      </c>
      <c r="B278" s="2">
        <v>277</v>
      </c>
      <c r="C278" s="2">
        <v>5</v>
      </c>
    </row>
    <row r="279" spans="1:3" ht="14.25" customHeight="1">
      <c r="A279" s="2">
        <v>33</v>
      </c>
      <c r="B279" s="2">
        <v>278</v>
      </c>
      <c r="C279" s="2">
        <v>1</v>
      </c>
    </row>
    <row r="280" spans="1:3" ht="14.25" customHeight="1">
      <c r="A280" s="2">
        <v>33</v>
      </c>
      <c r="B280" s="2">
        <v>279</v>
      </c>
      <c r="C280" s="2">
        <v>4</v>
      </c>
    </row>
    <row r="281" spans="1:3" ht="14.25" customHeight="1">
      <c r="A281" s="2">
        <v>33</v>
      </c>
      <c r="B281" s="2">
        <v>280</v>
      </c>
      <c r="C281" s="2">
        <v>7</v>
      </c>
    </row>
    <row r="282" spans="1:3" ht="14.25" customHeight="1">
      <c r="A282" s="2">
        <v>33</v>
      </c>
      <c r="B282" s="2">
        <v>281</v>
      </c>
      <c r="C282" s="2">
        <v>8</v>
      </c>
    </row>
    <row r="283" spans="1:3" ht="14.25" customHeight="1">
      <c r="A283" s="2">
        <v>33</v>
      </c>
      <c r="B283" s="2">
        <v>282</v>
      </c>
      <c r="C283" s="2">
        <v>5</v>
      </c>
    </row>
    <row r="284" spans="1:3" ht="14.25" customHeight="1">
      <c r="A284" s="2">
        <v>33</v>
      </c>
      <c r="B284" s="2">
        <v>283</v>
      </c>
      <c r="C284" s="2">
        <v>6</v>
      </c>
    </row>
    <row r="285" spans="1:3" ht="14.25" customHeight="1">
      <c r="A285" s="2">
        <v>33</v>
      </c>
      <c r="B285" s="2">
        <v>284</v>
      </c>
      <c r="C285" s="2">
        <v>4</v>
      </c>
    </row>
    <row r="286" spans="1:3" ht="14.25" customHeight="1">
      <c r="A286" s="2">
        <v>33</v>
      </c>
      <c r="B286" s="2">
        <v>285</v>
      </c>
      <c r="C286" s="2">
        <v>1</v>
      </c>
    </row>
    <row r="287" spans="1:3" ht="14.25" customHeight="1">
      <c r="A287" s="2">
        <v>33</v>
      </c>
      <c r="B287" s="2">
        <v>286</v>
      </c>
      <c r="C287" s="2">
        <v>5</v>
      </c>
    </row>
    <row r="288" spans="1:3" ht="14.25" customHeight="1">
      <c r="A288" s="2">
        <v>33</v>
      </c>
      <c r="B288" s="2">
        <v>287</v>
      </c>
      <c r="C288" s="2">
        <v>3</v>
      </c>
    </row>
    <row r="289" spans="1:4" ht="14.25" customHeight="1">
      <c r="A289" s="2">
        <v>33</v>
      </c>
      <c r="B289" s="2">
        <v>288</v>
      </c>
      <c r="C289" s="2">
        <v>8</v>
      </c>
    </row>
    <row r="290" spans="1:4" ht="14.25" customHeight="1">
      <c r="A290" s="2">
        <v>33</v>
      </c>
      <c r="B290" s="2">
        <v>289</v>
      </c>
      <c r="C290" s="2">
        <v>1</v>
      </c>
    </row>
    <row r="291" spans="1:4" ht="14.25" customHeight="1">
      <c r="A291" s="2">
        <v>33</v>
      </c>
      <c r="B291" s="2">
        <v>290</v>
      </c>
      <c r="C291" s="2">
        <v>2</v>
      </c>
    </row>
    <row r="292" spans="1:4" ht="14.25" customHeight="1">
      <c r="A292" s="2">
        <v>33</v>
      </c>
      <c r="B292" s="2">
        <v>291</v>
      </c>
      <c r="C292" s="2">
        <v>6</v>
      </c>
    </row>
    <row r="293" spans="1:4" ht="14.25" customHeight="1">
      <c r="A293" s="2">
        <v>33</v>
      </c>
      <c r="B293" s="2">
        <v>292</v>
      </c>
      <c r="C293" s="2">
        <v>2</v>
      </c>
    </row>
    <row r="294" spans="1:4" ht="14.25" customHeight="1">
      <c r="A294" s="2">
        <v>33</v>
      </c>
      <c r="B294" s="2">
        <v>293</v>
      </c>
      <c r="C294" s="2">
        <v>8</v>
      </c>
    </row>
    <row r="295" spans="1:4" ht="14.25" customHeight="1">
      <c r="A295" s="2">
        <v>33</v>
      </c>
      <c r="B295" s="2">
        <v>294</v>
      </c>
      <c r="C295" s="2">
        <v>6</v>
      </c>
    </row>
    <row r="296" spans="1:4" ht="14.25" customHeight="1">
      <c r="A296" s="2">
        <v>33</v>
      </c>
      <c r="B296" s="2">
        <v>295</v>
      </c>
      <c r="C296" s="2">
        <v>7</v>
      </c>
    </row>
    <row r="297" spans="1:4" ht="14.25" customHeight="1">
      <c r="A297" s="2">
        <v>33</v>
      </c>
      <c r="B297" s="2">
        <v>296</v>
      </c>
      <c r="C297" s="2">
        <v>5</v>
      </c>
    </row>
    <row r="298" spans="1:4" ht="14.25" customHeight="1">
      <c r="A298" s="2">
        <v>33</v>
      </c>
      <c r="B298" s="2">
        <v>297</v>
      </c>
      <c r="C298" s="2">
        <v>6</v>
      </c>
    </row>
    <row r="299" spans="1:4" ht="14.25" customHeight="1">
      <c r="A299" s="2">
        <v>33</v>
      </c>
      <c r="B299" s="2">
        <v>298</v>
      </c>
      <c r="C299" s="2">
        <v>4</v>
      </c>
    </row>
    <row r="300" spans="1:4" ht="14.25" customHeight="1">
      <c r="A300" s="2">
        <v>33</v>
      </c>
      <c r="B300" s="2">
        <v>299</v>
      </c>
      <c r="C300" s="2">
        <v>6</v>
      </c>
    </row>
    <row r="301" spans="1:4" ht="14.25" customHeight="1">
      <c r="A301" s="2">
        <v>33</v>
      </c>
      <c r="B301" s="2">
        <v>300</v>
      </c>
      <c r="C301" s="2">
        <v>3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34</v>
      </c>
      <c r="I1" s="2">
        <v>251</v>
      </c>
      <c r="J1" s="2">
        <v>7</v>
      </c>
      <c r="K1" s="2">
        <v>1</v>
      </c>
      <c r="L1" s="2">
        <v>1.371</v>
      </c>
      <c r="M1" s="2">
        <v>1</v>
      </c>
    </row>
    <row r="2" spans="1:22" ht="14.25" customHeight="1">
      <c r="A2" s="2">
        <v>34</v>
      </c>
      <c r="B2" s="2">
        <v>1</v>
      </c>
      <c r="C2" s="2">
        <v>8</v>
      </c>
      <c r="E2" s="2">
        <v>2.0009999999999999</v>
      </c>
      <c r="H2" s="2">
        <v>34</v>
      </c>
      <c r="I2" s="2">
        <v>252</v>
      </c>
      <c r="J2" s="2">
        <v>1</v>
      </c>
      <c r="K2" s="2">
        <v>1</v>
      </c>
      <c r="L2" s="2">
        <v>1.27</v>
      </c>
      <c r="M2" s="2">
        <v>1</v>
      </c>
    </row>
    <row r="3" spans="1:22" ht="14.25" customHeight="1">
      <c r="A3" s="2">
        <v>34</v>
      </c>
      <c r="B3" s="2">
        <v>2</v>
      </c>
      <c r="C3" s="2">
        <v>2</v>
      </c>
      <c r="D3" s="2">
        <v>0</v>
      </c>
      <c r="E3" s="2">
        <v>1.1879999999999999</v>
      </c>
      <c r="F3" s="2">
        <v>2</v>
      </c>
      <c r="H3" s="2">
        <v>34</v>
      </c>
      <c r="I3" s="2">
        <v>253</v>
      </c>
      <c r="J3" s="2">
        <v>2</v>
      </c>
      <c r="K3" s="2">
        <v>1</v>
      </c>
      <c r="L3" s="2">
        <v>0.99199999999999999</v>
      </c>
      <c r="M3" s="2">
        <v>2</v>
      </c>
    </row>
    <row r="4" spans="1:22" ht="14.25" customHeight="1">
      <c r="A4" s="2">
        <v>34</v>
      </c>
      <c r="B4" s="2">
        <v>3</v>
      </c>
      <c r="C4" s="2">
        <v>3</v>
      </c>
      <c r="D4" s="2">
        <v>1</v>
      </c>
      <c r="E4" s="2">
        <v>0.90500000000000003</v>
      </c>
      <c r="F4" s="2">
        <v>2</v>
      </c>
      <c r="H4" s="2">
        <v>34</v>
      </c>
      <c r="I4" s="2">
        <v>254</v>
      </c>
      <c r="J4" s="2">
        <v>7</v>
      </c>
      <c r="K4" s="2">
        <v>1</v>
      </c>
      <c r="L4" s="2">
        <v>0.65900000000000003</v>
      </c>
      <c r="M4" s="2">
        <v>2</v>
      </c>
      <c r="O4" s="2" t="s">
        <v>6</v>
      </c>
    </row>
    <row r="5" spans="1:22" ht="14.25" customHeight="1">
      <c r="A5" s="2">
        <v>34</v>
      </c>
      <c r="B5" s="2">
        <v>4</v>
      </c>
      <c r="C5" s="2">
        <v>1</v>
      </c>
      <c r="D5" s="2">
        <v>0</v>
      </c>
      <c r="E5" s="2">
        <v>0.91500000000000004</v>
      </c>
      <c r="F5" s="2">
        <v>1</v>
      </c>
      <c r="H5" s="2">
        <v>34</v>
      </c>
      <c r="I5" s="2">
        <v>255</v>
      </c>
      <c r="J5" s="2">
        <v>5</v>
      </c>
      <c r="K5" s="2">
        <v>1</v>
      </c>
      <c r="L5" s="2">
        <v>0.93200000000000005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34</v>
      </c>
      <c r="B6" s="2">
        <v>5</v>
      </c>
      <c r="C6" s="2">
        <v>4</v>
      </c>
      <c r="D6" s="2">
        <v>0</v>
      </c>
      <c r="E6" s="2">
        <v>1.2669999999999999</v>
      </c>
      <c r="F6" s="2">
        <v>2</v>
      </c>
      <c r="H6" s="2">
        <v>34</v>
      </c>
      <c r="I6" s="2">
        <v>256</v>
      </c>
      <c r="J6" s="2">
        <v>3</v>
      </c>
      <c r="K6" s="2">
        <v>1</v>
      </c>
      <c r="L6" s="2">
        <v>0.89400000000000002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34</v>
      </c>
      <c r="B7" s="2">
        <v>6</v>
      </c>
      <c r="C7" s="2">
        <v>2</v>
      </c>
      <c r="D7" s="2">
        <v>0</v>
      </c>
      <c r="E7" s="2">
        <v>1.502</v>
      </c>
      <c r="F7" s="2">
        <v>2</v>
      </c>
      <c r="H7" s="2">
        <v>34</v>
      </c>
      <c r="I7" s="2">
        <v>257</v>
      </c>
      <c r="J7" s="2">
        <v>1</v>
      </c>
      <c r="K7" s="2">
        <v>1</v>
      </c>
      <c r="L7" s="2">
        <v>0.92600000000000005</v>
      </c>
      <c r="M7" s="2">
        <v>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34</v>
      </c>
      <c r="B8" s="2">
        <v>7</v>
      </c>
      <c r="C8" s="2">
        <v>5</v>
      </c>
      <c r="D8" s="2">
        <v>1</v>
      </c>
      <c r="E8" s="2">
        <v>1.9119999999999999</v>
      </c>
      <c r="F8" s="2">
        <v>2</v>
      </c>
      <c r="H8" s="2">
        <v>34</v>
      </c>
      <c r="I8" s="2">
        <v>258</v>
      </c>
      <c r="J8" s="2">
        <v>8</v>
      </c>
      <c r="K8" s="2">
        <v>1</v>
      </c>
      <c r="L8" s="2">
        <v>0.92200000000000004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34</v>
      </c>
      <c r="B9" s="2">
        <v>8</v>
      </c>
      <c r="C9" s="2">
        <v>6</v>
      </c>
      <c r="D9" s="2">
        <v>0</v>
      </c>
      <c r="E9" s="2">
        <v>0.66400000000000003</v>
      </c>
      <c r="F9" s="2">
        <v>1</v>
      </c>
      <c r="H9" s="2">
        <v>34</v>
      </c>
      <c r="I9" s="2">
        <v>259</v>
      </c>
      <c r="J9" s="2">
        <v>2</v>
      </c>
      <c r="K9" s="2">
        <v>1</v>
      </c>
      <c r="L9" s="2">
        <v>1.419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34</v>
      </c>
      <c r="B10" s="2">
        <v>9</v>
      </c>
      <c r="C10" s="2">
        <v>8</v>
      </c>
      <c r="D10" s="2">
        <v>1</v>
      </c>
      <c r="E10" s="2">
        <v>1.2330000000000001</v>
      </c>
      <c r="F10" s="2">
        <v>1</v>
      </c>
      <c r="H10" s="2">
        <v>34</v>
      </c>
      <c r="I10" s="2">
        <v>260</v>
      </c>
      <c r="J10" s="2">
        <v>8</v>
      </c>
      <c r="K10" s="2">
        <v>1</v>
      </c>
      <c r="L10" s="2">
        <v>1.548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34</v>
      </c>
      <c r="B11" s="2">
        <v>10</v>
      </c>
      <c r="C11" s="2">
        <v>2</v>
      </c>
      <c r="D11" s="2">
        <v>0</v>
      </c>
      <c r="E11" s="2">
        <v>0.94399999999999995</v>
      </c>
      <c r="F11" s="2">
        <v>2</v>
      </c>
      <c r="H11" s="2">
        <v>34</v>
      </c>
      <c r="I11" s="2">
        <v>261</v>
      </c>
      <c r="J11" s="2">
        <v>5</v>
      </c>
      <c r="K11" s="2">
        <v>1</v>
      </c>
      <c r="L11" s="2">
        <v>1.3680000000000001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34</v>
      </c>
      <c r="B12" s="2">
        <v>11</v>
      </c>
      <c r="C12" s="2">
        <v>7</v>
      </c>
      <c r="D12" s="2">
        <v>1</v>
      </c>
      <c r="E12" s="2">
        <v>1.3109999999999999</v>
      </c>
      <c r="F12" s="2">
        <v>1</v>
      </c>
      <c r="H12" s="2">
        <v>34</v>
      </c>
      <c r="I12" s="2">
        <v>262</v>
      </c>
      <c r="J12" s="2">
        <v>7</v>
      </c>
      <c r="K12" s="2">
        <v>1</v>
      </c>
      <c r="L12" s="2">
        <v>0.90500000000000003</v>
      </c>
      <c r="M12" s="2">
        <v>2</v>
      </c>
    </row>
    <row r="13" spans="1:22" ht="14.25" customHeight="1">
      <c r="A13" s="2">
        <v>34</v>
      </c>
      <c r="B13" s="2">
        <v>12</v>
      </c>
      <c r="C13" s="2">
        <v>5</v>
      </c>
      <c r="D13" s="2">
        <v>1</v>
      </c>
      <c r="E13" s="2">
        <v>1.1519999999999999</v>
      </c>
      <c r="F13" s="2">
        <v>2</v>
      </c>
      <c r="H13" s="2">
        <v>34</v>
      </c>
      <c r="I13" s="2">
        <v>263</v>
      </c>
      <c r="J13" s="2">
        <v>3</v>
      </c>
      <c r="K13" s="2">
        <v>1</v>
      </c>
      <c r="L13" s="2">
        <v>1.1870000000000001</v>
      </c>
      <c r="M13" s="2">
        <v>1</v>
      </c>
    </row>
    <row r="14" spans="1:22" ht="14.25" customHeight="1">
      <c r="A14" s="2">
        <v>34</v>
      </c>
      <c r="B14" s="2">
        <v>13</v>
      </c>
      <c r="C14" s="2">
        <v>7</v>
      </c>
      <c r="D14" s="2">
        <v>1</v>
      </c>
      <c r="E14" s="2">
        <v>1.236</v>
      </c>
      <c r="F14" s="2">
        <v>1</v>
      </c>
      <c r="H14" s="2">
        <v>34</v>
      </c>
      <c r="I14" s="2">
        <v>264</v>
      </c>
      <c r="J14" s="2">
        <v>5</v>
      </c>
      <c r="K14" s="2">
        <v>1</v>
      </c>
      <c r="L14" s="2">
        <v>1.9219999999999999</v>
      </c>
      <c r="M14" s="2">
        <v>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34</v>
      </c>
      <c r="B15" s="2">
        <v>14</v>
      </c>
      <c r="C15" s="2">
        <v>4</v>
      </c>
      <c r="D15" s="2">
        <v>0</v>
      </c>
      <c r="E15" s="2">
        <v>1.3240000000000001</v>
      </c>
      <c r="F15" s="2">
        <v>2</v>
      </c>
      <c r="H15" s="2">
        <v>34</v>
      </c>
      <c r="I15" s="2">
        <v>265</v>
      </c>
      <c r="J15" s="2">
        <v>4</v>
      </c>
      <c r="K15" s="2">
        <v>1</v>
      </c>
      <c r="L15" s="2">
        <v>0.93400000000000005</v>
      </c>
      <c r="M15" s="2">
        <v>2</v>
      </c>
      <c r="O15" s="2" t="s">
        <v>9</v>
      </c>
    </row>
    <row r="16" spans="1:22" ht="14.25" customHeight="1">
      <c r="A16" s="2">
        <v>34</v>
      </c>
      <c r="B16" s="2">
        <v>15</v>
      </c>
      <c r="C16" s="2">
        <v>3</v>
      </c>
      <c r="D16" s="2">
        <v>0</v>
      </c>
      <c r="E16" s="2">
        <v>0.82199999999999995</v>
      </c>
      <c r="F16" s="2">
        <v>1</v>
      </c>
      <c r="H16" s="2">
        <v>34</v>
      </c>
      <c r="I16" s="2">
        <v>266</v>
      </c>
      <c r="J16" s="2">
        <v>1</v>
      </c>
      <c r="K16" s="2">
        <v>1</v>
      </c>
      <c r="L16" s="2">
        <v>0.72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34</v>
      </c>
      <c r="B17" s="2">
        <v>16</v>
      </c>
      <c r="C17" s="2">
        <v>1</v>
      </c>
      <c r="D17" s="2">
        <v>1</v>
      </c>
      <c r="E17" s="2">
        <v>1.3680000000000001</v>
      </c>
      <c r="F17" s="2">
        <v>2</v>
      </c>
      <c r="H17" s="2">
        <v>34</v>
      </c>
      <c r="I17" s="2">
        <v>267</v>
      </c>
      <c r="J17" s="2">
        <v>3</v>
      </c>
      <c r="K17" s="2">
        <v>1</v>
      </c>
      <c r="L17" s="2">
        <v>0.874</v>
      </c>
      <c r="M17" s="2">
        <v>1</v>
      </c>
      <c r="N17" s="2">
        <v>1</v>
      </c>
      <c r="O17" s="2">
        <f t="shared" ref="O17:O22" si="0">(O6*COUNTIF($J$1:$J$100,O$16) - COUNTIFS($J$1:$J$100,O$16,$K$1:$K$100,"=1"))^2</f>
        <v>9.0000000000000427E-2</v>
      </c>
      <c r="P17" s="2">
        <f t="shared" ref="P17:P22" si="1">(P6*COUNTIF($J$1:$J$100,P$16) - COUNTIFS($J$1:$J$100,P$16,$K$1:$K$100,"=0"))^2</f>
        <v>9.0000000000000024E-2</v>
      </c>
      <c r="Q17" s="2">
        <f t="shared" ref="Q17:Q22" si="2">(Q6*COUNTIF($J$1:$J$100,Q$16) - COUNTIFS($J$1:$J$100,Q$16,$K$1:$K$100,"=1"))^2</f>
        <v>0.42249999999999932</v>
      </c>
      <c r="R17" s="2">
        <f t="shared" ref="R17:R22" si="3">(R6*COUNTIF($J$1:$J$100,R$16) - COUNTIFS($J$1:$J$100,R$16,$K$1:$K$100,"=0"))^2</f>
        <v>9.0000000000000024E-2</v>
      </c>
      <c r="S17" s="2">
        <f t="shared" ref="S17:T17" si="4">(S6*COUNTIF($J$1:$J$100,S$16) - COUNTIFS($J$1:$J$100,S$16,$K$1:$K$100,"=1"))^2</f>
        <v>9.0000000000000427E-2</v>
      </c>
      <c r="T17" s="2">
        <f t="shared" si="4"/>
        <v>9.0000000000000427E-2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0.12250000000000003</v>
      </c>
    </row>
    <row r="18" spans="1:22" ht="14.25" customHeight="1">
      <c r="A18" s="2">
        <v>34</v>
      </c>
      <c r="B18" s="2">
        <v>17</v>
      </c>
      <c r="C18" s="2">
        <v>2</v>
      </c>
      <c r="D18" s="2">
        <v>1</v>
      </c>
      <c r="E18" s="2">
        <v>1.639</v>
      </c>
      <c r="F18" s="2">
        <v>1</v>
      </c>
      <c r="H18" s="2">
        <v>34</v>
      </c>
      <c r="I18" s="2">
        <v>268</v>
      </c>
      <c r="J18" s="2">
        <v>6</v>
      </c>
      <c r="K18" s="2">
        <v>1</v>
      </c>
      <c r="L18" s="2">
        <v>0.95099999999999996</v>
      </c>
      <c r="M18" s="2">
        <v>1</v>
      </c>
      <c r="N18" s="2">
        <v>2</v>
      </c>
      <c r="O18" s="2">
        <f t="shared" si="0"/>
        <v>9.0000000000000427E-2</v>
      </c>
      <c r="P18" s="2">
        <f t="shared" si="1"/>
        <v>32.489999999999995</v>
      </c>
      <c r="Q18" s="2">
        <f t="shared" si="2"/>
        <v>31.922500000000003</v>
      </c>
      <c r="R18" s="2">
        <f t="shared" si="3"/>
        <v>9.0000000000000024E-2</v>
      </c>
      <c r="S18" s="2">
        <f t="shared" ref="S18:T18" si="6">(S7*COUNTIF($J$1:$J$100,S$16) - COUNTIFS($J$1:$J$100,S$16,$K$1:$K$100,"=1"))^2</f>
        <v>9.0000000000000427E-2</v>
      </c>
      <c r="T18" s="2">
        <f t="shared" si="6"/>
        <v>9.0000000000000427E-2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0.12250000000000003</v>
      </c>
    </row>
    <row r="19" spans="1:22" ht="14.25" customHeight="1">
      <c r="A19" s="2">
        <v>34</v>
      </c>
      <c r="B19" s="2">
        <v>18</v>
      </c>
      <c r="C19" s="2">
        <v>4</v>
      </c>
      <c r="D19" s="2">
        <v>1</v>
      </c>
      <c r="E19" s="2">
        <v>1.72</v>
      </c>
      <c r="F19" s="2">
        <v>1</v>
      </c>
      <c r="H19" s="2">
        <v>34</v>
      </c>
      <c r="I19" s="2">
        <v>269</v>
      </c>
      <c r="J19" s="2">
        <v>2</v>
      </c>
      <c r="K19" s="2">
        <v>1</v>
      </c>
      <c r="L19" s="2">
        <v>0.91300000000000003</v>
      </c>
      <c r="M19" s="2">
        <v>2</v>
      </c>
      <c r="N19" s="2">
        <v>3</v>
      </c>
      <c r="O19" s="2">
        <f t="shared" si="0"/>
        <v>9.0000000000000427E-2</v>
      </c>
      <c r="P19" s="2">
        <f t="shared" si="1"/>
        <v>9.0000000000000024E-2</v>
      </c>
      <c r="Q19" s="2">
        <f t="shared" si="2"/>
        <v>0.42249999999999932</v>
      </c>
      <c r="R19" s="2">
        <f t="shared" si="3"/>
        <v>9.0000000000000024E-2</v>
      </c>
      <c r="S19" s="2">
        <f t="shared" ref="S19:T19" si="8">(S8*COUNTIF($J$1:$J$100,S$16) - COUNTIFS($J$1:$J$100,S$16,$K$1:$K$100,"=1"))^2</f>
        <v>9.0000000000000427E-2</v>
      </c>
      <c r="T19" s="2">
        <f t="shared" si="8"/>
        <v>32.49</v>
      </c>
      <c r="U19" s="2">
        <f t="shared" ref="U19:V19" si="9">(U8*COUNTIF($J$1:$J$100,U$16) - COUNTIFS($J$1:$J$100,U$16,$K$1:$K$100,"=0"))^2</f>
        <v>32.489999999999995</v>
      </c>
      <c r="V19" s="2">
        <f t="shared" si="9"/>
        <v>0.12250000000000003</v>
      </c>
    </row>
    <row r="20" spans="1:22" ht="14.25" customHeight="1">
      <c r="A20" s="2">
        <v>34</v>
      </c>
      <c r="B20" s="2">
        <v>19</v>
      </c>
      <c r="C20" s="2">
        <v>5</v>
      </c>
      <c r="D20" s="2">
        <v>1</v>
      </c>
      <c r="E20" s="2">
        <v>1.9259999999999999</v>
      </c>
      <c r="F20" s="2">
        <v>2</v>
      </c>
      <c r="H20" s="2">
        <v>34</v>
      </c>
      <c r="I20" s="2">
        <v>270</v>
      </c>
      <c r="J20" s="2">
        <v>5</v>
      </c>
      <c r="K20" s="2">
        <v>1</v>
      </c>
      <c r="L20" s="2">
        <v>1.208</v>
      </c>
      <c r="M20" s="2">
        <v>2</v>
      </c>
      <c r="N20" s="2">
        <v>4</v>
      </c>
      <c r="O20" s="2">
        <f t="shared" si="0"/>
        <v>9</v>
      </c>
      <c r="P20" s="2">
        <f t="shared" si="1"/>
        <v>9</v>
      </c>
      <c r="Q20" s="2">
        <f t="shared" si="2"/>
        <v>6.25</v>
      </c>
      <c r="R20" s="2">
        <f t="shared" si="3"/>
        <v>9</v>
      </c>
      <c r="S20" s="2">
        <f t="shared" ref="S20:T20" si="10">(S9*COUNTIF($J$1:$J$100,S$16) - COUNTIFS($J$1:$J$100,S$16,$K$1:$K$100,"=1"))^2</f>
        <v>9.0000000000000427E-2</v>
      </c>
      <c r="T20" s="2">
        <f t="shared" si="10"/>
        <v>9.0000000000000427E-2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0.12250000000000003</v>
      </c>
    </row>
    <row r="21" spans="1:22" ht="14.25" customHeight="1">
      <c r="A21" s="2">
        <v>34</v>
      </c>
      <c r="B21" s="2">
        <v>20</v>
      </c>
      <c r="C21" s="2">
        <v>3</v>
      </c>
      <c r="D21" s="2">
        <v>1</v>
      </c>
      <c r="E21" s="2">
        <v>1.4810000000000001</v>
      </c>
      <c r="F21" s="2">
        <v>2</v>
      </c>
      <c r="H21" s="2">
        <v>34</v>
      </c>
      <c r="I21" s="2">
        <v>271</v>
      </c>
      <c r="J21" s="2">
        <v>3</v>
      </c>
      <c r="K21" s="2">
        <v>1</v>
      </c>
      <c r="L21" s="2">
        <v>0.92300000000000004</v>
      </c>
      <c r="M21" s="2">
        <v>2</v>
      </c>
      <c r="N21" s="2">
        <v>5</v>
      </c>
      <c r="O21" s="2">
        <f t="shared" si="0"/>
        <v>9.0000000000000427E-2</v>
      </c>
      <c r="P21" s="2">
        <f t="shared" si="1"/>
        <v>9.0000000000000024E-2</v>
      </c>
      <c r="Q21" s="2">
        <f t="shared" si="2"/>
        <v>0.42249999999999932</v>
      </c>
      <c r="R21" s="2">
        <f t="shared" si="3"/>
        <v>9.0000000000000024E-2</v>
      </c>
      <c r="S21" s="2">
        <f t="shared" ref="S21:T21" si="12">(S10*COUNTIF($J$1:$J$100,S$16) - COUNTIFS($J$1:$J$100,S$16,$K$1:$K$100,"=1"))^2</f>
        <v>9</v>
      </c>
      <c r="T21" s="2">
        <f t="shared" si="12"/>
        <v>9</v>
      </c>
      <c r="U21" s="2">
        <f t="shared" ref="U21:V21" si="13">(U10*COUNTIF($J$1:$J$100,U$16) - COUNTIFS($J$1:$J$100,U$16,$K$1:$K$100,"=0"))^2</f>
        <v>9</v>
      </c>
      <c r="V21" s="2">
        <f t="shared" si="13"/>
        <v>12.25</v>
      </c>
    </row>
    <row r="22" spans="1:22" ht="14.25" customHeight="1">
      <c r="A22" s="2">
        <v>34</v>
      </c>
      <c r="B22" s="2">
        <v>21</v>
      </c>
      <c r="C22" s="2">
        <v>1</v>
      </c>
      <c r="D22" s="2">
        <v>1</v>
      </c>
      <c r="E22" s="2">
        <v>1.169</v>
      </c>
      <c r="F22" s="2">
        <v>2</v>
      </c>
      <c r="H22" s="2">
        <v>34</v>
      </c>
      <c r="I22" s="2">
        <v>272</v>
      </c>
      <c r="J22" s="2">
        <v>6</v>
      </c>
      <c r="K22" s="2">
        <v>1</v>
      </c>
      <c r="L22" s="2">
        <v>0.76600000000000001</v>
      </c>
      <c r="M22" s="2">
        <v>1</v>
      </c>
      <c r="N22" s="2">
        <v>6</v>
      </c>
      <c r="O22" s="2">
        <f t="shared" si="0"/>
        <v>9</v>
      </c>
      <c r="P22" s="2">
        <f t="shared" si="1"/>
        <v>9</v>
      </c>
      <c r="Q22" s="2">
        <f t="shared" si="2"/>
        <v>6.25</v>
      </c>
      <c r="R22" s="2">
        <f t="shared" si="3"/>
        <v>9</v>
      </c>
      <c r="S22" s="2">
        <f t="shared" ref="S22:T22" si="14">(S11*COUNTIF($J$1:$J$100,S$16) - COUNTIFS($J$1:$J$100,S$16,$K$1:$K$100,"=1"))^2</f>
        <v>9</v>
      </c>
      <c r="T22" s="2">
        <f t="shared" si="14"/>
        <v>9</v>
      </c>
      <c r="U22" s="2">
        <f t="shared" ref="U22:V22" si="15">(U11*COUNTIF($J$1:$J$100,U$16) - COUNTIFS($J$1:$J$100,U$16,$K$1:$K$100,"=0"))^2</f>
        <v>9</v>
      </c>
      <c r="V22" s="2">
        <f t="shared" si="15"/>
        <v>12.25</v>
      </c>
    </row>
    <row r="23" spans="1:22" ht="14.25" customHeight="1">
      <c r="A23" s="2">
        <v>34</v>
      </c>
      <c r="B23" s="2">
        <v>22</v>
      </c>
      <c r="C23" s="2">
        <v>8</v>
      </c>
      <c r="D23" s="2">
        <v>1</v>
      </c>
      <c r="E23" s="2">
        <v>0.64200000000000002</v>
      </c>
      <c r="F23" s="2">
        <v>1</v>
      </c>
      <c r="H23" s="2">
        <v>34</v>
      </c>
      <c r="I23" s="2">
        <v>273</v>
      </c>
      <c r="J23" s="2">
        <v>4</v>
      </c>
      <c r="K23" s="2">
        <v>1</v>
      </c>
      <c r="L23" s="2">
        <v>0.73</v>
      </c>
      <c r="M23" s="2">
        <v>2</v>
      </c>
    </row>
    <row r="24" spans="1:22" ht="14.25" customHeight="1">
      <c r="A24" s="2">
        <v>34</v>
      </c>
      <c r="B24" s="2">
        <v>23</v>
      </c>
      <c r="C24" s="2">
        <v>3</v>
      </c>
      <c r="D24" s="2">
        <v>0</v>
      </c>
      <c r="E24" s="2">
        <v>1.784</v>
      </c>
      <c r="F24" s="2">
        <v>1</v>
      </c>
      <c r="H24" s="2">
        <v>34</v>
      </c>
      <c r="I24" s="2">
        <v>274</v>
      </c>
      <c r="J24" s="2">
        <v>8</v>
      </c>
      <c r="K24" s="2">
        <v>1</v>
      </c>
      <c r="L24" s="2">
        <v>0.82399999999999995</v>
      </c>
      <c r="M24" s="2">
        <v>1</v>
      </c>
    </row>
    <row r="25" spans="1:22" ht="14.25" customHeight="1">
      <c r="A25" s="2">
        <v>34</v>
      </c>
      <c r="B25" s="2">
        <v>24</v>
      </c>
      <c r="C25" s="2">
        <v>4</v>
      </c>
      <c r="D25" s="2">
        <v>1</v>
      </c>
      <c r="E25" s="2">
        <v>0.83299999999999996</v>
      </c>
      <c r="F25" s="2">
        <v>1</v>
      </c>
      <c r="H25" s="2">
        <v>34</v>
      </c>
      <c r="I25" s="2">
        <v>275</v>
      </c>
      <c r="J25" s="2">
        <v>4</v>
      </c>
      <c r="K25" s="2">
        <v>1</v>
      </c>
      <c r="L25" s="2">
        <v>0.746</v>
      </c>
      <c r="M25" s="2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34</v>
      </c>
      <c r="B26" s="2">
        <v>25</v>
      </c>
      <c r="C26" s="2">
        <v>5</v>
      </c>
      <c r="D26" s="2">
        <v>1</v>
      </c>
      <c r="E26" s="2">
        <v>1.363</v>
      </c>
      <c r="F26" s="2">
        <v>2</v>
      </c>
      <c r="H26" s="2">
        <v>34</v>
      </c>
      <c r="I26" s="2">
        <v>276</v>
      </c>
      <c r="J26" s="2">
        <v>6</v>
      </c>
      <c r="K26" s="2">
        <v>1</v>
      </c>
      <c r="L26" s="2">
        <v>1.274</v>
      </c>
      <c r="M26" s="2">
        <v>2</v>
      </c>
      <c r="O26" s="2">
        <f t="shared" ref="O26:V26" si="16">COUNTIF($J$1:$J$100,O$16)^2</f>
        <v>36</v>
      </c>
      <c r="P26" s="2">
        <f t="shared" si="16"/>
        <v>36</v>
      </c>
      <c r="Q26" s="2">
        <f t="shared" si="16"/>
        <v>49</v>
      </c>
      <c r="R26" s="2">
        <f t="shared" si="16"/>
        <v>36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49</v>
      </c>
    </row>
    <row r="27" spans="1:22" ht="14.25" customHeight="1">
      <c r="A27" s="2">
        <v>34</v>
      </c>
      <c r="B27" s="2">
        <v>26</v>
      </c>
      <c r="C27" s="2">
        <v>6</v>
      </c>
      <c r="D27" s="2">
        <v>0</v>
      </c>
      <c r="E27" s="2">
        <v>1.0269999999999999</v>
      </c>
      <c r="F27" s="2">
        <v>1</v>
      </c>
      <c r="H27" s="2">
        <v>34</v>
      </c>
      <c r="I27" s="2">
        <v>277</v>
      </c>
      <c r="J27" s="2">
        <v>4</v>
      </c>
      <c r="K27" s="2">
        <v>1</v>
      </c>
      <c r="L27" s="2">
        <v>0.747</v>
      </c>
      <c r="M27" s="2">
        <v>1</v>
      </c>
    </row>
    <row r="28" spans="1:22" ht="14.25" customHeight="1">
      <c r="A28" s="2">
        <v>34</v>
      </c>
      <c r="B28" s="2">
        <v>27</v>
      </c>
      <c r="C28" s="2">
        <v>8</v>
      </c>
      <c r="D28" s="2">
        <v>1</v>
      </c>
      <c r="E28" s="2">
        <v>0.97299999999999998</v>
      </c>
      <c r="F28" s="2">
        <v>1</v>
      </c>
      <c r="H28" s="2">
        <v>34</v>
      </c>
      <c r="I28" s="2">
        <v>278</v>
      </c>
      <c r="J28" s="2">
        <v>5</v>
      </c>
      <c r="K28" s="2">
        <v>1</v>
      </c>
      <c r="L28" s="2">
        <v>0.94499999999999995</v>
      </c>
      <c r="M28" s="2">
        <v>2</v>
      </c>
    </row>
    <row r="29" spans="1:22" ht="14.25" customHeight="1">
      <c r="A29" s="2">
        <v>34</v>
      </c>
      <c r="B29" s="2">
        <v>28</v>
      </c>
      <c r="C29" s="2">
        <v>3</v>
      </c>
      <c r="D29" s="2">
        <v>0</v>
      </c>
      <c r="E29" s="2">
        <v>1.518</v>
      </c>
      <c r="F29" s="2">
        <v>1</v>
      </c>
      <c r="H29" s="2">
        <v>34</v>
      </c>
      <c r="I29" s="2">
        <v>279</v>
      </c>
      <c r="J29" s="2">
        <v>3</v>
      </c>
      <c r="L29" s="2">
        <v>2</v>
      </c>
    </row>
    <row r="30" spans="1:22" ht="14.25" customHeight="1">
      <c r="A30" s="2">
        <v>34</v>
      </c>
      <c r="B30" s="2">
        <v>29</v>
      </c>
      <c r="C30" s="2">
        <v>1</v>
      </c>
      <c r="D30" s="2">
        <v>0</v>
      </c>
      <c r="E30" s="2">
        <v>1.6910000000000001</v>
      </c>
      <c r="F30" s="2">
        <v>1</v>
      </c>
      <c r="H30" s="2">
        <v>34</v>
      </c>
      <c r="I30" s="2">
        <v>280</v>
      </c>
      <c r="J30" s="2">
        <v>2</v>
      </c>
      <c r="K30" s="2">
        <v>1</v>
      </c>
      <c r="L30" s="2">
        <v>0.877</v>
      </c>
      <c r="M30" s="2">
        <v>1</v>
      </c>
    </row>
    <row r="31" spans="1:22" ht="14.25" customHeight="1">
      <c r="A31" s="2">
        <v>34</v>
      </c>
      <c r="B31" s="2">
        <v>30</v>
      </c>
      <c r="C31" s="2">
        <v>4</v>
      </c>
      <c r="D31" s="2">
        <v>1</v>
      </c>
      <c r="E31" s="2">
        <v>1.4379999999999999</v>
      </c>
      <c r="F31" s="2">
        <v>1</v>
      </c>
      <c r="H31" s="2">
        <v>34</v>
      </c>
      <c r="I31" s="2">
        <v>281</v>
      </c>
      <c r="J31" s="2">
        <v>8</v>
      </c>
      <c r="K31" s="2">
        <v>1</v>
      </c>
      <c r="L31" s="2">
        <v>1.6020000000000001</v>
      </c>
      <c r="M31" s="2">
        <v>1</v>
      </c>
      <c r="N31" s="2">
        <v>1</v>
      </c>
      <c r="O31" s="2">
        <f t="shared" ref="O31:O36" si="17">SUM(O17:V17)/(SUM($O$26:$V$26))</f>
        <v>3.4554140127388564E-3</v>
      </c>
    </row>
    <row r="32" spans="1:22" ht="14.25" customHeight="1">
      <c r="A32" s="2">
        <v>34</v>
      </c>
      <c r="B32" s="2">
        <v>31</v>
      </c>
      <c r="C32" s="2">
        <v>2</v>
      </c>
      <c r="D32" s="2">
        <v>0</v>
      </c>
      <c r="E32" s="2">
        <v>1.036</v>
      </c>
      <c r="F32" s="2">
        <v>2</v>
      </c>
      <c r="H32" s="2">
        <v>34</v>
      </c>
      <c r="I32" s="2">
        <v>282</v>
      </c>
      <c r="J32" s="2">
        <v>5</v>
      </c>
      <c r="K32" s="2">
        <v>1</v>
      </c>
      <c r="L32" s="2">
        <v>0.68700000000000006</v>
      </c>
      <c r="M32" s="2">
        <v>2</v>
      </c>
      <c r="N32" s="2">
        <v>2</v>
      </c>
      <c r="O32" s="2">
        <f t="shared" si="17"/>
        <v>0.20695859872611469</v>
      </c>
    </row>
    <row r="33" spans="1:15" ht="14.25" customHeight="1">
      <c r="A33" s="2">
        <v>34</v>
      </c>
      <c r="B33" s="2">
        <v>32</v>
      </c>
      <c r="C33" s="2">
        <v>3</v>
      </c>
      <c r="D33" s="2">
        <v>1</v>
      </c>
      <c r="E33" s="2">
        <v>1.2829999999999999</v>
      </c>
      <c r="F33" s="2">
        <v>2</v>
      </c>
      <c r="H33" s="2">
        <v>34</v>
      </c>
      <c r="I33" s="2">
        <v>283</v>
      </c>
      <c r="J33" s="2">
        <v>1</v>
      </c>
      <c r="K33" s="2">
        <v>1</v>
      </c>
      <c r="L33" s="2">
        <v>1.3320000000000001</v>
      </c>
      <c r="M33" s="2">
        <v>1</v>
      </c>
      <c r="N33" s="2">
        <v>3</v>
      </c>
      <c r="O33" s="2">
        <f t="shared" si="17"/>
        <v>0.20982484076433119</v>
      </c>
    </row>
    <row r="34" spans="1:15" ht="14.25" customHeight="1">
      <c r="A34" s="2">
        <v>34</v>
      </c>
      <c r="B34" s="2">
        <v>33</v>
      </c>
      <c r="C34" s="2">
        <v>7</v>
      </c>
      <c r="D34" s="2">
        <v>1</v>
      </c>
      <c r="E34" s="2">
        <v>1.157</v>
      </c>
      <c r="F34" s="2">
        <v>1</v>
      </c>
      <c r="H34" s="2">
        <v>34</v>
      </c>
      <c r="I34" s="2">
        <v>284</v>
      </c>
      <c r="J34" s="2">
        <v>3</v>
      </c>
      <c r="K34" s="2">
        <v>1</v>
      </c>
      <c r="L34" s="2">
        <v>0.78100000000000003</v>
      </c>
      <c r="M34" s="2">
        <v>1</v>
      </c>
      <c r="N34" s="2">
        <v>4</v>
      </c>
      <c r="O34" s="2">
        <f t="shared" si="17"/>
        <v>0.10714171974522296</v>
      </c>
    </row>
    <row r="35" spans="1:15" ht="14.25" customHeight="1">
      <c r="A35" s="2">
        <v>34</v>
      </c>
      <c r="B35" s="2">
        <v>34</v>
      </c>
      <c r="C35" s="2">
        <v>8</v>
      </c>
      <c r="D35" s="2">
        <v>0</v>
      </c>
      <c r="E35" s="2">
        <v>1.234</v>
      </c>
      <c r="F35" s="2">
        <v>2</v>
      </c>
      <c r="H35" s="2">
        <v>34</v>
      </c>
      <c r="I35" s="2">
        <v>285</v>
      </c>
      <c r="J35" s="2">
        <v>6</v>
      </c>
      <c r="K35" s="2">
        <v>1</v>
      </c>
      <c r="L35" s="2">
        <v>0.69699999999999995</v>
      </c>
      <c r="M35" s="2">
        <v>2</v>
      </c>
      <c r="N35" s="2">
        <v>5</v>
      </c>
      <c r="O35" s="2">
        <f t="shared" si="17"/>
        <v>0.12720541401273883</v>
      </c>
    </row>
    <row r="36" spans="1:15" ht="14.25" customHeight="1">
      <c r="A36" s="2">
        <v>34</v>
      </c>
      <c r="B36" s="2">
        <v>35</v>
      </c>
      <c r="C36" s="2">
        <v>6</v>
      </c>
      <c r="D36" s="2">
        <v>1</v>
      </c>
      <c r="E36" s="2">
        <v>0.997</v>
      </c>
      <c r="F36" s="2">
        <v>2</v>
      </c>
      <c r="H36" s="2">
        <v>34</v>
      </c>
      <c r="I36" s="2">
        <v>286</v>
      </c>
      <c r="J36" s="2">
        <v>4</v>
      </c>
      <c r="K36" s="2">
        <v>1</v>
      </c>
      <c r="L36" s="2">
        <v>0.68899999999999995</v>
      </c>
      <c r="M36" s="2">
        <v>2</v>
      </c>
      <c r="N36" s="2">
        <v>6</v>
      </c>
      <c r="O36" s="2">
        <f t="shared" si="17"/>
        <v>0.23089171974522293</v>
      </c>
    </row>
    <row r="37" spans="1:15" ht="14.25" customHeight="1">
      <c r="A37" s="2">
        <v>34</v>
      </c>
      <c r="B37" s="2">
        <v>36</v>
      </c>
      <c r="C37" s="2">
        <v>5</v>
      </c>
      <c r="D37" s="2">
        <v>0</v>
      </c>
      <c r="E37" s="2">
        <v>0.78400000000000003</v>
      </c>
      <c r="F37" s="2">
        <v>1</v>
      </c>
      <c r="H37" s="2">
        <v>34</v>
      </c>
      <c r="I37" s="2">
        <v>287</v>
      </c>
      <c r="J37" s="2">
        <v>8</v>
      </c>
      <c r="K37" s="2">
        <v>1</v>
      </c>
      <c r="L37" s="2">
        <v>0.86</v>
      </c>
      <c r="M37" s="2">
        <v>2</v>
      </c>
    </row>
    <row r="38" spans="1:15" ht="14.25" customHeight="1">
      <c r="A38" s="2">
        <v>34</v>
      </c>
      <c r="B38" s="2">
        <v>37</v>
      </c>
      <c r="C38" s="2">
        <v>1</v>
      </c>
      <c r="E38" s="2">
        <v>2</v>
      </c>
      <c r="H38" s="2">
        <v>34</v>
      </c>
      <c r="I38" s="2">
        <v>288</v>
      </c>
      <c r="J38" s="2">
        <v>6</v>
      </c>
      <c r="K38" s="2">
        <v>1</v>
      </c>
      <c r="L38" s="2">
        <v>1.28</v>
      </c>
      <c r="M38" s="2">
        <v>1</v>
      </c>
    </row>
    <row r="39" spans="1:15" ht="14.25" customHeight="1">
      <c r="A39" s="2">
        <v>34</v>
      </c>
      <c r="B39" s="2">
        <v>38</v>
      </c>
      <c r="C39" s="2">
        <v>2</v>
      </c>
      <c r="D39" s="2">
        <v>0</v>
      </c>
      <c r="E39" s="2">
        <v>1.3480000000000001</v>
      </c>
      <c r="F39" s="2">
        <v>2</v>
      </c>
      <c r="H39" s="2">
        <v>34</v>
      </c>
      <c r="I39" s="2">
        <v>289</v>
      </c>
      <c r="J39" s="2">
        <v>1</v>
      </c>
      <c r="K39" s="2">
        <v>1</v>
      </c>
      <c r="L39" s="2">
        <v>0.97599999999999998</v>
      </c>
      <c r="M39" s="2">
        <v>1</v>
      </c>
    </row>
    <row r="40" spans="1:15" ht="14.25" customHeight="1">
      <c r="A40" s="2">
        <v>34</v>
      </c>
      <c r="B40" s="2">
        <v>39</v>
      </c>
      <c r="C40" s="2">
        <v>7</v>
      </c>
      <c r="D40" s="2">
        <v>1</v>
      </c>
      <c r="E40" s="2">
        <v>1.03</v>
      </c>
      <c r="F40" s="2">
        <v>1</v>
      </c>
      <c r="H40" s="2">
        <v>34</v>
      </c>
      <c r="I40" s="2">
        <v>290</v>
      </c>
      <c r="J40" s="2">
        <v>3</v>
      </c>
      <c r="K40" s="2">
        <v>1</v>
      </c>
      <c r="L40" s="2">
        <v>0.99399999999999999</v>
      </c>
      <c r="M40" s="2">
        <v>2</v>
      </c>
    </row>
    <row r="41" spans="1:15" ht="14.25" customHeight="1">
      <c r="A41" s="2">
        <v>34</v>
      </c>
      <c r="B41" s="2">
        <v>40</v>
      </c>
      <c r="C41" s="2">
        <v>1</v>
      </c>
      <c r="D41" s="2">
        <v>1</v>
      </c>
      <c r="E41" s="2">
        <v>0.84699999999999998</v>
      </c>
      <c r="F41" s="2">
        <v>2</v>
      </c>
      <c r="H41" s="2">
        <v>34</v>
      </c>
      <c r="I41" s="2">
        <v>291</v>
      </c>
      <c r="J41" s="2">
        <v>2</v>
      </c>
      <c r="K41" s="2">
        <v>1</v>
      </c>
      <c r="L41" s="2">
        <v>0.88100000000000001</v>
      </c>
      <c r="M41" s="2">
        <v>2</v>
      </c>
    </row>
    <row r="42" spans="1:15" ht="14.25" customHeight="1">
      <c r="A42" s="2">
        <v>34</v>
      </c>
      <c r="B42" s="2">
        <v>41</v>
      </c>
      <c r="C42" s="2">
        <v>6</v>
      </c>
      <c r="D42" s="2">
        <v>0</v>
      </c>
      <c r="E42" s="2">
        <v>1.8640000000000001</v>
      </c>
      <c r="F42" s="2">
        <v>1</v>
      </c>
      <c r="H42" s="2">
        <v>34</v>
      </c>
      <c r="I42" s="2">
        <v>292</v>
      </c>
      <c r="J42" s="2">
        <v>7</v>
      </c>
      <c r="K42" s="2">
        <v>1</v>
      </c>
      <c r="L42" s="2">
        <v>0.83399999999999996</v>
      </c>
      <c r="M42" s="2">
        <v>1</v>
      </c>
    </row>
    <row r="43" spans="1:15" ht="14.25" customHeight="1">
      <c r="A43" s="2">
        <v>34</v>
      </c>
      <c r="B43" s="2">
        <v>42</v>
      </c>
      <c r="C43" s="2">
        <v>8</v>
      </c>
      <c r="D43" s="2">
        <v>1</v>
      </c>
      <c r="E43" s="2">
        <v>0.93400000000000005</v>
      </c>
      <c r="F43" s="2">
        <v>1</v>
      </c>
      <c r="H43" s="2">
        <v>34</v>
      </c>
      <c r="I43" s="2">
        <v>293</v>
      </c>
      <c r="J43" s="2">
        <v>8</v>
      </c>
      <c r="K43" s="2">
        <v>1</v>
      </c>
      <c r="L43" s="2">
        <v>0.875</v>
      </c>
      <c r="M43" s="2">
        <v>2</v>
      </c>
    </row>
    <row r="44" spans="1:15" ht="14.25" customHeight="1">
      <c r="A44" s="2">
        <v>34</v>
      </c>
      <c r="B44" s="2">
        <v>43</v>
      </c>
      <c r="C44" s="2">
        <v>3</v>
      </c>
      <c r="E44" s="2">
        <v>2</v>
      </c>
      <c r="H44" s="2">
        <v>34</v>
      </c>
      <c r="I44" s="2">
        <v>294</v>
      </c>
      <c r="J44" s="2">
        <v>2</v>
      </c>
      <c r="K44" s="2">
        <v>1</v>
      </c>
      <c r="L44" s="2">
        <v>0.85899999999999999</v>
      </c>
      <c r="M44" s="2">
        <v>2</v>
      </c>
    </row>
    <row r="45" spans="1:15" ht="14.25" customHeight="1">
      <c r="A45" s="2">
        <v>34</v>
      </c>
      <c r="B45" s="2">
        <v>44</v>
      </c>
      <c r="C45" s="2">
        <v>6</v>
      </c>
      <c r="D45" s="2">
        <v>1</v>
      </c>
      <c r="E45" s="2">
        <v>1.048</v>
      </c>
      <c r="F45" s="2">
        <v>2</v>
      </c>
      <c r="H45" s="2">
        <v>34</v>
      </c>
      <c r="I45" s="2">
        <v>295</v>
      </c>
      <c r="J45" s="2">
        <v>8</v>
      </c>
      <c r="K45" s="2">
        <v>1</v>
      </c>
      <c r="L45" s="2">
        <v>1.2410000000000001</v>
      </c>
      <c r="M45" s="2">
        <v>1</v>
      </c>
    </row>
    <row r="46" spans="1:15" ht="14.25" customHeight="1">
      <c r="A46" s="2">
        <v>34</v>
      </c>
      <c r="B46" s="2">
        <v>45</v>
      </c>
      <c r="C46" s="2">
        <v>7</v>
      </c>
      <c r="D46" s="2">
        <v>1</v>
      </c>
      <c r="E46" s="2">
        <v>0.78400000000000003</v>
      </c>
      <c r="F46" s="2">
        <v>1</v>
      </c>
      <c r="H46" s="2">
        <v>34</v>
      </c>
      <c r="I46" s="2">
        <v>296</v>
      </c>
      <c r="J46" s="2">
        <v>6</v>
      </c>
      <c r="K46" s="2">
        <v>1</v>
      </c>
      <c r="L46" s="2">
        <v>0.79500000000000004</v>
      </c>
      <c r="M46" s="2">
        <v>2</v>
      </c>
    </row>
    <row r="47" spans="1:15" ht="14.25" customHeight="1">
      <c r="A47" s="2">
        <v>34</v>
      </c>
      <c r="B47" s="2">
        <v>46</v>
      </c>
      <c r="C47" s="2">
        <v>5</v>
      </c>
      <c r="D47" s="2">
        <v>1</v>
      </c>
      <c r="E47" s="2">
        <v>1.0660000000000001</v>
      </c>
      <c r="F47" s="2">
        <v>2</v>
      </c>
      <c r="H47" s="2">
        <v>34</v>
      </c>
      <c r="I47" s="2">
        <v>297</v>
      </c>
      <c r="J47" s="2">
        <v>7</v>
      </c>
      <c r="K47" s="2">
        <v>1</v>
      </c>
      <c r="L47" s="2">
        <v>1.0009999999999999</v>
      </c>
      <c r="M47" s="2">
        <v>1</v>
      </c>
    </row>
    <row r="48" spans="1:15" ht="14.25" customHeight="1">
      <c r="A48" s="2">
        <v>34</v>
      </c>
      <c r="B48" s="2">
        <v>47</v>
      </c>
      <c r="C48" s="2">
        <v>7</v>
      </c>
      <c r="D48" s="2">
        <v>1</v>
      </c>
      <c r="E48" s="2">
        <v>1.002</v>
      </c>
      <c r="F48" s="2">
        <v>1</v>
      </c>
      <c r="H48" s="2">
        <v>34</v>
      </c>
      <c r="I48" s="2">
        <v>298</v>
      </c>
      <c r="J48" s="2">
        <v>1</v>
      </c>
      <c r="K48" s="2">
        <v>1</v>
      </c>
      <c r="L48" s="2">
        <v>1.1240000000000001</v>
      </c>
      <c r="M48" s="2">
        <v>1</v>
      </c>
    </row>
    <row r="49" spans="1:13" ht="14.25" customHeight="1">
      <c r="A49" s="2">
        <v>34</v>
      </c>
      <c r="B49" s="2">
        <v>48</v>
      </c>
      <c r="C49" s="2">
        <v>4</v>
      </c>
      <c r="D49" s="2">
        <v>0</v>
      </c>
      <c r="E49" s="2">
        <v>1.1930000000000001</v>
      </c>
      <c r="F49" s="2">
        <v>2</v>
      </c>
      <c r="H49" s="2">
        <v>34</v>
      </c>
      <c r="I49" s="2">
        <v>299</v>
      </c>
      <c r="J49" s="2">
        <v>7</v>
      </c>
      <c r="K49" s="2">
        <v>1</v>
      </c>
      <c r="L49" s="2">
        <v>0.98499999999999999</v>
      </c>
      <c r="M49" s="2">
        <v>2</v>
      </c>
    </row>
    <row r="50" spans="1:13" ht="14.25" customHeight="1">
      <c r="A50" s="2">
        <v>34</v>
      </c>
      <c r="B50" s="2">
        <v>49</v>
      </c>
      <c r="C50" s="2">
        <v>6</v>
      </c>
      <c r="D50" s="2">
        <v>1</v>
      </c>
      <c r="E50" s="2">
        <v>1.173</v>
      </c>
      <c r="F50" s="2">
        <v>2</v>
      </c>
      <c r="H50" s="2">
        <v>34</v>
      </c>
      <c r="I50" s="2">
        <v>300</v>
      </c>
      <c r="J50" s="2">
        <v>4</v>
      </c>
      <c r="K50" s="2">
        <v>1</v>
      </c>
      <c r="L50" s="2">
        <v>0.88900000000000001</v>
      </c>
      <c r="M50" s="2">
        <v>1</v>
      </c>
    </row>
    <row r="51" spans="1:13" ht="14.25" customHeight="1">
      <c r="A51" s="2">
        <v>34</v>
      </c>
      <c r="B51" s="2">
        <v>50</v>
      </c>
      <c r="C51" s="2">
        <v>8</v>
      </c>
      <c r="D51" s="2">
        <v>1</v>
      </c>
      <c r="E51" s="2">
        <v>1.1000000000000001</v>
      </c>
      <c r="F51" s="2">
        <v>1</v>
      </c>
    </row>
    <row r="52" spans="1:13" ht="14.25" customHeight="1">
      <c r="A52" s="2">
        <v>34</v>
      </c>
      <c r="B52" s="2">
        <v>51</v>
      </c>
      <c r="C52" s="2">
        <v>4</v>
      </c>
      <c r="D52" s="2">
        <v>1</v>
      </c>
      <c r="E52" s="2">
        <v>0.96099999999999997</v>
      </c>
      <c r="F52" s="2">
        <v>1</v>
      </c>
    </row>
    <row r="53" spans="1:13" ht="14.25" customHeight="1">
      <c r="A53" s="2">
        <v>34</v>
      </c>
      <c r="B53" s="2">
        <v>52</v>
      </c>
      <c r="C53" s="2">
        <v>1</v>
      </c>
      <c r="D53" s="2">
        <v>0</v>
      </c>
      <c r="E53" s="2">
        <v>1.5109999999999999</v>
      </c>
      <c r="F53" s="2">
        <v>2</v>
      </c>
    </row>
    <row r="54" spans="1:13" ht="14.25" customHeight="1">
      <c r="A54" s="2">
        <v>34</v>
      </c>
      <c r="B54" s="2">
        <v>53</v>
      </c>
      <c r="C54" s="2">
        <v>2</v>
      </c>
      <c r="D54" s="2">
        <v>0</v>
      </c>
      <c r="E54" s="2">
        <v>1.024</v>
      </c>
      <c r="F54" s="2">
        <v>1</v>
      </c>
    </row>
    <row r="55" spans="1:13" ht="14.25" customHeight="1">
      <c r="A55" s="2">
        <v>34</v>
      </c>
      <c r="B55" s="2">
        <v>54</v>
      </c>
      <c r="C55" s="2">
        <v>3</v>
      </c>
      <c r="D55" s="2">
        <v>1</v>
      </c>
      <c r="E55" s="2">
        <v>1.242</v>
      </c>
      <c r="F55" s="2">
        <v>2</v>
      </c>
    </row>
    <row r="56" spans="1:13" ht="14.25" customHeight="1">
      <c r="A56" s="2">
        <v>34</v>
      </c>
      <c r="B56" s="2">
        <v>55</v>
      </c>
      <c r="C56" s="2">
        <v>5</v>
      </c>
      <c r="D56" s="2">
        <v>1</v>
      </c>
      <c r="E56" s="2">
        <v>1.03</v>
      </c>
      <c r="F56" s="2">
        <v>1</v>
      </c>
    </row>
    <row r="57" spans="1:13" ht="14.25" customHeight="1">
      <c r="A57" s="2">
        <v>34</v>
      </c>
      <c r="B57" s="2">
        <v>56</v>
      </c>
      <c r="C57" s="2">
        <v>7</v>
      </c>
      <c r="D57" s="2">
        <v>0</v>
      </c>
      <c r="E57" s="2">
        <v>1.105</v>
      </c>
      <c r="F57" s="2">
        <v>2</v>
      </c>
    </row>
    <row r="58" spans="1:13" ht="14.25" customHeight="1">
      <c r="A58" s="2">
        <v>34</v>
      </c>
      <c r="B58" s="2">
        <v>57</v>
      </c>
      <c r="C58" s="2">
        <v>4</v>
      </c>
      <c r="D58" s="2">
        <v>0</v>
      </c>
      <c r="E58" s="2">
        <v>1.363</v>
      </c>
      <c r="F58" s="2">
        <v>1</v>
      </c>
    </row>
    <row r="59" spans="1:13" ht="14.25" customHeight="1">
      <c r="A59" s="2">
        <v>34</v>
      </c>
      <c r="B59" s="2">
        <v>58</v>
      </c>
      <c r="C59" s="2">
        <v>3</v>
      </c>
      <c r="D59" s="2">
        <v>1</v>
      </c>
      <c r="E59" s="2">
        <v>1.5349999999999999</v>
      </c>
      <c r="F59" s="2">
        <v>2</v>
      </c>
    </row>
    <row r="60" spans="1:13" ht="14.25" customHeight="1">
      <c r="A60" s="2">
        <v>34</v>
      </c>
      <c r="B60" s="2">
        <v>59</v>
      </c>
      <c r="C60" s="2">
        <v>8</v>
      </c>
      <c r="D60" s="2">
        <v>1</v>
      </c>
      <c r="E60" s="2">
        <v>1.2170000000000001</v>
      </c>
      <c r="F60" s="2">
        <v>1</v>
      </c>
    </row>
    <row r="61" spans="1:13" ht="14.25" customHeight="1">
      <c r="A61" s="2">
        <v>34</v>
      </c>
      <c r="B61" s="2">
        <v>60</v>
      </c>
      <c r="C61" s="2">
        <v>6</v>
      </c>
      <c r="D61" s="2">
        <v>0</v>
      </c>
      <c r="E61" s="2">
        <v>1.1220000000000001</v>
      </c>
      <c r="F61" s="2">
        <v>2</v>
      </c>
    </row>
    <row r="62" spans="1:13" ht="14.25" customHeight="1">
      <c r="A62" s="2">
        <v>34</v>
      </c>
      <c r="B62" s="2">
        <v>61</v>
      </c>
      <c r="C62" s="2">
        <v>8</v>
      </c>
      <c r="D62" s="2">
        <v>1</v>
      </c>
      <c r="E62" s="2">
        <v>1.1180000000000001</v>
      </c>
      <c r="F62" s="2">
        <v>1</v>
      </c>
    </row>
    <row r="63" spans="1:13" ht="14.25" customHeight="1">
      <c r="A63" s="2">
        <v>34</v>
      </c>
      <c r="B63" s="2">
        <v>62</v>
      </c>
      <c r="C63" s="2">
        <v>6</v>
      </c>
      <c r="D63" s="2">
        <v>1</v>
      </c>
      <c r="E63" s="2">
        <v>1.016</v>
      </c>
      <c r="F63" s="2">
        <v>2</v>
      </c>
    </row>
    <row r="64" spans="1:13" ht="14.25" customHeight="1">
      <c r="A64" s="2">
        <v>34</v>
      </c>
      <c r="B64" s="2">
        <v>63</v>
      </c>
      <c r="C64" s="2">
        <v>1</v>
      </c>
      <c r="D64" s="2">
        <v>1</v>
      </c>
      <c r="E64" s="2">
        <v>0.64700000000000002</v>
      </c>
      <c r="F64" s="2">
        <v>1</v>
      </c>
    </row>
    <row r="65" spans="1:6" ht="14.25" customHeight="1">
      <c r="A65" s="2">
        <v>34</v>
      </c>
      <c r="B65" s="2">
        <v>64</v>
      </c>
      <c r="C65" s="2">
        <v>3</v>
      </c>
      <c r="D65" s="2">
        <v>1</v>
      </c>
      <c r="E65" s="2">
        <v>1.579</v>
      </c>
      <c r="F65" s="2">
        <v>1</v>
      </c>
    </row>
    <row r="66" spans="1:6" ht="14.25" customHeight="1">
      <c r="A66" s="2">
        <v>34</v>
      </c>
      <c r="B66" s="2">
        <v>65</v>
      </c>
      <c r="C66" s="2">
        <v>1</v>
      </c>
      <c r="D66" s="2">
        <v>0</v>
      </c>
      <c r="E66" s="2">
        <v>1.272</v>
      </c>
      <c r="F66" s="2">
        <v>1</v>
      </c>
    </row>
    <row r="67" spans="1:6" ht="14.25" customHeight="1">
      <c r="A67" s="2">
        <v>34</v>
      </c>
      <c r="B67" s="2">
        <v>66</v>
      </c>
      <c r="C67" s="2">
        <v>2</v>
      </c>
      <c r="D67" s="2">
        <v>1</v>
      </c>
      <c r="E67" s="2">
        <v>1.127</v>
      </c>
      <c r="F67" s="2">
        <v>2</v>
      </c>
    </row>
    <row r="68" spans="1:6" ht="14.25" customHeight="1">
      <c r="A68" s="2">
        <v>34</v>
      </c>
      <c r="B68" s="2">
        <v>67</v>
      </c>
      <c r="C68" s="2">
        <v>6</v>
      </c>
      <c r="D68" s="2">
        <v>1</v>
      </c>
      <c r="E68" s="2">
        <v>1.738</v>
      </c>
      <c r="F68" s="2">
        <v>1</v>
      </c>
    </row>
    <row r="69" spans="1:6" ht="14.25" customHeight="1">
      <c r="A69" s="2">
        <v>34</v>
      </c>
      <c r="B69" s="2">
        <v>68</v>
      </c>
      <c r="C69" s="2">
        <v>2</v>
      </c>
      <c r="D69" s="2">
        <v>1</v>
      </c>
      <c r="E69" s="2">
        <v>0.80400000000000005</v>
      </c>
      <c r="F69" s="2">
        <v>1</v>
      </c>
    </row>
    <row r="70" spans="1:6" ht="14.25" customHeight="1">
      <c r="A70" s="2">
        <v>34</v>
      </c>
      <c r="B70" s="2">
        <v>69</v>
      </c>
      <c r="C70" s="2">
        <v>5</v>
      </c>
      <c r="D70" s="2">
        <v>1</v>
      </c>
      <c r="E70" s="2">
        <v>0.92900000000000005</v>
      </c>
      <c r="F70" s="2">
        <v>2</v>
      </c>
    </row>
    <row r="71" spans="1:6" ht="14.25" customHeight="1">
      <c r="A71" s="2">
        <v>34</v>
      </c>
      <c r="B71" s="2">
        <v>70</v>
      </c>
      <c r="C71" s="2">
        <v>8</v>
      </c>
      <c r="D71" s="2">
        <v>0</v>
      </c>
      <c r="E71" s="2">
        <v>1.1859999999999999</v>
      </c>
      <c r="F71" s="2">
        <v>1</v>
      </c>
    </row>
    <row r="72" spans="1:6" ht="14.25" customHeight="1">
      <c r="A72" s="2">
        <v>34</v>
      </c>
      <c r="B72" s="2">
        <v>71</v>
      </c>
      <c r="C72" s="2">
        <v>6</v>
      </c>
      <c r="D72" s="2">
        <v>1</v>
      </c>
      <c r="E72" s="2">
        <v>1.2809999999999999</v>
      </c>
      <c r="F72" s="2">
        <v>2</v>
      </c>
    </row>
    <row r="73" spans="1:6" ht="14.25" customHeight="1">
      <c r="A73" s="2">
        <v>34</v>
      </c>
      <c r="B73" s="2">
        <v>72</v>
      </c>
      <c r="C73" s="2">
        <v>3</v>
      </c>
      <c r="D73" s="2">
        <v>1</v>
      </c>
      <c r="E73" s="2">
        <v>0.72599999999999998</v>
      </c>
      <c r="F73" s="2">
        <v>1</v>
      </c>
    </row>
    <row r="74" spans="1:6" ht="14.25" customHeight="1">
      <c r="A74" s="2">
        <v>34</v>
      </c>
      <c r="B74" s="2">
        <v>73</v>
      </c>
      <c r="C74" s="2">
        <v>5</v>
      </c>
      <c r="D74" s="2">
        <v>1</v>
      </c>
      <c r="E74" s="2">
        <v>1.448</v>
      </c>
      <c r="F74" s="2">
        <v>2</v>
      </c>
    </row>
    <row r="75" spans="1:6" ht="14.25" customHeight="1">
      <c r="A75" s="2">
        <v>34</v>
      </c>
      <c r="B75" s="2">
        <v>74</v>
      </c>
      <c r="C75" s="2">
        <v>6</v>
      </c>
      <c r="D75" s="2">
        <v>1</v>
      </c>
      <c r="E75" s="2">
        <v>0.74399999999999999</v>
      </c>
      <c r="F75" s="2">
        <v>1</v>
      </c>
    </row>
    <row r="76" spans="1:6" ht="14.25" customHeight="1">
      <c r="A76" s="2">
        <v>34</v>
      </c>
      <c r="B76" s="2">
        <v>75</v>
      </c>
      <c r="C76" s="2">
        <v>4</v>
      </c>
      <c r="D76" s="2">
        <v>1</v>
      </c>
      <c r="E76" s="2">
        <v>1.091</v>
      </c>
      <c r="F76" s="2">
        <v>2</v>
      </c>
    </row>
    <row r="77" spans="1:6" ht="14.25" customHeight="1">
      <c r="A77" s="2">
        <v>34</v>
      </c>
      <c r="B77" s="2">
        <v>76</v>
      </c>
      <c r="C77" s="2">
        <v>7</v>
      </c>
      <c r="D77" s="2">
        <v>0</v>
      </c>
      <c r="E77" s="2">
        <v>1.304</v>
      </c>
      <c r="F77" s="2">
        <v>1</v>
      </c>
    </row>
    <row r="78" spans="1:6" ht="14.25" customHeight="1">
      <c r="A78" s="2">
        <v>34</v>
      </c>
      <c r="B78" s="2">
        <v>77</v>
      </c>
      <c r="C78" s="2">
        <v>8</v>
      </c>
      <c r="D78" s="2">
        <v>1</v>
      </c>
      <c r="E78" s="2">
        <v>1.304</v>
      </c>
      <c r="F78" s="2">
        <v>1</v>
      </c>
    </row>
    <row r="79" spans="1:6" ht="14.25" customHeight="1">
      <c r="A79" s="2">
        <v>34</v>
      </c>
      <c r="B79" s="2">
        <v>78</v>
      </c>
      <c r="C79" s="2">
        <v>1</v>
      </c>
      <c r="D79" s="2">
        <v>1</v>
      </c>
      <c r="E79" s="2">
        <v>1.002</v>
      </c>
      <c r="F79" s="2">
        <v>2</v>
      </c>
    </row>
    <row r="80" spans="1:6" ht="14.25" customHeight="1">
      <c r="A80" s="2">
        <v>34</v>
      </c>
      <c r="B80" s="2">
        <v>79</v>
      </c>
      <c r="C80" s="2">
        <v>3</v>
      </c>
      <c r="D80" s="2">
        <v>1</v>
      </c>
      <c r="E80" s="2">
        <v>1.1539999999999999</v>
      </c>
      <c r="F80" s="2">
        <v>2</v>
      </c>
    </row>
    <row r="81" spans="1:6" ht="14.25" customHeight="1">
      <c r="A81" s="2">
        <v>34</v>
      </c>
      <c r="B81" s="2">
        <v>80</v>
      </c>
      <c r="C81" s="2">
        <v>2</v>
      </c>
      <c r="D81" s="2">
        <v>1</v>
      </c>
      <c r="E81" s="2">
        <v>0.80100000000000005</v>
      </c>
      <c r="F81" s="2">
        <v>1</v>
      </c>
    </row>
    <row r="82" spans="1:6" ht="14.25" customHeight="1">
      <c r="A82" s="2">
        <v>34</v>
      </c>
      <c r="B82" s="2">
        <v>81</v>
      </c>
      <c r="C82" s="2">
        <v>5</v>
      </c>
      <c r="D82" s="2">
        <v>0</v>
      </c>
      <c r="E82" s="2">
        <v>1.411</v>
      </c>
      <c r="F82" s="2">
        <v>2</v>
      </c>
    </row>
    <row r="83" spans="1:6" ht="14.25" customHeight="1">
      <c r="A83" s="2">
        <v>34</v>
      </c>
      <c r="B83" s="2">
        <v>82</v>
      </c>
      <c r="C83" s="2">
        <v>8</v>
      </c>
      <c r="D83" s="2">
        <v>1</v>
      </c>
      <c r="E83" s="2">
        <v>1.3779999999999999</v>
      </c>
      <c r="F83" s="2">
        <v>2</v>
      </c>
    </row>
    <row r="84" spans="1:6" ht="14.25" customHeight="1">
      <c r="A84" s="2">
        <v>34</v>
      </c>
      <c r="B84" s="2">
        <v>83</v>
      </c>
      <c r="C84" s="2">
        <v>4</v>
      </c>
      <c r="D84" s="2">
        <v>1</v>
      </c>
      <c r="E84" s="2">
        <v>0.92200000000000004</v>
      </c>
      <c r="F84" s="2">
        <v>1</v>
      </c>
    </row>
    <row r="85" spans="1:6" ht="14.25" customHeight="1">
      <c r="A85" s="2">
        <v>34</v>
      </c>
      <c r="B85" s="2">
        <v>84</v>
      </c>
      <c r="C85" s="2">
        <v>7</v>
      </c>
      <c r="D85" s="2">
        <v>1</v>
      </c>
      <c r="E85" s="2">
        <v>1.2130000000000001</v>
      </c>
      <c r="F85" s="2">
        <v>1</v>
      </c>
    </row>
    <row r="86" spans="1:6" ht="14.25" customHeight="1">
      <c r="A86" s="2">
        <v>34</v>
      </c>
      <c r="B86" s="2">
        <v>85</v>
      </c>
      <c r="C86" s="2">
        <v>3</v>
      </c>
      <c r="D86" s="2">
        <v>1</v>
      </c>
      <c r="E86" s="2">
        <v>1.33</v>
      </c>
      <c r="F86" s="2">
        <v>2</v>
      </c>
    </row>
    <row r="87" spans="1:6" ht="14.25" customHeight="1">
      <c r="A87" s="2">
        <v>34</v>
      </c>
      <c r="B87" s="2">
        <v>86</v>
      </c>
      <c r="C87" s="2">
        <v>8</v>
      </c>
      <c r="D87" s="2">
        <v>1</v>
      </c>
      <c r="E87" s="2">
        <v>0.88600000000000001</v>
      </c>
      <c r="F87" s="2">
        <v>2</v>
      </c>
    </row>
    <row r="88" spans="1:6" ht="14.25" customHeight="1">
      <c r="A88" s="2">
        <v>34</v>
      </c>
      <c r="B88" s="2">
        <v>87</v>
      </c>
      <c r="C88" s="2">
        <v>5</v>
      </c>
      <c r="D88" s="2">
        <v>0</v>
      </c>
      <c r="E88" s="2">
        <v>1.462</v>
      </c>
      <c r="F88" s="2">
        <v>1</v>
      </c>
    </row>
    <row r="89" spans="1:6" ht="14.25" customHeight="1">
      <c r="A89" s="2">
        <v>34</v>
      </c>
      <c r="B89" s="2">
        <v>88</v>
      </c>
      <c r="C89" s="2">
        <v>7</v>
      </c>
      <c r="D89" s="2">
        <v>0</v>
      </c>
      <c r="E89" s="2">
        <v>1.048</v>
      </c>
      <c r="F89" s="2">
        <v>2</v>
      </c>
    </row>
    <row r="90" spans="1:6" ht="14.25" customHeight="1">
      <c r="A90" s="2">
        <v>34</v>
      </c>
      <c r="B90" s="2">
        <v>89</v>
      </c>
      <c r="C90" s="2">
        <v>5</v>
      </c>
      <c r="D90" s="2">
        <v>1</v>
      </c>
      <c r="E90" s="2">
        <v>0.63500000000000001</v>
      </c>
      <c r="F90" s="2">
        <v>1</v>
      </c>
    </row>
    <row r="91" spans="1:6" ht="14.25" customHeight="1">
      <c r="A91" s="2">
        <v>34</v>
      </c>
      <c r="B91" s="2">
        <v>90</v>
      </c>
      <c r="C91" s="2">
        <v>7</v>
      </c>
      <c r="D91" s="2">
        <v>1</v>
      </c>
      <c r="E91" s="2">
        <v>1.0329999999999999</v>
      </c>
      <c r="F91" s="2">
        <v>2</v>
      </c>
    </row>
    <row r="92" spans="1:6" ht="14.25" customHeight="1">
      <c r="A92" s="2">
        <v>34</v>
      </c>
      <c r="B92" s="2">
        <v>91</v>
      </c>
      <c r="C92" s="2">
        <v>4</v>
      </c>
      <c r="D92" s="2">
        <v>1</v>
      </c>
      <c r="E92" s="2">
        <v>1.087</v>
      </c>
      <c r="F92" s="2">
        <v>2</v>
      </c>
    </row>
    <row r="93" spans="1:6" ht="14.25" customHeight="1">
      <c r="A93" s="2">
        <v>34</v>
      </c>
      <c r="B93" s="2">
        <v>92</v>
      </c>
      <c r="C93" s="2">
        <v>2</v>
      </c>
      <c r="D93" s="2">
        <v>1</v>
      </c>
      <c r="E93" s="2">
        <v>1.409</v>
      </c>
      <c r="F93" s="2">
        <v>1</v>
      </c>
    </row>
    <row r="94" spans="1:6" ht="14.25" customHeight="1">
      <c r="A94" s="2">
        <v>34</v>
      </c>
      <c r="B94" s="2">
        <v>93</v>
      </c>
      <c r="C94" s="2">
        <v>1</v>
      </c>
      <c r="D94" s="2">
        <v>1</v>
      </c>
      <c r="E94" s="2">
        <v>1.4490000000000001</v>
      </c>
      <c r="F94" s="2">
        <v>2</v>
      </c>
    </row>
    <row r="95" spans="1:6" ht="14.25" customHeight="1">
      <c r="A95" s="2">
        <v>34</v>
      </c>
      <c r="B95" s="2">
        <v>94</v>
      </c>
      <c r="C95" s="2">
        <v>3</v>
      </c>
      <c r="D95" s="2">
        <v>1</v>
      </c>
      <c r="E95" s="2">
        <v>0.96699999999999997</v>
      </c>
      <c r="F95" s="2">
        <v>2</v>
      </c>
    </row>
    <row r="96" spans="1:6" ht="14.25" customHeight="1">
      <c r="A96" s="2">
        <v>34</v>
      </c>
      <c r="B96" s="2">
        <v>95</v>
      </c>
      <c r="C96" s="2">
        <v>2</v>
      </c>
      <c r="D96" s="2">
        <v>1</v>
      </c>
      <c r="E96" s="2">
        <v>0.81399999999999995</v>
      </c>
      <c r="F96" s="2">
        <v>1</v>
      </c>
    </row>
    <row r="97" spans="1:6" ht="14.25" customHeight="1">
      <c r="A97" s="2">
        <v>34</v>
      </c>
      <c r="B97" s="2">
        <v>96</v>
      </c>
      <c r="C97" s="2">
        <v>8</v>
      </c>
      <c r="D97" s="2">
        <v>1</v>
      </c>
      <c r="E97" s="2">
        <v>1.1679999999999999</v>
      </c>
      <c r="F97" s="2">
        <v>2</v>
      </c>
    </row>
    <row r="98" spans="1:6" ht="14.25" customHeight="1">
      <c r="A98" s="2">
        <v>34</v>
      </c>
      <c r="B98" s="2">
        <v>97</v>
      </c>
      <c r="C98" s="2">
        <v>7</v>
      </c>
      <c r="D98" s="2">
        <v>1</v>
      </c>
      <c r="E98" s="2">
        <v>0.84599999999999997</v>
      </c>
      <c r="F98" s="2">
        <v>1</v>
      </c>
    </row>
    <row r="99" spans="1:6" ht="14.25" customHeight="1">
      <c r="A99" s="2">
        <v>34</v>
      </c>
      <c r="B99" s="2">
        <v>98</v>
      </c>
      <c r="C99" s="2">
        <v>1</v>
      </c>
      <c r="D99" s="2">
        <v>1</v>
      </c>
      <c r="E99" s="2">
        <v>1.583</v>
      </c>
      <c r="F99" s="2">
        <v>1</v>
      </c>
    </row>
    <row r="100" spans="1:6" ht="14.25" customHeight="1">
      <c r="A100" s="2">
        <v>34</v>
      </c>
      <c r="B100" s="2">
        <v>99</v>
      </c>
      <c r="C100" s="2">
        <v>6</v>
      </c>
      <c r="D100" s="2">
        <v>1</v>
      </c>
      <c r="E100" s="2">
        <v>0.84599999999999997</v>
      </c>
      <c r="F100" s="2">
        <v>2</v>
      </c>
    </row>
    <row r="101" spans="1:6" ht="14.25" customHeight="1">
      <c r="A101" s="2">
        <v>34</v>
      </c>
      <c r="B101" s="2">
        <v>100</v>
      </c>
      <c r="C101" s="2">
        <v>4</v>
      </c>
      <c r="D101" s="2">
        <v>1</v>
      </c>
      <c r="E101" s="2">
        <v>1.0249999999999999</v>
      </c>
      <c r="F101" s="2">
        <v>1</v>
      </c>
    </row>
    <row r="102" spans="1:6" ht="14.25" customHeight="1">
      <c r="A102" s="2">
        <v>34</v>
      </c>
      <c r="B102" s="2">
        <v>101</v>
      </c>
      <c r="C102" s="2">
        <v>6</v>
      </c>
      <c r="E102" s="2">
        <v>2</v>
      </c>
    </row>
    <row r="103" spans="1:6" ht="14.25" customHeight="1">
      <c r="A103" s="2">
        <v>34</v>
      </c>
      <c r="B103" s="2">
        <v>102</v>
      </c>
      <c r="C103" s="2">
        <v>2</v>
      </c>
      <c r="D103" s="2">
        <v>1</v>
      </c>
      <c r="E103" s="2">
        <v>1.873</v>
      </c>
      <c r="F103" s="2">
        <v>1</v>
      </c>
    </row>
    <row r="104" spans="1:6" ht="14.25" customHeight="1">
      <c r="A104" s="2">
        <v>34</v>
      </c>
      <c r="B104" s="2">
        <v>103</v>
      </c>
      <c r="C104" s="2">
        <v>7</v>
      </c>
      <c r="D104" s="2">
        <v>0</v>
      </c>
      <c r="E104" s="2">
        <v>1.8520000000000001</v>
      </c>
      <c r="F104" s="2">
        <v>1</v>
      </c>
    </row>
    <row r="105" spans="1:6" ht="14.25" customHeight="1">
      <c r="A105" s="2">
        <v>34</v>
      </c>
      <c r="B105" s="2">
        <v>104</v>
      </c>
      <c r="C105" s="2">
        <v>2</v>
      </c>
      <c r="D105" s="2">
        <v>0</v>
      </c>
      <c r="E105" s="2">
        <v>1.4590000000000001</v>
      </c>
      <c r="F105" s="2">
        <v>1</v>
      </c>
    </row>
    <row r="106" spans="1:6" ht="14.25" customHeight="1">
      <c r="A106" s="2">
        <v>34</v>
      </c>
      <c r="B106" s="2">
        <v>105</v>
      </c>
      <c r="C106" s="2">
        <v>6</v>
      </c>
      <c r="D106" s="2">
        <v>1</v>
      </c>
      <c r="E106" s="2">
        <v>0.93400000000000005</v>
      </c>
      <c r="F106" s="2">
        <v>1</v>
      </c>
    </row>
    <row r="107" spans="1:6" ht="14.25" customHeight="1">
      <c r="A107" s="2">
        <v>34</v>
      </c>
      <c r="B107" s="2">
        <v>106</v>
      </c>
      <c r="C107" s="2">
        <v>2</v>
      </c>
      <c r="D107" s="2">
        <v>1</v>
      </c>
      <c r="E107" s="2">
        <v>1.464</v>
      </c>
      <c r="F107" s="2">
        <v>1</v>
      </c>
    </row>
    <row r="108" spans="1:6" ht="14.25" customHeight="1">
      <c r="A108" s="2">
        <v>34</v>
      </c>
      <c r="B108" s="2">
        <v>107</v>
      </c>
      <c r="C108" s="2">
        <v>3</v>
      </c>
      <c r="D108" s="2">
        <v>1</v>
      </c>
      <c r="E108" s="2">
        <v>0.97899999999999998</v>
      </c>
      <c r="F108" s="2">
        <v>2</v>
      </c>
    </row>
    <row r="109" spans="1:6" ht="14.25" customHeight="1">
      <c r="A109" s="2">
        <v>34</v>
      </c>
      <c r="B109" s="2">
        <v>108</v>
      </c>
      <c r="C109" s="2">
        <v>4</v>
      </c>
      <c r="D109" s="2">
        <v>1</v>
      </c>
      <c r="E109" s="2">
        <v>1.107</v>
      </c>
      <c r="F109" s="2">
        <v>2</v>
      </c>
    </row>
    <row r="110" spans="1:6" ht="14.25" customHeight="1">
      <c r="A110" s="2">
        <v>34</v>
      </c>
      <c r="B110" s="2">
        <v>109</v>
      </c>
      <c r="C110" s="2">
        <v>6</v>
      </c>
      <c r="D110" s="2">
        <v>1</v>
      </c>
      <c r="E110" s="2">
        <v>0.66900000000000004</v>
      </c>
      <c r="F110" s="2">
        <v>1</v>
      </c>
    </row>
    <row r="111" spans="1:6" ht="14.25" customHeight="1">
      <c r="A111" s="2">
        <v>34</v>
      </c>
      <c r="B111" s="2">
        <v>110</v>
      </c>
      <c r="C111" s="2">
        <v>3</v>
      </c>
      <c r="D111" s="2">
        <v>1</v>
      </c>
      <c r="E111" s="2">
        <v>1.72</v>
      </c>
      <c r="F111" s="2">
        <v>1</v>
      </c>
    </row>
    <row r="112" spans="1:6" ht="14.25" customHeight="1">
      <c r="A112" s="2">
        <v>34</v>
      </c>
      <c r="B112" s="2">
        <v>111</v>
      </c>
      <c r="C112" s="2">
        <v>8</v>
      </c>
      <c r="D112" s="2">
        <v>1</v>
      </c>
      <c r="E112" s="2">
        <v>1.8480000000000001</v>
      </c>
      <c r="F112" s="2">
        <v>1</v>
      </c>
    </row>
    <row r="113" spans="1:6" ht="14.25" customHeight="1">
      <c r="A113" s="2">
        <v>34</v>
      </c>
      <c r="B113" s="2">
        <v>112</v>
      </c>
      <c r="C113" s="2">
        <v>1</v>
      </c>
      <c r="D113" s="2">
        <v>1</v>
      </c>
      <c r="E113" s="2">
        <v>1.1850000000000001</v>
      </c>
      <c r="F113" s="2">
        <v>2</v>
      </c>
    </row>
    <row r="114" spans="1:6" ht="14.25" customHeight="1">
      <c r="A114" s="2">
        <v>34</v>
      </c>
      <c r="B114" s="2">
        <v>113</v>
      </c>
      <c r="C114" s="2">
        <v>5</v>
      </c>
      <c r="D114" s="2">
        <v>1</v>
      </c>
      <c r="E114" s="2">
        <v>1.6259999999999999</v>
      </c>
      <c r="F114" s="2">
        <v>1</v>
      </c>
    </row>
    <row r="115" spans="1:6" ht="14.25" customHeight="1">
      <c r="A115" s="2">
        <v>34</v>
      </c>
      <c r="B115" s="2">
        <v>114</v>
      </c>
      <c r="C115" s="2">
        <v>8</v>
      </c>
      <c r="D115" s="2">
        <v>1</v>
      </c>
      <c r="E115" s="2">
        <v>1.736</v>
      </c>
      <c r="F115" s="2">
        <v>1</v>
      </c>
    </row>
    <row r="116" spans="1:6" ht="14.25" customHeight="1">
      <c r="A116" s="2">
        <v>34</v>
      </c>
      <c r="B116" s="2">
        <v>115</v>
      </c>
      <c r="C116" s="2">
        <v>1</v>
      </c>
      <c r="D116" s="2">
        <v>1</v>
      </c>
      <c r="E116" s="2">
        <v>1.2110000000000001</v>
      </c>
      <c r="F116" s="2">
        <v>2</v>
      </c>
    </row>
    <row r="117" spans="1:6" ht="14.25" customHeight="1">
      <c r="A117" s="2">
        <v>34</v>
      </c>
      <c r="B117" s="2">
        <v>116</v>
      </c>
      <c r="C117" s="2">
        <v>8</v>
      </c>
      <c r="D117" s="2">
        <v>1</v>
      </c>
      <c r="E117" s="2">
        <v>0.626</v>
      </c>
      <c r="F117" s="2">
        <v>2</v>
      </c>
    </row>
    <row r="118" spans="1:6" ht="14.25" customHeight="1">
      <c r="A118" s="2">
        <v>34</v>
      </c>
      <c r="B118" s="2">
        <v>117</v>
      </c>
      <c r="C118" s="2">
        <v>3</v>
      </c>
      <c r="D118" s="2">
        <v>1</v>
      </c>
      <c r="E118" s="2">
        <v>1.3959999999999999</v>
      </c>
      <c r="F118" s="2">
        <v>1</v>
      </c>
    </row>
    <row r="119" spans="1:6" ht="14.25" customHeight="1">
      <c r="A119" s="2">
        <v>34</v>
      </c>
      <c r="B119" s="2">
        <v>118</v>
      </c>
      <c r="C119" s="2">
        <v>5</v>
      </c>
      <c r="D119" s="2">
        <v>1</v>
      </c>
      <c r="E119" s="2">
        <v>1.2030000000000001</v>
      </c>
      <c r="F119" s="2">
        <v>1</v>
      </c>
    </row>
    <row r="120" spans="1:6" ht="14.25" customHeight="1">
      <c r="A120" s="2">
        <v>34</v>
      </c>
      <c r="B120" s="2">
        <v>119</v>
      </c>
      <c r="C120" s="2">
        <v>4</v>
      </c>
      <c r="D120" s="2">
        <v>1</v>
      </c>
      <c r="E120" s="2">
        <v>0.84</v>
      </c>
      <c r="F120" s="2">
        <v>2</v>
      </c>
    </row>
    <row r="121" spans="1:6" ht="14.25" customHeight="1">
      <c r="A121" s="2">
        <v>34</v>
      </c>
      <c r="B121" s="2">
        <v>120</v>
      </c>
      <c r="C121" s="2">
        <v>3</v>
      </c>
      <c r="D121" s="2">
        <v>0</v>
      </c>
      <c r="E121" s="2">
        <v>1.0329999999999999</v>
      </c>
      <c r="F121" s="2">
        <v>1</v>
      </c>
    </row>
    <row r="122" spans="1:6" ht="14.25" customHeight="1">
      <c r="A122" s="2">
        <v>34</v>
      </c>
      <c r="B122" s="2">
        <v>121</v>
      </c>
      <c r="C122" s="2">
        <v>6</v>
      </c>
      <c r="D122" s="2">
        <v>1</v>
      </c>
      <c r="E122" s="2">
        <v>1.4019999999999999</v>
      </c>
      <c r="F122" s="2">
        <v>2</v>
      </c>
    </row>
    <row r="123" spans="1:6" ht="14.25" customHeight="1">
      <c r="A123" s="2">
        <v>34</v>
      </c>
      <c r="B123" s="2">
        <v>122</v>
      </c>
      <c r="C123" s="2">
        <v>1</v>
      </c>
      <c r="D123" s="2">
        <v>1</v>
      </c>
      <c r="E123" s="2">
        <v>0.88700000000000001</v>
      </c>
      <c r="F123" s="2">
        <v>1</v>
      </c>
    </row>
    <row r="124" spans="1:6" ht="14.25" customHeight="1">
      <c r="A124" s="2">
        <v>34</v>
      </c>
      <c r="B124" s="2">
        <v>123</v>
      </c>
      <c r="C124" s="2">
        <v>8</v>
      </c>
      <c r="D124" s="2">
        <v>1</v>
      </c>
      <c r="E124" s="2">
        <v>1.0980000000000001</v>
      </c>
      <c r="F124" s="2">
        <v>2</v>
      </c>
    </row>
    <row r="125" spans="1:6" ht="14.25" customHeight="1">
      <c r="A125" s="2">
        <v>34</v>
      </c>
      <c r="B125" s="2">
        <v>124</v>
      </c>
      <c r="C125" s="2">
        <v>7</v>
      </c>
      <c r="D125" s="2">
        <v>1</v>
      </c>
      <c r="E125" s="2">
        <v>0.96899999999999997</v>
      </c>
      <c r="F125" s="2">
        <v>1</v>
      </c>
    </row>
    <row r="126" spans="1:6" ht="14.25" customHeight="1">
      <c r="A126" s="2">
        <v>34</v>
      </c>
      <c r="B126" s="2">
        <v>125</v>
      </c>
      <c r="C126" s="2">
        <v>4</v>
      </c>
      <c r="D126" s="2">
        <v>1</v>
      </c>
      <c r="E126" s="2">
        <v>0.98699999999999999</v>
      </c>
      <c r="F126" s="2">
        <v>2</v>
      </c>
    </row>
    <row r="127" spans="1:6" ht="14.25" customHeight="1">
      <c r="A127" s="2">
        <v>34</v>
      </c>
      <c r="B127" s="2">
        <v>126</v>
      </c>
      <c r="C127" s="2">
        <v>6</v>
      </c>
      <c r="D127" s="2">
        <v>1</v>
      </c>
      <c r="E127" s="2">
        <v>1.361</v>
      </c>
      <c r="F127" s="2">
        <v>2</v>
      </c>
    </row>
    <row r="128" spans="1:6" ht="14.25" customHeight="1">
      <c r="A128" s="2">
        <v>34</v>
      </c>
      <c r="B128" s="2">
        <v>127</v>
      </c>
      <c r="C128" s="2">
        <v>7</v>
      </c>
      <c r="D128" s="2">
        <v>1</v>
      </c>
      <c r="E128" s="2">
        <v>1.0169999999999999</v>
      </c>
      <c r="F128" s="2">
        <v>1</v>
      </c>
    </row>
    <row r="129" spans="1:6" ht="14.25" customHeight="1">
      <c r="A129" s="2">
        <v>34</v>
      </c>
      <c r="B129" s="2">
        <v>128</v>
      </c>
      <c r="C129" s="2">
        <v>1</v>
      </c>
      <c r="D129" s="2">
        <v>1</v>
      </c>
      <c r="E129" s="2">
        <v>1.266</v>
      </c>
      <c r="F129" s="2">
        <v>2</v>
      </c>
    </row>
    <row r="130" spans="1:6" ht="14.25" customHeight="1">
      <c r="A130" s="2">
        <v>34</v>
      </c>
      <c r="B130" s="2">
        <v>129</v>
      </c>
      <c r="C130" s="2">
        <v>2</v>
      </c>
      <c r="D130" s="2">
        <v>1</v>
      </c>
      <c r="E130" s="2">
        <v>1.8129999999999999</v>
      </c>
      <c r="F130" s="2">
        <v>2</v>
      </c>
    </row>
    <row r="131" spans="1:6" ht="14.25" customHeight="1">
      <c r="A131" s="2">
        <v>34</v>
      </c>
      <c r="B131" s="2">
        <v>130</v>
      </c>
      <c r="C131" s="2">
        <v>4</v>
      </c>
      <c r="D131" s="2">
        <v>1</v>
      </c>
      <c r="E131" s="2">
        <v>0.76900000000000002</v>
      </c>
      <c r="F131" s="2">
        <v>1</v>
      </c>
    </row>
    <row r="132" spans="1:6" ht="14.25" customHeight="1">
      <c r="A132" s="2">
        <v>34</v>
      </c>
      <c r="B132" s="2">
        <v>131</v>
      </c>
      <c r="C132" s="2">
        <v>3</v>
      </c>
      <c r="D132" s="2">
        <v>1</v>
      </c>
      <c r="E132" s="2">
        <v>1.4019999999999999</v>
      </c>
      <c r="F132" s="2">
        <v>1</v>
      </c>
    </row>
    <row r="133" spans="1:6" ht="14.25" customHeight="1">
      <c r="A133" s="2">
        <v>34</v>
      </c>
      <c r="B133" s="2">
        <v>132</v>
      </c>
      <c r="C133" s="2">
        <v>8</v>
      </c>
      <c r="D133" s="2">
        <v>1</v>
      </c>
      <c r="E133" s="2">
        <v>1.091</v>
      </c>
      <c r="F133" s="2">
        <v>2</v>
      </c>
    </row>
    <row r="134" spans="1:6" ht="14.25" customHeight="1">
      <c r="A134" s="2">
        <v>34</v>
      </c>
      <c r="B134" s="2">
        <v>133</v>
      </c>
      <c r="C134" s="2">
        <v>3</v>
      </c>
      <c r="D134" s="2">
        <v>0</v>
      </c>
      <c r="E134" s="2">
        <v>1.958</v>
      </c>
      <c r="F134" s="2">
        <v>2</v>
      </c>
    </row>
    <row r="135" spans="1:6" ht="14.25" customHeight="1">
      <c r="A135" s="2">
        <v>34</v>
      </c>
      <c r="B135" s="2">
        <v>134</v>
      </c>
      <c r="C135" s="2">
        <v>6</v>
      </c>
      <c r="D135" s="2">
        <v>1</v>
      </c>
      <c r="E135" s="2">
        <v>1.08</v>
      </c>
      <c r="F135" s="2">
        <v>1</v>
      </c>
    </row>
    <row r="136" spans="1:6" ht="14.25" customHeight="1">
      <c r="A136" s="2">
        <v>34</v>
      </c>
      <c r="B136" s="2">
        <v>135</v>
      </c>
      <c r="C136" s="2">
        <v>5</v>
      </c>
      <c r="D136" s="2">
        <v>1</v>
      </c>
      <c r="E136" s="2">
        <v>0.94099999999999995</v>
      </c>
      <c r="F136" s="2">
        <v>2</v>
      </c>
    </row>
    <row r="137" spans="1:6" ht="14.25" customHeight="1">
      <c r="A137" s="2">
        <v>34</v>
      </c>
      <c r="B137" s="2">
        <v>136</v>
      </c>
      <c r="C137" s="2">
        <v>3</v>
      </c>
      <c r="D137" s="2">
        <v>1</v>
      </c>
      <c r="E137" s="2">
        <v>0.753</v>
      </c>
      <c r="F137" s="2">
        <v>2</v>
      </c>
    </row>
    <row r="138" spans="1:6" ht="14.25" customHeight="1">
      <c r="A138" s="2">
        <v>34</v>
      </c>
      <c r="B138" s="2">
        <v>137</v>
      </c>
      <c r="C138" s="2">
        <v>8</v>
      </c>
      <c r="D138" s="2">
        <v>1</v>
      </c>
      <c r="E138" s="2">
        <v>1.1140000000000001</v>
      </c>
      <c r="F138" s="2">
        <v>2</v>
      </c>
    </row>
    <row r="139" spans="1:6" ht="14.25" customHeight="1">
      <c r="A139" s="2">
        <v>34</v>
      </c>
      <c r="B139" s="2">
        <v>138</v>
      </c>
      <c r="C139" s="2">
        <v>4</v>
      </c>
      <c r="D139" s="2">
        <v>1</v>
      </c>
      <c r="E139" s="2">
        <v>1.7709999999999999</v>
      </c>
      <c r="F139" s="2">
        <v>1</v>
      </c>
    </row>
    <row r="140" spans="1:6" ht="14.25" customHeight="1">
      <c r="A140" s="2">
        <v>34</v>
      </c>
      <c r="B140" s="2">
        <v>139</v>
      </c>
      <c r="C140" s="2">
        <v>5</v>
      </c>
      <c r="D140" s="2">
        <v>0</v>
      </c>
      <c r="E140" s="2">
        <v>1.6779999999999999</v>
      </c>
      <c r="F140" s="2">
        <v>2</v>
      </c>
    </row>
    <row r="141" spans="1:6" ht="14.25" customHeight="1">
      <c r="A141" s="2">
        <v>34</v>
      </c>
      <c r="B141" s="2">
        <v>140</v>
      </c>
      <c r="C141" s="2">
        <v>8</v>
      </c>
      <c r="D141" s="2">
        <v>1</v>
      </c>
      <c r="E141" s="2">
        <v>1.034</v>
      </c>
      <c r="F141" s="2">
        <v>2</v>
      </c>
    </row>
    <row r="142" spans="1:6" ht="14.25" customHeight="1">
      <c r="A142" s="2">
        <v>34</v>
      </c>
      <c r="B142" s="2">
        <v>141</v>
      </c>
      <c r="C142" s="2">
        <v>1</v>
      </c>
      <c r="D142" s="2">
        <v>1</v>
      </c>
      <c r="E142" s="2">
        <v>1.8260000000000001</v>
      </c>
      <c r="F142" s="2">
        <v>2</v>
      </c>
    </row>
    <row r="143" spans="1:6" ht="14.25" customHeight="1">
      <c r="A143" s="2">
        <v>34</v>
      </c>
      <c r="B143" s="2">
        <v>142</v>
      </c>
      <c r="C143" s="2">
        <v>5</v>
      </c>
      <c r="D143" s="2">
        <v>1</v>
      </c>
      <c r="E143" s="2">
        <v>0.58099999999999996</v>
      </c>
      <c r="F143" s="2">
        <v>1</v>
      </c>
    </row>
    <row r="144" spans="1:6" ht="14.25" customHeight="1">
      <c r="A144" s="2">
        <v>34</v>
      </c>
      <c r="B144" s="2">
        <v>143</v>
      </c>
      <c r="C144" s="2">
        <v>7</v>
      </c>
      <c r="D144" s="2">
        <v>1</v>
      </c>
      <c r="E144" s="2">
        <v>1.147</v>
      </c>
      <c r="F144" s="2">
        <v>2</v>
      </c>
    </row>
    <row r="145" spans="1:6" ht="14.25" customHeight="1">
      <c r="A145" s="2">
        <v>34</v>
      </c>
      <c r="B145" s="2">
        <v>144</v>
      </c>
      <c r="C145" s="2">
        <v>1</v>
      </c>
      <c r="D145" s="2">
        <v>1</v>
      </c>
      <c r="E145" s="2">
        <v>0.97599999999999998</v>
      </c>
      <c r="F145" s="2">
        <v>2</v>
      </c>
    </row>
    <row r="146" spans="1:6" ht="14.25" customHeight="1">
      <c r="A146" s="2">
        <v>34</v>
      </c>
      <c r="B146" s="2">
        <v>145</v>
      </c>
      <c r="C146" s="2">
        <v>7</v>
      </c>
      <c r="D146" s="2">
        <v>1</v>
      </c>
      <c r="E146" s="2">
        <v>1.2270000000000001</v>
      </c>
      <c r="F146" s="2">
        <v>1</v>
      </c>
    </row>
    <row r="147" spans="1:6" ht="14.25" customHeight="1">
      <c r="A147" s="2">
        <v>34</v>
      </c>
      <c r="B147" s="2">
        <v>146</v>
      </c>
      <c r="C147" s="2">
        <v>5</v>
      </c>
      <c r="D147" s="2">
        <v>1</v>
      </c>
      <c r="E147" s="2">
        <v>1.1539999999999999</v>
      </c>
      <c r="F147" s="2">
        <v>2</v>
      </c>
    </row>
    <row r="148" spans="1:6" ht="14.25" customHeight="1">
      <c r="A148" s="2">
        <v>34</v>
      </c>
      <c r="B148" s="2">
        <v>147</v>
      </c>
      <c r="C148" s="2">
        <v>2</v>
      </c>
      <c r="D148" s="2">
        <v>1</v>
      </c>
      <c r="E148" s="2">
        <v>0.94499999999999995</v>
      </c>
      <c r="F148" s="2">
        <v>1</v>
      </c>
    </row>
    <row r="149" spans="1:6" ht="14.25" customHeight="1">
      <c r="A149" s="2">
        <v>34</v>
      </c>
      <c r="B149" s="2">
        <v>148</v>
      </c>
      <c r="C149" s="2">
        <v>4</v>
      </c>
      <c r="D149" s="2">
        <v>1</v>
      </c>
      <c r="E149" s="2">
        <v>1.151</v>
      </c>
      <c r="F149" s="2">
        <v>1</v>
      </c>
    </row>
    <row r="150" spans="1:6" ht="14.25" customHeight="1">
      <c r="A150" s="2">
        <v>34</v>
      </c>
      <c r="B150" s="2">
        <v>149</v>
      </c>
      <c r="C150" s="2">
        <v>7</v>
      </c>
      <c r="D150" s="2">
        <v>1</v>
      </c>
      <c r="E150" s="2">
        <v>0.89800000000000002</v>
      </c>
      <c r="F150" s="2">
        <v>2</v>
      </c>
    </row>
    <row r="151" spans="1:6" ht="14.25" customHeight="1">
      <c r="A151" s="2">
        <v>34</v>
      </c>
      <c r="B151" s="2">
        <v>150</v>
      </c>
      <c r="C151" s="2">
        <v>2</v>
      </c>
      <c r="D151" s="2">
        <v>1</v>
      </c>
      <c r="E151" s="2">
        <v>1.369</v>
      </c>
      <c r="F151" s="2">
        <v>1</v>
      </c>
    </row>
    <row r="152" spans="1:6" ht="14.25" customHeight="1">
      <c r="A152" s="2">
        <v>34</v>
      </c>
      <c r="B152" s="2">
        <v>151</v>
      </c>
      <c r="C152" s="2">
        <v>3</v>
      </c>
      <c r="D152" s="2">
        <v>1</v>
      </c>
      <c r="E152" s="2">
        <v>1.7230000000000001</v>
      </c>
      <c r="F152" s="2">
        <v>1</v>
      </c>
    </row>
    <row r="153" spans="1:6" ht="14.25" customHeight="1">
      <c r="A153" s="2">
        <v>34</v>
      </c>
      <c r="B153" s="2">
        <v>152</v>
      </c>
      <c r="C153" s="2">
        <v>6</v>
      </c>
      <c r="D153" s="2">
        <v>1</v>
      </c>
      <c r="E153" s="2">
        <v>1.8680000000000001</v>
      </c>
      <c r="F153" s="2">
        <v>1</v>
      </c>
    </row>
    <row r="154" spans="1:6" ht="14.25" customHeight="1">
      <c r="A154" s="2">
        <v>34</v>
      </c>
      <c r="B154" s="2">
        <v>153</v>
      </c>
      <c r="C154" s="2">
        <v>3</v>
      </c>
      <c r="D154" s="2">
        <v>1</v>
      </c>
      <c r="E154" s="2">
        <v>1.091</v>
      </c>
      <c r="F154" s="2">
        <v>2</v>
      </c>
    </row>
    <row r="155" spans="1:6" ht="14.25" customHeight="1">
      <c r="A155" s="2">
        <v>34</v>
      </c>
      <c r="B155" s="2">
        <v>154</v>
      </c>
      <c r="C155" s="2">
        <v>2</v>
      </c>
      <c r="D155" s="2">
        <v>1</v>
      </c>
      <c r="E155" s="2">
        <v>0.88100000000000001</v>
      </c>
      <c r="F155" s="2">
        <v>2</v>
      </c>
    </row>
    <row r="156" spans="1:6" ht="14.25" customHeight="1">
      <c r="A156" s="2">
        <v>34</v>
      </c>
      <c r="B156" s="2">
        <v>155</v>
      </c>
      <c r="C156" s="2">
        <v>6</v>
      </c>
      <c r="D156" s="2">
        <v>1</v>
      </c>
      <c r="E156" s="2">
        <v>1.49</v>
      </c>
      <c r="F156" s="2">
        <v>1</v>
      </c>
    </row>
    <row r="157" spans="1:6" ht="14.25" customHeight="1">
      <c r="A157" s="2">
        <v>34</v>
      </c>
      <c r="B157" s="2">
        <v>156</v>
      </c>
      <c r="C157" s="2">
        <v>5</v>
      </c>
      <c r="D157" s="2">
        <v>1</v>
      </c>
      <c r="E157" s="2">
        <v>1.5669999999999999</v>
      </c>
      <c r="F157" s="2">
        <v>1</v>
      </c>
    </row>
    <row r="158" spans="1:6" ht="14.25" customHeight="1">
      <c r="A158" s="2">
        <v>34</v>
      </c>
      <c r="B158" s="2">
        <v>157</v>
      </c>
      <c r="C158" s="2">
        <v>6</v>
      </c>
      <c r="D158" s="2">
        <v>1</v>
      </c>
      <c r="E158" s="2">
        <v>1.1879999999999999</v>
      </c>
      <c r="F158" s="2">
        <v>2</v>
      </c>
    </row>
    <row r="159" spans="1:6" ht="14.25" customHeight="1">
      <c r="A159" s="2">
        <v>34</v>
      </c>
      <c r="B159" s="2">
        <v>158</v>
      </c>
      <c r="C159" s="2">
        <v>5</v>
      </c>
      <c r="D159" s="2">
        <v>1</v>
      </c>
      <c r="E159" s="2">
        <v>0.747</v>
      </c>
      <c r="F159" s="2">
        <v>2</v>
      </c>
    </row>
    <row r="160" spans="1:6" ht="14.25" customHeight="1">
      <c r="A160" s="2">
        <v>34</v>
      </c>
      <c r="B160" s="2">
        <v>159</v>
      </c>
      <c r="C160" s="2">
        <v>4</v>
      </c>
      <c r="D160" s="2">
        <v>1</v>
      </c>
      <c r="E160" s="2">
        <v>0.56899999999999995</v>
      </c>
      <c r="F160" s="2">
        <v>1</v>
      </c>
    </row>
    <row r="161" spans="1:6" ht="14.25" customHeight="1">
      <c r="A161" s="2">
        <v>34</v>
      </c>
      <c r="B161" s="2">
        <v>160</v>
      </c>
      <c r="C161" s="2">
        <v>1</v>
      </c>
      <c r="D161" s="2">
        <v>1</v>
      </c>
      <c r="E161" s="2">
        <v>1.2170000000000001</v>
      </c>
      <c r="F161" s="2">
        <v>1</v>
      </c>
    </row>
    <row r="162" spans="1:6" ht="14.25" customHeight="1">
      <c r="A162" s="2">
        <v>34</v>
      </c>
      <c r="B162" s="2">
        <v>161</v>
      </c>
      <c r="C162" s="2">
        <v>7</v>
      </c>
      <c r="E162" s="2">
        <v>2.0009999999999999</v>
      </c>
    </row>
    <row r="163" spans="1:6" ht="14.25" customHeight="1">
      <c r="A163" s="2">
        <v>34</v>
      </c>
      <c r="B163" s="2">
        <v>162</v>
      </c>
      <c r="C163" s="2">
        <v>5</v>
      </c>
      <c r="D163" s="2">
        <v>1</v>
      </c>
      <c r="E163" s="2">
        <v>0.98299999999999998</v>
      </c>
      <c r="F163" s="2">
        <v>2</v>
      </c>
    </row>
    <row r="164" spans="1:6" ht="14.25" customHeight="1">
      <c r="A164" s="2">
        <v>34</v>
      </c>
      <c r="B164" s="2">
        <v>163</v>
      </c>
      <c r="C164" s="2">
        <v>4</v>
      </c>
      <c r="D164" s="2">
        <v>1</v>
      </c>
      <c r="E164" s="2">
        <v>0.69099999999999995</v>
      </c>
      <c r="F164" s="2">
        <v>1</v>
      </c>
    </row>
    <row r="165" spans="1:6" ht="14.25" customHeight="1">
      <c r="A165" s="2">
        <v>34</v>
      </c>
      <c r="B165" s="2">
        <v>164</v>
      </c>
      <c r="C165" s="2">
        <v>7</v>
      </c>
      <c r="D165" s="2">
        <v>1</v>
      </c>
      <c r="E165" s="2">
        <v>1.349</v>
      </c>
      <c r="F165" s="2">
        <v>1</v>
      </c>
    </row>
    <row r="166" spans="1:6" ht="14.25" customHeight="1">
      <c r="A166" s="2">
        <v>34</v>
      </c>
      <c r="B166" s="2">
        <v>165</v>
      </c>
      <c r="C166" s="2">
        <v>8</v>
      </c>
      <c r="D166" s="2">
        <v>0</v>
      </c>
      <c r="E166" s="2">
        <v>1.2390000000000001</v>
      </c>
      <c r="F166" s="2">
        <v>1</v>
      </c>
    </row>
    <row r="167" spans="1:6" ht="14.25" customHeight="1">
      <c r="A167" s="2">
        <v>34</v>
      </c>
      <c r="B167" s="2">
        <v>166</v>
      </c>
      <c r="C167" s="2">
        <v>2</v>
      </c>
      <c r="D167" s="2">
        <v>1</v>
      </c>
      <c r="E167" s="2">
        <v>0.63200000000000001</v>
      </c>
      <c r="F167" s="2">
        <v>2</v>
      </c>
    </row>
    <row r="168" spans="1:6" ht="14.25" customHeight="1">
      <c r="A168" s="2">
        <v>34</v>
      </c>
      <c r="B168" s="2">
        <v>167</v>
      </c>
      <c r="C168" s="2">
        <v>4</v>
      </c>
      <c r="D168" s="2">
        <v>1</v>
      </c>
      <c r="E168" s="2">
        <v>1.5349999999999999</v>
      </c>
      <c r="F168" s="2">
        <v>1</v>
      </c>
    </row>
    <row r="169" spans="1:6" ht="14.25" customHeight="1">
      <c r="A169" s="2">
        <v>34</v>
      </c>
      <c r="B169" s="2">
        <v>168</v>
      </c>
      <c r="C169" s="2">
        <v>8</v>
      </c>
      <c r="D169" s="2">
        <v>1</v>
      </c>
      <c r="E169" s="2">
        <v>1.714</v>
      </c>
      <c r="F169" s="2">
        <v>1</v>
      </c>
    </row>
    <row r="170" spans="1:6" ht="14.25" customHeight="1">
      <c r="A170" s="2">
        <v>34</v>
      </c>
      <c r="B170" s="2">
        <v>169</v>
      </c>
      <c r="C170" s="2">
        <v>1</v>
      </c>
      <c r="D170" s="2">
        <v>1</v>
      </c>
      <c r="E170" s="2">
        <v>1.212</v>
      </c>
      <c r="F170" s="2">
        <v>2</v>
      </c>
    </row>
    <row r="171" spans="1:6" ht="14.25" customHeight="1">
      <c r="A171" s="2">
        <v>34</v>
      </c>
      <c r="B171" s="2">
        <v>170</v>
      </c>
      <c r="C171" s="2">
        <v>8</v>
      </c>
      <c r="D171" s="2">
        <v>0</v>
      </c>
      <c r="E171" s="2">
        <v>1.046</v>
      </c>
      <c r="F171" s="2">
        <v>1</v>
      </c>
    </row>
    <row r="172" spans="1:6" ht="14.25" customHeight="1">
      <c r="A172" s="2">
        <v>34</v>
      </c>
      <c r="B172" s="2">
        <v>171</v>
      </c>
      <c r="C172" s="2">
        <v>1</v>
      </c>
      <c r="D172" s="2">
        <v>1</v>
      </c>
      <c r="E172" s="2">
        <v>1.044</v>
      </c>
      <c r="F172" s="2">
        <v>2</v>
      </c>
    </row>
    <row r="173" spans="1:6" ht="14.25" customHeight="1">
      <c r="A173" s="2">
        <v>34</v>
      </c>
      <c r="B173" s="2">
        <v>172</v>
      </c>
      <c r="C173" s="2">
        <v>5</v>
      </c>
      <c r="D173" s="2">
        <v>1</v>
      </c>
      <c r="E173" s="2">
        <v>1.2250000000000001</v>
      </c>
      <c r="F173" s="2">
        <v>1</v>
      </c>
    </row>
    <row r="174" spans="1:6" ht="14.25" customHeight="1">
      <c r="A174" s="2">
        <v>34</v>
      </c>
      <c r="B174" s="2">
        <v>173</v>
      </c>
      <c r="C174" s="2">
        <v>7</v>
      </c>
      <c r="D174" s="2">
        <v>1</v>
      </c>
      <c r="E174" s="2">
        <v>0.85799999999999998</v>
      </c>
      <c r="F174" s="2">
        <v>2</v>
      </c>
    </row>
    <row r="175" spans="1:6" ht="14.25" customHeight="1">
      <c r="A175" s="2">
        <v>34</v>
      </c>
      <c r="B175" s="2">
        <v>174</v>
      </c>
      <c r="C175" s="2">
        <v>3</v>
      </c>
      <c r="D175" s="2">
        <v>1</v>
      </c>
      <c r="E175" s="2">
        <v>1.081</v>
      </c>
      <c r="F175" s="2">
        <v>1</v>
      </c>
    </row>
    <row r="176" spans="1:6" ht="14.25" customHeight="1">
      <c r="A176" s="2">
        <v>34</v>
      </c>
      <c r="B176" s="2">
        <v>175</v>
      </c>
      <c r="C176" s="2">
        <v>1</v>
      </c>
      <c r="D176" s="2">
        <v>1</v>
      </c>
      <c r="E176" s="2">
        <v>0.90200000000000002</v>
      </c>
      <c r="F176" s="2">
        <v>2</v>
      </c>
    </row>
    <row r="177" spans="1:6" ht="14.25" customHeight="1">
      <c r="A177" s="2">
        <v>34</v>
      </c>
      <c r="B177" s="2">
        <v>176</v>
      </c>
      <c r="C177" s="2">
        <v>2</v>
      </c>
      <c r="D177" s="2">
        <v>1</v>
      </c>
      <c r="E177" s="2">
        <v>1.0660000000000001</v>
      </c>
      <c r="F177" s="2">
        <v>2</v>
      </c>
    </row>
    <row r="178" spans="1:6" ht="14.25" customHeight="1">
      <c r="A178" s="2">
        <v>34</v>
      </c>
      <c r="B178" s="2">
        <v>177</v>
      </c>
      <c r="C178" s="2">
        <v>1</v>
      </c>
      <c r="D178" s="2">
        <v>1</v>
      </c>
      <c r="E178" s="2">
        <v>1.121</v>
      </c>
      <c r="F178" s="2">
        <v>1</v>
      </c>
    </row>
    <row r="179" spans="1:6" ht="14.25" customHeight="1">
      <c r="A179" s="2">
        <v>34</v>
      </c>
      <c r="B179" s="2">
        <v>178</v>
      </c>
      <c r="C179" s="2">
        <v>7</v>
      </c>
      <c r="D179" s="2">
        <v>1</v>
      </c>
      <c r="E179" s="2">
        <v>0.70599999999999996</v>
      </c>
      <c r="F179" s="2">
        <v>2</v>
      </c>
    </row>
    <row r="180" spans="1:6" ht="14.25" customHeight="1">
      <c r="A180" s="2">
        <v>34</v>
      </c>
      <c r="B180" s="2">
        <v>179</v>
      </c>
      <c r="C180" s="2">
        <v>2</v>
      </c>
      <c r="D180" s="2">
        <v>1</v>
      </c>
      <c r="E180" s="2">
        <v>0.86399999999999999</v>
      </c>
      <c r="F180" s="2">
        <v>2</v>
      </c>
    </row>
    <row r="181" spans="1:6" ht="14.25" customHeight="1">
      <c r="A181" s="2">
        <v>34</v>
      </c>
      <c r="B181" s="2">
        <v>180</v>
      </c>
      <c r="C181" s="2">
        <v>8</v>
      </c>
      <c r="D181" s="2">
        <v>1</v>
      </c>
      <c r="E181" s="2">
        <v>0.86499999999999999</v>
      </c>
      <c r="F181" s="2">
        <v>1</v>
      </c>
    </row>
    <row r="182" spans="1:6" ht="14.25" customHeight="1">
      <c r="A182" s="2">
        <v>34</v>
      </c>
      <c r="B182" s="2">
        <v>181</v>
      </c>
      <c r="C182" s="2">
        <v>6</v>
      </c>
      <c r="D182" s="2">
        <v>0</v>
      </c>
      <c r="E182" s="2">
        <v>1.395</v>
      </c>
      <c r="F182" s="2">
        <v>2</v>
      </c>
    </row>
    <row r="183" spans="1:6" ht="14.25" customHeight="1">
      <c r="A183" s="2">
        <v>34</v>
      </c>
      <c r="B183" s="2">
        <v>182</v>
      </c>
      <c r="C183" s="2">
        <v>3</v>
      </c>
      <c r="D183" s="2">
        <v>1</v>
      </c>
      <c r="E183" s="2">
        <v>1.274</v>
      </c>
      <c r="F183" s="2">
        <v>2</v>
      </c>
    </row>
    <row r="184" spans="1:6" ht="14.25" customHeight="1">
      <c r="A184" s="2">
        <v>34</v>
      </c>
      <c r="B184" s="2">
        <v>183</v>
      </c>
      <c r="C184" s="2">
        <v>8</v>
      </c>
      <c r="D184" s="2">
        <v>1</v>
      </c>
      <c r="E184" s="2">
        <v>1.633</v>
      </c>
      <c r="F184" s="2">
        <v>1</v>
      </c>
    </row>
    <row r="185" spans="1:6" ht="14.25" customHeight="1">
      <c r="A185" s="2">
        <v>34</v>
      </c>
      <c r="B185" s="2">
        <v>184</v>
      </c>
      <c r="C185" s="2">
        <v>6</v>
      </c>
      <c r="D185" s="2">
        <v>1</v>
      </c>
      <c r="E185" s="2">
        <v>1.097</v>
      </c>
      <c r="F185" s="2">
        <v>1</v>
      </c>
    </row>
    <row r="186" spans="1:6" ht="14.25" customHeight="1">
      <c r="A186" s="2">
        <v>34</v>
      </c>
      <c r="B186" s="2">
        <v>185</v>
      </c>
      <c r="C186" s="2">
        <v>1</v>
      </c>
      <c r="D186" s="2">
        <v>1</v>
      </c>
      <c r="E186" s="2">
        <v>0.89500000000000002</v>
      </c>
      <c r="F186" s="2">
        <v>2</v>
      </c>
    </row>
    <row r="187" spans="1:6" ht="14.25" customHeight="1">
      <c r="A187" s="2">
        <v>34</v>
      </c>
      <c r="B187" s="2">
        <v>186</v>
      </c>
      <c r="C187" s="2">
        <v>7</v>
      </c>
      <c r="D187" s="2">
        <v>1</v>
      </c>
      <c r="E187" s="2">
        <v>0.88300000000000001</v>
      </c>
      <c r="F187" s="2">
        <v>2</v>
      </c>
    </row>
    <row r="188" spans="1:6" ht="14.25" customHeight="1">
      <c r="A188" s="2">
        <v>34</v>
      </c>
      <c r="B188" s="2">
        <v>187</v>
      </c>
      <c r="C188" s="2">
        <v>5</v>
      </c>
      <c r="D188" s="2">
        <v>1</v>
      </c>
      <c r="E188" s="2">
        <v>1.446</v>
      </c>
      <c r="F188" s="2">
        <v>2</v>
      </c>
    </row>
    <row r="189" spans="1:6" ht="14.25" customHeight="1">
      <c r="A189" s="2">
        <v>34</v>
      </c>
      <c r="B189" s="2">
        <v>188</v>
      </c>
      <c r="C189" s="2">
        <v>3</v>
      </c>
      <c r="D189" s="2">
        <v>1</v>
      </c>
      <c r="E189" s="2">
        <v>1.202</v>
      </c>
      <c r="F189" s="2">
        <v>1</v>
      </c>
    </row>
    <row r="190" spans="1:6" ht="14.25" customHeight="1">
      <c r="A190" s="2">
        <v>34</v>
      </c>
      <c r="B190" s="2">
        <v>189</v>
      </c>
      <c r="C190" s="2">
        <v>4</v>
      </c>
      <c r="D190" s="2">
        <v>1</v>
      </c>
      <c r="E190" s="2">
        <v>1.278</v>
      </c>
      <c r="F190" s="2">
        <v>1</v>
      </c>
    </row>
    <row r="191" spans="1:6" ht="14.25" customHeight="1">
      <c r="A191" s="2">
        <v>34</v>
      </c>
      <c r="B191" s="2">
        <v>190</v>
      </c>
      <c r="C191" s="2">
        <v>8</v>
      </c>
      <c r="D191" s="2">
        <v>1</v>
      </c>
      <c r="E191" s="2">
        <v>0.68</v>
      </c>
      <c r="F191" s="2">
        <v>2</v>
      </c>
    </row>
    <row r="192" spans="1:6" ht="14.25" customHeight="1">
      <c r="A192" s="2">
        <v>34</v>
      </c>
      <c r="B192" s="2">
        <v>191</v>
      </c>
      <c r="C192" s="2">
        <v>3</v>
      </c>
      <c r="D192" s="2">
        <v>1</v>
      </c>
      <c r="E192" s="2">
        <v>1.034</v>
      </c>
      <c r="F192" s="2">
        <v>2</v>
      </c>
    </row>
    <row r="193" spans="1:6" ht="14.25" customHeight="1">
      <c r="A193" s="2">
        <v>34</v>
      </c>
      <c r="B193" s="2">
        <v>192</v>
      </c>
      <c r="C193" s="2">
        <v>7</v>
      </c>
      <c r="D193" s="2">
        <v>1</v>
      </c>
      <c r="E193" s="2">
        <v>0.85399999999999998</v>
      </c>
      <c r="F193" s="2">
        <v>1</v>
      </c>
    </row>
    <row r="194" spans="1:6" ht="14.25" customHeight="1">
      <c r="A194" s="2">
        <v>34</v>
      </c>
      <c r="B194" s="2">
        <v>193</v>
      </c>
      <c r="C194" s="2">
        <v>4</v>
      </c>
      <c r="D194" s="2">
        <v>1</v>
      </c>
      <c r="E194" s="2">
        <v>0.996</v>
      </c>
      <c r="F194" s="2">
        <v>2</v>
      </c>
    </row>
    <row r="195" spans="1:6" ht="14.25" customHeight="1">
      <c r="A195" s="2">
        <v>34</v>
      </c>
      <c r="B195" s="2">
        <v>194</v>
      </c>
      <c r="C195" s="2">
        <v>2</v>
      </c>
      <c r="D195" s="2">
        <v>1</v>
      </c>
      <c r="E195" s="2">
        <v>0.94499999999999995</v>
      </c>
      <c r="F195" s="2">
        <v>2</v>
      </c>
    </row>
    <row r="196" spans="1:6" ht="14.25" customHeight="1">
      <c r="A196" s="2">
        <v>34</v>
      </c>
      <c r="B196" s="2">
        <v>195</v>
      </c>
      <c r="C196" s="2">
        <v>4</v>
      </c>
      <c r="D196" s="2">
        <v>1</v>
      </c>
      <c r="E196" s="2">
        <v>1.026</v>
      </c>
      <c r="F196" s="2">
        <v>1</v>
      </c>
    </row>
    <row r="197" spans="1:6" ht="14.25" customHeight="1">
      <c r="A197" s="2">
        <v>34</v>
      </c>
      <c r="B197" s="2">
        <v>196</v>
      </c>
      <c r="C197" s="2">
        <v>5</v>
      </c>
      <c r="D197" s="2">
        <v>1</v>
      </c>
      <c r="E197" s="2">
        <v>0.81599999999999995</v>
      </c>
      <c r="F197" s="2">
        <v>2</v>
      </c>
    </row>
    <row r="198" spans="1:6" ht="14.25" customHeight="1">
      <c r="A198" s="2">
        <v>34</v>
      </c>
      <c r="B198" s="2">
        <v>197</v>
      </c>
      <c r="C198" s="2">
        <v>2</v>
      </c>
      <c r="D198" s="2">
        <v>1</v>
      </c>
      <c r="E198" s="2">
        <v>1.123</v>
      </c>
      <c r="F198" s="2">
        <v>1</v>
      </c>
    </row>
    <row r="199" spans="1:6" ht="14.25" customHeight="1">
      <c r="A199" s="2">
        <v>34</v>
      </c>
      <c r="B199" s="2">
        <v>198</v>
      </c>
      <c r="C199" s="2">
        <v>8</v>
      </c>
      <c r="D199" s="2">
        <v>1</v>
      </c>
      <c r="E199" s="2">
        <v>1.508</v>
      </c>
      <c r="F199" s="2">
        <v>1</v>
      </c>
    </row>
    <row r="200" spans="1:6" ht="14.25" customHeight="1">
      <c r="A200" s="2">
        <v>34</v>
      </c>
      <c r="B200" s="2">
        <v>199</v>
      </c>
      <c r="C200" s="2">
        <v>3</v>
      </c>
      <c r="D200" s="2">
        <v>1</v>
      </c>
      <c r="E200" s="2">
        <v>0.64700000000000002</v>
      </c>
      <c r="F200" s="2">
        <v>2</v>
      </c>
    </row>
    <row r="201" spans="1:6" ht="14.25" customHeight="1">
      <c r="A201" s="2">
        <v>34</v>
      </c>
      <c r="B201" s="2">
        <v>200</v>
      </c>
      <c r="C201" s="2">
        <v>6</v>
      </c>
      <c r="D201" s="2">
        <v>1</v>
      </c>
      <c r="E201" s="2">
        <v>0.88</v>
      </c>
      <c r="F201" s="2">
        <v>1</v>
      </c>
    </row>
    <row r="202" spans="1:6" ht="14.25" customHeight="1">
      <c r="A202" s="2">
        <v>34</v>
      </c>
      <c r="B202" s="2">
        <v>201</v>
      </c>
      <c r="C202" s="2">
        <v>5</v>
      </c>
      <c r="D202" s="2">
        <v>1</v>
      </c>
      <c r="E202" s="2">
        <v>1.145</v>
      </c>
      <c r="F202" s="2">
        <v>1</v>
      </c>
    </row>
    <row r="203" spans="1:6" ht="14.25" customHeight="1">
      <c r="A203" s="2">
        <v>34</v>
      </c>
      <c r="B203" s="2">
        <v>202</v>
      </c>
      <c r="C203" s="2">
        <v>1</v>
      </c>
      <c r="D203" s="2">
        <v>1</v>
      </c>
      <c r="E203" s="2">
        <v>1.7310000000000001</v>
      </c>
      <c r="F203" s="2">
        <v>1</v>
      </c>
    </row>
    <row r="204" spans="1:6" ht="14.25" customHeight="1">
      <c r="A204" s="2">
        <v>34</v>
      </c>
      <c r="B204" s="2">
        <v>203</v>
      </c>
      <c r="C204" s="2">
        <v>2</v>
      </c>
      <c r="D204" s="2">
        <v>1</v>
      </c>
      <c r="E204" s="2">
        <v>0.86599999999999999</v>
      </c>
      <c r="F204" s="2">
        <v>2</v>
      </c>
    </row>
    <row r="205" spans="1:6" ht="14.25" customHeight="1">
      <c r="A205" s="2">
        <v>34</v>
      </c>
      <c r="B205" s="2">
        <v>204</v>
      </c>
      <c r="C205" s="2">
        <v>3</v>
      </c>
      <c r="D205" s="2">
        <v>1</v>
      </c>
      <c r="E205" s="2">
        <v>0.67400000000000004</v>
      </c>
      <c r="F205" s="2">
        <v>2</v>
      </c>
    </row>
    <row r="206" spans="1:6" ht="14.25" customHeight="1">
      <c r="A206" s="2">
        <v>34</v>
      </c>
      <c r="B206" s="2">
        <v>205</v>
      </c>
      <c r="C206" s="2">
        <v>8</v>
      </c>
      <c r="D206" s="2">
        <v>1</v>
      </c>
      <c r="E206" s="2">
        <v>1.1359999999999999</v>
      </c>
      <c r="F206" s="2">
        <v>1</v>
      </c>
    </row>
    <row r="207" spans="1:6" ht="14.25" customHeight="1">
      <c r="A207" s="2">
        <v>34</v>
      </c>
      <c r="B207" s="2">
        <v>206</v>
      </c>
      <c r="C207" s="2">
        <v>4</v>
      </c>
      <c r="D207" s="2">
        <v>1</v>
      </c>
      <c r="E207" s="2">
        <v>1.0009999999999999</v>
      </c>
      <c r="F207" s="2">
        <v>1</v>
      </c>
    </row>
    <row r="208" spans="1:6" ht="14.25" customHeight="1">
      <c r="A208" s="2">
        <v>34</v>
      </c>
      <c r="B208" s="2">
        <v>207</v>
      </c>
      <c r="C208" s="2">
        <v>8</v>
      </c>
      <c r="D208" s="2">
        <v>1</v>
      </c>
      <c r="E208" s="2">
        <v>1.0720000000000001</v>
      </c>
      <c r="F208" s="2">
        <v>2</v>
      </c>
    </row>
    <row r="209" spans="1:6" ht="14.25" customHeight="1">
      <c r="A209" s="2">
        <v>34</v>
      </c>
      <c r="B209" s="2">
        <v>208</v>
      </c>
      <c r="C209" s="2">
        <v>2</v>
      </c>
      <c r="D209" s="2">
        <v>1</v>
      </c>
      <c r="E209" s="2">
        <v>0.58399999999999996</v>
      </c>
      <c r="F209" s="2">
        <v>2</v>
      </c>
    </row>
    <row r="210" spans="1:6" ht="14.25" customHeight="1">
      <c r="A210" s="2">
        <v>34</v>
      </c>
      <c r="B210" s="2">
        <v>209</v>
      </c>
      <c r="C210" s="2">
        <v>1</v>
      </c>
      <c r="D210" s="2">
        <v>1</v>
      </c>
      <c r="E210" s="2">
        <v>0.54700000000000004</v>
      </c>
      <c r="F210" s="2">
        <v>1</v>
      </c>
    </row>
    <row r="211" spans="1:6" ht="14.25" customHeight="1">
      <c r="A211" s="2">
        <v>34</v>
      </c>
      <c r="B211" s="2">
        <v>210</v>
      </c>
      <c r="C211" s="2">
        <v>8</v>
      </c>
      <c r="D211" s="2">
        <v>1</v>
      </c>
      <c r="E211" s="2">
        <v>1.071</v>
      </c>
      <c r="F211" s="2">
        <v>1</v>
      </c>
    </row>
    <row r="212" spans="1:6" ht="14.25" customHeight="1">
      <c r="A212" s="2">
        <v>34</v>
      </c>
      <c r="B212" s="2">
        <v>211</v>
      </c>
      <c r="C212" s="2">
        <v>7</v>
      </c>
      <c r="D212" s="2">
        <v>1</v>
      </c>
      <c r="E212" s="2">
        <v>1.532</v>
      </c>
      <c r="F212" s="2">
        <v>1</v>
      </c>
    </row>
    <row r="213" spans="1:6" ht="14.25" customHeight="1">
      <c r="A213" s="2">
        <v>34</v>
      </c>
      <c r="B213" s="2">
        <v>212</v>
      </c>
      <c r="C213" s="2">
        <v>5</v>
      </c>
      <c r="D213" s="2">
        <v>1</v>
      </c>
      <c r="E213" s="2">
        <v>0.84799999999999998</v>
      </c>
      <c r="F213" s="2">
        <v>2</v>
      </c>
    </row>
    <row r="214" spans="1:6" ht="14.25" customHeight="1">
      <c r="A214" s="2">
        <v>34</v>
      </c>
      <c r="B214" s="2">
        <v>213</v>
      </c>
      <c r="C214" s="2">
        <v>3</v>
      </c>
      <c r="D214" s="2">
        <v>1</v>
      </c>
      <c r="E214" s="2">
        <v>0.95199999999999996</v>
      </c>
      <c r="F214" s="2">
        <v>1</v>
      </c>
    </row>
    <row r="215" spans="1:6" ht="14.25" customHeight="1">
      <c r="A215" s="2">
        <v>34</v>
      </c>
      <c r="B215" s="2">
        <v>214</v>
      </c>
      <c r="C215" s="2">
        <v>6</v>
      </c>
      <c r="D215" s="2">
        <v>1</v>
      </c>
      <c r="E215" s="2">
        <v>1.3759999999999999</v>
      </c>
      <c r="F215" s="2">
        <v>1</v>
      </c>
    </row>
    <row r="216" spans="1:6" ht="14.25" customHeight="1">
      <c r="A216" s="2">
        <v>34</v>
      </c>
      <c r="B216" s="2">
        <v>215</v>
      </c>
      <c r="C216" s="2">
        <v>4</v>
      </c>
      <c r="D216" s="2">
        <v>1</v>
      </c>
      <c r="E216" s="2">
        <v>0.84099999999999997</v>
      </c>
      <c r="F216" s="2">
        <v>2</v>
      </c>
    </row>
    <row r="217" spans="1:6" ht="14.25" customHeight="1">
      <c r="A217" s="2">
        <v>34</v>
      </c>
      <c r="B217" s="2">
        <v>216</v>
      </c>
      <c r="C217" s="2">
        <v>1</v>
      </c>
      <c r="D217" s="2">
        <v>1</v>
      </c>
      <c r="E217" s="2">
        <v>0.97799999999999998</v>
      </c>
      <c r="F217" s="2">
        <v>2</v>
      </c>
    </row>
    <row r="218" spans="1:6" ht="14.25" customHeight="1">
      <c r="A218" s="2">
        <v>34</v>
      </c>
      <c r="B218" s="2">
        <v>217</v>
      </c>
      <c r="C218" s="2">
        <v>3</v>
      </c>
      <c r="D218" s="2">
        <v>1</v>
      </c>
      <c r="E218" s="2">
        <v>1.0980000000000001</v>
      </c>
      <c r="F218" s="2">
        <v>1</v>
      </c>
    </row>
    <row r="219" spans="1:6" ht="14.25" customHeight="1">
      <c r="A219" s="2">
        <v>34</v>
      </c>
      <c r="B219" s="2">
        <v>218</v>
      </c>
      <c r="C219" s="2">
        <v>7</v>
      </c>
      <c r="D219" s="2">
        <v>1</v>
      </c>
      <c r="E219" s="2">
        <v>0.97599999999999998</v>
      </c>
      <c r="F219" s="2">
        <v>1</v>
      </c>
    </row>
    <row r="220" spans="1:6" ht="14.25" customHeight="1">
      <c r="A220" s="2">
        <v>34</v>
      </c>
      <c r="B220" s="2">
        <v>219</v>
      </c>
      <c r="C220" s="2">
        <v>2</v>
      </c>
      <c r="D220" s="2">
        <v>1</v>
      </c>
      <c r="E220" s="2">
        <v>1.8180000000000001</v>
      </c>
      <c r="F220" s="2">
        <v>2</v>
      </c>
    </row>
    <row r="221" spans="1:6" ht="14.25" customHeight="1">
      <c r="A221" s="2">
        <v>34</v>
      </c>
      <c r="B221" s="2">
        <v>220</v>
      </c>
      <c r="C221" s="2">
        <v>7</v>
      </c>
      <c r="D221" s="2">
        <v>1</v>
      </c>
      <c r="E221" s="2">
        <v>0.95499999999999996</v>
      </c>
      <c r="F221" s="2">
        <v>2</v>
      </c>
    </row>
    <row r="222" spans="1:6" ht="14.25" customHeight="1">
      <c r="A222" s="2">
        <v>34</v>
      </c>
      <c r="B222" s="2">
        <v>221</v>
      </c>
      <c r="C222" s="2">
        <v>3</v>
      </c>
      <c r="D222" s="2">
        <v>1</v>
      </c>
      <c r="E222" s="2">
        <v>0.746</v>
      </c>
      <c r="F222" s="2">
        <v>2</v>
      </c>
    </row>
    <row r="223" spans="1:6" ht="14.25" customHeight="1">
      <c r="A223" s="2">
        <v>34</v>
      </c>
      <c r="B223" s="2">
        <v>222</v>
      </c>
      <c r="C223" s="2">
        <v>8</v>
      </c>
      <c r="D223" s="2">
        <v>1</v>
      </c>
      <c r="E223" s="2">
        <v>1.0329999999999999</v>
      </c>
      <c r="F223" s="2">
        <v>1</v>
      </c>
    </row>
    <row r="224" spans="1:6" ht="14.25" customHeight="1">
      <c r="A224" s="2">
        <v>34</v>
      </c>
      <c r="B224" s="2">
        <v>223</v>
      </c>
      <c r="C224" s="2">
        <v>6</v>
      </c>
      <c r="D224" s="2">
        <v>1</v>
      </c>
      <c r="E224" s="2">
        <v>0.67300000000000004</v>
      </c>
      <c r="F224" s="2">
        <v>2</v>
      </c>
    </row>
    <row r="225" spans="1:6" ht="14.25" customHeight="1">
      <c r="A225" s="2">
        <v>34</v>
      </c>
      <c r="B225" s="2">
        <v>224</v>
      </c>
      <c r="C225" s="2">
        <v>1</v>
      </c>
      <c r="D225" s="2">
        <v>1</v>
      </c>
      <c r="E225" s="2">
        <v>1.282</v>
      </c>
      <c r="F225" s="2">
        <v>1</v>
      </c>
    </row>
    <row r="226" spans="1:6" ht="14.25" customHeight="1">
      <c r="A226" s="2">
        <v>34</v>
      </c>
      <c r="B226" s="2">
        <v>225</v>
      </c>
      <c r="C226" s="2">
        <v>3</v>
      </c>
      <c r="D226" s="2">
        <v>1</v>
      </c>
      <c r="E226" s="2">
        <v>1.006</v>
      </c>
      <c r="F226" s="2">
        <v>2</v>
      </c>
    </row>
    <row r="227" spans="1:6" ht="14.25" customHeight="1">
      <c r="A227" s="2">
        <v>34</v>
      </c>
      <c r="B227" s="2">
        <v>226</v>
      </c>
      <c r="C227" s="2">
        <v>5</v>
      </c>
      <c r="D227" s="2">
        <v>1</v>
      </c>
      <c r="E227" s="2">
        <v>0.873</v>
      </c>
      <c r="F227" s="2">
        <v>2</v>
      </c>
    </row>
    <row r="228" spans="1:6" ht="14.25" customHeight="1">
      <c r="A228" s="2">
        <v>34</v>
      </c>
      <c r="B228" s="2">
        <v>227</v>
      </c>
      <c r="C228" s="2">
        <v>4</v>
      </c>
      <c r="D228" s="2">
        <v>1</v>
      </c>
      <c r="E228" s="2">
        <v>0.996</v>
      </c>
      <c r="F228" s="2">
        <v>1</v>
      </c>
    </row>
    <row r="229" spans="1:6" ht="14.25" customHeight="1">
      <c r="A229" s="2">
        <v>34</v>
      </c>
      <c r="B229" s="2">
        <v>228</v>
      </c>
      <c r="C229" s="2">
        <v>7</v>
      </c>
      <c r="D229" s="2">
        <v>1</v>
      </c>
      <c r="E229" s="2">
        <v>1.218</v>
      </c>
      <c r="F229" s="2">
        <v>2</v>
      </c>
    </row>
    <row r="230" spans="1:6" ht="14.25" customHeight="1">
      <c r="A230" s="2">
        <v>34</v>
      </c>
      <c r="B230" s="2">
        <v>229</v>
      </c>
      <c r="C230" s="2">
        <v>6</v>
      </c>
      <c r="D230" s="2">
        <v>1</v>
      </c>
      <c r="E230" s="2">
        <v>1.1779999999999999</v>
      </c>
      <c r="F230" s="2">
        <v>2</v>
      </c>
    </row>
    <row r="231" spans="1:6" ht="14.25" customHeight="1">
      <c r="A231" s="2">
        <v>34</v>
      </c>
      <c r="B231" s="2">
        <v>230</v>
      </c>
      <c r="C231" s="2">
        <v>4</v>
      </c>
      <c r="E231" s="2">
        <v>2</v>
      </c>
    </row>
    <row r="232" spans="1:6" ht="14.25" customHeight="1">
      <c r="A232" s="2">
        <v>34</v>
      </c>
      <c r="B232" s="2">
        <v>231</v>
      </c>
      <c r="C232" s="2">
        <v>5</v>
      </c>
      <c r="D232" s="2">
        <v>1</v>
      </c>
      <c r="E232" s="2">
        <v>1.5760000000000001</v>
      </c>
      <c r="F232" s="2">
        <v>1</v>
      </c>
    </row>
    <row r="233" spans="1:6" ht="14.25" customHeight="1">
      <c r="A233" s="2">
        <v>34</v>
      </c>
      <c r="B233" s="2">
        <v>232</v>
      </c>
      <c r="C233" s="2">
        <v>8</v>
      </c>
      <c r="D233" s="2">
        <v>1</v>
      </c>
      <c r="E233" s="2">
        <v>0.86299999999999999</v>
      </c>
      <c r="F233" s="2">
        <v>2</v>
      </c>
    </row>
    <row r="234" spans="1:6" ht="14.25" customHeight="1">
      <c r="A234" s="2">
        <v>34</v>
      </c>
      <c r="B234" s="2">
        <v>233</v>
      </c>
      <c r="C234" s="2">
        <v>1</v>
      </c>
      <c r="D234" s="2">
        <v>1</v>
      </c>
      <c r="E234" s="2">
        <v>1.4650000000000001</v>
      </c>
      <c r="F234" s="2">
        <v>1</v>
      </c>
    </row>
    <row r="235" spans="1:6" ht="14.25" customHeight="1">
      <c r="A235" s="2">
        <v>34</v>
      </c>
      <c r="B235" s="2">
        <v>234</v>
      </c>
      <c r="C235" s="2">
        <v>4</v>
      </c>
      <c r="D235" s="2">
        <v>1</v>
      </c>
      <c r="E235" s="2">
        <v>0.90400000000000003</v>
      </c>
      <c r="F235" s="2">
        <v>1</v>
      </c>
    </row>
    <row r="236" spans="1:6" ht="14.25" customHeight="1">
      <c r="A236" s="2">
        <v>34</v>
      </c>
      <c r="B236" s="2">
        <v>235</v>
      </c>
      <c r="C236" s="2">
        <v>8</v>
      </c>
      <c r="D236" s="2">
        <v>1</v>
      </c>
      <c r="E236" s="2">
        <v>1.1779999999999999</v>
      </c>
      <c r="F236" s="2">
        <v>2</v>
      </c>
    </row>
    <row r="237" spans="1:6" ht="14.25" customHeight="1">
      <c r="A237" s="2">
        <v>34</v>
      </c>
      <c r="B237" s="2">
        <v>236</v>
      </c>
      <c r="C237" s="2">
        <v>2</v>
      </c>
      <c r="D237" s="2">
        <v>1</v>
      </c>
      <c r="E237" s="2">
        <v>0.76900000000000002</v>
      </c>
      <c r="F237" s="2">
        <v>2</v>
      </c>
    </row>
    <row r="238" spans="1:6" ht="14.25" customHeight="1">
      <c r="A238" s="2">
        <v>34</v>
      </c>
      <c r="B238" s="2">
        <v>237</v>
      </c>
      <c r="C238" s="2">
        <v>4</v>
      </c>
      <c r="D238" s="2">
        <v>1</v>
      </c>
      <c r="E238" s="2">
        <v>1.28</v>
      </c>
      <c r="F238" s="2">
        <v>2</v>
      </c>
    </row>
    <row r="239" spans="1:6" ht="14.25" customHeight="1">
      <c r="A239" s="2">
        <v>34</v>
      </c>
      <c r="B239" s="2">
        <v>238</v>
      </c>
      <c r="C239" s="2">
        <v>8</v>
      </c>
      <c r="D239" s="2">
        <v>1</v>
      </c>
      <c r="E239" s="2">
        <v>1.0820000000000001</v>
      </c>
      <c r="F239" s="2">
        <v>1</v>
      </c>
    </row>
    <row r="240" spans="1:6" ht="14.25" customHeight="1">
      <c r="A240" s="2">
        <v>34</v>
      </c>
      <c r="B240" s="2">
        <v>239</v>
      </c>
      <c r="C240" s="2">
        <v>2</v>
      </c>
      <c r="D240" s="2">
        <v>1</v>
      </c>
      <c r="E240" s="2">
        <v>1.3420000000000001</v>
      </c>
      <c r="F240" s="2">
        <v>1</v>
      </c>
    </row>
    <row r="241" spans="1:6" ht="14.25" customHeight="1">
      <c r="A241" s="2">
        <v>34</v>
      </c>
      <c r="B241" s="2">
        <v>240</v>
      </c>
      <c r="C241" s="2">
        <v>5</v>
      </c>
      <c r="D241" s="2">
        <v>0</v>
      </c>
      <c r="E241" s="2">
        <v>1.1419999999999999</v>
      </c>
      <c r="F241" s="2">
        <v>1</v>
      </c>
    </row>
    <row r="242" spans="1:6" ht="14.25" customHeight="1">
      <c r="A242" s="2">
        <v>34</v>
      </c>
      <c r="B242" s="2">
        <v>241</v>
      </c>
      <c r="C242" s="2">
        <v>3</v>
      </c>
      <c r="D242" s="2">
        <v>1</v>
      </c>
      <c r="E242" s="2">
        <v>1.0309999999999999</v>
      </c>
      <c r="F242" s="2">
        <v>2</v>
      </c>
    </row>
    <row r="243" spans="1:6" ht="14.25" customHeight="1">
      <c r="A243" s="2">
        <v>34</v>
      </c>
      <c r="B243" s="2">
        <v>242</v>
      </c>
      <c r="C243" s="2">
        <v>7</v>
      </c>
      <c r="D243" s="2">
        <v>1</v>
      </c>
      <c r="E243" s="2">
        <v>0.84199999999999997</v>
      </c>
      <c r="F243" s="2">
        <v>1</v>
      </c>
    </row>
    <row r="244" spans="1:6" ht="14.25" customHeight="1">
      <c r="A244" s="2">
        <v>34</v>
      </c>
      <c r="B244" s="2">
        <v>243</v>
      </c>
      <c r="C244" s="2">
        <v>1</v>
      </c>
      <c r="D244" s="2">
        <v>1</v>
      </c>
      <c r="E244" s="2">
        <v>0.81799999999999995</v>
      </c>
      <c r="F244" s="2">
        <v>2</v>
      </c>
    </row>
    <row r="245" spans="1:6" ht="14.25" customHeight="1">
      <c r="A245" s="2">
        <v>34</v>
      </c>
      <c r="B245" s="2">
        <v>244</v>
      </c>
      <c r="C245" s="2">
        <v>2</v>
      </c>
      <c r="D245" s="2">
        <v>0</v>
      </c>
      <c r="E245" s="2">
        <v>0.90200000000000002</v>
      </c>
      <c r="F245" s="2">
        <v>1</v>
      </c>
    </row>
    <row r="246" spans="1:6" ht="14.25" customHeight="1">
      <c r="A246" s="2">
        <v>34</v>
      </c>
      <c r="B246" s="2">
        <v>245</v>
      </c>
      <c r="C246" s="2">
        <v>6</v>
      </c>
      <c r="D246" s="2">
        <v>1</v>
      </c>
      <c r="E246" s="2">
        <v>0.79700000000000004</v>
      </c>
      <c r="F246" s="2">
        <v>1</v>
      </c>
    </row>
    <row r="247" spans="1:6" ht="14.25" customHeight="1">
      <c r="A247" s="2">
        <v>34</v>
      </c>
      <c r="B247" s="2">
        <v>246</v>
      </c>
      <c r="C247" s="2">
        <v>5</v>
      </c>
      <c r="D247" s="2">
        <v>1</v>
      </c>
      <c r="E247" s="2">
        <v>0.81799999999999995</v>
      </c>
      <c r="F247" s="2">
        <v>2</v>
      </c>
    </row>
    <row r="248" spans="1:6" ht="14.25" customHeight="1">
      <c r="A248" s="2">
        <v>34</v>
      </c>
      <c r="B248" s="2">
        <v>247</v>
      </c>
      <c r="C248" s="2">
        <v>6</v>
      </c>
      <c r="D248" s="2">
        <v>1</v>
      </c>
      <c r="E248" s="2">
        <v>1.2909999999999999</v>
      </c>
      <c r="F248" s="2">
        <v>1</v>
      </c>
    </row>
    <row r="249" spans="1:6" ht="14.25" customHeight="1">
      <c r="A249" s="2">
        <v>34</v>
      </c>
      <c r="B249" s="2">
        <v>248</v>
      </c>
      <c r="C249" s="2">
        <v>7</v>
      </c>
      <c r="D249" s="2">
        <v>1</v>
      </c>
      <c r="E249" s="2">
        <v>1.48</v>
      </c>
      <c r="F249" s="2">
        <v>1</v>
      </c>
    </row>
    <row r="250" spans="1:6" ht="14.25" customHeight="1">
      <c r="A250" s="2">
        <v>34</v>
      </c>
      <c r="B250" s="2">
        <v>249</v>
      </c>
      <c r="C250" s="2">
        <v>6</v>
      </c>
      <c r="D250" s="2">
        <v>1</v>
      </c>
      <c r="E250" s="2">
        <v>0.92700000000000005</v>
      </c>
      <c r="F250" s="2">
        <v>2</v>
      </c>
    </row>
    <row r="251" spans="1:6" ht="14.25" customHeight="1">
      <c r="A251" s="2">
        <v>34</v>
      </c>
      <c r="B251" s="2">
        <v>250</v>
      </c>
      <c r="C251" s="2">
        <v>3</v>
      </c>
      <c r="D251" s="2">
        <v>1</v>
      </c>
      <c r="E251" s="2">
        <v>1.163</v>
      </c>
      <c r="F251" s="2">
        <v>1</v>
      </c>
    </row>
    <row r="252" spans="1:6" ht="14.25" customHeight="1">
      <c r="A252" s="2">
        <v>34</v>
      </c>
      <c r="B252" s="2">
        <v>251</v>
      </c>
      <c r="C252" s="2">
        <v>7</v>
      </c>
      <c r="D252" s="2">
        <v>1</v>
      </c>
      <c r="E252" s="2">
        <v>1.371</v>
      </c>
      <c r="F252" s="2">
        <v>1</v>
      </c>
    </row>
    <row r="253" spans="1:6" ht="14.25" customHeight="1">
      <c r="A253" s="2">
        <v>34</v>
      </c>
      <c r="B253" s="2">
        <v>252</v>
      </c>
      <c r="C253" s="2">
        <v>1</v>
      </c>
      <c r="D253" s="2">
        <v>1</v>
      </c>
      <c r="E253" s="2">
        <v>1.27</v>
      </c>
      <c r="F253" s="2">
        <v>1</v>
      </c>
    </row>
    <row r="254" spans="1:6" ht="14.25" customHeight="1">
      <c r="A254" s="2">
        <v>34</v>
      </c>
      <c r="B254" s="2">
        <v>253</v>
      </c>
      <c r="C254" s="2">
        <v>2</v>
      </c>
      <c r="D254" s="2">
        <v>1</v>
      </c>
      <c r="E254" s="2">
        <v>0.99199999999999999</v>
      </c>
      <c r="F254" s="2">
        <v>2</v>
      </c>
    </row>
    <row r="255" spans="1:6" ht="14.25" customHeight="1">
      <c r="A255" s="2">
        <v>34</v>
      </c>
      <c r="B255" s="2">
        <v>254</v>
      </c>
      <c r="C255" s="2">
        <v>7</v>
      </c>
      <c r="D255" s="2">
        <v>1</v>
      </c>
      <c r="E255" s="2">
        <v>0.65900000000000003</v>
      </c>
      <c r="F255" s="2">
        <v>2</v>
      </c>
    </row>
    <row r="256" spans="1:6" ht="14.25" customHeight="1">
      <c r="A256" s="2">
        <v>34</v>
      </c>
      <c r="B256" s="2">
        <v>255</v>
      </c>
      <c r="C256" s="2">
        <v>5</v>
      </c>
      <c r="D256" s="2">
        <v>1</v>
      </c>
      <c r="E256" s="2">
        <v>0.93200000000000005</v>
      </c>
      <c r="F256" s="2">
        <v>1</v>
      </c>
    </row>
    <row r="257" spans="1:6" ht="14.25" customHeight="1">
      <c r="A257" s="2">
        <v>34</v>
      </c>
      <c r="B257" s="2">
        <v>256</v>
      </c>
      <c r="C257" s="2">
        <v>3</v>
      </c>
      <c r="D257" s="2">
        <v>1</v>
      </c>
      <c r="E257" s="2">
        <v>0.89400000000000002</v>
      </c>
      <c r="F257" s="2">
        <v>1</v>
      </c>
    </row>
    <row r="258" spans="1:6" ht="14.25" customHeight="1">
      <c r="A258" s="2">
        <v>34</v>
      </c>
      <c r="B258" s="2">
        <v>257</v>
      </c>
      <c r="C258" s="2">
        <v>1</v>
      </c>
      <c r="D258" s="2">
        <v>1</v>
      </c>
      <c r="E258" s="2">
        <v>0.92600000000000005</v>
      </c>
      <c r="F258" s="2">
        <v>2</v>
      </c>
    </row>
    <row r="259" spans="1:6" ht="14.25" customHeight="1">
      <c r="A259" s="2">
        <v>34</v>
      </c>
      <c r="B259" s="2">
        <v>258</v>
      </c>
      <c r="C259" s="2">
        <v>8</v>
      </c>
      <c r="D259" s="2">
        <v>1</v>
      </c>
      <c r="E259" s="2">
        <v>0.92200000000000004</v>
      </c>
      <c r="F259" s="2">
        <v>2</v>
      </c>
    </row>
    <row r="260" spans="1:6" ht="14.25" customHeight="1">
      <c r="A260" s="2">
        <v>34</v>
      </c>
      <c r="B260" s="2">
        <v>259</v>
      </c>
      <c r="C260" s="2">
        <v>2</v>
      </c>
      <c r="D260" s="2">
        <v>1</v>
      </c>
      <c r="E260" s="2">
        <v>1.419</v>
      </c>
      <c r="F260" s="2">
        <v>1</v>
      </c>
    </row>
    <row r="261" spans="1:6" ht="14.25" customHeight="1">
      <c r="A261" s="2">
        <v>34</v>
      </c>
      <c r="B261" s="2">
        <v>260</v>
      </c>
      <c r="C261" s="2">
        <v>8</v>
      </c>
      <c r="D261" s="2">
        <v>1</v>
      </c>
      <c r="E261" s="2">
        <v>1.548</v>
      </c>
      <c r="F261" s="2">
        <v>1</v>
      </c>
    </row>
    <row r="262" spans="1:6" ht="14.25" customHeight="1">
      <c r="A262" s="2">
        <v>34</v>
      </c>
      <c r="B262" s="2">
        <v>261</v>
      </c>
      <c r="C262" s="2">
        <v>5</v>
      </c>
      <c r="D262" s="2">
        <v>1</v>
      </c>
      <c r="E262" s="2">
        <v>1.3680000000000001</v>
      </c>
      <c r="F262" s="2">
        <v>1</v>
      </c>
    </row>
    <row r="263" spans="1:6" ht="14.25" customHeight="1">
      <c r="A263" s="2">
        <v>34</v>
      </c>
      <c r="B263" s="2">
        <v>262</v>
      </c>
      <c r="C263" s="2">
        <v>7</v>
      </c>
      <c r="D263" s="2">
        <v>1</v>
      </c>
      <c r="E263" s="2">
        <v>0.90500000000000003</v>
      </c>
      <c r="F263" s="2">
        <v>2</v>
      </c>
    </row>
    <row r="264" spans="1:6" ht="14.25" customHeight="1">
      <c r="A264" s="2">
        <v>34</v>
      </c>
      <c r="B264" s="2">
        <v>263</v>
      </c>
      <c r="C264" s="2">
        <v>3</v>
      </c>
      <c r="D264" s="2">
        <v>1</v>
      </c>
      <c r="E264" s="2">
        <v>1.1870000000000001</v>
      </c>
      <c r="F264" s="2">
        <v>1</v>
      </c>
    </row>
    <row r="265" spans="1:6" ht="14.25" customHeight="1">
      <c r="A265" s="2">
        <v>34</v>
      </c>
      <c r="B265" s="2">
        <v>264</v>
      </c>
      <c r="C265" s="2">
        <v>5</v>
      </c>
      <c r="D265" s="2">
        <v>1</v>
      </c>
      <c r="E265" s="2">
        <v>1.9219999999999999</v>
      </c>
      <c r="F265" s="2">
        <v>1</v>
      </c>
    </row>
    <row r="266" spans="1:6" ht="14.25" customHeight="1">
      <c r="A266" s="2">
        <v>34</v>
      </c>
      <c r="B266" s="2">
        <v>265</v>
      </c>
      <c r="C266" s="2">
        <v>4</v>
      </c>
      <c r="D266" s="2">
        <v>1</v>
      </c>
      <c r="E266" s="2">
        <v>0.93400000000000005</v>
      </c>
      <c r="F266" s="2">
        <v>2</v>
      </c>
    </row>
    <row r="267" spans="1:6" ht="14.25" customHeight="1">
      <c r="A267" s="2">
        <v>34</v>
      </c>
      <c r="B267" s="2">
        <v>266</v>
      </c>
      <c r="C267" s="2">
        <v>1</v>
      </c>
      <c r="D267" s="2">
        <v>1</v>
      </c>
      <c r="E267" s="2">
        <v>0.72</v>
      </c>
      <c r="F267" s="2">
        <v>2</v>
      </c>
    </row>
    <row r="268" spans="1:6" ht="14.25" customHeight="1">
      <c r="A268" s="2">
        <v>34</v>
      </c>
      <c r="B268" s="2">
        <v>267</v>
      </c>
      <c r="C268" s="2">
        <v>3</v>
      </c>
      <c r="D268" s="2">
        <v>1</v>
      </c>
      <c r="E268" s="2">
        <v>0.874</v>
      </c>
      <c r="F268" s="2">
        <v>1</v>
      </c>
    </row>
    <row r="269" spans="1:6" ht="14.25" customHeight="1">
      <c r="A269" s="2">
        <v>34</v>
      </c>
      <c r="B269" s="2">
        <v>268</v>
      </c>
      <c r="C269" s="2">
        <v>6</v>
      </c>
      <c r="D269" s="2">
        <v>1</v>
      </c>
      <c r="E269" s="2">
        <v>0.95099999999999996</v>
      </c>
      <c r="F269" s="2">
        <v>1</v>
      </c>
    </row>
    <row r="270" spans="1:6" ht="14.25" customHeight="1">
      <c r="A270" s="2">
        <v>34</v>
      </c>
      <c r="B270" s="2">
        <v>269</v>
      </c>
      <c r="C270" s="2">
        <v>2</v>
      </c>
      <c r="D270" s="2">
        <v>1</v>
      </c>
      <c r="E270" s="2">
        <v>0.91300000000000003</v>
      </c>
      <c r="F270" s="2">
        <v>2</v>
      </c>
    </row>
    <row r="271" spans="1:6" ht="14.25" customHeight="1">
      <c r="A271" s="2">
        <v>34</v>
      </c>
      <c r="B271" s="2">
        <v>270</v>
      </c>
      <c r="C271" s="2">
        <v>5</v>
      </c>
      <c r="D271" s="2">
        <v>1</v>
      </c>
      <c r="E271" s="2">
        <v>1.208</v>
      </c>
      <c r="F271" s="2">
        <v>2</v>
      </c>
    </row>
    <row r="272" spans="1:6" ht="14.25" customHeight="1">
      <c r="A272" s="2">
        <v>34</v>
      </c>
      <c r="B272" s="2">
        <v>271</v>
      </c>
      <c r="C272" s="2">
        <v>3</v>
      </c>
      <c r="D272" s="2">
        <v>1</v>
      </c>
      <c r="E272" s="2">
        <v>0.92300000000000004</v>
      </c>
      <c r="F272" s="2">
        <v>2</v>
      </c>
    </row>
    <row r="273" spans="1:6" ht="14.25" customHeight="1">
      <c r="A273" s="2">
        <v>34</v>
      </c>
      <c r="B273" s="2">
        <v>272</v>
      </c>
      <c r="C273" s="2">
        <v>6</v>
      </c>
      <c r="D273" s="2">
        <v>1</v>
      </c>
      <c r="E273" s="2">
        <v>0.76600000000000001</v>
      </c>
      <c r="F273" s="2">
        <v>1</v>
      </c>
    </row>
    <row r="274" spans="1:6" ht="14.25" customHeight="1">
      <c r="A274" s="2">
        <v>34</v>
      </c>
      <c r="B274" s="2">
        <v>273</v>
      </c>
      <c r="C274" s="2">
        <v>4</v>
      </c>
      <c r="D274" s="2">
        <v>1</v>
      </c>
      <c r="E274" s="2">
        <v>0.73</v>
      </c>
      <c r="F274" s="2">
        <v>2</v>
      </c>
    </row>
    <row r="275" spans="1:6" ht="14.25" customHeight="1">
      <c r="A275" s="2">
        <v>34</v>
      </c>
      <c r="B275" s="2">
        <v>274</v>
      </c>
      <c r="C275" s="2">
        <v>8</v>
      </c>
      <c r="D275" s="2">
        <v>1</v>
      </c>
      <c r="E275" s="2">
        <v>0.82399999999999995</v>
      </c>
      <c r="F275" s="2">
        <v>1</v>
      </c>
    </row>
    <row r="276" spans="1:6" ht="14.25" customHeight="1">
      <c r="A276" s="2">
        <v>34</v>
      </c>
      <c r="B276" s="2">
        <v>275</v>
      </c>
      <c r="C276" s="2">
        <v>4</v>
      </c>
      <c r="D276" s="2">
        <v>1</v>
      </c>
      <c r="E276" s="2">
        <v>0.746</v>
      </c>
      <c r="F276" s="2">
        <v>2</v>
      </c>
    </row>
    <row r="277" spans="1:6" ht="14.25" customHeight="1">
      <c r="A277" s="2">
        <v>34</v>
      </c>
      <c r="B277" s="2">
        <v>276</v>
      </c>
      <c r="C277" s="2">
        <v>6</v>
      </c>
      <c r="D277" s="2">
        <v>1</v>
      </c>
      <c r="E277" s="2">
        <v>1.274</v>
      </c>
      <c r="F277" s="2">
        <v>2</v>
      </c>
    </row>
    <row r="278" spans="1:6" ht="14.25" customHeight="1">
      <c r="A278" s="2">
        <v>34</v>
      </c>
      <c r="B278" s="2">
        <v>277</v>
      </c>
      <c r="C278" s="2">
        <v>4</v>
      </c>
      <c r="D278" s="2">
        <v>1</v>
      </c>
      <c r="E278" s="2">
        <v>0.747</v>
      </c>
      <c r="F278" s="2">
        <v>1</v>
      </c>
    </row>
    <row r="279" spans="1:6" ht="14.25" customHeight="1">
      <c r="A279" s="2">
        <v>34</v>
      </c>
      <c r="B279" s="2">
        <v>278</v>
      </c>
      <c r="C279" s="2">
        <v>5</v>
      </c>
      <c r="D279" s="2">
        <v>1</v>
      </c>
      <c r="E279" s="2">
        <v>0.94499999999999995</v>
      </c>
      <c r="F279" s="2">
        <v>2</v>
      </c>
    </row>
    <row r="280" spans="1:6" ht="14.25" customHeight="1">
      <c r="A280" s="2">
        <v>34</v>
      </c>
      <c r="B280" s="2">
        <v>279</v>
      </c>
      <c r="C280" s="2">
        <v>3</v>
      </c>
      <c r="E280" s="2">
        <v>2</v>
      </c>
    </row>
    <row r="281" spans="1:6" ht="14.25" customHeight="1">
      <c r="A281" s="2">
        <v>34</v>
      </c>
      <c r="B281" s="2">
        <v>280</v>
      </c>
      <c r="C281" s="2">
        <v>2</v>
      </c>
      <c r="D281" s="2">
        <v>1</v>
      </c>
      <c r="E281" s="2">
        <v>0.877</v>
      </c>
      <c r="F281" s="2">
        <v>1</v>
      </c>
    </row>
    <row r="282" spans="1:6" ht="14.25" customHeight="1">
      <c r="A282" s="2">
        <v>34</v>
      </c>
      <c r="B282" s="2">
        <v>281</v>
      </c>
      <c r="C282" s="2">
        <v>8</v>
      </c>
      <c r="D282" s="2">
        <v>1</v>
      </c>
      <c r="E282" s="2">
        <v>1.6020000000000001</v>
      </c>
      <c r="F282" s="2">
        <v>1</v>
      </c>
    </row>
    <row r="283" spans="1:6" ht="14.25" customHeight="1">
      <c r="A283" s="2">
        <v>34</v>
      </c>
      <c r="B283" s="2">
        <v>282</v>
      </c>
      <c r="C283" s="2">
        <v>5</v>
      </c>
      <c r="D283" s="2">
        <v>1</v>
      </c>
      <c r="E283" s="2">
        <v>0.68700000000000006</v>
      </c>
      <c r="F283" s="2">
        <v>2</v>
      </c>
    </row>
    <row r="284" spans="1:6" ht="14.25" customHeight="1">
      <c r="A284" s="2">
        <v>34</v>
      </c>
      <c r="B284" s="2">
        <v>283</v>
      </c>
      <c r="C284" s="2">
        <v>1</v>
      </c>
      <c r="D284" s="2">
        <v>1</v>
      </c>
      <c r="E284" s="2">
        <v>1.3320000000000001</v>
      </c>
      <c r="F284" s="2">
        <v>1</v>
      </c>
    </row>
    <row r="285" spans="1:6" ht="14.25" customHeight="1">
      <c r="A285" s="2">
        <v>34</v>
      </c>
      <c r="B285" s="2">
        <v>284</v>
      </c>
      <c r="C285" s="2">
        <v>3</v>
      </c>
      <c r="D285" s="2">
        <v>1</v>
      </c>
      <c r="E285" s="2">
        <v>0.78100000000000003</v>
      </c>
      <c r="F285" s="2">
        <v>1</v>
      </c>
    </row>
    <row r="286" spans="1:6" ht="14.25" customHeight="1">
      <c r="A286" s="2">
        <v>34</v>
      </c>
      <c r="B286" s="2">
        <v>285</v>
      </c>
      <c r="C286" s="2">
        <v>6</v>
      </c>
      <c r="D286" s="2">
        <v>1</v>
      </c>
      <c r="E286" s="2">
        <v>0.69699999999999995</v>
      </c>
      <c r="F286" s="2">
        <v>2</v>
      </c>
    </row>
    <row r="287" spans="1:6" ht="14.25" customHeight="1">
      <c r="A287" s="2">
        <v>34</v>
      </c>
      <c r="B287" s="2">
        <v>286</v>
      </c>
      <c r="C287" s="2">
        <v>4</v>
      </c>
      <c r="D287" s="2">
        <v>1</v>
      </c>
      <c r="E287" s="2">
        <v>0.68899999999999995</v>
      </c>
      <c r="F287" s="2">
        <v>2</v>
      </c>
    </row>
    <row r="288" spans="1:6" ht="14.25" customHeight="1">
      <c r="A288" s="2">
        <v>34</v>
      </c>
      <c r="B288" s="2">
        <v>287</v>
      </c>
      <c r="C288" s="2">
        <v>8</v>
      </c>
      <c r="D288" s="2">
        <v>1</v>
      </c>
      <c r="E288" s="2">
        <v>0.86</v>
      </c>
      <c r="F288" s="2">
        <v>2</v>
      </c>
    </row>
    <row r="289" spans="1:6" ht="14.25" customHeight="1">
      <c r="A289" s="2">
        <v>34</v>
      </c>
      <c r="B289" s="2">
        <v>288</v>
      </c>
      <c r="C289" s="2">
        <v>6</v>
      </c>
      <c r="D289" s="2">
        <v>1</v>
      </c>
      <c r="E289" s="2">
        <v>1.28</v>
      </c>
      <c r="F289" s="2">
        <v>1</v>
      </c>
    </row>
    <row r="290" spans="1:6" ht="14.25" customHeight="1">
      <c r="A290" s="2">
        <v>34</v>
      </c>
      <c r="B290" s="2">
        <v>289</v>
      </c>
      <c r="C290" s="2">
        <v>1</v>
      </c>
      <c r="D290" s="2">
        <v>1</v>
      </c>
      <c r="E290" s="2">
        <v>0.97599999999999998</v>
      </c>
      <c r="F290" s="2">
        <v>1</v>
      </c>
    </row>
    <row r="291" spans="1:6" ht="14.25" customHeight="1">
      <c r="A291" s="2">
        <v>34</v>
      </c>
      <c r="B291" s="2">
        <v>290</v>
      </c>
      <c r="C291" s="2">
        <v>3</v>
      </c>
      <c r="D291" s="2">
        <v>1</v>
      </c>
      <c r="E291" s="2">
        <v>0.99399999999999999</v>
      </c>
      <c r="F291" s="2">
        <v>2</v>
      </c>
    </row>
    <row r="292" spans="1:6" ht="14.25" customHeight="1">
      <c r="A292" s="2">
        <v>34</v>
      </c>
      <c r="B292" s="2">
        <v>291</v>
      </c>
      <c r="C292" s="2">
        <v>2</v>
      </c>
      <c r="D292" s="2">
        <v>1</v>
      </c>
      <c r="E292" s="2">
        <v>0.88100000000000001</v>
      </c>
      <c r="F292" s="2">
        <v>2</v>
      </c>
    </row>
    <row r="293" spans="1:6" ht="14.25" customHeight="1">
      <c r="A293" s="2">
        <v>34</v>
      </c>
      <c r="B293" s="2">
        <v>292</v>
      </c>
      <c r="C293" s="2">
        <v>7</v>
      </c>
      <c r="D293" s="2">
        <v>1</v>
      </c>
      <c r="E293" s="2">
        <v>0.83399999999999996</v>
      </c>
      <c r="F293" s="2">
        <v>1</v>
      </c>
    </row>
    <row r="294" spans="1:6" ht="14.25" customHeight="1">
      <c r="A294" s="2">
        <v>34</v>
      </c>
      <c r="B294" s="2">
        <v>293</v>
      </c>
      <c r="C294" s="2">
        <v>8</v>
      </c>
      <c r="D294" s="2">
        <v>1</v>
      </c>
      <c r="E294" s="2">
        <v>0.875</v>
      </c>
      <c r="F294" s="2">
        <v>2</v>
      </c>
    </row>
    <row r="295" spans="1:6" ht="14.25" customHeight="1">
      <c r="A295" s="2">
        <v>34</v>
      </c>
      <c r="B295" s="2">
        <v>294</v>
      </c>
      <c r="C295" s="2">
        <v>2</v>
      </c>
      <c r="D295" s="2">
        <v>1</v>
      </c>
      <c r="E295" s="2">
        <v>0.85899999999999999</v>
      </c>
      <c r="F295" s="2">
        <v>2</v>
      </c>
    </row>
    <row r="296" spans="1:6" ht="14.25" customHeight="1">
      <c r="A296" s="2">
        <v>34</v>
      </c>
      <c r="B296" s="2">
        <v>295</v>
      </c>
      <c r="C296" s="2">
        <v>8</v>
      </c>
      <c r="D296" s="2">
        <v>1</v>
      </c>
      <c r="E296" s="2">
        <v>1.2410000000000001</v>
      </c>
      <c r="F296" s="2">
        <v>1</v>
      </c>
    </row>
    <row r="297" spans="1:6" ht="14.25" customHeight="1">
      <c r="A297" s="2">
        <v>34</v>
      </c>
      <c r="B297" s="2">
        <v>296</v>
      </c>
      <c r="C297" s="2">
        <v>6</v>
      </c>
      <c r="D297" s="2">
        <v>1</v>
      </c>
      <c r="E297" s="2">
        <v>0.79500000000000004</v>
      </c>
      <c r="F297" s="2">
        <v>2</v>
      </c>
    </row>
    <row r="298" spans="1:6" ht="14.25" customHeight="1">
      <c r="A298" s="2">
        <v>34</v>
      </c>
      <c r="B298" s="2">
        <v>297</v>
      </c>
      <c r="C298" s="2">
        <v>7</v>
      </c>
      <c r="D298" s="2">
        <v>1</v>
      </c>
      <c r="E298" s="2">
        <v>1.0009999999999999</v>
      </c>
      <c r="F298" s="2">
        <v>1</v>
      </c>
    </row>
    <row r="299" spans="1:6" ht="14.25" customHeight="1">
      <c r="A299" s="2">
        <v>34</v>
      </c>
      <c r="B299" s="2">
        <v>298</v>
      </c>
      <c r="C299" s="2">
        <v>1</v>
      </c>
      <c r="D299" s="2">
        <v>1</v>
      </c>
      <c r="E299" s="2">
        <v>1.1240000000000001</v>
      </c>
      <c r="F299" s="2">
        <v>1</v>
      </c>
    </row>
    <row r="300" spans="1:6" ht="14.25" customHeight="1">
      <c r="A300" s="2">
        <v>34</v>
      </c>
      <c r="B300" s="2">
        <v>299</v>
      </c>
      <c r="C300" s="2">
        <v>7</v>
      </c>
      <c r="D300" s="2">
        <v>1</v>
      </c>
      <c r="E300" s="2">
        <v>0.98499999999999999</v>
      </c>
      <c r="F300" s="2">
        <v>2</v>
      </c>
    </row>
    <row r="301" spans="1:6" ht="14.25" customHeight="1">
      <c r="A301" s="2">
        <v>34</v>
      </c>
      <c r="B301" s="2">
        <v>300</v>
      </c>
      <c r="C301" s="2">
        <v>4</v>
      </c>
      <c r="D301" s="2">
        <v>1</v>
      </c>
      <c r="E301" s="2">
        <v>0.88900000000000001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35</v>
      </c>
      <c r="I1" s="2">
        <v>1</v>
      </c>
      <c r="J1" s="2">
        <v>1</v>
      </c>
      <c r="L1" s="2">
        <v>2.0009999999999999</v>
      </c>
    </row>
    <row r="2" spans="1:22" ht="14.25" customHeight="1">
      <c r="A2" s="2">
        <v>35</v>
      </c>
      <c r="B2" s="2">
        <v>1</v>
      </c>
      <c r="C2" s="2">
        <v>1</v>
      </c>
      <c r="E2" s="2">
        <v>2.0009999999999999</v>
      </c>
      <c r="H2" s="2">
        <v>35</v>
      </c>
      <c r="I2" s="2">
        <v>2</v>
      </c>
      <c r="J2" s="2">
        <v>6</v>
      </c>
      <c r="K2" s="2">
        <v>0</v>
      </c>
      <c r="L2" s="2">
        <v>0.81299999999999994</v>
      </c>
      <c r="M2" s="2">
        <v>1</v>
      </c>
    </row>
    <row r="3" spans="1:22" ht="14.25" customHeight="1">
      <c r="A3" s="2">
        <v>35</v>
      </c>
      <c r="B3" s="2">
        <v>2</v>
      </c>
      <c r="C3" s="2">
        <v>6</v>
      </c>
      <c r="D3" s="2">
        <v>0</v>
      </c>
      <c r="E3" s="2">
        <v>0.81299999999999994</v>
      </c>
      <c r="F3" s="2">
        <v>1</v>
      </c>
      <c r="H3" s="2">
        <v>35</v>
      </c>
      <c r="I3" s="2">
        <v>3</v>
      </c>
      <c r="J3" s="2">
        <v>8</v>
      </c>
      <c r="K3" s="2">
        <v>1</v>
      </c>
      <c r="L3" s="2">
        <v>0.98799999999999999</v>
      </c>
      <c r="M3" s="2">
        <v>1</v>
      </c>
    </row>
    <row r="4" spans="1:22" ht="14.25" customHeight="1">
      <c r="A4" s="2">
        <v>35</v>
      </c>
      <c r="B4" s="2">
        <v>3</v>
      </c>
      <c r="C4" s="2">
        <v>8</v>
      </c>
      <c r="D4" s="2">
        <v>1</v>
      </c>
      <c r="E4" s="2">
        <v>0.98799999999999999</v>
      </c>
      <c r="F4" s="2">
        <v>1</v>
      </c>
      <c r="H4" s="2">
        <v>35</v>
      </c>
      <c r="I4" s="2">
        <v>4</v>
      </c>
      <c r="J4" s="2">
        <v>6</v>
      </c>
      <c r="K4" s="2">
        <v>1</v>
      </c>
      <c r="L4" s="2">
        <v>0.71199999999999997</v>
      </c>
      <c r="M4" s="2">
        <v>2</v>
      </c>
      <c r="O4" s="2" t="s">
        <v>6</v>
      </c>
    </row>
    <row r="5" spans="1:22" ht="14.25" customHeight="1">
      <c r="A5" s="2">
        <v>35</v>
      </c>
      <c r="B5" s="2">
        <v>4</v>
      </c>
      <c r="C5" s="2">
        <v>6</v>
      </c>
      <c r="D5" s="2">
        <v>1</v>
      </c>
      <c r="E5" s="2">
        <v>0.71199999999999997</v>
      </c>
      <c r="F5" s="2">
        <v>2</v>
      </c>
      <c r="H5" s="2">
        <v>35</v>
      </c>
      <c r="I5" s="2">
        <v>5</v>
      </c>
      <c r="J5" s="2">
        <v>1</v>
      </c>
      <c r="K5" s="2">
        <v>1</v>
      </c>
      <c r="L5" s="2">
        <v>0.55600000000000005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35</v>
      </c>
      <c r="B6" s="2">
        <v>5</v>
      </c>
      <c r="C6" s="2">
        <v>1</v>
      </c>
      <c r="D6" s="2">
        <v>1</v>
      </c>
      <c r="E6" s="2">
        <v>0.55600000000000005</v>
      </c>
      <c r="F6" s="2">
        <v>2</v>
      </c>
      <c r="H6" s="2">
        <v>35</v>
      </c>
      <c r="I6" s="2">
        <v>6</v>
      </c>
      <c r="J6" s="2">
        <v>7</v>
      </c>
      <c r="K6" s="2">
        <v>1</v>
      </c>
      <c r="L6" s="2">
        <v>0.67500000000000004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35</v>
      </c>
      <c r="B7" s="2">
        <v>6</v>
      </c>
      <c r="C7" s="2">
        <v>7</v>
      </c>
      <c r="D7" s="2">
        <v>1</v>
      </c>
      <c r="E7" s="2">
        <v>0.67500000000000004</v>
      </c>
      <c r="F7" s="2">
        <v>1</v>
      </c>
      <c r="H7" s="2">
        <v>35</v>
      </c>
      <c r="I7" s="2">
        <v>7</v>
      </c>
      <c r="J7" s="2">
        <v>4</v>
      </c>
      <c r="K7" s="2">
        <v>1</v>
      </c>
      <c r="L7" s="2">
        <v>0.56799999999999995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35</v>
      </c>
      <c r="B8" s="2">
        <v>7</v>
      </c>
      <c r="C8" s="2">
        <v>4</v>
      </c>
      <c r="D8" s="2">
        <v>1</v>
      </c>
      <c r="E8" s="2">
        <v>0.56799999999999995</v>
      </c>
      <c r="F8" s="2">
        <v>1</v>
      </c>
      <c r="H8" s="2">
        <v>35</v>
      </c>
      <c r="I8" s="2">
        <v>8</v>
      </c>
      <c r="J8" s="2">
        <v>8</v>
      </c>
      <c r="K8" s="2">
        <v>1</v>
      </c>
      <c r="L8" s="2">
        <v>0.5</v>
      </c>
      <c r="M8" s="2">
        <v>1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35</v>
      </c>
      <c r="B9" s="2">
        <v>8</v>
      </c>
      <c r="C9" s="2">
        <v>8</v>
      </c>
      <c r="D9" s="2">
        <v>1</v>
      </c>
      <c r="E9" s="2">
        <v>0.5</v>
      </c>
      <c r="F9" s="2">
        <v>1</v>
      </c>
      <c r="H9" s="2">
        <v>35</v>
      </c>
      <c r="I9" s="2">
        <v>9</v>
      </c>
      <c r="J9" s="2">
        <v>3</v>
      </c>
      <c r="K9" s="2">
        <v>0</v>
      </c>
      <c r="L9" s="2">
        <v>0.57399999999999995</v>
      </c>
      <c r="M9" s="2">
        <v>1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35</v>
      </c>
      <c r="B10" s="2">
        <v>9</v>
      </c>
      <c r="C10" s="2">
        <v>3</v>
      </c>
      <c r="D10" s="2">
        <v>0</v>
      </c>
      <c r="E10" s="2">
        <v>0.57399999999999995</v>
      </c>
      <c r="F10" s="2">
        <v>1</v>
      </c>
      <c r="H10" s="2">
        <v>35</v>
      </c>
      <c r="I10" s="2">
        <v>10</v>
      </c>
      <c r="J10" s="2">
        <v>8</v>
      </c>
      <c r="K10" s="2">
        <v>0</v>
      </c>
      <c r="L10" s="2">
        <v>0.63600000000000001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35</v>
      </c>
      <c r="B11" s="2">
        <v>10</v>
      </c>
      <c r="C11" s="2">
        <v>8</v>
      </c>
      <c r="D11" s="2">
        <v>0</v>
      </c>
      <c r="E11" s="2">
        <v>0.63600000000000001</v>
      </c>
      <c r="F11" s="2">
        <v>2</v>
      </c>
      <c r="H11" s="2">
        <v>35</v>
      </c>
      <c r="I11" s="2">
        <v>11</v>
      </c>
      <c r="J11" s="2">
        <v>4</v>
      </c>
      <c r="K11" s="2">
        <v>1</v>
      </c>
      <c r="L11" s="2">
        <v>0.66500000000000004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35</v>
      </c>
      <c r="B12" s="2">
        <v>11</v>
      </c>
      <c r="C12" s="2">
        <v>4</v>
      </c>
      <c r="D12" s="2">
        <v>1</v>
      </c>
      <c r="E12" s="2">
        <v>0.66500000000000004</v>
      </c>
      <c r="F12" s="2">
        <v>1</v>
      </c>
      <c r="H12" s="2">
        <v>35</v>
      </c>
      <c r="I12" s="2">
        <v>12</v>
      </c>
      <c r="J12" s="2">
        <v>5</v>
      </c>
      <c r="K12" s="2">
        <v>1</v>
      </c>
      <c r="L12" s="2">
        <v>0.53300000000000003</v>
      </c>
      <c r="M12" s="2">
        <v>2</v>
      </c>
    </row>
    <row r="13" spans="1:22" ht="14.25" customHeight="1">
      <c r="A13" s="2">
        <v>35</v>
      </c>
      <c r="B13" s="2">
        <v>12</v>
      </c>
      <c r="C13" s="2">
        <v>5</v>
      </c>
      <c r="D13" s="2">
        <v>1</v>
      </c>
      <c r="E13" s="2">
        <v>0.53300000000000003</v>
      </c>
      <c r="F13" s="2">
        <v>2</v>
      </c>
      <c r="H13" s="2">
        <v>35</v>
      </c>
      <c r="I13" s="2">
        <v>13</v>
      </c>
      <c r="J13" s="2">
        <v>3</v>
      </c>
      <c r="K13" s="2">
        <v>0</v>
      </c>
      <c r="L13" s="2">
        <v>1.0649999999999999</v>
      </c>
      <c r="M13" s="2">
        <v>1</v>
      </c>
    </row>
    <row r="14" spans="1:22" ht="14.25" customHeight="1">
      <c r="A14" s="2">
        <v>35</v>
      </c>
      <c r="B14" s="2">
        <v>13</v>
      </c>
      <c r="C14" s="2">
        <v>3</v>
      </c>
      <c r="D14" s="2">
        <v>0</v>
      </c>
      <c r="E14" s="2">
        <v>1.0649999999999999</v>
      </c>
      <c r="F14" s="2">
        <v>1</v>
      </c>
      <c r="H14" s="2">
        <v>35</v>
      </c>
      <c r="I14" s="2">
        <v>14</v>
      </c>
      <c r="J14" s="2">
        <v>5</v>
      </c>
      <c r="K14" s="2">
        <v>1</v>
      </c>
      <c r="L14" s="2">
        <v>0.67500000000000004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35</v>
      </c>
      <c r="B15" s="2">
        <v>14</v>
      </c>
      <c r="C15" s="2">
        <v>5</v>
      </c>
      <c r="D15" s="2">
        <v>1</v>
      </c>
      <c r="E15" s="2">
        <v>0.67500000000000004</v>
      </c>
      <c r="F15" s="2">
        <v>2</v>
      </c>
      <c r="H15" s="2">
        <v>35</v>
      </c>
      <c r="I15" s="2">
        <v>15</v>
      </c>
      <c r="J15" s="2">
        <v>6</v>
      </c>
      <c r="K15" s="2">
        <v>1</v>
      </c>
      <c r="L15" s="2">
        <v>0.83199999999999996</v>
      </c>
      <c r="M15" s="2">
        <v>2</v>
      </c>
      <c r="O15" s="2" t="s">
        <v>9</v>
      </c>
    </row>
    <row r="16" spans="1:22" ht="14.25" customHeight="1">
      <c r="A16" s="2">
        <v>35</v>
      </c>
      <c r="B16" s="2">
        <v>15</v>
      </c>
      <c r="C16" s="2">
        <v>6</v>
      </c>
      <c r="D16" s="2">
        <v>1</v>
      </c>
      <c r="E16" s="2">
        <v>0.83199999999999996</v>
      </c>
      <c r="F16" s="2">
        <v>2</v>
      </c>
      <c r="H16" s="2">
        <v>35</v>
      </c>
      <c r="I16" s="2">
        <v>16</v>
      </c>
      <c r="J16" s="2">
        <v>3</v>
      </c>
      <c r="K16" s="2">
        <v>1</v>
      </c>
      <c r="L16" s="2">
        <v>0.78300000000000003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35</v>
      </c>
      <c r="B17" s="2">
        <v>16</v>
      </c>
      <c r="C17" s="2">
        <v>3</v>
      </c>
      <c r="D17" s="2">
        <v>1</v>
      </c>
      <c r="E17" s="2">
        <v>0.78300000000000003</v>
      </c>
      <c r="F17" s="2">
        <v>2</v>
      </c>
      <c r="H17" s="2">
        <v>35</v>
      </c>
      <c r="I17" s="2">
        <v>17</v>
      </c>
      <c r="J17" s="2">
        <v>5</v>
      </c>
      <c r="K17" s="2">
        <v>1</v>
      </c>
      <c r="L17" s="2">
        <v>0.8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5.7599999999999936</v>
      </c>
      <c r="P17" s="2">
        <f t="shared" ref="P17:P22" si="1">(P6*COUNTIF($J$1:$J$100,P$16) - COUNTIFS($J$1:$J$100,P$16,$K$1:$K$100,"=0"))^2</f>
        <v>11.559999999999999</v>
      </c>
      <c r="Q17" s="2">
        <f t="shared" ref="Q17:Q22" si="2">(Q6*COUNTIF($J$1:$J$100,Q$16) - COUNTIFS($J$1:$J$100,Q$16,$K$1:$K$100,"=1"))^2</f>
        <v>29.159999999999986</v>
      </c>
      <c r="R17" s="2">
        <f t="shared" ref="R17:R22" si="3">(R6*COUNTIF($J$1:$J$100,R$16) - COUNTIFS($J$1:$J$100,R$16,$K$1:$K$100,"=0"))^2</f>
        <v>1.6899999999999995</v>
      </c>
      <c r="S17" s="2">
        <f t="shared" ref="S17:T17" si="4">(S6*COUNTIF($J$1:$J$100,S$16) - COUNTIFS($J$1:$J$100,S$16,$K$1:$K$100,"=1"))^2</f>
        <v>0.36000000000000171</v>
      </c>
      <c r="T17" s="2">
        <f t="shared" si="4"/>
        <v>5.2899999999999947</v>
      </c>
      <c r="U17" s="2">
        <f t="shared" ref="U17:V17" si="5">(U6*COUNTIF($J$1:$J$100,U$16) - COUNTIFS($J$1:$J$100,U$16,$K$1:$K$100,"=0"))^2</f>
        <v>0.15999999999999992</v>
      </c>
      <c r="V17" s="2">
        <f t="shared" si="5"/>
        <v>0.15999999999999992</v>
      </c>
    </row>
    <row r="18" spans="1:22" ht="14.25" customHeight="1">
      <c r="A18" s="2">
        <v>35</v>
      </c>
      <c r="B18" s="2">
        <v>17</v>
      </c>
      <c r="C18" s="2">
        <v>5</v>
      </c>
      <c r="D18" s="2">
        <v>1</v>
      </c>
      <c r="E18" s="2">
        <v>0.8</v>
      </c>
      <c r="F18" s="2">
        <v>2</v>
      </c>
      <c r="H18" s="2">
        <v>35</v>
      </c>
      <c r="I18" s="2">
        <v>18</v>
      </c>
      <c r="J18" s="2">
        <v>7</v>
      </c>
      <c r="K18" s="2">
        <v>1</v>
      </c>
      <c r="L18" s="2">
        <v>0.91700000000000004</v>
      </c>
      <c r="M18" s="2">
        <v>1</v>
      </c>
      <c r="N18" s="2">
        <v>2</v>
      </c>
      <c r="O18" s="2">
        <f t="shared" si="0"/>
        <v>5.7599999999999936</v>
      </c>
      <c r="P18" s="2">
        <f t="shared" si="1"/>
        <v>54.759999999999977</v>
      </c>
      <c r="Q18" s="2">
        <f t="shared" si="2"/>
        <v>29.160000000000004</v>
      </c>
      <c r="R18" s="2">
        <f t="shared" si="3"/>
        <v>1.6899999999999995</v>
      </c>
      <c r="S18" s="2">
        <f t="shared" ref="S18:T18" si="6">(S7*COUNTIF($J$1:$J$100,S$16) - COUNTIFS($J$1:$J$100,S$16,$K$1:$K$100,"=1"))^2</f>
        <v>0.36000000000000171</v>
      </c>
      <c r="T18" s="2">
        <f t="shared" si="6"/>
        <v>5.2899999999999947</v>
      </c>
      <c r="U18" s="2">
        <f t="shared" ref="U18:V18" si="7">(U7*COUNTIF($J$1:$J$100,U$16) - COUNTIFS($J$1:$J$100,U$16,$K$1:$K$100,"=0"))^2</f>
        <v>0.15999999999999992</v>
      </c>
      <c r="V18" s="2">
        <f t="shared" si="7"/>
        <v>0.15999999999999992</v>
      </c>
    </row>
    <row r="19" spans="1:22" ht="14.25" customHeight="1">
      <c r="A19" s="2">
        <v>35</v>
      </c>
      <c r="B19" s="2">
        <v>18</v>
      </c>
      <c r="C19" s="2">
        <v>7</v>
      </c>
      <c r="D19" s="2">
        <v>1</v>
      </c>
      <c r="E19" s="2">
        <v>0.91700000000000004</v>
      </c>
      <c r="F19" s="2">
        <v>1</v>
      </c>
      <c r="H19" s="2">
        <v>35</v>
      </c>
      <c r="I19" s="2">
        <v>19</v>
      </c>
      <c r="J19" s="2">
        <v>2</v>
      </c>
      <c r="K19" s="2">
        <v>0</v>
      </c>
      <c r="L19" s="2">
        <v>0.68</v>
      </c>
      <c r="M19" s="2">
        <v>2</v>
      </c>
      <c r="N19" s="2">
        <v>3</v>
      </c>
      <c r="O19" s="2">
        <f t="shared" si="0"/>
        <v>5.7599999999999936</v>
      </c>
      <c r="P19" s="2">
        <f t="shared" si="1"/>
        <v>11.559999999999999</v>
      </c>
      <c r="Q19" s="2">
        <f t="shared" si="2"/>
        <v>29.159999999999986</v>
      </c>
      <c r="R19" s="2">
        <f t="shared" si="3"/>
        <v>1.6899999999999995</v>
      </c>
      <c r="S19" s="2">
        <f t="shared" ref="S19:T19" si="8">(S8*COUNTIF($J$1:$J$100,S$16) - COUNTIFS($J$1:$J$100,S$16,$K$1:$K$100,"=1"))^2</f>
        <v>0.36000000000000171</v>
      </c>
      <c r="T19" s="2">
        <f t="shared" si="8"/>
        <v>106.09000000000002</v>
      </c>
      <c r="U19" s="2">
        <f t="shared" ref="U19:V19" si="9">(U8*COUNTIF($J$1:$J$100,U$16) - COUNTIFS($J$1:$J$100,U$16,$K$1:$K$100,"=0"))^2</f>
        <v>108.15999999999997</v>
      </c>
      <c r="V19" s="2">
        <f t="shared" si="9"/>
        <v>0.15999999999999992</v>
      </c>
    </row>
    <row r="20" spans="1:22" ht="14.25" customHeight="1">
      <c r="A20" s="2">
        <v>35</v>
      </c>
      <c r="B20" s="2">
        <v>19</v>
      </c>
      <c r="C20" s="2">
        <v>2</v>
      </c>
      <c r="D20" s="2">
        <v>0</v>
      </c>
      <c r="E20" s="2">
        <v>0.68</v>
      </c>
      <c r="F20" s="2">
        <v>2</v>
      </c>
      <c r="H20" s="2">
        <v>35</v>
      </c>
      <c r="I20" s="2">
        <v>20</v>
      </c>
      <c r="J20" s="2">
        <v>5</v>
      </c>
      <c r="K20" s="2">
        <v>1</v>
      </c>
      <c r="L20" s="2">
        <v>0.80900000000000005</v>
      </c>
      <c r="M20" s="2">
        <v>2</v>
      </c>
      <c r="N20" s="2">
        <v>4</v>
      </c>
      <c r="O20" s="2">
        <f t="shared" si="0"/>
        <v>9</v>
      </c>
      <c r="P20" s="2">
        <f t="shared" si="1"/>
        <v>4</v>
      </c>
      <c r="Q20" s="2">
        <f t="shared" si="2"/>
        <v>0</v>
      </c>
      <c r="R20" s="2">
        <f t="shared" si="3"/>
        <v>25</v>
      </c>
      <c r="S20" s="2">
        <f t="shared" ref="S20:T20" si="10">(S9*COUNTIF($J$1:$J$100,S$16) - COUNTIFS($J$1:$J$100,S$16,$K$1:$K$100,"=1"))^2</f>
        <v>0.36000000000000171</v>
      </c>
      <c r="T20" s="2">
        <f t="shared" si="10"/>
        <v>5.2899999999999947</v>
      </c>
      <c r="U20" s="2">
        <f t="shared" ref="U20:V20" si="11">(U9*COUNTIF($J$1:$J$100,U$16) - COUNTIFS($J$1:$J$100,U$16,$K$1:$K$100,"=0"))^2</f>
        <v>0.15999999999999992</v>
      </c>
      <c r="V20" s="2">
        <f t="shared" si="11"/>
        <v>0.15999999999999992</v>
      </c>
    </row>
    <row r="21" spans="1:22" ht="14.25" customHeight="1">
      <c r="A21" s="2">
        <v>35</v>
      </c>
      <c r="B21" s="2">
        <v>20</v>
      </c>
      <c r="C21" s="2">
        <v>5</v>
      </c>
      <c r="D21" s="2">
        <v>1</v>
      </c>
      <c r="E21" s="2">
        <v>0.80900000000000005</v>
      </c>
      <c r="F21" s="2">
        <v>2</v>
      </c>
      <c r="H21" s="2">
        <v>35</v>
      </c>
      <c r="I21" s="2">
        <v>21</v>
      </c>
      <c r="J21" s="2">
        <v>3</v>
      </c>
      <c r="K21" s="2">
        <v>1</v>
      </c>
      <c r="L21" s="2">
        <v>1.1240000000000001</v>
      </c>
      <c r="M21" s="2">
        <v>2</v>
      </c>
      <c r="N21" s="2">
        <v>5</v>
      </c>
      <c r="O21" s="2">
        <f t="shared" si="0"/>
        <v>5.7599999999999936</v>
      </c>
      <c r="P21" s="2">
        <f t="shared" si="1"/>
        <v>11.559999999999999</v>
      </c>
      <c r="Q21" s="2">
        <f t="shared" si="2"/>
        <v>29.159999999999986</v>
      </c>
      <c r="R21" s="2">
        <f t="shared" si="3"/>
        <v>1.6899999999999995</v>
      </c>
      <c r="S21" s="2">
        <f t="shared" ref="S21:T21" si="12">(S10*COUNTIF($J$1:$J$100,S$16) - COUNTIFS($J$1:$J$100,S$16,$K$1:$K$100,"=1"))^2</f>
        <v>36</v>
      </c>
      <c r="T21" s="2">
        <f t="shared" si="12"/>
        <v>16</v>
      </c>
      <c r="U21" s="2">
        <f t="shared" ref="U21:V21" si="13">(U10*COUNTIF($J$1:$J$100,U$16) - COUNTIFS($J$1:$J$100,U$16,$K$1:$K$100,"=0"))^2</f>
        <v>25</v>
      </c>
      <c r="V21" s="2">
        <f t="shared" si="13"/>
        <v>25</v>
      </c>
    </row>
    <row r="22" spans="1:22" ht="14.25" customHeight="1">
      <c r="A22" s="2">
        <v>35</v>
      </c>
      <c r="B22" s="2">
        <v>21</v>
      </c>
      <c r="C22" s="2">
        <v>3</v>
      </c>
      <c r="D22" s="2">
        <v>1</v>
      </c>
      <c r="E22" s="2">
        <v>1.1240000000000001</v>
      </c>
      <c r="F22" s="2">
        <v>2</v>
      </c>
      <c r="H22" s="2">
        <v>35</v>
      </c>
      <c r="I22" s="2">
        <v>22</v>
      </c>
      <c r="J22" s="2">
        <v>2</v>
      </c>
      <c r="K22" s="2">
        <v>1</v>
      </c>
      <c r="L22" s="2">
        <v>0.91900000000000004</v>
      </c>
      <c r="M22" s="2">
        <v>1</v>
      </c>
      <c r="N22" s="2">
        <v>6</v>
      </c>
      <c r="O22" s="2">
        <f t="shared" si="0"/>
        <v>9</v>
      </c>
      <c r="P22" s="2">
        <f t="shared" si="1"/>
        <v>4</v>
      </c>
      <c r="Q22" s="2">
        <f t="shared" si="2"/>
        <v>0</v>
      </c>
      <c r="R22" s="2">
        <f t="shared" si="3"/>
        <v>25</v>
      </c>
      <c r="S22" s="2">
        <f t="shared" ref="S22:T22" si="14">(S11*COUNTIF($J$1:$J$100,S$16) - COUNTIFS($J$1:$J$100,S$16,$K$1:$K$100,"=1"))^2</f>
        <v>36</v>
      </c>
      <c r="T22" s="2">
        <f t="shared" si="14"/>
        <v>16</v>
      </c>
      <c r="U22" s="2">
        <f t="shared" ref="U22:V22" si="15">(U11*COUNTIF($J$1:$J$100,U$16) - COUNTIFS($J$1:$J$100,U$16,$K$1:$K$100,"=0"))^2</f>
        <v>25</v>
      </c>
      <c r="V22" s="2">
        <f t="shared" si="15"/>
        <v>25</v>
      </c>
    </row>
    <row r="23" spans="1:22" ht="14.25" customHeight="1">
      <c r="A23" s="2">
        <v>35</v>
      </c>
      <c r="B23" s="2">
        <v>22</v>
      </c>
      <c r="C23" s="2">
        <v>2</v>
      </c>
      <c r="D23" s="2">
        <v>1</v>
      </c>
      <c r="E23" s="2">
        <v>0.91900000000000004</v>
      </c>
      <c r="F23" s="2">
        <v>1</v>
      </c>
      <c r="H23" s="2">
        <v>35</v>
      </c>
      <c r="I23" s="2">
        <v>23</v>
      </c>
      <c r="J23" s="2">
        <v>1</v>
      </c>
      <c r="K23" s="2">
        <v>1</v>
      </c>
      <c r="L23" s="2">
        <v>0.67200000000000004</v>
      </c>
      <c r="M23" s="2">
        <v>2</v>
      </c>
    </row>
    <row r="24" spans="1:22" ht="14.25" customHeight="1">
      <c r="A24" s="2">
        <v>35</v>
      </c>
      <c r="B24" s="2">
        <v>23</v>
      </c>
      <c r="C24" s="2">
        <v>1</v>
      </c>
      <c r="D24" s="2">
        <v>1</v>
      </c>
      <c r="E24" s="2">
        <v>0.67200000000000004</v>
      </c>
      <c r="F24" s="2">
        <v>2</v>
      </c>
      <c r="H24" s="2">
        <v>35</v>
      </c>
      <c r="I24" s="2">
        <v>24</v>
      </c>
      <c r="J24" s="2">
        <v>4</v>
      </c>
      <c r="K24" s="2">
        <v>1</v>
      </c>
      <c r="L24" s="2">
        <v>1.4590000000000001</v>
      </c>
      <c r="M24" s="2">
        <v>1</v>
      </c>
    </row>
    <row r="25" spans="1:22" ht="14.25" customHeight="1">
      <c r="A25" s="2">
        <v>35</v>
      </c>
      <c r="B25" s="2">
        <v>24</v>
      </c>
      <c r="C25" s="2">
        <v>4</v>
      </c>
      <c r="D25" s="2">
        <v>1</v>
      </c>
      <c r="E25" s="2">
        <v>1.4590000000000001</v>
      </c>
      <c r="F25" s="2">
        <v>1</v>
      </c>
      <c r="H25" s="2">
        <v>35</v>
      </c>
      <c r="I25" s="2">
        <v>25</v>
      </c>
      <c r="J25" s="2">
        <v>7</v>
      </c>
      <c r="K25" s="2">
        <v>1</v>
      </c>
      <c r="L25" s="2">
        <v>1.0209999999999999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35</v>
      </c>
      <c r="B26" s="2">
        <v>25</v>
      </c>
      <c r="C26" s="2">
        <v>7</v>
      </c>
      <c r="D26" s="2">
        <v>1</v>
      </c>
      <c r="E26" s="2">
        <v>1.0209999999999999</v>
      </c>
      <c r="F26" s="2">
        <v>1</v>
      </c>
      <c r="H26" s="2">
        <v>35</v>
      </c>
      <c r="I26" s="2">
        <v>26</v>
      </c>
      <c r="J26" s="2">
        <v>6</v>
      </c>
      <c r="K26" s="2">
        <v>1</v>
      </c>
      <c r="L26" s="2">
        <v>1.647</v>
      </c>
      <c r="M26" s="2">
        <v>2</v>
      </c>
      <c r="O26" s="2">
        <f t="shared" ref="O26:V26" si="16">COUNTIF($J$1:$J$100,O$16)^2</f>
        <v>144</v>
      </c>
      <c r="P26" s="2">
        <f t="shared" si="16"/>
        <v>144</v>
      </c>
      <c r="Q26" s="2">
        <f t="shared" si="16"/>
        <v>144</v>
      </c>
      <c r="R26" s="2">
        <f t="shared" si="16"/>
        <v>196</v>
      </c>
      <c r="S26" s="2">
        <f t="shared" si="16"/>
        <v>144</v>
      </c>
      <c r="T26" s="2">
        <f t="shared" si="16"/>
        <v>196</v>
      </c>
      <c r="U26" s="2">
        <f t="shared" si="16"/>
        <v>144</v>
      </c>
      <c r="V26" s="2">
        <f t="shared" si="16"/>
        <v>144</v>
      </c>
    </row>
    <row r="27" spans="1:22" ht="14.25" customHeight="1">
      <c r="A27" s="2">
        <v>35</v>
      </c>
      <c r="B27" s="2">
        <v>26</v>
      </c>
      <c r="C27" s="2">
        <v>6</v>
      </c>
      <c r="D27" s="2">
        <v>1</v>
      </c>
      <c r="E27" s="2">
        <v>1.647</v>
      </c>
      <c r="F27" s="2">
        <v>2</v>
      </c>
      <c r="H27" s="2">
        <v>35</v>
      </c>
      <c r="I27" s="2">
        <v>27</v>
      </c>
      <c r="J27" s="2">
        <v>1</v>
      </c>
      <c r="K27" s="2">
        <v>0</v>
      </c>
      <c r="L27" s="2">
        <v>1.147</v>
      </c>
      <c r="M27" s="2">
        <v>1</v>
      </c>
    </row>
    <row r="28" spans="1:22" ht="14.25" customHeight="1">
      <c r="A28" s="2">
        <v>35</v>
      </c>
      <c r="B28" s="2">
        <v>27</v>
      </c>
      <c r="C28" s="2">
        <v>1</v>
      </c>
      <c r="D28" s="2">
        <v>0</v>
      </c>
      <c r="E28" s="2">
        <v>1.147</v>
      </c>
      <c r="F28" s="2">
        <v>1</v>
      </c>
      <c r="H28" s="2">
        <v>35</v>
      </c>
      <c r="I28" s="2">
        <v>28</v>
      </c>
      <c r="J28" s="2">
        <v>2</v>
      </c>
      <c r="K28" s="2">
        <v>1</v>
      </c>
      <c r="L28" s="2">
        <v>1.204</v>
      </c>
      <c r="M28" s="2">
        <v>1</v>
      </c>
    </row>
    <row r="29" spans="1:22" ht="14.25" customHeight="1">
      <c r="A29" s="2">
        <v>35</v>
      </c>
      <c r="B29" s="2">
        <v>28</v>
      </c>
      <c r="C29" s="2">
        <v>2</v>
      </c>
      <c r="D29" s="2">
        <v>1</v>
      </c>
      <c r="E29" s="2">
        <v>1.204</v>
      </c>
      <c r="F29" s="2">
        <v>1</v>
      </c>
      <c r="H29" s="2">
        <v>35</v>
      </c>
      <c r="I29" s="2">
        <v>29</v>
      </c>
      <c r="J29" s="2">
        <v>7</v>
      </c>
      <c r="K29" s="2">
        <v>1</v>
      </c>
      <c r="L29" s="2">
        <v>0.82399999999999995</v>
      </c>
      <c r="M29" s="2">
        <v>1</v>
      </c>
    </row>
    <row r="30" spans="1:22" ht="14.25" customHeight="1">
      <c r="A30" s="2">
        <v>35</v>
      </c>
      <c r="B30" s="2">
        <v>29</v>
      </c>
      <c r="C30" s="2">
        <v>7</v>
      </c>
      <c r="D30" s="2">
        <v>1</v>
      </c>
      <c r="E30" s="2">
        <v>0.82399999999999995</v>
      </c>
      <c r="F30" s="2">
        <v>1</v>
      </c>
      <c r="H30" s="2">
        <v>35</v>
      </c>
      <c r="I30" s="2">
        <v>30</v>
      </c>
      <c r="J30" s="2">
        <v>5</v>
      </c>
      <c r="K30" s="2">
        <v>1</v>
      </c>
      <c r="L30" s="2">
        <v>1.39</v>
      </c>
      <c r="M30" s="2">
        <v>2</v>
      </c>
    </row>
    <row r="31" spans="1:22" ht="14.25" customHeight="1">
      <c r="A31" s="2">
        <v>35</v>
      </c>
      <c r="B31" s="2">
        <v>30</v>
      </c>
      <c r="C31" s="2">
        <v>5</v>
      </c>
      <c r="D31" s="2">
        <v>1</v>
      </c>
      <c r="E31" s="2">
        <v>1.39</v>
      </c>
      <c r="F31" s="2">
        <v>2</v>
      </c>
      <c r="H31" s="2">
        <v>35</v>
      </c>
      <c r="I31" s="2">
        <v>31</v>
      </c>
      <c r="J31" s="2">
        <v>6</v>
      </c>
      <c r="K31" s="2">
        <v>0</v>
      </c>
      <c r="L31" s="2">
        <v>1.212</v>
      </c>
      <c r="M31" s="2">
        <v>1</v>
      </c>
      <c r="N31" s="2">
        <v>1</v>
      </c>
      <c r="O31" s="2">
        <f t="shared" ref="O31:O36" si="17">SUM(O17:V17)/(SUM($O$26:$V$26))</f>
        <v>4.3105095541401239E-2</v>
      </c>
    </row>
    <row r="32" spans="1:22" ht="14.25" customHeight="1">
      <c r="A32" s="2">
        <v>35</v>
      </c>
      <c r="B32" s="2">
        <v>31</v>
      </c>
      <c r="C32" s="2">
        <v>6</v>
      </c>
      <c r="D32" s="2">
        <v>0</v>
      </c>
      <c r="E32" s="2">
        <v>1.212</v>
      </c>
      <c r="F32" s="2">
        <v>1</v>
      </c>
      <c r="H32" s="2">
        <v>35</v>
      </c>
      <c r="I32" s="2">
        <v>32</v>
      </c>
      <c r="J32" s="2">
        <v>7</v>
      </c>
      <c r="K32" s="2">
        <v>1</v>
      </c>
      <c r="L32" s="2">
        <v>0.85799999999999998</v>
      </c>
      <c r="M32" s="2">
        <v>1</v>
      </c>
      <c r="N32" s="2">
        <v>2</v>
      </c>
      <c r="O32" s="2">
        <f t="shared" si="17"/>
        <v>7.7499999999999972E-2</v>
      </c>
    </row>
    <row r="33" spans="1:15" ht="14.25" customHeight="1">
      <c r="A33" s="2">
        <v>35</v>
      </c>
      <c r="B33" s="2">
        <v>32</v>
      </c>
      <c r="C33" s="2">
        <v>7</v>
      </c>
      <c r="D33" s="2">
        <v>1</v>
      </c>
      <c r="E33" s="2">
        <v>0.85799999999999998</v>
      </c>
      <c r="F33" s="2">
        <v>1</v>
      </c>
      <c r="H33" s="2">
        <v>35</v>
      </c>
      <c r="I33" s="2">
        <v>33</v>
      </c>
      <c r="J33" s="2">
        <v>3</v>
      </c>
      <c r="K33" s="2">
        <v>0</v>
      </c>
      <c r="L33" s="2">
        <v>0.98499999999999999</v>
      </c>
      <c r="M33" s="2">
        <v>1</v>
      </c>
      <c r="N33" s="2">
        <v>3</v>
      </c>
      <c r="O33" s="2">
        <f t="shared" si="17"/>
        <v>0.2093471337579618</v>
      </c>
    </row>
    <row r="34" spans="1:15" ht="14.25" customHeight="1">
      <c r="A34" s="2">
        <v>35</v>
      </c>
      <c r="B34" s="2">
        <v>33</v>
      </c>
      <c r="C34" s="2">
        <v>3</v>
      </c>
      <c r="D34" s="2">
        <v>0</v>
      </c>
      <c r="E34" s="2">
        <v>0.98499999999999999</v>
      </c>
      <c r="F34" s="2">
        <v>1</v>
      </c>
      <c r="H34" s="2">
        <v>35</v>
      </c>
      <c r="I34" s="2">
        <v>34</v>
      </c>
      <c r="J34" s="2">
        <v>2</v>
      </c>
      <c r="K34" s="2">
        <v>0</v>
      </c>
      <c r="L34" s="2">
        <v>1.583</v>
      </c>
      <c r="M34" s="2">
        <v>2</v>
      </c>
      <c r="N34" s="2">
        <v>4</v>
      </c>
      <c r="O34" s="2">
        <f t="shared" si="17"/>
        <v>3.5007961783439477E-2</v>
      </c>
    </row>
    <row r="35" spans="1:15" ht="14.25" customHeight="1">
      <c r="A35" s="2">
        <v>35</v>
      </c>
      <c r="B35" s="2">
        <v>34</v>
      </c>
      <c r="C35" s="2">
        <v>2</v>
      </c>
      <c r="D35" s="2">
        <v>0</v>
      </c>
      <c r="E35" s="2">
        <v>1.583</v>
      </c>
      <c r="F35" s="2">
        <v>2</v>
      </c>
      <c r="H35" s="2">
        <v>35</v>
      </c>
      <c r="I35" s="2">
        <v>35</v>
      </c>
      <c r="J35" s="2">
        <v>6</v>
      </c>
      <c r="K35" s="2">
        <v>1</v>
      </c>
      <c r="L35" s="2">
        <v>1.3859999999999999</v>
      </c>
      <c r="M35" s="2">
        <v>2</v>
      </c>
      <c r="N35" s="2">
        <v>5</v>
      </c>
      <c r="O35" s="2">
        <f t="shared" si="17"/>
        <v>0.11956210191082799</v>
      </c>
    </row>
    <row r="36" spans="1:15" ht="14.25" customHeight="1">
      <c r="A36" s="2">
        <v>35</v>
      </c>
      <c r="B36" s="2">
        <v>35</v>
      </c>
      <c r="C36" s="2">
        <v>6</v>
      </c>
      <c r="D36" s="2">
        <v>1</v>
      </c>
      <c r="E36" s="2">
        <v>1.3859999999999999</v>
      </c>
      <c r="F36" s="2">
        <v>2</v>
      </c>
      <c r="H36" s="2">
        <v>35</v>
      </c>
      <c r="I36" s="2">
        <v>36</v>
      </c>
      <c r="J36" s="2">
        <v>8</v>
      </c>
      <c r="K36" s="2">
        <v>1</v>
      </c>
      <c r="L36" s="2">
        <v>0.68500000000000005</v>
      </c>
      <c r="M36" s="2">
        <v>1</v>
      </c>
      <c r="N36" s="2">
        <v>6</v>
      </c>
      <c r="O36" s="2">
        <f t="shared" si="17"/>
        <v>0.11146496815286625</v>
      </c>
    </row>
    <row r="37" spans="1:15" ht="14.25" customHeight="1">
      <c r="A37" s="2">
        <v>35</v>
      </c>
      <c r="B37" s="2">
        <v>36</v>
      </c>
      <c r="C37" s="2">
        <v>8</v>
      </c>
      <c r="D37" s="2">
        <v>1</v>
      </c>
      <c r="E37" s="2">
        <v>0.68500000000000005</v>
      </c>
      <c r="F37" s="2">
        <v>1</v>
      </c>
      <c r="H37" s="2">
        <v>35</v>
      </c>
      <c r="I37" s="2">
        <v>37</v>
      </c>
      <c r="J37" s="2">
        <v>1</v>
      </c>
      <c r="K37" s="2">
        <v>1</v>
      </c>
      <c r="L37" s="2">
        <v>1.2130000000000001</v>
      </c>
      <c r="M37" s="2">
        <v>2</v>
      </c>
    </row>
    <row r="38" spans="1:15" ht="14.25" customHeight="1">
      <c r="A38" s="2">
        <v>35</v>
      </c>
      <c r="B38" s="2">
        <v>37</v>
      </c>
      <c r="C38" s="2">
        <v>1</v>
      </c>
      <c r="D38" s="2">
        <v>1</v>
      </c>
      <c r="E38" s="2">
        <v>1.2130000000000001</v>
      </c>
      <c r="F38" s="2">
        <v>2</v>
      </c>
      <c r="H38" s="2">
        <v>35</v>
      </c>
      <c r="I38" s="2">
        <v>38</v>
      </c>
      <c r="J38" s="2">
        <v>5</v>
      </c>
      <c r="K38" s="2">
        <v>1</v>
      </c>
      <c r="L38" s="2">
        <v>1.0409999999999999</v>
      </c>
      <c r="M38" s="2">
        <v>2</v>
      </c>
    </row>
    <row r="39" spans="1:15" ht="14.25" customHeight="1">
      <c r="A39" s="2">
        <v>35</v>
      </c>
      <c r="B39" s="2">
        <v>38</v>
      </c>
      <c r="C39" s="2">
        <v>5</v>
      </c>
      <c r="D39" s="2">
        <v>1</v>
      </c>
      <c r="E39" s="2">
        <v>1.0409999999999999</v>
      </c>
      <c r="F39" s="2">
        <v>2</v>
      </c>
      <c r="H39" s="2">
        <v>35</v>
      </c>
      <c r="I39" s="2">
        <v>39</v>
      </c>
      <c r="J39" s="2">
        <v>3</v>
      </c>
      <c r="K39" s="2">
        <v>0</v>
      </c>
      <c r="L39" s="2">
        <v>0.71099999999999997</v>
      </c>
      <c r="M39" s="2">
        <v>1</v>
      </c>
    </row>
    <row r="40" spans="1:15" ht="14.25" customHeight="1">
      <c r="A40" s="2">
        <v>35</v>
      </c>
      <c r="B40" s="2">
        <v>39</v>
      </c>
      <c r="C40" s="2">
        <v>3</v>
      </c>
      <c r="D40" s="2">
        <v>0</v>
      </c>
      <c r="E40" s="2">
        <v>0.71099999999999997</v>
      </c>
      <c r="F40" s="2">
        <v>1</v>
      </c>
      <c r="H40" s="2">
        <v>35</v>
      </c>
      <c r="I40" s="2">
        <v>40</v>
      </c>
      <c r="J40" s="2">
        <v>4</v>
      </c>
      <c r="K40" s="2">
        <v>0</v>
      </c>
      <c r="L40" s="2">
        <v>1.444</v>
      </c>
      <c r="M40" s="2">
        <v>2</v>
      </c>
    </row>
    <row r="41" spans="1:15" ht="14.25" customHeight="1">
      <c r="A41" s="2">
        <v>35</v>
      </c>
      <c r="B41" s="2">
        <v>40</v>
      </c>
      <c r="C41" s="2">
        <v>4</v>
      </c>
      <c r="D41" s="2">
        <v>0</v>
      </c>
      <c r="E41" s="2">
        <v>1.444</v>
      </c>
      <c r="F41" s="2">
        <v>2</v>
      </c>
      <c r="H41" s="2">
        <v>35</v>
      </c>
      <c r="I41" s="2">
        <v>41</v>
      </c>
      <c r="J41" s="2">
        <v>1</v>
      </c>
      <c r="K41" s="2">
        <v>1</v>
      </c>
      <c r="L41" s="2">
        <v>1.179</v>
      </c>
      <c r="M41" s="2">
        <v>2</v>
      </c>
    </row>
    <row r="42" spans="1:15" ht="14.25" customHeight="1">
      <c r="A42" s="2">
        <v>35</v>
      </c>
      <c r="B42" s="2">
        <v>41</v>
      </c>
      <c r="C42" s="2">
        <v>1</v>
      </c>
      <c r="D42" s="2">
        <v>1</v>
      </c>
      <c r="E42" s="2">
        <v>1.179</v>
      </c>
      <c r="F42" s="2">
        <v>2</v>
      </c>
      <c r="H42" s="2">
        <v>35</v>
      </c>
      <c r="I42" s="2">
        <v>42</v>
      </c>
      <c r="J42" s="2">
        <v>4</v>
      </c>
      <c r="K42" s="2">
        <v>1</v>
      </c>
      <c r="L42" s="2">
        <v>1.1379999999999999</v>
      </c>
      <c r="M42" s="2">
        <v>1</v>
      </c>
    </row>
    <row r="43" spans="1:15" ht="14.25" customHeight="1">
      <c r="A43" s="2">
        <v>35</v>
      </c>
      <c r="B43" s="2">
        <v>42</v>
      </c>
      <c r="C43" s="2">
        <v>4</v>
      </c>
      <c r="D43" s="2">
        <v>1</v>
      </c>
      <c r="E43" s="2">
        <v>1.1379999999999999</v>
      </c>
      <c r="F43" s="2">
        <v>1</v>
      </c>
      <c r="H43" s="2">
        <v>35</v>
      </c>
      <c r="I43" s="2">
        <v>43</v>
      </c>
      <c r="J43" s="2">
        <v>7</v>
      </c>
      <c r="K43" s="2">
        <v>1</v>
      </c>
      <c r="L43" s="2">
        <v>0.93</v>
      </c>
      <c r="M43" s="2">
        <v>1</v>
      </c>
    </row>
    <row r="44" spans="1:15" ht="14.25" customHeight="1">
      <c r="A44" s="2">
        <v>35</v>
      </c>
      <c r="B44" s="2">
        <v>43</v>
      </c>
      <c r="C44" s="2">
        <v>7</v>
      </c>
      <c r="D44" s="2">
        <v>1</v>
      </c>
      <c r="E44" s="2">
        <v>0.93</v>
      </c>
      <c r="F44" s="2">
        <v>1</v>
      </c>
      <c r="H44" s="2">
        <v>35</v>
      </c>
      <c r="I44" s="2">
        <v>44</v>
      </c>
      <c r="J44" s="2">
        <v>8</v>
      </c>
      <c r="K44" s="2">
        <v>1</v>
      </c>
      <c r="L44" s="2">
        <v>0.63400000000000001</v>
      </c>
      <c r="M44" s="2">
        <v>1</v>
      </c>
    </row>
    <row r="45" spans="1:15" ht="14.25" customHeight="1">
      <c r="A45" s="2">
        <v>35</v>
      </c>
      <c r="B45" s="2">
        <v>44</v>
      </c>
      <c r="C45" s="2">
        <v>8</v>
      </c>
      <c r="D45" s="2">
        <v>1</v>
      </c>
      <c r="E45" s="2">
        <v>0.63400000000000001</v>
      </c>
      <c r="F45" s="2">
        <v>1</v>
      </c>
      <c r="H45" s="2">
        <v>35</v>
      </c>
      <c r="I45" s="2">
        <v>45</v>
      </c>
      <c r="J45" s="2">
        <v>4</v>
      </c>
      <c r="K45" s="2">
        <v>1</v>
      </c>
      <c r="L45" s="2">
        <v>0.57699999999999996</v>
      </c>
      <c r="M45" s="2">
        <v>1</v>
      </c>
    </row>
    <row r="46" spans="1:15" ht="14.25" customHeight="1">
      <c r="A46" s="2">
        <v>35</v>
      </c>
      <c r="B46" s="2">
        <v>45</v>
      </c>
      <c r="C46" s="2">
        <v>4</v>
      </c>
      <c r="D46" s="2">
        <v>1</v>
      </c>
      <c r="E46" s="2">
        <v>0.57699999999999996</v>
      </c>
      <c r="F46" s="2">
        <v>1</v>
      </c>
      <c r="H46" s="2">
        <v>35</v>
      </c>
      <c r="I46" s="2">
        <v>46</v>
      </c>
      <c r="J46" s="2">
        <v>8</v>
      </c>
      <c r="K46" s="2">
        <v>1</v>
      </c>
      <c r="L46" s="2">
        <v>1.2769999999999999</v>
      </c>
      <c r="M46" s="2">
        <v>1</v>
      </c>
    </row>
    <row r="47" spans="1:15" ht="14.25" customHeight="1">
      <c r="A47" s="2">
        <v>35</v>
      </c>
      <c r="B47" s="2">
        <v>46</v>
      </c>
      <c r="C47" s="2">
        <v>8</v>
      </c>
      <c r="D47" s="2">
        <v>1</v>
      </c>
      <c r="E47" s="2">
        <v>1.2769999999999999</v>
      </c>
      <c r="F47" s="2">
        <v>1</v>
      </c>
      <c r="H47" s="2">
        <v>35</v>
      </c>
      <c r="I47" s="2">
        <v>47</v>
      </c>
      <c r="J47" s="2">
        <v>2</v>
      </c>
      <c r="K47" s="2">
        <v>1</v>
      </c>
      <c r="L47" s="2">
        <v>1.2090000000000001</v>
      </c>
      <c r="M47" s="2">
        <v>1</v>
      </c>
    </row>
    <row r="48" spans="1:15" ht="14.25" customHeight="1">
      <c r="A48" s="2">
        <v>35</v>
      </c>
      <c r="B48" s="2">
        <v>47</v>
      </c>
      <c r="C48" s="2">
        <v>2</v>
      </c>
      <c r="D48" s="2">
        <v>1</v>
      </c>
      <c r="E48" s="2">
        <v>1.2090000000000001</v>
      </c>
      <c r="F48" s="2">
        <v>1</v>
      </c>
      <c r="H48" s="2">
        <v>35</v>
      </c>
      <c r="I48" s="2">
        <v>48</v>
      </c>
      <c r="J48" s="2">
        <v>4</v>
      </c>
      <c r="K48" s="2">
        <v>1</v>
      </c>
      <c r="L48" s="2">
        <v>1.0409999999999999</v>
      </c>
      <c r="M48" s="2">
        <v>1</v>
      </c>
    </row>
    <row r="49" spans="1:13" ht="14.25" customHeight="1">
      <c r="A49" s="2">
        <v>35</v>
      </c>
      <c r="B49" s="2">
        <v>48</v>
      </c>
      <c r="C49" s="2">
        <v>4</v>
      </c>
      <c r="D49" s="2">
        <v>1</v>
      </c>
      <c r="E49" s="2">
        <v>1.0409999999999999</v>
      </c>
      <c r="F49" s="2">
        <v>1</v>
      </c>
      <c r="H49" s="2">
        <v>35</v>
      </c>
      <c r="I49" s="2">
        <v>49</v>
      </c>
      <c r="J49" s="2">
        <v>6</v>
      </c>
      <c r="K49" s="2">
        <v>1</v>
      </c>
      <c r="L49" s="2">
        <v>1.542</v>
      </c>
      <c r="M49" s="2">
        <v>2</v>
      </c>
    </row>
    <row r="50" spans="1:13" ht="14.25" customHeight="1">
      <c r="A50" s="2">
        <v>35</v>
      </c>
      <c r="B50" s="2">
        <v>49</v>
      </c>
      <c r="C50" s="2">
        <v>6</v>
      </c>
      <c r="D50" s="2">
        <v>1</v>
      </c>
      <c r="E50" s="2">
        <v>1.542</v>
      </c>
      <c r="F50" s="2">
        <v>2</v>
      </c>
      <c r="H50" s="2">
        <v>35</v>
      </c>
      <c r="I50" s="2">
        <v>50</v>
      </c>
      <c r="J50" s="2">
        <v>2</v>
      </c>
      <c r="K50" s="2">
        <v>1</v>
      </c>
      <c r="L50" s="2">
        <v>1.1359999999999999</v>
      </c>
      <c r="M50" s="2">
        <v>1</v>
      </c>
    </row>
    <row r="51" spans="1:13" ht="14.25" customHeight="1">
      <c r="A51" s="2">
        <v>35</v>
      </c>
      <c r="B51" s="2">
        <v>50</v>
      </c>
      <c r="C51" s="2">
        <v>2</v>
      </c>
      <c r="D51" s="2">
        <v>1</v>
      </c>
      <c r="E51" s="2">
        <v>1.1359999999999999</v>
      </c>
      <c r="F51" s="2">
        <v>1</v>
      </c>
      <c r="H51" s="2">
        <v>35</v>
      </c>
      <c r="I51" s="2">
        <v>51</v>
      </c>
      <c r="J51" s="2">
        <v>1</v>
      </c>
      <c r="K51" s="2">
        <v>1</v>
      </c>
      <c r="L51" s="2">
        <v>1.1040000000000001</v>
      </c>
      <c r="M51" s="2">
        <v>2</v>
      </c>
    </row>
    <row r="52" spans="1:13" ht="14.25" customHeight="1">
      <c r="A52" s="2">
        <v>35</v>
      </c>
      <c r="B52" s="2">
        <v>51</v>
      </c>
      <c r="C52" s="2">
        <v>1</v>
      </c>
      <c r="D52" s="2">
        <v>1</v>
      </c>
      <c r="E52" s="2">
        <v>1.1040000000000001</v>
      </c>
      <c r="F52" s="2">
        <v>2</v>
      </c>
      <c r="H52" s="2">
        <v>35</v>
      </c>
      <c r="I52" s="2">
        <v>52</v>
      </c>
      <c r="J52" s="2">
        <v>8</v>
      </c>
      <c r="K52" s="2">
        <v>1</v>
      </c>
      <c r="L52" s="2">
        <v>1.454</v>
      </c>
      <c r="M52" s="2">
        <v>2</v>
      </c>
    </row>
    <row r="53" spans="1:13" ht="14.25" customHeight="1">
      <c r="A53" s="2">
        <v>35</v>
      </c>
      <c r="B53" s="2">
        <v>52</v>
      </c>
      <c r="C53" s="2">
        <v>8</v>
      </c>
      <c r="D53" s="2">
        <v>1</v>
      </c>
      <c r="E53" s="2">
        <v>1.454</v>
      </c>
      <c r="F53" s="2">
        <v>2</v>
      </c>
      <c r="H53" s="2">
        <v>35</v>
      </c>
      <c r="I53" s="2">
        <v>53</v>
      </c>
      <c r="J53" s="2">
        <v>3</v>
      </c>
      <c r="K53" s="2">
        <v>1</v>
      </c>
      <c r="L53" s="2">
        <v>0.72099999999999997</v>
      </c>
      <c r="M53" s="2">
        <v>1</v>
      </c>
    </row>
    <row r="54" spans="1:13" ht="14.25" customHeight="1">
      <c r="A54" s="2">
        <v>35</v>
      </c>
      <c r="B54" s="2">
        <v>53</v>
      </c>
      <c r="C54" s="2">
        <v>3</v>
      </c>
      <c r="D54" s="2">
        <v>1</v>
      </c>
      <c r="E54" s="2">
        <v>0.72099999999999997</v>
      </c>
      <c r="F54" s="2">
        <v>1</v>
      </c>
      <c r="H54" s="2">
        <v>35</v>
      </c>
      <c r="I54" s="2">
        <v>54</v>
      </c>
      <c r="J54" s="2">
        <v>4</v>
      </c>
      <c r="K54" s="2">
        <v>1</v>
      </c>
      <c r="L54" s="2">
        <v>0.83399999999999996</v>
      </c>
      <c r="M54" s="2">
        <v>2</v>
      </c>
    </row>
    <row r="55" spans="1:13" ht="14.25" customHeight="1">
      <c r="A55" s="2">
        <v>35</v>
      </c>
      <c r="B55" s="2">
        <v>54</v>
      </c>
      <c r="C55" s="2">
        <v>4</v>
      </c>
      <c r="D55" s="2">
        <v>1</v>
      </c>
      <c r="E55" s="2">
        <v>0.83399999999999996</v>
      </c>
      <c r="F55" s="2">
        <v>2</v>
      </c>
      <c r="H55" s="2">
        <v>35</v>
      </c>
      <c r="I55" s="2">
        <v>55</v>
      </c>
      <c r="J55" s="2">
        <v>5</v>
      </c>
      <c r="K55" s="2">
        <v>1</v>
      </c>
      <c r="L55" s="2">
        <v>0.93899999999999995</v>
      </c>
      <c r="M55" s="2">
        <v>2</v>
      </c>
    </row>
    <row r="56" spans="1:13" ht="14.25" customHeight="1">
      <c r="A56" s="2">
        <v>35</v>
      </c>
      <c r="B56" s="2">
        <v>55</v>
      </c>
      <c r="C56" s="2">
        <v>5</v>
      </c>
      <c r="D56" s="2">
        <v>1</v>
      </c>
      <c r="E56" s="2">
        <v>0.93899999999999995</v>
      </c>
      <c r="F56" s="2">
        <v>2</v>
      </c>
      <c r="H56" s="2">
        <v>35</v>
      </c>
      <c r="I56" s="2">
        <v>56</v>
      </c>
      <c r="J56" s="2">
        <v>2</v>
      </c>
      <c r="K56" s="2">
        <v>1</v>
      </c>
      <c r="L56" s="2">
        <v>0.54300000000000004</v>
      </c>
      <c r="M56" s="2">
        <v>1</v>
      </c>
    </row>
    <row r="57" spans="1:13" ht="14.25" customHeight="1">
      <c r="A57" s="2">
        <v>35</v>
      </c>
      <c r="B57" s="2">
        <v>56</v>
      </c>
      <c r="C57" s="2">
        <v>2</v>
      </c>
      <c r="D57" s="2">
        <v>1</v>
      </c>
      <c r="E57" s="2">
        <v>0.54300000000000004</v>
      </c>
      <c r="F57" s="2">
        <v>1</v>
      </c>
      <c r="H57" s="2">
        <v>35</v>
      </c>
      <c r="I57" s="2">
        <v>57</v>
      </c>
      <c r="J57" s="2">
        <v>1</v>
      </c>
      <c r="K57" s="2">
        <v>1</v>
      </c>
      <c r="L57" s="2">
        <v>1.0069999999999999</v>
      </c>
      <c r="M57" s="2">
        <v>1</v>
      </c>
    </row>
    <row r="58" spans="1:13" ht="14.25" customHeight="1">
      <c r="A58" s="2">
        <v>35</v>
      </c>
      <c r="B58" s="2">
        <v>57</v>
      </c>
      <c r="C58" s="2">
        <v>1</v>
      </c>
      <c r="D58" s="2">
        <v>1</v>
      </c>
      <c r="E58" s="2">
        <v>1.0069999999999999</v>
      </c>
      <c r="F58" s="2">
        <v>1</v>
      </c>
      <c r="H58" s="2">
        <v>35</v>
      </c>
      <c r="I58" s="2">
        <v>58</v>
      </c>
      <c r="J58" s="2">
        <v>6</v>
      </c>
      <c r="K58" s="2">
        <v>1</v>
      </c>
      <c r="L58" s="2">
        <v>0.89900000000000002</v>
      </c>
      <c r="M58" s="2">
        <v>1</v>
      </c>
    </row>
    <row r="59" spans="1:13" ht="14.25" customHeight="1">
      <c r="A59" s="2">
        <v>35</v>
      </c>
      <c r="B59" s="2">
        <v>58</v>
      </c>
      <c r="C59" s="2">
        <v>6</v>
      </c>
      <c r="D59" s="2">
        <v>1</v>
      </c>
      <c r="E59" s="2">
        <v>0.89900000000000002</v>
      </c>
      <c r="F59" s="2">
        <v>1</v>
      </c>
      <c r="H59" s="2">
        <v>35</v>
      </c>
      <c r="I59" s="2">
        <v>59</v>
      </c>
      <c r="J59" s="2">
        <v>4</v>
      </c>
      <c r="K59" s="2">
        <v>1</v>
      </c>
      <c r="L59" s="2">
        <v>0.98199999999999998</v>
      </c>
      <c r="M59" s="2">
        <v>2</v>
      </c>
    </row>
    <row r="60" spans="1:13" ht="14.25" customHeight="1">
      <c r="A60" s="2">
        <v>35</v>
      </c>
      <c r="B60" s="2">
        <v>59</v>
      </c>
      <c r="C60" s="2">
        <v>4</v>
      </c>
      <c r="D60" s="2">
        <v>1</v>
      </c>
      <c r="E60" s="2">
        <v>0.98199999999999998</v>
      </c>
      <c r="F60" s="2">
        <v>2</v>
      </c>
      <c r="H60" s="2">
        <v>35</v>
      </c>
      <c r="I60" s="2">
        <v>60</v>
      </c>
      <c r="J60" s="2">
        <v>6</v>
      </c>
      <c r="K60" s="2">
        <v>1</v>
      </c>
      <c r="L60" s="2">
        <v>0.70399999999999996</v>
      </c>
      <c r="M60" s="2">
        <v>1</v>
      </c>
    </row>
    <row r="61" spans="1:13" ht="14.25" customHeight="1">
      <c r="A61" s="2">
        <v>35</v>
      </c>
      <c r="B61" s="2">
        <v>60</v>
      </c>
      <c r="C61" s="2">
        <v>6</v>
      </c>
      <c r="D61" s="2">
        <v>1</v>
      </c>
      <c r="E61" s="2">
        <v>0.70399999999999996</v>
      </c>
      <c r="F61" s="2">
        <v>1</v>
      </c>
      <c r="H61" s="2">
        <v>35</v>
      </c>
      <c r="I61" s="2">
        <v>61</v>
      </c>
      <c r="J61" s="2">
        <v>8</v>
      </c>
      <c r="K61" s="2">
        <v>1</v>
      </c>
      <c r="L61" s="2">
        <v>0.99399999999999999</v>
      </c>
      <c r="M61" s="2">
        <v>1</v>
      </c>
    </row>
    <row r="62" spans="1:13" ht="14.25" customHeight="1">
      <c r="A62" s="2">
        <v>35</v>
      </c>
      <c r="B62" s="2">
        <v>61</v>
      </c>
      <c r="C62" s="2">
        <v>8</v>
      </c>
      <c r="D62" s="2">
        <v>1</v>
      </c>
      <c r="E62" s="2">
        <v>0.99399999999999999</v>
      </c>
      <c r="F62" s="2">
        <v>1</v>
      </c>
      <c r="H62" s="2">
        <v>35</v>
      </c>
      <c r="I62" s="2">
        <v>62</v>
      </c>
      <c r="J62" s="2">
        <v>4</v>
      </c>
      <c r="K62" s="2">
        <v>1</v>
      </c>
      <c r="L62" s="2">
        <v>0.72099999999999997</v>
      </c>
      <c r="M62" s="2">
        <v>2</v>
      </c>
    </row>
    <row r="63" spans="1:13" ht="14.25" customHeight="1">
      <c r="A63" s="2">
        <v>35</v>
      </c>
      <c r="B63" s="2">
        <v>62</v>
      </c>
      <c r="C63" s="2">
        <v>4</v>
      </c>
      <c r="D63" s="2">
        <v>1</v>
      </c>
      <c r="E63" s="2">
        <v>0.72099999999999997</v>
      </c>
      <c r="F63" s="2">
        <v>2</v>
      </c>
      <c r="H63" s="2">
        <v>35</v>
      </c>
      <c r="I63" s="2">
        <v>63</v>
      </c>
      <c r="J63" s="2">
        <v>6</v>
      </c>
      <c r="K63" s="2">
        <v>1</v>
      </c>
      <c r="L63" s="2">
        <v>0.91400000000000003</v>
      </c>
      <c r="M63" s="2">
        <v>2</v>
      </c>
    </row>
    <row r="64" spans="1:13" ht="14.25" customHeight="1">
      <c r="A64" s="2">
        <v>35</v>
      </c>
      <c r="B64" s="2">
        <v>63</v>
      </c>
      <c r="C64" s="2">
        <v>6</v>
      </c>
      <c r="D64" s="2">
        <v>1</v>
      </c>
      <c r="E64" s="2">
        <v>0.91400000000000003</v>
      </c>
      <c r="F64" s="2">
        <v>2</v>
      </c>
      <c r="H64" s="2">
        <v>35</v>
      </c>
      <c r="I64" s="2">
        <v>64</v>
      </c>
      <c r="J64" s="2">
        <v>8</v>
      </c>
      <c r="K64" s="2">
        <v>1</v>
      </c>
      <c r="L64" s="2">
        <v>0.745</v>
      </c>
      <c r="M64" s="2">
        <v>2</v>
      </c>
    </row>
    <row r="65" spans="1:13" ht="14.25" customHeight="1">
      <c r="A65" s="2">
        <v>35</v>
      </c>
      <c r="B65" s="2">
        <v>64</v>
      </c>
      <c r="C65" s="2">
        <v>8</v>
      </c>
      <c r="D65" s="2">
        <v>1</v>
      </c>
      <c r="E65" s="2">
        <v>0.745</v>
      </c>
      <c r="F65" s="2">
        <v>2</v>
      </c>
      <c r="H65" s="2">
        <v>35</v>
      </c>
      <c r="I65" s="2">
        <v>65</v>
      </c>
      <c r="J65" s="2">
        <v>5</v>
      </c>
      <c r="K65" s="2">
        <v>1</v>
      </c>
      <c r="L65" s="2">
        <v>0.94099999999999995</v>
      </c>
      <c r="M65" s="2">
        <v>2</v>
      </c>
    </row>
    <row r="66" spans="1:13" ht="14.25" customHeight="1">
      <c r="A66" s="2">
        <v>35</v>
      </c>
      <c r="B66" s="2">
        <v>65</v>
      </c>
      <c r="C66" s="2">
        <v>5</v>
      </c>
      <c r="D66" s="2">
        <v>1</v>
      </c>
      <c r="E66" s="2">
        <v>0.94099999999999995</v>
      </c>
      <c r="F66" s="2">
        <v>2</v>
      </c>
      <c r="H66" s="2">
        <v>35</v>
      </c>
      <c r="I66" s="2">
        <v>66</v>
      </c>
      <c r="J66" s="2">
        <v>7</v>
      </c>
      <c r="K66" s="2">
        <v>1</v>
      </c>
      <c r="L66" s="2">
        <v>1.514</v>
      </c>
      <c r="M66" s="2">
        <v>2</v>
      </c>
    </row>
    <row r="67" spans="1:13" ht="14.25" customHeight="1">
      <c r="A67" s="2">
        <v>35</v>
      </c>
      <c r="B67" s="2">
        <v>66</v>
      </c>
      <c r="C67" s="2">
        <v>7</v>
      </c>
      <c r="D67" s="2">
        <v>1</v>
      </c>
      <c r="E67" s="2">
        <v>1.514</v>
      </c>
      <c r="F67" s="2">
        <v>2</v>
      </c>
      <c r="H67" s="2">
        <v>35</v>
      </c>
      <c r="I67" s="2">
        <v>67</v>
      </c>
      <c r="J67" s="2">
        <v>4</v>
      </c>
      <c r="K67" s="2">
        <v>1</v>
      </c>
      <c r="L67" s="2">
        <v>0.81100000000000005</v>
      </c>
      <c r="M67" s="2">
        <v>2</v>
      </c>
    </row>
    <row r="68" spans="1:13" ht="14.25" customHeight="1">
      <c r="A68" s="2">
        <v>35</v>
      </c>
      <c r="B68" s="2">
        <v>67</v>
      </c>
      <c r="C68" s="2">
        <v>4</v>
      </c>
      <c r="D68" s="2">
        <v>1</v>
      </c>
      <c r="E68" s="2">
        <v>0.81100000000000005</v>
      </c>
      <c r="F68" s="2">
        <v>2</v>
      </c>
      <c r="H68" s="2">
        <v>35</v>
      </c>
      <c r="I68" s="2">
        <v>68</v>
      </c>
      <c r="J68" s="2">
        <v>7</v>
      </c>
      <c r="K68" s="2">
        <v>1</v>
      </c>
      <c r="L68" s="2">
        <v>0.97</v>
      </c>
      <c r="M68" s="2">
        <v>1</v>
      </c>
    </row>
    <row r="69" spans="1:13" ht="14.25" customHeight="1">
      <c r="A69" s="2">
        <v>35</v>
      </c>
      <c r="B69" s="2">
        <v>68</v>
      </c>
      <c r="C69" s="2">
        <v>7</v>
      </c>
      <c r="D69" s="2">
        <v>1</v>
      </c>
      <c r="E69" s="2">
        <v>0.97</v>
      </c>
      <c r="F69" s="2">
        <v>1</v>
      </c>
      <c r="H69" s="2">
        <v>35</v>
      </c>
      <c r="I69" s="2">
        <v>69</v>
      </c>
      <c r="J69" s="2">
        <v>3</v>
      </c>
      <c r="K69" s="2">
        <v>0</v>
      </c>
      <c r="L69" s="2">
        <v>1.5409999999999999</v>
      </c>
      <c r="M69" s="2">
        <v>2</v>
      </c>
    </row>
    <row r="70" spans="1:13" ht="14.25" customHeight="1">
      <c r="A70" s="2">
        <v>35</v>
      </c>
      <c r="B70" s="2">
        <v>69</v>
      </c>
      <c r="C70" s="2">
        <v>3</v>
      </c>
      <c r="D70" s="2">
        <v>0</v>
      </c>
      <c r="E70" s="2">
        <v>1.5409999999999999</v>
      </c>
      <c r="F70" s="2">
        <v>2</v>
      </c>
      <c r="H70" s="2">
        <v>35</v>
      </c>
      <c r="I70" s="2">
        <v>70</v>
      </c>
      <c r="J70" s="2">
        <v>5</v>
      </c>
      <c r="K70" s="2">
        <v>1</v>
      </c>
      <c r="L70" s="2">
        <v>0.79300000000000004</v>
      </c>
      <c r="M70" s="2">
        <v>2</v>
      </c>
    </row>
    <row r="71" spans="1:13" ht="14.25" customHeight="1">
      <c r="A71" s="2">
        <v>35</v>
      </c>
      <c r="B71" s="2">
        <v>70</v>
      </c>
      <c r="C71" s="2">
        <v>5</v>
      </c>
      <c r="D71" s="2">
        <v>1</v>
      </c>
      <c r="E71" s="2">
        <v>0.79300000000000004</v>
      </c>
      <c r="F71" s="2">
        <v>2</v>
      </c>
      <c r="H71" s="2">
        <v>35</v>
      </c>
      <c r="I71" s="2">
        <v>71</v>
      </c>
      <c r="J71" s="2">
        <v>6</v>
      </c>
      <c r="K71" s="2">
        <v>1</v>
      </c>
      <c r="L71" s="2">
        <v>1.25</v>
      </c>
      <c r="M71" s="2">
        <v>2</v>
      </c>
    </row>
    <row r="72" spans="1:13" ht="14.25" customHeight="1">
      <c r="A72" s="2">
        <v>35</v>
      </c>
      <c r="B72" s="2">
        <v>71</v>
      </c>
      <c r="C72" s="2">
        <v>6</v>
      </c>
      <c r="D72" s="2">
        <v>1</v>
      </c>
      <c r="E72" s="2">
        <v>1.25</v>
      </c>
      <c r="F72" s="2">
        <v>2</v>
      </c>
      <c r="H72" s="2">
        <v>35</v>
      </c>
      <c r="I72" s="2">
        <v>72</v>
      </c>
      <c r="J72" s="2">
        <v>4</v>
      </c>
      <c r="K72" s="2">
        <v>1</v>
      </c>
      <c r="L72" s="2">
        <v>0.92</v>
      </c>
      <c r="M72" s="2">
        <v>1</v>
      </c>
    </row>
    <row r="73" spans="1:13" ht="14.25" customHeight="1">
      <c r="A73" s="2">
        <v>35</v>
      </c>
      <c r="B73" s="2">
        <v>72</v>
      </c>
      <c r="C73" s="2">
        <v>4</v>
      </c>
      <c r="D73" s="2">
        <v>1</v>
      </c>
      <c r="E73" s="2">
        <v>0.92</v>
      </c>
      <c r="F73" s="2">
        <v>1</v>
      </c>
      <c r="H73" s="2">
        <v>35</v>
      </c>
      <c r="I73" s="2">
        <v>73</v>
      </c>
      <c r="J73" s="2">
        <v>3</v>
      </c>
      <c r="K73" s="2">
        <v>1</v>
      </c>
      <c r="L73" s="2">
        <v>0.70699999999999996</v>
      </c>
      <c r="M73" s="2">
        <v>2</v>
      </c>
    </row>
    <row r="74" spans="1:13" ht="14.25" customHeight="1">
      <c r="A74" s="2">
        <v>35</v>
      </c>
      <c r="B74" s="2">
        <v>73</v>
      </c>
      <c r="C74" s="2">
        <v>3</v>
      </c>
      <c r="D74" s="2">
        <v>1</v>
      </c>
      <c r="E74" s="2">
        <v>0.70699999999999996</v>
      </c>
      <c r="F74" s="2">
        <v>2</v>
      </c>
      <c r="H74" s="2">
        <v>35</v>
      </c>
      <c r="I74" s="2">
        <v>74</v>
      </c>
      <c r="J74" s="2">
        <v>8</v>
      </c>
      <c r="K74" s="2">
        <v>1</v>
      </c>
      <c r="L74" s="2">
        <v>0.72</v>
      </c>
      <c r="M74" s="2">
        <v>1</v>
      </c>
    </row>
    <row r="75" spans="1:13" ht="14.25" customHeight="1">
      <c r="A75" s="2">
        <v>35</v>
      </c>
      <c r="B75" s="2">
        <v>74</v>
      </c>
      <c r="C75" s="2">
        <v>8</v>
      </c>
      <c r="D75" s="2">
        <v>1</v>
      </c>
      <c r="E75" s="2">
        <v>0.72</v>
      </c>
      <c r="F75" s="2">
        <v>1</v>
      </c>
      <c r="H75" s="2">
        <v>35</v>
      </c>
      <c r="I75" s="2">
        <v>75</v>
      </c>
      <c r="J75" s="2">
        <v>1</v>
      </c>
      <c r="K75" s="2">
        <v>1</v>
      </c>
      <c r="L75" s="2">
        <v>0.84699999999999998</v>
      </c>
      <c r="M75" s="2">
        <v>1</v>
      </c>
    </row>
    <row r="76" spans="1:13" ht="14.25" customHeight="1">
      <c r="A76" s="2">
        <v>35</v>
      </c>
      <c r="B76" s="2">
        <v>75</v>
      </c>
      <c r="C76" s="2">
        <v>1</v>
      </c>
      <c r="D76" s="2">
        <v>1</v>
      </c>
      <c r="E76" s="2">
        <v>0.84699999999999998</v>
      </c>
      <c r="F76" s="2">
        <v>1</v>
      </c>
      <c r="H76" s="2">
        <v>35</v>
      </c>
      <c r="I76" s="2">
        <v>76</v>
      </c>
      <c r="J76" s="2">
        <v>7</v>
      </c>
      <c r="K76" s="2">
        <v>0</v>
      </c>
      <c r="L76" s="2">
        <v>1.66</v>
      </c>
      <c r="M76" s="2">
        <v>1</v>
      </c>
    </row>
    <row r="77" spans="1:13" ht="14.25" customHeight="1">
      <c r="A77" s="2">
        <v>35</v>
      </c>
      <c r="B77" s="2">
        <v>76</v>
      </c>
      <c r="C77" s="2">
        <v>7</v>
      </c>
      <c r="D77" s="2">
        <v>0</v>
      </c>
      <c r="E77" s="2">
        <v>1.66</v>
      </c>
      <c r="F77" s="2">
        <v>1</v>
      </c>
      <c r="H77" s="2">
        <v>35</v>
      </c>
      <c r="I77" s="2">
        <v>77</v>
      </c>
      <c r="J77" s="2">
        <v>6</v>
      </c>
      <c r="K77" s="2">
        <v>1</v>
      </c>
      <c r="L77" s="2">
        <v>0.68400000000000005</v>
      </c>
      <c r="M77" s="2">
        <v>2</v>
      </c>
    </row>
    <row r="78" spans="1:13" ht="14.25" customHeight="1">
      <c r="A78" s="2">
        <v>35</v>
      </c>
      <c r="B78" s="2">
        <v>77</v>
      </c>
      <c r="C78" s="2">
        <v>6</v>
      </c>
      <c r="D78" s="2">
        <v>1</v>
      </c>
      <c r="E78" s="2">
        <v>0.68400000000000005</v>
      </c>
      <c r="F78" s="2">
        <v>2</v>
      </c>
      <c r="H78" s="2">
        <v>35</v>
      </c>
      <c r="I78" s="2">
        <v>78</v>
      </c>
      <c r="J78" s="2">
        <v>1</v>
      </c>
      <c r="K78" s="2">
        <v>0</v>
      </c>
      <c r="L78" s="2">
        <v>0.76900000000000002</v>
      </c>
      <c r="M78" s="2">
        <v>2</v>
      </c>
    </row>
    <row r="79" spans="1:13" ht="14.25" customHeight="1">
      <c r="A79" s="2">
        <v>35</v>
      </c>
      <c r="B79" s="2">
        <v>78</v>
      </c>
      <c r="C79" s="2">
        <v>1</v>
      </c>
      <c r="D79" s="2">
        <v>0</v>
      </c>
      <c r="E79" s="2">
        <v>0.76900000000000002</v>
      </c>
      <c r="F79" s="2">
        <v>2</v>
      </c>
      <c r="H79" s="2">
        <v>35</v>
      </c>
      <c r="I79" s="2">
        <v>79</v>
      </c>
      <c r="J79" s="2">
        <v>8</v>
      </c>
      <c r="K79" s="2">
        <v>1</v>
      </c>
      <c r="L79" s="2">
        <v>0.73499999999999999</v>
      </c>
      <c r="M79" s="2">
        <v>1</v>
      </c>
    </row>
    <row r="80" spans="1:13" ht="14.25" customHeight="1">
      <c r="A80" s="2">
        <v>35</v>
      </c>
      <c r="B80" s="2">
        <v>79</v>
      </c>
      <c r="C80" s="2">
        <v>8</v>
      </c>
      <c r="D80" s="2">
        <v>1</v>
      </c>
      <c r="E80" s="2">
        <v>0.73499999999999999</v>
      </c>
      <c r="F80" s="2">
        <v>1</v>
      </c>
      <c r="H80" s="2">
        <v>35</v>
      </c>
      <c r="I80" s="2">
        <v>80</v>
      </c>
      <c r="J80" s="2">
        <v>7</v>
      </c>
      <c r="K80" s="2">
        <v>1</v>
      </c>
      <c r="L80" s="2">
        <v>0.83899999999999997</v>
      </c>
      <c r="M80" s="2">
        <v>2</v>
      </c>
    </row>
    <row r="81" spans="1:13" ht="14.25" customHeight="1">
      <c r="A81" s="2">
        <v>35</v>
      </c>
      <c r="B81" s="2">
        <v>80</v>
      </c>
      <c r="C81" s="2">
        <v>7</v>
      </c>
      <c r="D81" s="2">
        <v>1</v>
      </c>
      <c r="E81" s="2">
        <v>0.83899999999999997</v>
      </c>
      <c r="F81" s="2">
        <v>2</v>
      </c>
      <c r="H81" s="2">
        <v>35</v>
      </c>
      <c r="I81" s="2">
        <v>81</v>
      </c>
      <c r="J81" s="2">
        <v>2</v>
      </c>
      <c r="K81" s="2">
        <v>0</v>
      </c>
      <c r="L81" s="2">
        <v>1.3380000000000001</v>
      </c>
      <c r="M81" s="2">
        <v>1</v>
      </c>
    </row>
    <row r="82" spans="1:13" ht="14.25" customHeight="1">
      <c r="A82" s="2">
        <v>35</v>
      </c>
      <c r="B82" s="2">
        <v>81</v>
      </c>
      <c r="C82" s="2">
        <v>2</v>
      </c>
      <c r="D82" s="2">
        <v>0</v>
      </c>
      <c r="E82" s="2">
        <v>1.3380000000000001</v>
      </c>
      <c r="F82" s="2">
        <v>1</v>
      </c>
      <c r="H82" s="2">
        <v>35</v>
      </c>
      <c r="I82" s="2">
        <v>82</v>
      </c>
      <c r="J82" s="2">
        <v>5</v>
      </c>
      <c r="K82" s="2">
        <v>1</v>
      </c>
      <c r="L82" s="2">
        <v>0.72899999999999998</v>
      </c>
      <c r="M82" s="2">
        <v>1</v>
      </c>
    </row>
    <row r="83" spans="1:13" ht="14.25" customHeight="1">
      <c r="A83" s="2">
        <v>35</v>
      </c>
      <c r="B83" s="2">
        <v>82</v>
      </c>
      <c r="C83" s="2">
        <v>5</v>
      </c>
      <c r="D83" s="2">
        <v>1</v>
      </c>
      <c r="E83" s="2">
        <v>0.72899999999999998</v>
      </c>
      <c r="F83" s="2">
        <v>1</v>
      </c>
      <c r="H83" s="2">
        <v>35</v>
      </c>
      <c r="I83" s="2">
        <v>83</v>
      </c>
      <c r="J83" s="2">
        <v>3</v>
      </c>
      <c r="K83" s="2">
        <v>0</v>
      </c>
      <c r="L83" s="2">
        <v>1.1910000000000001</v>
      </c>
      <c r="M83" s="2">
        <v>1</v>
      </c>
    </row>
    <row r="84" spans="1:13" ht="14.25" customHeight="1">
      <c r="A84" s="2">
        <v>35</v>
      </c>
      <c r="B84" s="2">
        <v>83</v>
      </c>
      <c r="C84" s="2">
        <v>3</v>
      </c>
      <c r="D84" s="2">
        <v>0</v>
      </c>
      <c r="E84" s="2">
        <v>1.1910000000000001</v>
      </c>
      <c r="F84" s="2">
        <v>1</v>
      </c>
      <c r="H84" s="2">
        <v>35</v>
      </c>
      <c r="I84" s="2">
        <v>84</v>
      </c>
      <c r="J84" s="2">
        <v>2</v>
      </c>
      <c r="K84" s="2">
        <v>1</v>
      </c>
      <c r="L84" s="2">
        <v>1.518</v>
      </c>
      <c r="M84" s="2">
        <v>1</v>
      </c>
    </row>
    <row r="85" spans="1:13" ht="14.25" customHeight="1">
      <c r="A85" s="2">
        <v>35</v>
      </c>
      <c r="B85" s="2">
        <v>84</v>
      </c>
      <c r="C85" s="2">
        <v>2</v>
      </c>
      <c r="D85" s="2">
        <v>1</v>
      </c>
      <c r="E85" s="2">
        <v>1.518</v>
      </c>
      <c r="F85" s="2">
        <v>1</v>
      </c>
      <c r="H85" s="2">
        <v>35</v>
      </c>
      <c r="I85" s="2">
        <v>85</v>
      </c>
      <c r="J85" s="2">
        <v>1</v>
      </c>
      <c r="K85" s="2">
        <v>1</v>
      </c>
      <c r="L85" s="2">
        <v>1.1299999999999999</v>
      </c>
      <c r="M85" s="2">
        <v>2</v>
      </c>
    </row>
    <row r="86" spans="1:13" ht="14.25" customHeight="1">
      <c r="A86" s="2">
        <v>35</v>
      </c>
      <c r="B86" s="2">
        <v>85</v>
      </c>
      <c r="C86" s="2">
        <v>1</v>
      </c>
      <c r="D86" s="2">
        <v>1</v>
      </c>
      <c r="E86" s="2">
        <v>1.1299999999999999</v>
      </c>
      <c r="F86" s="2">
        <v>2</v>
      </c>
      <c r="H86" s="2">
        <v>35</v>
      </c>
      <c r="I86" s="2">
        <v>86</v>
      </c>
      <c r="J86" s="2">
        <v>7</v>
      </c>
      <c r="K86" s="2">
        <v>1</v>
      </c>
      <c r="L86" s="2">
        <v>0.77500000000000002</v>
      </c>
      <c r="M86" s="2">
        <v>1</v>
      </c>
    </row>
    <row r="87" spans="1:13" ht="14.25" customHeight="1">
      <c r="A87" s="2">
        <v>35</v>
      </c>
      <c r="B87" s="2">
        <v>86</v>
      </c>
      <c r="C87" s="2">
        <v>7</v>
      </c>
      <c r="D87" s="2">
        <v>1</v>
      </c>
      <c r="E87" s="2">
        <v>0.77500000000000002</v>
      </c>
      <c r="F87" s="2">
        <v>1</v>
      </c>
      <c r="H87" s="2">
        <v>35</v>
      </c>
      <c r="I87" s="2">
        <v>87</v>
      </c>
      <c r="J87" s="2">
        <v>2</v>
      </c>
      <c r="K87" s="2">
        <v>1</v>
      </c>
      <c r="L87" s="2">
        <v>0.67400000000000004</v>
      </c>
      <c r="M87" s="2">
        <v>2</v>
      </c>
    </row>
    <row r="88" spans="1:13" ht="14.25" customHeight="1">
      <c r="A88" s="2">
        <v>35</v>
      </c>
      <c r="B88" s="2">
        <v>87</v>
      </c>
      <c r="C88" s="2">
        <v>2</v>
      </c>
      <c r="D88" s="2">
        <v>1</v>
      </c>
      <c r="E88" s="2">
        <v>0.67400000000000004</v>
      </c>
      <c r="F88" s="2">
        <v>2</v>
      </c>
      <c r="H88" s="2">
        <v>35</v>
      </c>
      <c r="I88" s="2">
        <v>88</v>
      </c>
      <c r="J88" s="2">
        <v>3</v>
      </c>
      <c r="K88" s="2">
        <v>1</v>
      </c>
      <c r="L88" s="2">
        <v>0.95</v>
      </c>
      <c r="M88" s="2">
        <v>2</v>
      </c>
    </row>
    <row r="89" spans="1:13" ht="14.25" customHeight="1">
      <c r="A89" s="2">
        <v>35</v>
      </c>
      <c r="B89" s="2">
        <v>88</v>
      </c>
      <c r="C89" s="2">
        <v>3</v>
      </c>
      <c r="D89" s="2">
        <v>1</v>
      </c>
      <c r="E89" s="2">
        <v>0.95</v>
      </c>
      <c r="F89" s="2">
        <v>2</v>
      </c>
      <c r="H89" s="2">
        <v>35</v>
      </c>
      <c r="I89" s="2">
        <v>89</v>
      </c>
      <c r="J89" s="2">
        <v>4</v>
      </c>
      <c r="K89" s="2">
        <v>0</v>
      </c>
      <c r="L89" s="2">
        <v>0.628</v>
      </c>
      <c r="M89" s="2">
        <v>1</v>
      </c>
    </row>
    <row r="90" spans="1:13" ht="14.25" customHeight="1">
      <c r="A90" s="2">
        <v>35</v>
      </c>
      <c r="B90" s="2">
        <v>89</v>
      </c>
      <c r="C90" s="2">
        <v>4</v>
      </c>
      <c r="D90" s="2">
        <v>0</v>
      </c>
      <c r="E90" s="2">
        <v>0.628</v>
      </c>
      <c r="F90" s="2">
        <v>1</v>
      </c>
      <c r="H90" s="2">
        <v>35</v>
      </c>
      <c r="I90" s="2">
        <v>90</v>
      </c>
      <c r="J90" s="2">
        <v>2</v>
      </c>
      <c r="K90" s="2">
        <v>1</v>
      </c>
      <c r="L90" s="2">
        <v>0.66200000000000003</v>
      </c>
      <c r="M90" s="2">
        <v>1</v>
      </c>
    </row>
    <row r="91" spans="1:13" ht="14.25" customHeight="1">
      <c r="A91" s="2">
        <v>35</v>
      </c>
      <c r="B91" s="2">
        <v>90</v>
      </c>
      <c r="C91" s="2">
        <v>2</v>
      </c>
      <c r="D91" s="2">
        <v>1</v>
      </c>
      <c r="E91" s="2">
        <v>0.66200000000000003</v>
      </c>
      <c r="F91" s="2">
        <v>1</v>
      </c>
      <c r="H91" s="2">
        <v>35</v>
      </c>
      <c r="I91" s="2">
        <v>91</v>
      </c>
      <c r="J91" s="2">
        <v>4</v>
      </c>
      <c r="K91" s="2">
        <v>1</v>
      </c>
      <c r="L91" s="2">
        <v>0.88300000000000001</v>
      </c>
      <c r="M91" s="2">
        <v>2</v>
      </c>
    </row>
    <row r="92" spans="1:13" ht="14.25" customHeight="1">
      <c r="A92" s="2">
        <v>35</v>
      </c>
      <c r="B92" s="2">
        <v>91</v>
      </c>
      <c r="C92" s="2">
        <v>4</v>
      </c>
      <c r="D92" s="2">
        <v>1</v>
      </c>
      <c r="E92" s="2">
        <v>0.88300000000000001</v>
      </c>
      <c r="F92" s="2">
        <v>2</v>
      </c>
      <c r="H92" s="2">
        <v>35</v>
      </c>
      <c r="I92" s="2">
        <v>92</v>
      </c>
      <c r="J92" s="2">
        <v>8</v>
      </c>
      <c r="K92" s="2">
        <v>1</v>
      </c>
      <c r="L92" s="2">
        <v>1.0880000000000001</v>
      </c>
      <c r="M92" s="2">
        <v>1</v>
      </c>
    </row>
    <row r="93" spans="1:13" ht="14.25" customHeight="1">
      <c r="A93" s="2">
        <v>35</v>
      </c>
      <c r="B93" s="2">
        <v>92</v>
      </c>
      <c r="C93" s="2">
        <v>8</v>
      </c>
      <c r="D93" s="2">
        <v>1</v>
      </c>
      <c r="E93" s="2">
        <v>1.0880000000000001</v>
      </c>
      <c r="F93" s="2">
        <v>1</v>
      </c>
      <c r="H93" s="2">
        <v>35</v>
      </c>
      <c r="I93" s="2">
        <v>93</v>
      </c>
      <c r="J93" s="2">
        <v>1</v>
      </c>
      <c r="K93" s="2">
        <v>1</v>
      </c>
      <c r="L93" s="2">
        <v>1.0649999999999999</v>
      </c>
      <c r="M93" s="2">
        <v>1</v>
      </c>
    </row>
    <row r="94" spans="1:13" ht="14.25" customHeight="1">
      <c r="A94" s="2">
        <v>35</v>
      </c>
      <c r="B94" s="2">
        <v>93</v>
      </c>
      <c r="C94" s="2">
        <v>1</v>
      </c>
      <c r="D94" s="2">
        <v>1</v>
      </c>
      <c r="E94" s="2">
        <v>1.0649999999999999</v>
      </c>
      <c r="F94" s="2">
        <v>1</v>
      </c>
      <c r="H94" s="2">
        <v>35</v>
      </c>
      <c r="I94" s="2">
        <v>94</v>
      </c>
      <c r="J94" s="2">
        <v>5</v>
      </c>
      <c r="K94" s="2">
        <v>1</v>
      </c>
      <c r="L94" s="2">
        <v>0.85399999999999998</v>
      </c>
      <c r="M94" s="2">
        <v>1</v>
      </c>
    </row>
    <row r="95" spans="1:13" ht="14.25" customHeight="1">
      <c r="A95" s="2">
        <v>35</v>
      </c>
      <c r="B95" s="2">
        <v>94</v>
      </c>
      <c r="C95" s="2">
        <v>5</v>
      </c>
      <c r="D95" s="2">
        <v>1</v>
      </c>
      <c r="E95" s="2">
        <v>0.85399999999999998</v>
      </c>
      <c r="F95" s="2">
        <v>1</v>
      </c>
      <c r="H95" s="2">
        <v>35</v>
      </c>
      <c r="I95" s="2">
        <v>95</v>
      </c>
      <c r="J95" s="2">
        <v>6</v>
      </c>
      <c r="K95" s="2">
        <v>1</v>
      </c>
      <c r="L95" s="2">
        <v>0.85099999999999998</v>
      </c>
      <c r="M95" s="2">
        <v>1</v>
      </c>
    </row>
    <row r="96" spans="1:13" ht="14.25" customHeight="1">
      <c r="A96" s="2">
        <v>35</v>
      </c>
      <c r="B96" s="2">
        <v>95</v>
      </c>
      <c r="C96" s="2">
        <v>6</v>
      </c>
      <c r="D96" s="2">
        <v>1</v>
      </c>
      <c r="E96" s="2">
        <v>0.85099999999999998</v>
      </c>
      <c r="F96" s="2">
        <v>1</v>
      </c>
      <c r="H96" s="2">
        <v>35</v>
      </c>
      <c r="I96" s="2">
        <v>96</v>
      </c>
      <c r="J96" s="2">
        <v>7</v>
      </c>
      <c r="K96" s="2">
        <v>1</v>
      </c>
      <c r="L96" s="2">
        <v>0.76900000000000002</v>
      </c>
      <c r="M96" s="2">
        <v>1</v>
      </c>
    </row>
    <row r="97" spans="1:13" ht="14.25" customHeight="1">
      <c r="A97" s="2">
        <v>35</v>
      </c>
      <c r="B97" s="2">
        <v>96</v>
      </c>
      <c r="C97" s="2">
        <v>7</v>
      </c>
      <c r="D97" s="2">
        <v>1</v>
      </c>
      <c r="E97" s="2">
        <v>0.76900000000000002</v>
      </c>
      <c r="F97" s="2">
        <v>1</v>
      </c>
      <c r="H97" s="2">
        <v>35</v>
      </c>
      <c r="I97" s="2">
        <v>97</v>
      </c>
      <c r="J97" s="2">
        <v>2</v>
      </c>
      <c r="K97" s="2">
        <v>0</v>
      </c>
      <c r="L97" s="2">
        <v>1.282</v>
      </c>
      <c r="M97" s="2">
        <v>2</v>
      </c>
    </row>
    <row r="98" spans="1:13" ht="14.25" customHeight="1">
      <c r="A98" s="2">
        <v>35</v>
      </c>
      <c r="B98" s="2">
        <v>97</v>
      </c>
      <c r="C98" s="2">
        <v>2</v>
      </c>
      <c r="D98" s="2">
        <v>0</v>
      </c>
      <c r="E98" s="2">
        <v>1.282</v>
      </c>
      <c r="F98" s="2">
        <v>2</v>
      </c>
      <c r="H98" s="2">
        <v>35</v>
      </c>
      <c r="I98" s="2">
        <v>98</v>
      </c>
      <c r="J98" s="2">
        <v>3</v>
      </c>
      <c r="K98" s="2">
        <v>1</v>
      </c>
      <c r="L98" s="2">
        <v>0.84899999999999998</v>
      </c>
      <c r="M98" s="2">
        <v>1</v>
      </c>
    </row>
    <row r="99" spans="1:13" ht="14.25" customHeight="1">
      <c r="A99" s="2">
        <v>35</v>
      </c>
      <c r="B99" s="2">
        <v>98</v>
      </c>
      <c r="C99" s="2">
        <v>3</v>
      </c>
      <c r="D99" s="2">
        <v>1</v>
      </c>
      <c r="E99" s="2">
        <v>0.84899999999999998</v>
      </c>
      <c r="F99" s="2">
        <v>1</v>
      </c>
      <c r="H99" s="2">
        <v>35</v>
      </c>
      <c r="I99" s="2">
        <v>99</v>
      </c>
      <c r="J99" s="2">
        <v>6</v>
      </c>
      <c r="K99" s="2">
        <v>0</v>
      </c>
      <c r="L99" s="2">
        <v>1.129</v>
      </c>
      <c r="M99" s="2">
        <v>1</v>
      </c>
    </row>
    <row r="100" spans="1:13" ht="14.25" customHeight="1">
      <c r="A100" s="2">
        <v>35</v>
      </c>
      <c r="B100" s="2">
        <v>99</v>
      </c>
      <c r="C100" s="2">
        <v>6</v>
      </c>
      <c r="D100" s="2">
        <v>0</v>
      </c>
      <c r="E100" s="2">
        <v>1.129</v>
      </c>
      <c r="F100" s="2">
        <v>1</v>
      </c>
      <c r="H100" s="2">
        <v>35</v>
      </c>
      <c r="I100" s="2">
        <v>100</v>
      </c>
      <c r="J100" s="2">
        <v>5</v>
      </c>
      <c r="K100" s="2">
        <v>1</v>
      </c>
      <c r="L100" s="2">
        <v>0.97599999999999998</v>
      </c>
      <c r="M100" s="2">
        <v>1</v>
      </c>
    </row>
    <row r="101" spans="1:13" ht="14.25" customHeight="1">
      <c r="A101" s="2">
        <v>35</v>
      </c>
      <c r="B101" s="2">
        <v>100</v>
      </c>
      <c r="C101" s="2">
        <v>5</v>
      </c>
      <c r="D101" s="2">
        <v>1</v>
      </c>
      <c r="E101" s="2">
        <v>0.97599999999999998</v>
      </c>
      <c r="F101" s="2">
        <v>1</v>
      </c>
    </row>
    <row r="102" spans="1:13" ht="14.25" customHeight="1">
      <c r="A102" s="2">
        <v>35</v>
      </c>
      <c r="B102" s="2">
        <v>101</v>
      </c>
      <c r="C102" s="2">
        <v>3</v>
      </c>
      <c r="D102" s="2">
        <v>1</v>
      </c>
      <c r="E102" s="2">
        <v>1.0680000000000001</v>
      </c>
      <c r="F102" s="2">
        <v>2</v>
      </c>
    </row>
    <row r="103" spans="1:13" ht="14.25" customHeight="1">
      <c r="A103" s="2">
        <v>35</v>
      </c>
      <c r="B103" s="2">
        <v>102</v>
      </c>
      <c r="C103" s="2">
        <v>8</v>
      </c>
      <c r="D103" s="2">
        <v>0</v>
      </c>
      <c r="E103" s="2">
        <v>1.2410000000000001</v>
      </c>
      <c r="F103" s="2">
        <v>1</v>
      </c>
    </row>
    <row r="104" spans="1:13" ht="14.25" customHeight="1">
      <c r="A104" s="2">
        <v>35</v>
      </c>
      <c r="B104" s="2">
        <v>103</v>
      </c>
      <c r="C104" s="2">
        <v>1</v>
      </c>
      <c r="D104" s="2">
        <v>1</v>
      </c>
      <c r="E104" s="2">
        <v>0.63900000000000001</v>
      </c>
      <c r="F104" s="2">
        <v>1</v>
      </c>
    </row>
    <row r="105" spans="1:13" ht="14.25" customHeight="1">
      <c r="A105" s="2">
        <v>35</v>
      </c>
      <c r="B105" s="2">
        <v>104</v>
      </c>
      <c r="C105" s="2">
        <v>8</v>
      </c>
      <c r="D105" s="2">
        <v>0</v>
      </c>
      <c r="E105" s="2">
        <v>1.1830000000000001</v>
      </c>
      <c r="F105" s="2">
        <v>1</v>
      </c>
    </row>
    <row r="106" spans="1:13" ht="14.25" customHeight="1">
      <c r="A106" s="2">
        <v>35</v>
      </c>
      <c r="B106" s="2">
        <v>105</v>
      </c>
      <c r="C106" s="2">
        <v>1</v>
      </c>
      <c r="D106" s="2">
        <v>1</v>
      </c>
      <c r="E106" s="2">
        <v>0.92300000000000004</v>
      </c>
      <c r="F106" s="2">
        <v>2</v>
      </c>
    </row>
    <row r="107" spans="1:13" ht="14.25" customHeight="1">
      <c r="A107" s="2">
        <v>35</v>
      </c>
      <c r="B107" s="2">
        <v>106</v>
      </c>
      <c r="C107" s="2">
        <v>4</v>
      </c>
      <c r="D107" s="2">
        <v>1</v>
      </c>
      <c r="E107" s="2">
        <v>0.77400000000000002</v>
      </c>
      <c r="F107" s="2">
        <v>1</v>
      </c>
    </row>
    <row r="108" spans="1:13" ht="14.25" customHeight="1">
      <c r="A108" s="2">
        <v>35</v>
      </c>
      <c r="B108" s="2">
        <v>107</v>
      </c>
      <c r="C108" s="2">
        <v>2</v>
      </c>
      <c r="D108" s="2">
        <v>1</v>
      </c>
      <c r="E108" s="2">
        <v>0.93799999999999994</v>
      </c>
      <c r="F108" s="2">
        <v>1</v>
      </c>
    </row>
    <row r="109" spans="1:13" ht="14.25" customHeight="1">
      <c r="A109" s="2">
        <v>35</v>
      </c>
      <c r="B109" s="2">
        <v>108</v>
      </c>
      <c r="C109" s="2">
        <v>4</v>
      </c>
      <c r="D109" s="2">
        <v>1</v>
      </c>
      <c r="E109" s="2">
        <v>0.73199999999999998</v>
      </c>
      <c r="F109" s="2">
        <v>1</v>
      </c>
    </row>
    <row r="110" spans="1:13" ht="14.25" customHeight="1">
      <c r="A110" s="2">
        <v>35</v>
      </c>
      <c r="B110" s="2">
        <v>109</v>
      </c>
      <c r="C110" s="2">
        <v>3</v>
      </c>
      <c r="D110" s="2">
        <v>1</v>
      </c>
      <c r="E110" s="2">
        <v>1.4259999999999999</v>
      </c>
      <c r="F110" s="2">
        <v>2</v>
      </c>
    </row>
    <row r="111" spans="1:13" ht="14.25" customHeight="1">
      <c r="A111" s="2">
        <v>35</v>
      </c>
      <c r="B111" s="2">
        <v>110</v>
      </c>
      <c r="C111" s="2">
        <v>8</v>
      </c>
      <c r="D111" s="2">
        <v>1</v>
      </c>
      <c r="E111" s="2">
        <v>0.71399999999999997</v>
      </c>
      <c r="F111" s="2">
        <v>1</v>
      </c>
    </row>
    <row r="112" spans="1:13" ht="14.25" customHeight="1">
      <c r="A112" s="2">
        <v>35</v>
      </c>
      <c r="B112" s="2">
        <v>111</v>
      </c>
      <c r="C112" s="2">
        <v>1</v>
      </c>
      <c r="D112" s="2">
        <v>1</v>
      </c>
      <c r="E112" s="2">
        <v>1.0189999999999999</v>
      </c>
      <c r="F112" s="2">
        <v>1</v>
      </c>
    </row>
    <row r="113" spans="1:6" ht="14.25" customHeight="1">
      <c r="A113" s="2">
        <v>35</v>
      </c>
      <c r="B113" s="2">
        <v>112</v>
      </c>
      <c r="C113" s="2">
        <v>8</v>
      </c>
      <c r="D113" s="2">
        <v>1</v>
      </c>
      <c r="E113" s="2">
        <v>1.1140000000000001</v>
      </c>
      <c r="F113" s="2">
        <v>2</v>
      </c>
    </row>
    <row r="114" spans="1:6" ht="14.25" customHeight="1">
      <c r="A114" s="2">
        <v>35</v>
      </c>
      <c r="B114" s="2">
        <v>113</v>
      </c>
      <c r="C114" s="2">
        <v>6</v>
      </c>
      <c r="D114" s="2">
        <v>1</v>
      </c>
      <c r="E114" s="2">
        <v>1.2889999999999999</v>
      </c>
      <c r="F114" s="2">
        <v>2</v>
      </c>
    </row>
    <row r="115" spans="1:6" ht="14.25" customHeight="1">
      <c r="A115" s="2">
        <v>35</v>
      </c>
      <c r="B115" s="2">
        <v>114</v>
      </c>
      <c r="C115" s="2">
        <v>5</v>
      </c>
      <c r="D115" s="2">
        <v>1</v>
      </c>
      <c r="E115" s="2">
        <v>0.70499999999999996</v>
      </c>
      <c r="F115" s="2">
        <v>2</v>
      </c>
    </row>
    <row r="116" spans="1:6" ht="14.25" customHeight="1">
      <c r="A116" s="2">
        <v>35</v>
      </c>
      <c r="B116" s="2">
        <v>115</v>
      </c>
      <c r="C116" s="2">
        <v>4</v>
      </c>
      <c r="D116" s="2">
        <v>1</v>
      </c>
      <c r="E116" s="2">
        <v>0.67700000000000005</v>
      </c>
      <c r="F116" s="2">
        <v>2</v>
      </c>
    </row>
    <row r="117" spans="1:6" ht="14.25" customHeight="1">
      <c r="A117" s="2">
        <v>35</v>
      </c>
      <c r="B117" s="2">
        <v>116</v>
      </c>
      <c r="C117" s="2">
        <v>2</v>
      </c>
      <c r="D117" s="2">
        <v>1</v>
      </c>
      <c r="E117" s="2">
        <v>0.876</v>
      </c>
      <c r="F117" s="2">
        <v>2</v>
      </c>
    </row>
    <row r="118" spans="1:6" ht="14.25" customHeight="1">
      <c r="A118" s="2">
        <v>35</v>
      </c>
      <c r="B118" s="2">
        <v>117</v>
      </c>
      <c r="C118" s="2">
        <v>3</v>
      </c>
      <c r="D118" s="2">
        <v>1</v>
      </c>
      <c r="E118" s="2">
        <v>0.624</v>
      </c>
      <c r="F118" s="2">
        <v>2</v>
      </c>
    </row>
    <row r="119" spans="1:6" ht="14.25" customHeight="1">
      <c r="A119" s="2">
        <v>35</v>
      </c>
      <c r="B119" s="2">
        <v>118</v>
      </c>
      <c r="C119" s="2">
        <v>6</v>
      </c>
      <c r="D119" s="2">
        <v>1</v>
      </c>
      <c r="E119" s="2">
        <v>1.28</v>
      </c>
      <c r="F119" s="2">
        <v>1</v>
      </c>
    </row>
    <row r="120" spans="1:6" ht="14.25" customHeight="1">
      <c r="A120" s="2">
        <v>35</v>
      </c>
      <c r="B120" s="2">
        <v>119</v>
      </c>
      <c r="C120" s="2">
        <v>8</v>
      </c>
      <c r="D120" s="2">
        <v>0</v>
      </c>
      <c r="E120" s="2">
        <v>1.794</v>
      </c>
      <c r="F120" s="2">
        <v>2</v>
      </c>
    </row>
    <row r="121" spans="1:6" ht="14.25" customHeight="1">
      <c r="A121" s="2">
        <v>35</v>
      </c>
      <c r="B121" s="2">
        <v>120</v>
      </c>
      <c r="C121" s="2">
        <v>5</v>
      </c>
      <c r="D121" s="2">
        <v>1</v>
      </c>
      <c r="E121" s="2">
        <v>0.66500000000000004</v>
      </c>
      <c r="F121" s="2">
        <v>2</v>
      </c>
    </row>
    <row r="122" spans="1:6" ht="14.25" customHeight="1">
      <c r="A122" s="2">
        <v>35</v>
      </c>
      <c r="B122" s="2">
        <v>121</v>
      </c>
      <c r="C122" s="2">
        <v>1</v>
      </c>
      <c r="D122" s="2">
        <v>1</v>
      </c>
      <c r="E122" s="2">
        <v>0.93300000000000005</v>
      </c>
      <c r="F122" s="2">
        <v>2</v>
      </c>
    </row>
    <row r="123" spans="1:6" ht="14.25" customHeight="1">
      <c r="A123" s="2">
        <v>35</v>
      </c>
      <c r="B123" s="2">
        <v>122</v>
      </c>
      <c r="C123" s="2">
        <v>2</v>
      </c>
      <c r="D123" s="2">
        <v>1</v>
      </c>
      <c r="E123" s="2">
        <v>0.80300000000000005</v>
      </c>
      <c r="F123" s="2">
        <v>1</v>
      </c>
    </row>
    <row r="124" spans="1:6" ht="14.25" customHeight="1">
      <c r="A124" s="2">
        <v>35</v>
      </c>
      <c r="B124" s="2">
        <v>123</v>
      </c>
      <c r="C124" s="2">
        <v>5</v>
      </c>
      <c r="D124" s="2">
        <v>1</v>
      </c>
      <c r="E124" s="2">
        <v>0.68100000000000005</v>
      </c>
      <c r="F124" s="2">
        <v>2</v>
      </c>
    </row>
    <row r="125" spans="1:6" ht="14.25" customHeight="1">
      <c r="A125" s="2">
        <v>35</v>
      </c>
      <c r="B125" s="2">
        <v>124</v>
      </c>
      <c r="C125" s="2">
        <v>6</v>
      </c>
      <c r="D125" s="2">
        <v>1</v>
      </c>
      <c r="E125" s="2">
        <v>1.508</v>
      </c>
      <c r="F125" s="2">
        <v>1</v>
      </c>
    </row>
    <row r="126" spans="1:6" ht="14.25" customHeight="1">
      <c r="A126" s="2">
        <v>35</v>
      </c>
      <c r="B126" s="2">
        <v>125</v>
      </c>
      <c r="C126" s="2">
        <v>2</v>
      </c>
      <c r="D126" s="2">
        <v>1</v>
      </c>
      <c r="E126" s="2">
        <v>1.0209999999999999</v>
      </c>
      <c r="F126" s="2">
        <v>1</v>
      </c>
    </row>
    <row r="127" spans="1:6" ht="14.25" customHeight="1">
      <c r="A127" s="2">
        <v>35</v>
      </c>
      <c r="B127" s="2">
        <v>126</v>
      </c>
      <c r="C127" s="2">
        <v>7</v>
      </c>
      <c r="D127" s="2">
        <v>0</v>
      </c>
      <c r="E127" s="2">
        <v>1.246</v>
      </c>
      <c r="F127" s="2">
        <v>1</v>
      </c>
    </row>
    <row r="128" spans="1:6" ht="14.25" customHeight="1">
      <c r="A128" s="2">
        <v>35</v>
      </c>
      <c r="B128" s="2">
        <v>127</v>
      </c>
      <c r="C128" s="2">
        <v>4</v>
      </c>
      <c r="D128" s="2">
        <v>1</v>
      </c>
      <c r="E128" s="2">
        <v>1.5149999999999999</v>
      </c>
      <c r="F128" s="2">
        <v>2</v>
      </c>
    </row>
    <row r="129" spans="1:6" ht="14.25" customHeight="1">
      <c r="A129" s="2">
        <v>35</v>
      </c>
      <c r="B129" s="2">
        <v>128</v>
      </c>
      <c r="C129" s="2">
        <v>1</v>
      </c>
      <c r="D129" s="2">
        <v>1</v>
      </c>
      <c r="E129" s="2">
        <v>0.97699999999999998</v>
      </c>
      <c r="F129" s="2">
        <v>1</v>
      </c>
    </row>
    <row r="130" spans="1:6" ht="14.25" customHeight="1">
      <c r="A130" s="2">
        <v>35</v>
      </c>
      <c r="B130" s="2">
        <v>129</v>
      </c>
      <c r="C130" s="2">
        <v>7</v>
      </c>
      <c r="D130" s="2">
        <v>1</v>
      </c>
      <c r="E130" s="2">
        <v>0.69799999999999995</v>
      </c>
      <c r="F130" s="2">
        <v>1</v>
      </c>
    </row>
    <row r="131" spans="1:6" ht="14.25" customHeight="1">
      <c r="A131" s="2">
        <v>35</v>
      </c>
      <c r="B131" s="2">
        <v>130</v>
      </c>
      <c r="C131" s="2">
        <v>6</v>
      </c>
      <c r="D131" s="2">
        <v>1</v>
      </c>
      <c r="E131" s="2">
        <v>0.85099999999999998</v>
      </c>
      <c r="F131" s="2">
        <v>2</v>
      </c>
    </row>
    <row r="132" spans="1:6" ht="14.25" customHeight="1">
      <c r="A132" s="2">
        <v>35</v>
      </c>
      <c r="B132" s="2">
        <v>131</v>
      </c>
      <c r="C132" s="2">
        <v>5</v>
      </c>
      <c r="D132" s="2">
        <v>1</v>
      </c>
      <c r="E132" s="2">
        <v>0.92300000000000004</v>
      </c>
      <c r="F132" s="2">
        <v>2</v>
      </c>
    </row>
    <row r="133" spans="1:6" ht="14.25" customHeight="1">
      <c r="A133" s="2">
        <v>35</v>
      </c>
      <c r="B133" s="2">
        <v>132</v>
      </c>
      <c r="C133" s="2">
        <v>4</v>
      </c>
      <c r="D133" s="2">
        <v>1</v>
      </c>
      <c r="E133" s="2">
        <v>0.67300000000000004</v>
      </c>
      <c r="F133" s="2">
        <v>1</v>
      </c>
    </row>
    <row r="134" spans="1:6" ht="14.25" customHeight="1">
      <c r="A134" s="2">
        <v>35</v>
      </c>
      <c r="B134" s="2">
        <v>133</v>
      </c>
      <c r="C134" s="2">
        <v>2</v>
      </c>
      <c r="D134" s="2">
        <v>0</v>
      </c>
      <c r="E134" s="2">
        <v>1.169</v>
      </c>
      <c r="F134" s="2">
        <v>1</v>
      </c>
    </row>
    <row r="135" spans="1:6" ht="14.25" customHeight="1">
      <c r="A135" s="2">
        <v>35</v>
      </c>
      <c r="B135" s="2">
        <v>134</v>
      </c>
      <c r="C135" s="2">
        <v>4</v>
      </c>
      <c r="D135" s="2">
        <v>1</v>
      </c>
      <c r="E135" s="2">
        <v>1.415</v>
      </c>
      <c r="F135" s="2">
        <v>1</v>
      </c>
    </row>
    <row r="136" spans="1:6" ht="14.25" customHeight="1">
      <c r="A136" s="2">
        <v>35</v>
      </c>
      <c r="B136" s="2">
        <v>135</v>
      </c>
      <c r="C136" s="2">
        <v>7</v>
      </c>
      <c r="D136" s="2">
        <v>0</v>
      </c>
      <c r="E136" s="2">
        <v>0.83099999999999996</v>
      </c>
      <c r="F136" s="2">
        <v>1</v>
      </c>
    </row>
    <row r="137" spans="1:6" ht="14.25" customHeight="1">
      <c r="A137" s="2">
        <v>35</v>
      </c>
      <c r="B137" s="2">
        <v>136</v>
      </c>
      <c r="C137" s="2">
        <v>2</v>
      </c>
      <c r="D137" s="2">
        <v>1</v>
      </c>
      <c r="E137" s="2">
        <v>0.63400000000000001</v>
      </c>
      <c r="F137" s="2">
        <v>1</v>
      </c>
    </row>
    <row r="138" spans="1:6" ht="14.25" customHeight="1">
      <c r="A138" s="2">
        <v>35</v>
      </c>
      <c r="B138" s="2">
        <v>137</v>
      </c>
      <c r="C138" s="2">
        <v>6</v>
      </c>
      <c r="D138" s="2">
        <v>1</v>
      </c>
      <c r="E138" s="2">
        <v>0.77500000000000002</v>
      </c>
      <c r="F138" s="2">
        <v>2</v>
      </c>
    </row>
    <row r="139" spans="1:6" ht="14.25" customHeight="1">
      <c r="A139" s="2">
        <v>35</v>
      </c>
      <c r="B139" s="2">
        <v>138</v>
      </c>
      <c r="C139" s="2">
        <v>7</v>
      </c>
      <c r="D139" s="2">
        <v>1</v>
      </c>
      <c r="E139" s="2">
        <v>0.58599999999999997</v>
      </c>
      <c r="F139" s="2">
        <v>2</v>
      </c>
    </row>
    <row r="140" spans="1:6" ht="14.25" customHeight="1">
      <c r="A140" s="2">
        <v>35</v>
      </c>
      <c r="B140" s="2">
        <v>139</v>
      </c>
      <c r="C140" s="2">
        <v>5</v>
      </c>
      <c r="D140" s="2">
        <v>0</v>
      </c>
      <c r="E140" s="2">
        <v>1.0109999999999999</v>
      </c>
      <c r="F140" s="2">
        <v>1</v>
      </c>
    </row>
    <row r="141" spans="1:6" ht="14.25" customHeight="1">
      <c r="A141" s="2">
        <v>35</v>
      </c>
      <c r="B141" s="2">
        <v>140</v>
      </c>
      <c r="C141" s="2">
        <v>6</v>
      </c>
      <c r="D141" s="2">
        <v>1</v>
      </c>
      <c r="E141" s="2">
        <v>0.873</v>
      </c>
      <c r="F141" s="2">
        <v>1</v>
      </c>
    </row>
    <row r="142" spans="1:6" ht="14.25" customHeight="1">
      <c r="A142" s="2">
        <v>35</v>
      </c>
      <c r="B142" s="2">
        <v>141</v>
      </c>
      <c r="C142" s="2">
        <v>4</v>
      </c>
      <c r="D142" s="2">
        <v>1</v>
      </c>
      <c r="E142" s="2">
        <v>0.90900000000000003</v>
      </c>
      <c r="F142" s="2">
        <v>2</v>
      </c>
    </row>
    <row r="143" spans="1:6" ht="14.25" customHeight="1">
      <c r="A143" s="2">
        <v>35</v>
      </c>
      <c r="B143" s="2">
        <v>142</v>
      </c>
      <c r="C143" s="2">
        <v>7</v>
      </c>
      <c r="D143" s="2">
        <v>1</v>
      </c>
      <c r="E143" s="2">
        <v>0.84899999999999998</v>
      </c>
      <c r="F143" s="2">
        <v>1</v>
      </c>
    </row>
    <row r="144" spans="1:6" ht="14.25" customHeight="1">
      <c r="A144" s="2">
        <v>35</v>
      </c>
      <c r="B144" s="2">
        <v>143</v>
      </c>
      <c r="C144" s="2">
        <v>3</v>
      </c>
      <c r="D144" s="2">
        <v>1</v>
      </c>
      <c r="E144" s="2">
        <v>0.70799999999999996</v>
      </c>
      <c r="F144" s="2">
        <v>1</v>
      </c>
    </row>
    <row r="145" spans="1:6" ht="14.25" customHeight="1">
      <c r="A145" s="2">
        <v>35</v>
      </c>
      <c r="B145" s="2">
        <v>144</v>
      </c>
      <c r="C145" s="2">
        <v>5</v>
      </c>
      <c r="D145" s="2">
        <v>1</v>
      </c>
      <c r="E145" s="2">
        <v>0.62</v>
      </c>
      <c r="F145" s="2">
        <v>1</v>
      </c>
    </row>
    <row r="146" spans="1:6" ht="14.25" customHeight="1">
      <c r="A146" s="2">
        <v>35</v>
      </c>
      <c r="B146" s="2">
        <v>145</v>
      </c>
      <c r="C146" s="2">
        <v>8</v>
      </c>
      <c r="D146" s="2">
        <v>1</v>
      </c>
      <c r="E146" s="2">
        <v>1.093</v>
      </c>
      <c r="F146" s="2">
        <v>1</v>
      </c>
    </row>
    <row r="147" spans="1:6" ht="14.25" customHeight="1">
      <c r="A147" s="2">
        <v>35</v>
      </c>
      <c r="B147" s="2">
        <v>146</v>
      </c>
      <c r="C147" s="2">
        <v>1</v>
      </c>
      <c r="D147" s="2">
        <v>1</v>
      </c>
      <c r="E147" s="2">
        <v>0.94099999999999995</v>
      </c>
      <c r="F147" s="2">
        <v>1</v>
      </c>
    </row>
    <row r="148" spans="1:6" ht="14.25" customHeight="1">
      <c r="A148" s="2">
        <v>35</v>
      </c>
      <c r="B148" s="2">
        <v>147</v>
      </c>
      <c r="C148" s="2">
        <v>6</v>
      </c>
      <c r="D148" s="2">
        <v>1</v>
      </c>
      <c r="E148" s="2">
        <v>1.3779999999999999</v>
      </c>
      <c r="F148" s="2">
        <v>1</v>
      </c>
    </row>
    <row r="149" spans="1:6" ht="14.25" customHeight="1">
      <c r="A149" s="2">
        <v>35</v>
      </c>
      <c r="B149" s="2">
        <v>148</v>
      </c>
      <c r="C149" s="2">
        <v>3</v>
      </c>
      <c r="D149" s="2">
        <v>1</v>
      </c>
      <c r="E149" s="2">
        <v>0.90300000000000002</v>
      </c>
      <c r="F149" s="2">
        <v>1</v>
      </c>
    </row>
    <row r="150" spans="1:6" ht="14.25" customHeight="1">
      <c r="A150" s="2">
        <v>35</v>
      </c>
      <c r="B150" s="2">
        <v>149</v>
      </c>
      <c r="C150" s="2">
        <v>7</v>
      </c>
      <c r="D150" s="2">
        <v>1</v>
      </c>
      <c r="E150" s="2">
        <v>1.2729999999999999</v>
      </c>
      <c r="F150" s="2">
        <v>2</v>
      </c>
    </row>
    <row r="151" spans="1:6" ht="14.25" customHeight="1">
      <c r="A151" s="2">
        <v>35</v>
      </c>
      <c r="B151" s="2">
        <v>150</v>
      </c>
      <c r="C151" s="2">
        <v>3</v>
      </c>
      <c r="D151" s="2">
        <v>1</v>
      </c>
      <c r="E151" s="2">
        <v>1.284</v>
      </c>
      <c r="F151" s="2">
        <v>1</v>
      </c>
    </row>
    <row r="152" spans="1:6" ht="14.25" customHeight="1">
      <c r="A152" s="2">
        <v>35</v>
      </c>
      <c r="B152" s="2">
        <v>151</v>
      </c>
      <c r="C152" s="2">
        <v>6</v>
      </c>
      <c r="D152" s="2">
        <v>1</v>
      </c>
      <c r="E152" s="2">
        <v>1.0169999999999999</v>
      </c>
    </row>
    <row r="153" spans="1:6" ht="14.25" customHeight="1">
      <c r="A153" s="2">
        <v>35</v>
      </c>
      <c r="B153" s="2">
        <v>152</v>
      </c>
      <c r="C153" s="2">
        <v>7</v>
      </c>
      <c r="D153" s="2">
        <v>1</v>
      </c>
      <c r="E153" s="2">
        <v>1.101</v>
      </c>
    </row>
    <row r="154" spans="1:6" ht="14.25" customHeight="1">
      <c r="A154" s="2">
        <v>35</v>
      </c>
      <c r="B154" s="2">
        <v>153</v>
      </c>
      <c r="C154" s="2">
        <v>1</v>
      </c>
      <c r="D154" s="2">
        <v>1</v>
      </c>
      <c r="E154" s="2">
        <v>0.65900000000000003</v>
      </c>
    </row>
    <row r="155" spans="1:6" ht="14.25" customHeight="1">
      <c r="A155" s="2">
        <v>35</v>
      </c>
      <c r="B155" s="2">
        <v>154</v>
      </c>
      <c r="C155" s="2">
        <v>4</v>
      </c>
      <c r="D155" s="2">
        <v>1</v>
      </c>
      <c r="E155" s="2">
        <v>0.86299999999999999</v>
      </c>
    </row>
    <row r="156" spans="1:6" ht="14.25" customHeight="1">
      <c r="A156" s="2">
        <v>35</v>
      </c>
      <c r="B156" s="2">
        <v>155</v>
      </c>
      <c r="C156" s="2">
        <v>3</v>
      </c>
      <c r="D156" s="2">
        <v>1</v>
      </c>
      <c r="E156" s="2">
        <v>0.94</v>
      </c>
    </row>
    <row r="157" spans="1:6" ht="14.25" customHeight="1">
      <c r="A157" s="2">
        <v>35</v>
      </c>
      <c r="B157" s="2">
        <v>156</v>
      </c>
      <c r="C157" s="2">
        <v>2</v>
      </c>
      <c r="D157" s="2">
        <v>1</v>
      </c>
      <c r="E157" s="2">
        <v>0.66900000000000004</v>
      </c>
    </row>
    <row r="158" spans="1:6" ht="14.25" customHeight="1">
      <c r="A158" s="2">
        <v>35</v>
      </c>
      <c r="B158" s="2">
        <v>157</v>
      </c>
      <c r="C158" s="2">
        <v>6</v>
      </c>
      <c r="D158" s="2">
        <v>1</v>
      </c>
      <c r="E158" s="2">
        <v>0.93100000000000005</v>
      </c>
    </row>
    <row r="159" spans="1:6" ht="14.25" customHeight="1">
      <c r="A159" s="2">
        <v>35</v>
      </c>
      <c r="B159" s="2">
        <v>158</v>
      </c>
      <c r="C159" s="2">
        <v>2</v>
      </c>
      <c r="D159" s="2">
        <v>1</v>
      </c>
      <c r="E159" s="2">
        <v>0.77300000000000002</v>
      </c>
    </row>
    <row r="160" spans="1:6" ht="14.25" customHeight="1">
      <c r="A160" s="2">
        <v>35</v>
      </c>
      <c r="B160" s="2">
        <v>159</v>
      </c>
      <c r="C160" s="2">
        <v>6</v>
      </c>
      <c r="D160" s="2">
        <v>1</v>
      </c>
      <c r="E160" s="2">
        <v>0.94599999999999995</v>
      </c>
    </row>
    <row r="161" spans="1:5" ht="14.25" customHeight="1">
      <c r="A161" s="2">
        <v>35</v>
      </c>
      <c r="B161" s="2">
        <v>160</v>
      </c>
      <c r="C161" s="2">
        <v>7</v>
      </c>
      <c r="D161" s="2">
        <v>1</v>
      </c>
      <c r="E161" s="2">
        <v>0.77800000000000002</v>
      </c>
    </row>
    <row r="162" spans="1:5" ht="14.25" customHeight="1">
      <c r="A162" s="2">
        <v>35</v>
      </c>
      <c r="B162" s="2">
        <v>161</v>
      </c>
      <c r="C162" s="2">
        <v>4</v>
      </c>
      <c r="D162" s="2">
        <v>1</v>
      </c>
      <c r="E162" s="2">
        <v>1.0329999999999999</v>
      </c>
    </row>
    <row r="163" spans="1:5" ht="14.25" customHeight="1">
      <c r="A163" s="2">
        <v>35</v>
      </c>
      <c r="B163" s="2">
        <v>162</v>
      </c>
      <c r="C163" s="2">
        <v>1</v>
      </c>
      <c r="D163" s="2">
        <v>1</v>
      </c>
      <c r="E163" s="2">
        <v>0.76900000000000002</v>
      </c>
    </row>
    <row r="164" spans="1:5" ht="14.25" customHeight="1">
      <c r="A164" s="2">
        <v>35</v>
      </c>
      <c r="B164" s="2">
        <v>163</v>
      </c>
      <c r="C164" s="2">
        <v>2</v>
      </c>
      <c r="D164" s="2">
        <v>1</v>
      </c>
      <c r="E164" s="2">
        <v>0.89500000000000002</v>
      </c>
    </row>
    <row r="165" spans="1:5" ht="14.25" customHeight="1">
      <c r="A165" s="2">
        <v>35</v>
      </c>
      <c r="B165" s="2">
        <v>164</v>
      </c>
      <c r="C165" s="2">
        <v>1</v>
      </c>
      <c r="D165" s="2">
        <v>1</v>
      </c>
      <c r="E165" s="2">
        <v>0.71699999999999997</v>
      </c>
    </row>
    <row r="166" spans="1:5" ht="14.25" customHeight="1">
      <c r="A166" s="2">
        <v>35</v>
      </c>
      <c r="B166" s="2">
        <v>165</v>
      </c>
      <c r="C166" s="2">
        <v>5</v>
      </c>
      <c r="D166" s="2">
        <v>1</v>
      </c>
      <c r="E166" s="2">
        <v>0.92</v>
      </c>
    </row>
    <row r="167" spans="1:5" ht="14.25" customHeight="1">
      <c r="A167" s="2">
        <v>35</v>
      </c>
      <c r="B167" s="2">
        <v>166</v>
      </c>
      <c r="C167" s="2">
        <v>3</v>
      </c>
      <c r="D167" s="2">
        <v>1</v>
      </c>
      <c r="E167" s="2">
        <v>0.69</v>
      </c>
    </row>
    <row r="168" spans="1:5" ht="14.25" customHeight="1">
      <c r="A168" s="2">
        <v>35</v>
      </c>
      <c r="B168" s="2">
        <v>167</v>
      </c>
      <c r="C168" s="2">
        <v>2</v>
      </c>
      <c r="D168" s="2">
        <v>1</v>
      </c>
      <c r="E168" s="2">
        <v>0.60699999999999998</v>
      </c>
    </row>
    <row r="169" spans="1:5" ht="14.25" customHeight="1">
      <c r="A169" s="2">
        <v>35</v>
      </c>
      <c r="B169" s="2">
        <v>168</v>
      </c>
      <c r="C169" s="2">
        <v>8</v>
      </c>
      <c r="D169" s="2">
        <v>0</v>
      </c>
      <c r="E169" s="2">
        <v>0.97099999999999997</v>
      </c>
    </row>
    <row r="170" spans="1:5" ht="14.25" customHeight="1">
      <c r="A170" s="2">
        <v>35</v>
      </c>
      <c r="B170" s="2">
        <v>169</v>
      </c>
      <c r="C170" s="2">
        <v>4</v>
      </c>
      <c r="D170" s="2">
        <v>1</v>
      </c>
      <c r="E170" s="2">
        <v>1.8</v>
      </c>
    </row>
    <row r="171" spans="1:5" ht="14.25" customHeight="1">
      <c r="A171" s="2">
        <v>35</v>
      </c>
      <c r="B171" s="2">
        <v>170</v>
      </c>
      <c r="C171" s="2">
        <v>8</v>
      </c>
      <c r="D171" s="2">
        <v>1</v>
      </c>
      <c r="E171" s="2">
        <v>0.68799999999999994</v>
      </c>
    </row>
    <row r="172" spans="1:5" ht="14.25" customHeight="1">
      <c r="A172" s="2">
        <v>35</v>
      </c>
      <c r="B172" s="2">
        <v>171</v>
      </c>
      <c r="C172" s="2">
        <v>3</v>
      </c>
      <c r="D172" s="2">
        <v>1</v>
      </c>
      <c r="E172" s="2">
        <v>0.98199999999999998</v>
      </c>
    </row>
    <row r="173" spans="1:5" ht="14.25" customHeight="1">
      <c r="A173" s="2">
        <v>35</v>
      </c>
      <c r="B173" s="2">
        <v>172</v>
      </c>
      <c r="C173" s="2">
        <v>7</v>
      </c>
      <c r="D173" s="2">
        <v>1</v>
      </c>
      <c r="E173" s="2">
        <v>1.0469999999999999</v>
      </c>
    </row>
    <row r="174" spans="1:5" ht="14.25" customHeight="1">
      <c r="A174" s="2">
        <v>35</v>
      </c>
      <c r="B174" s="2">
        <v>173</v>
      </c>
      <c r="C174" s="2">
        <v>5</v>
      </c>
      <c r="D174" s="2">
        <v>1</v>
      </c>
      <c r="E174" s="2">
        <v>0.64400000000000002</v>
      </c>
    </row>
    <row r="175" spans="1:5" ht="14.25" customHeight="1">
      <c r="A175" s="2">
        <v>35</v>
      </c>
      <c r="B175" s="2">
        <v>174</v>
      </c>
      <c r="C175" s="2">
        <v>2</v>
      </c>
      <c r="D175" s="2">
        <v>1</v>
      </c>
      <c r="E175" s="2">
        <v>1.1759999999999999</v>
      </c>
    </row>
    <row r="176" spans="1:5" ht="14.25" customHeight="1">
      <c r="A176" s="2">
        <v>35</v>
      </c>
      <c r="B176" s="2">
        <v>175</v>
      </c>
      <c r="C176" s="2">
        <v>6</v>
      </c>
      <c r="D176" s="2">
        <v>1</v>
      </c>
      <c r="E176" s="2">
        <v>0.89100000000000001</v>
      </c>
    </row>
    <row r="177" spans="1:5" ht="14.25" customHeight="1">
      <c r="A177" s="2">
        <v>35</v>
      </c>
      <c r="B177" s="2">
        <v>176</v>
      </c>
      <c r="C177" s="2">
        <v>3</v>
      </c>
      <c r="D177" s="2">
        <v>1</v>
      </c>
      <c r="E177" s="2">
        <v>1.1850000000000001</v>
      </c>
    </row>
    <row r="178" spans="1:5" ht="14.25" customHeight="1">
      <c r="A178" s="2">
        <v>35</v>
      </c>
      <c r="B178" s="2">
        <v>177</v>
      </c>
      <c r="C178" s="2">
        <v>8</v>
      </c>
      <c r="D178" s="2">
        <v>1</v>
      </c>
      <c r="E178" s="2">
        <v>1.02</v>
      </c>
    </row>
    <row r="179" spans="1:5" ht="14.25" customHeight="1">
      <c r="A179" s="2">
        <v>35</v>
      </c>
      <c r="B179" s="2">
        <v>178</v>
      </c>
      <c r="C179" s="2">
        <v>7</v>
      </c>
      <c r="D179" s="2">
        <v>1</v>
      </c>
      <c r="E179" s="2">
        <v>0.95899999999999996</v>
      </c>
    </row>
    <row r="180" spans="1:5" ht="14.25" customHeight="1">
      <c r="A180" s="2">
        <v>35</v>
      </c>
      <c r="B180" s="2">
        <v>179</v>
      </c>
      <c r="C180" s="2">
        <v>4</v>
      </c>
      <c r="D180" s="2">
        <v>1</v>
      </c>
      <c r="E180" s="2">
        <v>0.81699999999999995</v>
      </c>
    </row>
    <row r="181" spans="1:5" ht="14.25" customHeight="1">
      <c r="A181" s="2">
        <v>35</v>
      </c>
      <c r="B181" s="2">
        <v>180</v>
      </c>
      <c r="C181" s="2">
        <v>8</v>
      </c>
      <c r="D181" s="2">
        <v>1</v>
      </c>
      <c r="E181" s="2">
        <v>0.64300000000000002</v>
      </c>
    </row>
    <row r="182" spans="1:5" ht="14.25" customHeight="1">
      <c r="A182" s="2">
        <v>35</v>
      </c>
      <c r="B182" s="2">
        <v>181</v>
      </c>
      <c r="C182" s="2">
        <v>4</v>
      </c>
      <c r="D182" s="2">
        <v>1</v>
      </c>
      <c r="E182" s="2">
        <v>0.751</v>
      </c>
    </row>
    <row r="183" spans="1:5" ht="14.25" customHeight="1">
      <c r="A183" s="2">
        <v>35</v>
      </c>
      <c r="B183" s="2">
        <v>182</v>
      </c>
      <c r="C183" s="2">
        <v>5</v>
      </c>
      <c r="D183" s="2">
        <v>1</v>
      </c>
      <c r="E183" s="2">
        <v>0.70699999999999996</v>
      </c>
    </row>
    <row r="184" spans="1:5" ht="14.25" customHeight="1">
      <c r="A184" s="2">
        <v>35</v>
      </c>
      <c r="B184" s="2">
        <v>183</v>
      </c>
      <c r="C184" s="2">
        <v>6</v>
      </c>
      <c r="D184" s="2">
        <v>0</v>
      </c>
      <c r="E184" s="2">
        <v>1.105</v>
      </c>
    </row>
    <row r="185" spans="1:5" ht="14.25" customHeight="1">
      <c r="A185" s="2">
        <v>35</v>
      </c>
      <c r="B185" s="2">
        <v>184</v>
      </c>
      <c r="C185" s="2">
        <v>5</v>
      </c>
      <c r="D185" s="2">
        <v>1</v>
      </c>
      <c r="E185" s="2">
        <v>0.97599999999999998</v>
      </c>
    </row>
    <row r="186" spans="1:5" ht="14.25" customHeight="1">
      <c r="A186" s="2">
        <v>35</v>
      </c>
      <c r="B186" s="2">
        <v>185</v>
      </c>
      <c r="C186" s="2">
        <v>7</v>
      </c>
      <c r="D186" s="2">
        <v>1</v>
      </c>
      <c r="E186" s="2">
        <v>0.69</v>
      </c>
    </row>
    <row r="187" spans="1:5" ht="14.25" customHeight="1">
      <c r="A187" s="2">
        <v>35</v>
      </c>
      <c r="B187" s="2">
        <v>186</v>
      </c>
      <c r="C187" s="2">
        <v>6</v>
      </c>
      <c r="D187" s="2">
        <v>1</v>
      </c>
      <c r="E187" s="2">
        <v>0.84399999999999997</v>
      </c>
    </row>
    <row r="188" spans="1:5" ht="14.25" customHeight="1">
      <c r="A188" s="2">
        <v>35</v>
      </c>
      <c r="B188" s="2">
        <v>187</v>
      </c>
      <c r="C188" s="2">
        <v>2</v>
      </c>
      <c r="D188" s="2">
        <v>1</v>
      </c>
      <c r="E188" s="2">
        <v>0.90600000000000003</v>
      </c>
    </row>
    <row r="189" spans="1:5" ht="14.25" customHeight="1">
      <c r="A189" s="2">
        <v>35</v>
      </c>
      <c r="B189" s="2">
        <v>188</v>
      </c>
      <c r="C189" s="2">
        <v>3</v>
      </c>
      <c r="D189" s="2">
        <v>1</v>
      </c>
      <c r="E189" s="2">
        <v>0.67300000000000004</v>
      </c>
    </row>
    <row r="190" spans="1:5" ht="14.25" customHeight="1">
      <c r="A190" s="2">
        <v>35</v>
      </c>
      <c r="B190" s="2">
        <v>189</v>
      </c>
      <c r="C190" s="2">
        <v>4</v>
      </c>
      <c r="D190" s="2">
        <v>1</v>
      </c>
      <c r="E190" s="2">
        <v>1.056</v>
      </c>
    </row>
    <row r="191" spans="1:5" ht="14.25" customHeight="1">
      <c r="A191" s="2">
        <v>35</v>
      </c>
      <c r="B191" s="2">
        <v>190</v>
      </c>
      <c r="C191" s="2">
        <v>8</v>
      </c>
      <c r="D191" s="2">
        <v>1</v>
      </c>
      <c r="E191" s="2">
        <v>0.70499999999999996</v>
      </c>
    </row>
    <row r="192" spans="1:5" ht="14.25" customHeight="1">
      <c r="A192" s="2">
        <v>35</v>
      </c>
      <c r="B192" s="2">
        <v>191</v>
      </c>
      <c r="C192" s="2">
        <v>3</v>
      </c>
      <c r="D192" s="2">
        <v>1</v>
      </c>
      <c r="E192" s="2">
        <v>0.61199999999999999</v>
      </c>
    </row>
    <row r="193" spans="1:5" ht="14.25" customHeight="1">
      <c r="A193" s="2">
        <v>35</v>
      </c>
      <c r="B193" s="2">
        <v>192</v>
      </c>
      <c r="C193" s="2">
        <v>6</v>
      </c>
      <c r="D193" s="2">
        <v>1</v>
      </c>
      <c r="E193" s="2">
        <v>0.746</v>
      </c>
    </row>
    <row r="194" spans="1:5" ht="14.25" customHeight="1">
      <c r="A194" s="2">
        <v>35</v>
      </c>
      <c r="B194" s="2">
        <v>193</v>
      </c>
      <c r="C194" s="2">
        <v>1</v>
      </c>
      <c r="D194" s="2">
        <v>0</v>
      </c>
      <c r="E194" s="2">
        <v>0.86</v>
      </c>
    </row>
    <row r="195" spans="1:5" ht="14.25" customHeight="1">
      <c r="A195" s="2">
        <v>35</v>
      </c>
      <c r="B195" s="2">
        <v>194</v>
      </c>
      <c r="C195" s="2">
        <v>5</v>
      </c>
      <c r="D195" s="2">
        <v>1</v>
      </c>
      <c r="E195" s="2">
        <v>0.623</v>
      </c>
    </row>
    <row r="196" spans="1:5" ht="14.25" customHeight="1">
      <c r="A196" s="2">
        <v>35</v>
      </c>
      <c r="B196" s="2">
        <v>195</v>
      </c>
      <c r="C196" s="2">
        <v>8</v>
      </c>
      <c r="D196" s="2">
        <v>1</v>
      </c>
      <c r="E196" s="2">
        <v>0.98499999999999999</v>
      </c>
    </row>
    <row r="197" spans="1:5" ht="14.25" customHeight="1">
      <c r="A197" s="2">
        <v>35</v>
      </c>
      <c r="B197" s="2">
        <v>196</v>
      </c>
      <c r="C197" s="2">
        <v>1</v>
      </c>
      <c r="D197" s="2">
        <v>1</v>
      </c>
      <c r="E197" s="2">
        <v>0.59499999999999997</v>
      </c>
    </row>
    <row r="198" spans="1:5" ht="14.25" customHeight="1">
      <c r="A198" s="2">
        <v>35</v>
      </c>
      <c r="B198" s="2">
        <v>197</v>
      </c>
      <c r="C198" s="2">
        <v>4</v>
      </c>
      <c r="D198" s="2">
        <v>1</v>
      </c>
      <c r="E198" s="2">
        <v>0.92800000000000005</v>
      </c>
    </row>
    <row r="199" spans="1:5" ht="14.25" customHeight="1">
      <c r="A199" s="2">
        <v>35</v>
      </c>
      <c r="B199" s="2">
        <v>198</v>
      </c>
      <c r="C199" s="2">
        <v>7</v>
      </c>
      <c r="D199" s="2">
        <v>1</v>
      </c>
      <c r="E199" s="2">
        <v>0.65500000000000003</v>
      </c>
    </row>
    <row r="200" spans="1:5" ht="14.25" customHeight="1">
      <c r="A200" s="2">
        <v>35</v>
      </c>
      <c r="B200" s="2">
        <v>199</v>
      </c>
      <c r="C200" s="2">
        <v>1</v>
      </c>
      <c r="D200" s="2">
        <v>1</v>
      </c>
      <c r="E200" s="2">
        <v>0.91500000000000004</v>
      </c>
    </row>
    <row r="201" spans="1:5" ht="14.25" customHeight="1">
      <c r="A201" s="2">
        <v>35</v>
      </c>
      <c r="B201" s="2">
        <v>200</v>
      </c>
      <c r="C201" s="2">
        <v>5</v>
      </c>
      <c r="D201" s="2">
        <v>1</v>
      </c>
      <c r="E201" s="2">
        <v>0.81100000000000005</v>
      </c>
    </row>
    <row r="202" spans="1:5" ht="14.25" customHeight="1">
      <c r="A202" s="2">
        <v>35</v>
      </c>
      <c r="B202" s="2">
        <v>201</v>
      </c>
      <c r="C202" s="2">
        <v>5</v>
      </c>
    </row>
    <row r="203" spans="1:5" ht="14.25" customHeight="1">
      <c r="A203" s="2">
        <v>35</v>
      </c>
      <c r="B203" s="2">
        <v>202</v>
      </c>
      <c r="C203" s="2">
        <v>8</v>
      </c>
    </row>
    <row r="204" spans="1:5" ht="14.25" customHeight="1">
      <c r="A204" s="2">
        <v>35</v>
      </c>
      <c r="B204" s="2">
        <v>203</v>
      </c>
      <c r="C204" s="2">
        <v>7</v>
      </c>
    </row>
    <row r="205" spans="1:5" ht="14.25" customHeight="1">
      <c r="A205" s="2">
        <v>35</v>
      </c>
      <c r="B205" s="2">
        <v>204</v>
      </c>
      <c r="C205" s="2">
        <v>8</v>
      </c>
    </row>
    <row r="206" spans="1:5" ht="14.25" customHeight="1">
      <c r="A206" s="2">
        <v>35</v>
      </c>
      <c r="B206" s="2">
        <v>205</v>
      </c>
      <c r="C206" s="2">
        <v>6</v>
      </c>
    </row>
    <row r="207" spans="1:5" ht="14.25" customHeight="1">
      <c r="A207" s="2">
        <v>35</v>
      </c>
      <c r="B207" s="2">
        <v>206</v>
      </c>
      <c r="C207" s="2">
        <v>2</v>
      </c>
    </row>
    <row r="208" spans="1:5" ht="14.25" customHeight="1">
      <c r="A208" s="2">
        <v>35</v>
      </c>
      <c r="B208" s="2">
        <v>207</v>
      </c>
      <c r="C208" s="2">
        <v>1</v>
      </c>
    </row>
    <row r="209" spans="1:3" ht="14.25" customHeight="1">
      <c r="A209" s="2">
        <v>35</v>
      </c>
      <c r="B209" s="2">
        <v>208</v>
      </c>
      <c r="C209" s="2">
        <v>4</v>
      </c>
    </row>
    <row r="210" spans="1:3" ht="14.25" customHeight="1">
      <c r="A210" s="2">
        <v>35</v>
      </c>
      <c r="B210" s="2">
        <v>209</v>
      </c>
      <c r="C210" s="2">
        <v>3</v>
      </c>
    </row>
    <row r="211" spans="1:3" ht="14.25" customHeight="1">
      <c r="A211" s="2">
        <v>35</v>
      </c>
      <c r="B211" s="2">
        <v>210</v>
      </c>
      <c r="C211" s="2">
        <v>1</v>
      </c>
    </row>
    <row r="212" spans="1:3" ht="14.25" customHeight="1">
      <c r="A212" s="2">
        <v>35</v>
      </c>
      <c r="B212" s="2">
        <v>211</v>
      </c>
      <c r="C212" s="2">
        <v>8</v>
      </c>
    </row>
    <row r="213" spans="1:3" ht="14.25" customHeight="1">
      <c r="A213" s="2">
        <v>35</v>
      </c>
      <c r="B213" s="2">
        <v>212</v>
      </c>
      <c r="C213" s="2">
        <v>4</v>
      </c>
    </row>
    <row r="214" spans="1:3" ht="14.25" customHeight="1">
      <c r="A214" s="2">
        <v>35</v>
      </c>
      <c r="B214" s="2">
        <v>213</v>
      </c>
      <c r="C214" s="2">
        <v>3</v>
      </c>
    </row>
    <row r="215" spans="1:3" ht="14.25" customHeight="1">
      <c r="A215" s="2">
        <v>35</v>
      </c>
      <c r="B215" s="2">
        <v>214</v>
      </c>
      <c r="C215" s="2">
        <v>2</v>
      </c>
    </row>
    <row r="216" spans="1:3" ht="14.25" customHeight="1">
      <c r="A216" s="2">
        <v>35</v>
      </c>
      <c r="B216" s="2">
        <v>215</v>
      </c>
      <c r="C216" s="2">
        <v>3</v>
      </c>
    </row>
    <row r="217" spans="1:3" ht="14.25" customHeight="1">
      <c r="A217" s="2">
        <v>35</v>
      </c>
      <c r="B217" s="2">
        <v>216</v>
      </c>
      <c r="C217" s="2">
        <v>6</v>
      </c>
    </row>
    <row r="218" spans="1:3" ht="14.25" customHeight="1">
      <c r="A218" s="2">
        <v>35</v>
      </c>
      <c r="B218" s="2">
        <v>217</v>
      </c>
      <c r="C218" s="2">
        <v>3</v>
      </c>
    </row>
    <row r="219" spans="1:3" ht="14.25" customHeight="1">
      <c r="A219" s="2">
        <v>35</v>
      </c>
      <c r="B219" s="2">
        <v>218</v>
      </c>
      <c r="C219" s="2">
        <v>2</v>
      </c>
    </row>
    <row r="220" spans="1:3" ht="14.25" customHeight="1">
      <c r="A220" s="2">
        <v>35</v>
      </c>
      <c r="B220" s="2">
        <v>219</v>
      </c>
      <c r="C220" s="2">
        <v>1</v>
      </c>
    </row>
    <row r="221" spans="1:3" ht="14.25" customHeight="1">
      <c r="A221" s="2">
        <v>35</v>
      </c>
      <c r="B221" s="2">
        <v>220</v>
      </c>
      <c r="C221" s="2">
        <v>7</v>
      </c>
    </row>
    <row r="222" spans="1:3" ht="14.25" customHeight="1">
      <c r="A222" s="2">
        <v>35</v>
      </c>
      <c r="B222" s="2">
        <v>221</v>
      </c>
      <c r="C222" s="2">
        <v>2</v>
      </c>
    </row>
    <row r="223" spans="1:3" ht="14.25" customHeight="1">
      <c r="A223" s="2">
        <v>35</v>
      </c>
      <c r="B223" s="2">
        <v>222</v>
      </c>
      <c r="C223" s="2">
        <v>6</v>
      </c>
    </row>
    <row r="224" spans="1:3" ht="14.25" customHeight="1">
      <c r="A224" s="2">
        <v>35</v>
      </c>
      <c r="B224" s="2">
        <v>223</v>
      </c>
      <c r="C224" s="2">
        <v>4</v>
      </c>
    </row>
    <row r="225" spans="1:3" ht="14.25" customHeight="1">
      <c r="A225" s="2">
        <v>35</v>
      </c>
      <c r="B225" s="2">
        <v>224</v>
      </c>
      <c r="C225" s="2">
        <v>5</v>
      </c>
    </row>
    <row r="226" spans="1:3" ht="14.25" customHeight="1">
      <c r="A226" s="2">
        <v>35</v>
      </c>
      <c r="B226" s="2">
        <v>225</v>
      </c>
      <c r="C226" s="2">
        <v>3</v>
      </c>
    </row>
    <row r="227" spans="1:3" ht="14.25" customHeight="1">
      <c r="A227" s="2">
        <v>35</v>
      </c>
      <c r="B227" s="2">
        <v>226</v>
      </c>
      <c r="C227" s="2">
        <v>6</v>
      </c>
    </row>
    <row r="228" spans="1:3" ht="14.25" customHeight="1">
      <c r="A228" s="2">
        <v>35</v>
      </c>
      <c r="B228" s="2">
        <v>227</v>
      </c>
      <c r="C228" s="2">
        <v>1</v>
      </c>
    </row>
    <row r="229" spans="1:3" ht="14.25" customHeight="1">
      <c r="A229" s="2">
        <v>35</v>
      </c>
      <c r="B229" s="2">
        <v>228</v>
      </c>
      <c r="C229" s="2">
        <v>2</v>
      </c>
    </row>
    <row r="230" spans="1:3" ht="14.25" customHeight="1">
      <c r="A230" s="2">
        <v>35</v>
      </c>
      <c r="B230" s="2">
        <v>229</v>
      </c>
      <c r="C230" s="2">
        <v>6</v>
      </c>
    </row>
    <row r="231" spans="1:3" ht="14.25" customHeight="1">
      <c r="A231" s="2">
        <v>35</v>
      </c>
      <c r="B231" s="2">
        <v>230</v>
      </c>
      <c r="C231" s="2">
        <v>8</v>
      </c>
    </row>
    <row r="232" spans="1:3" ht="14.25" customHeight="1">
      <c r="A232" s="2">
        <v>35</v>
      </c>
      <c r="B232" s="2">
        <v>231</v>
      </c>
      <c r="C232" s="2">
        <v>7</v>
      </c>
    </row>
    <row r="233" spans="1:3" ht="14.25" customHeight="1">
      <c r="A233" s="2">
        <v>35</v>
      </c>
      <c r="B233" s="2">
        <v>232</v>
      </c>
      <c r="C233" s="2">
        <v>4</v>
      </c>
    </row>
    <row r="234" spans="1:3" ht="14.25" customHeight="1">
      <c r="A234" s="2">
        <v>35</v>
      </c>
      <c r="B234" s="2">
        <v>233</v>
      </c>
      <c r="C234" s="2">
        <v>5</v>
      </c>
    </row>
    <row r="235" spans="1:3" ht="14.25" customHeight="1">
      <c r="A235" s="2">
        <v>35</v>
      </c>
      <c r="B235" s="2">
        <v>234</v>
      </c>
      <c r="C235" s="2">
        <v>1</v>
      </c>
    </row>
    <row r="236" spans="1:3" ht="14.25" customHeight="1">
      <c r="A236" s="2">
        <v>35</v>
      </c>
      <c r="B236" s="2">
        <v>235</v>
      </c>
      <c r="C236" s="2">
        <v>4</v>
      </c>
    </row>
    <row r="237" spans="1:3" ht="14.25" customHeight="1">
      <c r="A237" s="2">
        <v>35</v>
      </c>
      <c r="B237" s="2">
        <v>236</v>
      </c>
      <c r="C237" s="2">
        <v>1</v>
      </c>
    </row>
    <row r="238" spans="1:3" ht="14.25" customHeight="1">
      <c r="A238" s="2">
        <v>35</v>
      </c>
      <c r="B238" s="2">
        <v>237</v>
      </c>
      <c r="C238" s="2">
        <v>7</v>
      </c>
    </row>
    <row r="239" spans="1:3" ht="14.25" customHeight="1">
      <c r="A239" s="2">
        <v>35</v>
      </c>
      <c r="B239" s="2">
        <v>238</v>
      </c>
      <c r="C239" s="2">
        <v>2</v>
      </c>
    </row>
    <row r="240" spans="1:3" ht="14.25" customHeight="1">
      <c r="A240" s="2">
        <v>35</v>
      </c>
      <c r="B240" s="2">
        <v>239</v>
      </c>
      <c r="C240" s="2">
        <v>7</v>
      </c>
    </row>
    <row r="241" spans="1:3" ht="14.25" customHeight="1">
      <c r="A241" s="2">
        <v>35</v>
      </c>
      <c r="B241" s="2">
        <v>240</v>
      </c>
      <c r="C241" s="2">
        <v>6</v>
      </c>
    </row>
    <row r="242" spans="1:3" ht="14.25" customHeight="1">
      <c r="A242" s="2">
        <v>35</v>
      </c>
      <c r="B242" s="2">
        <v>241</v>
      </c>
      <c r="C242" s="2">
        <v>7</v>
      </c>
    </row>
    <row r="243" spans="1:3" ht="14.25" customHeight="1">
      <c r="A243" s="2">
        <v>35</v>
      </c>
      <c r="B243" s="2">
        <v>242</v>
      </c>
      <c r="C243" s="2">
        <v>5</v>
      </c>
    </row>
    <row r="244" spans="1:3" ht="14.25" customHeight="1">
      <c r="A244" s="2">
        <v>35</v>
      </c>
      <c r="B244" s="2">
        <v>243</v>
      </c>
      <c r="C244" s="2">
        <v>4</v>
      </c>
    </row>
    <row r="245" spans="1:3" ht="14.25" customHeight="1">
      <c r="A245" s="2">
        <v>35</v>
      </c>
      <c r="B245" s="2">
        <v>244</v>
      </c>
      <c r="C245" s="2">
        <v>8</v>
      </c>
    </row>
    <row r="246" spans="1:3" ht="14.25" customHeight="1">
      <c r="A246" s="2">
        <v>35</v>
      </c>
      <c r="B246" s="2">
        <v>245</v>
      </c>
      <c r="C246" s="2">
        <v>3</v>
      </c>
    </row>
    <row r="247" spans="1:3" ht="14.25" customHeight="1">
      <c r="A247" s="2">
        <v>35</v>
      </c>
      <c r="B247" s="2">
        <v>246</v>
      </c>
      <c r="C247" s="2">
        <v>6</v>
      </c>
    </row>
    <row r="248" spans="1:3" ht="14.25" customHeight="1">
      <c r="A248" s="2">
        <v>35</v>
      </c>
      <c r="B248" s="2">
        <v>247</v>
      </c>
      <c r="C248" s="2">
        <v>5</v>
      </c>
    </row>
    <row r="249" spans="1:3" ht="14.25" customHeight="1">
      <c r="A249" s="2">
        <v>35</v>
      </c>
      <c r="B249" s="2">
        <v>248</v>
      </c>
      <c r="C249" s="2">
        <v>4</v>
      </c>
    </row>
    <row r="250" spans="1:3" ht="14.25" customHeight="1">
      <c r="A250" s="2">
        <v>35</v>
      </c>
      <c r="B250" s="2">
        <v>249</v>
      </c>
      <c r="C250" s="2">
        <v>8</v>
      </c>
    </row>
    <row r="251" spans="1:3" ht="14.25" customHeight="1">
      <c r="A251" s="2">
        <v>35</v>
      </c>
      <c r="B251" s="2">
        <v>250</v>
      </c>
      <c r="C251" s="2">
        <v>5</v>
      </c>
    </row>
    <row r="252" spans="1:3" ht="14.25" customHeight="1">
      <c r="A252" s="2">
        <v>35</v>
      </c>
      <c r="B252" s="2">
        <v>251</v>
      </c>
      <c r="C252" s="2">
        <v>7</v>
      </c>
    </row>
    <row r="253" spans="1:3" ht="14.25" customHeight="1">
      <c r="A253" s="2">
        <v>35</v>
      </c>
      <c r="B253" s="2">
        <v>252</v>
      </c>
      <c r="C253" s="2">
        <v>3</v>
      </c>
    </row>
    <row r="254" spans="1:3" ht="14.25" customHeight="1">
      <c r="A254" s="2">
        <v>35</v>
      </c>
      <c r="B254" s="2">
        <v>253</v>
      </c>
      <c r="C254" s="2">
        <v>2</v>
      </c>
    </row>
    <row r="255" spans="1:3" ht="14.25" customHeight="1">
      <c r="A255" s="2">
        <v>35</v>
      </c>
      <c r="B255" s="2">
        <v>254</v>
      </c>
      <c r="C255" s="2">
        <v>8</v>
      </c>
    </row>
    <row r="256" spans="1:3" ht="14.25" customHeight="1">
      <c r="A256" s="2">
        <v>35</v>
      </c>
      <c r="B256" s="2">
        <v>255</v>
      </c>
      <c r="C256" s="2">
        <v>7</v>
      </c>
    </row>
    <row r="257" spans="1:3" ht="14.25" customHeight="1">
      <c r="A257" s="2">
        <v>35</v>
      </c>
      <c r="B257" s="2">
        <v>256</v>
      </c>
      <c r="C257" s="2">
        <v>2</v>
      </c>
    </row>
    <row r="258" spans="1:3" ht="14.25" customHeight="1">
      <c r="A258" s="2">
        <v>35</v>
      </c>
      <c r="B258" s="2">
        <v>257</v>
      </c>
      <c r="C258" s="2">
        <v>4</v>
      </c>
    </row>
    <row r="259" spans="1:3" ht="14.25" customHeight="1">
      <c r="A259" s="2">
        <v>35</v>
      </c>
      <c r="B259" s="2">
        <v>258</v>
      </c>
      <c r="C259" s="2">
        <v>5</v>
      </c>
    </row>
    <row r="260" spans="1:3" ht="14.25" customHeight="1">
      <c r="A260" s="2">
        <v>35</v>
      </c>
      <c r="B260" s="2">
        <v>259</v>
      </c>
      <c r="C260" s="2">
        <v>4</v>
      </c>
    </row>
    <row r="261" spans="1:3" ht="14.25" customHeight="1">
      <c r="A261" s="2">
        <v>35</v>
      </c>
      <c r="B261" s="2">
        <v>260</v>
      </c>
      <c r="C261" s="2">
        <v>6</v>
      </c>
    </row>
    <row r="262" spans="1:3" ht="14.25" customHeight="1">
      <c r="A262" s="2">
        <v>35</v>
      </c>
      <c r="B262" s="2">
        <v>261</v>
      </c>
      <c r="C262" s="2">
        <v>7</v>
      </c>
    </row>
    <row r="263" spans="1:3" ht="14.25" customHeight="1">
      <c r="A263" s="2">
        <v>35</v>
      </c>
      <c r="B263" s="2">
        <v>262</v>
      </c>
      <c r="C263" s="2">
        <v>1</v>
      </c>
    </row>
    <row r="264" spans="1:3" ht="14.25" customHeight="1">
      <c r="A264" s="2">
        <v>35</v>
      </c>
      <c r="B264" s="2">
        <v>263</v>
      </c>
      <c r="C264" s="2">
        <v>6</v>
      </c>
    </row>
    <row r="265" spans="1:3" ht="14.25" customHeight="1">
      <c r="A265" s="2">
        <v>35</v>
      </c>
      <c r="B265" s="2">
        <v>264</v>
      </c>
      <c r="C265" s="2">
        <v>1</v>
      </c>
    </row>
    <row r="266" spans="1:3" ht="14.25" customHeight="1">
      <c r="A266" s="2">
        <v>35</v>
      </c>
      <c r="B266" s="2">
        <v>265</v>
      </c>
      <c r="C266" s="2">
        <v>7</v>
      </c>
    </row>
    <row r="267" spans="1:3" ht="14.25" customHeight="1">
      <c r="A267" s="2">
        <v>35</v>
      </c>
      <c r="B267" s="2">
        <v>266</v>
      </c>
      <c r="C267" s="2">
        <v>4</v>
      </c>
    </row>
    <row r="268" spans="1:3" ht="14.25" customHeight="1">
      <c r="A268" s="2">
        <v>35</v>
      </c>
      <c r="B268" s="2">
        <v>267</v>
      </c>
      <c r="C268" s="2">
        <v>3</v>
      </c>
    </row>
    <row r="269" spans="1:3" ht="14.25" customHeight="1">
      <c r="A269" s="2">
        <v>35</v>
      </c>
      <c r="B269" s="2">
        <v>268</v>
      </c>
      <c r="C269" s="2">
        <v>1</v>
      </c>
    </row>
    <row r="270" spans="1:3" ht="14.25" customHeight="1">
      <c r="A270" s="2">
        <v>35</v>
      </c>
      <c r="B270" s="2">
        <v>269</v>
      </c>
      <c r="C270" s="2">
        <v>4</v>
      </c>
    </row>
    <row r="271" spans="1:3" ht="14.25" customHeight="1">
      <c r="A271" s="2">
        <v>35</v>
      </c>
      <c r="B271" s="2">
        <v>270</v>
      </c>
      <c r="C271" s="2">
        <v>5</v>
      </c>
    </row>
    <row r="272" spans="1:3" ht="14.25" customHeight="1">
      <c r="A272" s="2">
        <v>35</v>
      </c>
      <c r="B272" s="2">
        <v>271</v>
      </c>
      <c r="C272" s="2">
        <v>1</v>
      </c>
    </row>
    <row r="273" spans="1:3" ht="14.25" customHeight="1">
      <c r="A273" s="2">
        <v>35</v>
      </c>
      <c r="B273" s="2">
        <v>272</v>
      </c>
      <c r="C273" s="2">
        <v>2</v>
      </c>
    </row>
    <row r="274" spans="1:3" ht="14.25" customHeight="1">
      <c r="A274" s="2">
        <v>35</v>
      </c>
      <c r="B274" s="2">
        <v>273</v>
      </c>
      <c r="C274" s="2">
        <v>1</v>
      </c>
    </row>
    <row r="275" spans="1:3" ht="14.25" customHeight="1">
      <c r="A275" s="2">
        <v>35</v>
      </c>
      <c r="B275" s="2">
        <v>274</v>
      </c>
      <c r="C275" s="2">
        <v>2</v>
      </c>
    </row>
    <row r="276" spans="1:3" ht="14.25" customHeight="1">
      <c r="A276" s="2">
        <v>35</v>
      </c>
      <c r="B276" s="2">
        <v>275</v>
      </c>
      <c r="C276" s="2">
        <v>3</v>
      </c>
    </row>
    <row r="277" spans="1:3" ht="14.25" customHeight="1">
      <c r="A277" s="2">
        <v>35</v>
      </c>
      <c r="B277" s="2">
        <v>276</v>
      </c>
      <c r="C277" s="2">
        <v>6</v>
      </c>
    </row>
    <row r="278" spans="1:3" ht="14.25" customHeight="1">
      <c r="A278" s="2">
        <v>35</v>
      </c>
      <c r="B278" s="2">
        <v>277</v>
      </c>
      <c r="C278" s="2">
        <v>2</v>
      </c>
    </row>
    <row r="279" spans="1:3" ht="14.25" customHeight="1">
      <c r="A279" s="2">
        <v>35</v>
      </c>
      <c r="B279" s="2">
        <v>278</v>
      </c>
      <c r="C279" s="2">
        <v>5</v>
      </c>
    </row>
    <row r="280" spans="1:3" ht="14.25" customHeight="1">
      <c r="A280" s="2">
        <v>35</v>
      </c>
      <c r="B280" s="2">
        <v>279</v>
      </c>
      <c r="C280" s="2">
        <v>8</v>
      </c>
    </row>
    <row r="281" spans="1:3" ht="14.25" customHeight="1">
      <c r="A281" s="2">
        <v>35</v>
      </c>
      <c r="B281" s="2">
        <v>280</v>
      </c>
      <c r="C281" s="2">
        <v>4</v>
      </c>
    </row>
    <row r="282" spans="1:3" ht="14.25" customHeight="1">
      <c r="A282" s="2">
        <v>35</v>
      </c>
      <c r="B282" s="2">
        <v>281</v>
      </c>
      <c r="C282" s="2">
        <v>1</v>
      </c>
    </row>
    <row r="283" spans="1:3" ht="14.25" customHeight="1">
      <c r="A283" s="2">
        <v>35</v>
      </c>
      <c r="B283" s="2">
        <v>282</v>
      </c>
      <c r="C283" s="2">
        <v>4</v>
      </c>
    </row>
    <row r="284" spans="1:3" ht="14.25" customHeight="1">
      <c r="A284" s="2">
        <v>35</v>
      </c>
      <c r="B284" s="2">
        <v>283</v>
      </c>
      <c r="C284" s="2">
        <v>5</v>
      </c>
    </row>
    <row r="285" spans="1:3" ht="14.25" customHeight="1">
      <c r="A285" s="2">
        <v>35</v>
      </c>
      <c r="B285" s="2">
        <v>284</v>
      </c>
      <c r="C285" s="2">
        <v>7</v>
      </c>
    </row>
    <row r="286" spans="1:3" ht="14.25" customHeight="1">
      <c r="A286" s="2">
        <v>35</v>
      </c>
      <c r="B286" s="2">
        <v>285</v>
      </c>
      <c r="C286" s="2">
        <v>3</v>
      </c>
    </row>
    <row r="287" spans="1:3" ht="14.25" customHeight="1">
      <c r="A287" s="2">
        <v>35</v>
      </c>
      <c r="B287" s="2">
        <v>286</v>
      </c>
      <c r="C287" s="2">
        <v>8</v>
      </c>
    </row>
    <row r="288" spans="1:3" ht="14.25" customHeight="1">
      <c r="A288" s="2">
        <v>35</v>
      </c>
      <c r="B288" s="2">
        <v>287</v>
      </c>
      <c r="C288" s="2">
        <v>3</v>
      </c>
    </row>
    <row r="289" spans="1:4" ht="14.25" customHeight="1">
      <c r="A289" s="2">
        <v>35</v>
      </c>
      <c r="B289" s="2">
        <v>288</v>
      </c>
      <c r="C289" s="2">
        <v>8</v>
      </c>
    </row>
    <row r="290" spans="1:4" ht="14.25" customHeight="1">
      <c r="A290" s="2">
        <v>35</v>
      </c>
      <c r="B290" s="2">
        <v>289</v>
      </c>
      <c r="C290" s="2">
        <v>6</v>
      </c>
    </row>
    <row r="291" spans="1:4" ht="14.25" customHeight="1">
      <c r="A291" s="2">
        <v>35</v>
      </c>
      <c r="B291" s="2">
        <v>290</v>
      </c>
      <c r="C291" s="2">
        <v>2</v>
      </c>
    </row>
    <row r="292" spans="1:4" ht="14.25" customHeight="1">
      <c r="A292" s="2">
        <v>35</v>
      </c>
      <c r="B292" s="2">
        <v>291</v>
      </c>
      <c r="C292" s="2">
        <v>8</v>
      </c>
    </row>
    <row r="293" spans="1:4" ht="14.25" customHeight="1">
      <c r="A293" s="2">
        <v>35</v>
      </c>
      <c r="B293" s="2">
        <v>292</v>
      </c>
      <c r="C293" s="2">
        <v>6</v>
      </c>
    </row>
    <row r="294" spans="1:4" ht="14.25" customHeight="1">
      <c r="A294" s="2">
        <v>35</v>
      </c>
      <c r="B294" s="2">
        <v>293</v>
      </c>
      <c r="C294" s="2">
        <v>5</v>
      </c>
    </row>
    <row r="295" spans="1:4" ht="14.25" customHeight="1">
      <c r="A295" s="2">
        <v>35</v>
      </c>
      <c r="B295" s="2">
        <v>294</v>
      </c>
      <c r="C295" s="2">
        <v>6</v>
      </c>
    </row>
    <row r="296" spans="1:4" ht="14.25" customHeight="1">
      <c r="A296" s="2">
        <v>35</v>
      </c>
      <c r="B296" s="2">
        <v>295</v>
      </c>
      <c r="C296" s="2">
        <v>8</v>
      </c>
    </row>
    <row r="297" spans="1:4" ht="14.25" customHeight="1">
      <c r="A297" s="2">
        <v>35</v>
      </c>
      <c r="B297" s="2">
        <v>296</v>
      </c>
      <c r="C297" s="2">
        <v>7</v>
      </c>
    </row>
    <row r="298" spans="1:4" ht="14.25" customHeight="1">
      <c r="A298" s="2">
        <v>35</v>
      </c>
      <c r="B298" s="2">
        <v>297</v>
      </c>
      <c r="C298" s="2">
        <v>3</v>
      </c>
    </row>
    <row r="299" spans="1:4" ht="14.25" customHeight="1">
      <c r="A299" s="2">
        <v>35</v>
      </c>
      <c r="B299" s="2">
        <v>298</v>
      </c>
      <c r="C299" s="2">
        <v>6</v>
      </c>
    </row>
    <row r="300" spans="1:4" ht="14.25" customHeight="1">
      <c r="A300" s="2">
        <v>35</v>
      </c>
      <c r="B300" s="2">
        <v>299</v>
      </c>
      <c r="C300" s="2">
        <v>5</v>
      </c>
    </row>
    <row r="301" spans="1:4" ht="14.25" customHeight="1">
      <c r="A301" s="2">
        <v>35</v>
      </c>
      <c r="B301" s="2">
        <v>300</v>
      </c>
      <c r="C301" s="2">
        <v>4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36</v>
      </c>
      <c r="I1" s="2">
        <v>101</v>
      </c>
      <c r="J1" s="2">
        <v>1</v>
      </c>
      <c r="K1" s="2">
        <v>1</v>
      </c>
      <c r="L1" s="2">
        <v>0.94299999999999995</v>
      </c>
      <c r="M1" s="2">
        <v>1</v>
      </c>
    </row>
    <row r="2" spans="1:25" ht="14.25" customHeight="1">
      <c r="A2" s="2">
        <v>36</v>
      </c>
      <c r="B2" s="2">
        <v>1</v>
      </c>
      <c r="C2" s="2">
        <v>6</v>
      </c>
      <c r="D2" s="2">
        <v>0</v>
      </c>
      <c r="E2" s="2">
        <v>1.155</v>
      </c>
      <c r="F2" s="2">
        <v>2</v>
      </c>
      <c r="H2" s="2">
        <v>36</v>
      </c>
      <c r="I2" s="2">
        <v>102</v>
      </c>
      <c r="J2" s="2">
        <v>2</v>
      </c>
      <c r="K2" s="2">
        <v>1</v>
      </c>
      <c r="L2" s="2">
        <v>0.746</v>
      </c>
      <c r="M2" s="2">
        <v>2</v>
      </c>
    </row>
    <row r="3" spans="1:25" ht="14.25" customHeight="1">
      <c r="A3" s="2">
        <v>36</v>
      </c>
      <c r="B3" s="2">
        <v>2</v>
      </c>
      <c r="C3" s="2">
        <v>8</v>
      </c>
      <c r="D3" s="2">
        <v>0</v>
      </c>
      <c r="E3" s="2">
        <v>1.347</v>
      </c>
      <c r="F3" s="2">
        <v>1</v>
      </c>
      <c r="H3" s="2">
        <v>36</v>
      </c>
      <c r="I3" s="2">
        <v>103</v>
      </c>
      <c r="J3" s="2">
        <v>8</v>
      </c>
      <c r="K3" s="2">
        <v>0</v>
      </c>
      <c r="L3" s="2">
        <v>1.1659999999999999</v>
      </c>
      <c r="M3" s="2">
        <v>2</v>
      </c>
    </row>
    <row r="4" spans="1:25" ht="14.25" customHeight="1">
      <c r="A4" s="2">
        <v>36</v>
      </c>
      <c r="B4" s="2">
        <v>3</v>
      </c>
      <c r="C4" s="2">
        <v>6</v>
      </c>
      <c r="D4" s="2">
        <v>1</v>
      </c>
      <c r="E4" s="2">
        <v>1.3740000000000001</v>
      </c>
      <c r="F4" s="2">
        <v>1</v>
      </c>
      <c r="H4" s="2">
        <v>36</v>
      </c>
      <c r="I4" s="2">
        <v>104</v>
      </c>
      <c r="J4" s="2">
        <v>4</v>
      </c>
      <c r="K4" s="2">
        <v>0</v>
      </c>
      <c r="L4" s="2">
        <v>1.4750000000000001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36</v>
      </c>
      <c r="B5" s="2">
        <v>4</v>
      </c>
      <c r="C5" s="2">
        <v>7</v>
      </c>
      <c r="D5" s="2">
        <v>1</v>
      </c>
      <c r="E5" s="2">
        <v>0.91200000000000003</v>
      </c>
      <c r="F5" s="2">
        <v>2</v>
      </c>
      <c r="H5" s="2">
        <v>36</v>
      </c>
      <c r="I5" s="2">
        <v>105</v>
      </c>
      <c r="J5" s="2">
        <v>2</v>
      </c>
      <c r="K5" s="2">
        <v>0</v>
      </c>
      <c r="L5" s="2">
        <v>1.1870000000000001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36</v>
      </c>
      <c r="B6" s="2">
        <v>5</v>
      </c>
      <c r="C6" s="2">
        <v>1</v>
      </c>
      <c r="D6" s="2">
        <v>1</v>
      </c>
      <c r="E6" s="2">
        <v>0.96799999999999997</v>
      </c>
      <c r="F6" s="2">
        <v>1</v>
      </c>
      <c r="H6" s="2">
        <v>36</v>
      </c>
      <c r="I6" s="2">
        <v>106</v>
      </c>
      <c r="J6" s="2">
        <v>7</v>
      </c>
      <c r="K6" s="2">
        <v>1</v>
      </c>
      <c r="L6" s="2">
        <v>1.544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36</v>
      </c>
      <c r="B7" s="2">
        <v>6</v>
      </c>
      <c r="C7" s="2">
        <v>3</v>
      </c>
      <c r="D7" s="2">
        <v>0</v>
      </c>
      <c r="E7" s="2">
        <v>0.72899999999999998</v>
      </c>
      <c r="F7" s="2">
        <v>2</v>
      </c>
      <c r="H7" s="2">
        <v>36</v>
      </c>
      <c r="I7" s="2">
        <v>107</v>
      </c>
      <c r="J7" s="2">
        <v>1</v>
      </c>
      <c r="K7" s="2">
        <v>1</v>
      </c>
      <c r="L7" s="2">
        <v>1.282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36</v>
      </c>
      <c r="B8" s="2">
        <v>7</v>
      </c>
      <c r="C8" s="2">
        <v>4</v>
      </c>
      <c r="D8" s="2">
        <v>1</v>
      </c>
      <c r="E8" s="2">
        <v>0.79200000000000004</v>
      </c>
      <c r="F8" s="2">
        <v>2</v>
      </c>
      <c r="H8" s="2">
        <v>36</v>
      </c>
      <c r="I8" s="2">
        <v>108</v>
      </c>
      <c r="J8" s="2">
        <v>7</v>
      </c>
      <c r="K8" s="2">
        <v>1</v>
      </c>
      <c r="L8" s="2">
        <v>1.002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36</v>
      </c>
      <c r="B9" s="2">
        <v>8</v>
      </c>
      <c r="C9" s="2">
        <v>2</v>
      </c>
      <c r="D9" s="2">
        <v>0</v>
      </c>
      <c r="E9" s="2">
        <v>0.74299999999999999</v>
      </c>
      <c r="F9" s="2">
        <v>1</v>
      </c>
      <c r="H9" s="2">
        <v>36</v>
      </c>
      <c r="I9" s="2">
        <v>109</v>
      </c>
      <c r="J9" s="2">
        <v>3</v>
      </c>
      <c r="K9" s="2">
        <v>0</v>
      </c>
      <c r="L9" s="2">
        <v>1.2030000000000001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36</v>
      </c>
      <c r="B10" s="2">
        <v>9</v>
      </c>
      <c r="C10" s="2">
        <v>1</v>
      </c>
      <c r="D10" s="2">
        <v>1</v>
      </c>
      <c r="E10" s="2">
        <v>1.147</v>
      </c>
      <c r="F10" s="2">
        <v>1</v>
      </c>
      <c r="H10" s="2">
        <v>36</v>
      </c>
      <c r="I10" s="2">
        <v>110</v>
      </c>
      <c r="J10" s="2">
        <v>4</v>
      </c>
      <c r="K10" s="2">
        <v>0</v>
      </c>
      <c r="L10" s="2">
        <v>1.0669999999999999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36</v>
      </c>
      <c r="B11" s="2">
        <v>10</v>
      </c>
      <c r="C11" s="2">
        <v>7</v>
      </c>
      <c r="D11" s="2">
        <v>1</v>
      </c>
      <c r="E11" s="2">
        <v>0.89900000000000002</v>
      </c>
      <c r="F11" s="2">
        <v>2</v>
      </c>
      <c r="H11" s="2">
        <v>36</v>
      </c>
      <c r="I11" s="2">
        <v>111</v>
      </c>
      <c r="J11" s="2">
        <v>1</v>
      </c>
      <c r="K11" s="2">
        <v>1</v>
      </c>
      <c r="L11" s="2">
        <v>1.306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36</v>
      </c>
      <c r="B12" s="2">
        <v>11</v>
      </c>
      <c r="C12" s="2">
        <v>5</v>
      </c>
      <c r="D12" s="2">
        <v>1</v>
      </c>
      <c r="E12" s="2">
        <v>0.76400000000000001</v>
      </c>
      <c r="F12" s="2">
        <v>1</v>
      </c>
      <c r="H12" s="2">
        <v>36</v>
      </c>
      <c r="I12" s="2">
        <v>112</v>
      </c>
      <c r="J12" s="2">
        <v>7</v>
      </c>
      <c r="K12" s="2">
        <v>1</v>
      </c>
      <c r="L12" s="2">
        <v>1.0820000000000001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36</v>
      </c>
      <c r="B13" s="2">
        <v>12</v>
      </c>
      <c r="C13" s="2">
        <v>4</v>
      </c>
      <c r="D13" s="2">
        <v>1</v>
      </c>
      <c r="E13" s="2">
        <v>0.63800000000000001</v>
      </c>
      <c r="F13" s="2">
        <v>2</v>
      </c>
      <c r="H13" s="2">
        <v>36</v>
      </c>
      <c r="I13" s="2">
        <v>113</v>
      </c>
      <c r="J13" s="2">
        <v>1</v>
      </c>
      <c r="K13" s="2">
        <v>0</v>
      </c>
      <c r="L13" s="2">
        <v>1.377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36</v>
      </c>
      <c r="B14" s="2">
        <v>13</v>
      </c>
      <c r="C14" s="2">
        <v>6</v>
      </c>
      <c r="D14" s="2">
        <v>1</v>
      </c>
      <c r="E14" s="2">
        <v>0.80300000000000005</v>
      </c>
      <c r="F14" s="2">
        <v>1</v>
      </c>
      <c r="H14" s="2">
        <v>36</v>
      </c>
      <c r="I14" s="2">
        <v>114</v>
      </c>
      <c r="J14" s="2">
        <v>6</v>
      </c>
      <c r="K14" s="2">
        <v>0</v>
      </c>
      <c r="L14" s="2">
        <v>1.7450000000000001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36</v>
      </c>
      <c r="B15" s="2">
        <v>14</v>
      </c>
      <c r="C15" s="2">
        <v>8</v>
      </c>
      <c r="D15" s="2">
        <v>1</v>
      </c>
      <c r="E15" s="2">
        <v>1.331</v>
      </c>
      <c r="F15" s="2">
        <v>2</v>
      </c>
      <c r="H15" s="2">
        <v>36</v>
      </c>
      <c r="I15" s="2">
        <v>115</v>
      </c>
      <c r="J15" s="2">
        <v>5</v>
      </c>
      <c r="K15" s="2">
        <v>0</v>
      </c>
      <c r="L15" s="2">
        <v>1.9410000000000001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36</v>
      </c>
      <c r="B16" s="2">
        <v>15</v>
      </c>
      <c r="C16" s="2">
        <v>3</v>
      </c>
      <c r="D16" s="2">
        <v>0</v>
      </c>
      <c r="E16" s="2">
        <v>0.92</v>
      </c>
      <c r="F16" s="2">
        <v>2</v>
      </c>
      <c r="H16" s="2">
        <v>36</v>
      </c>
      <c r="I16" s="2">
        <v>116</v>
      </c>
      <c r="J16" s="2">
        <v>2</v>
      </c>
      <c r="K16" s="2">
        <v>1</v>
      </c>
      <c r="L16" s="2">
        <v>0.95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36</v>
      </c>
      <c r="B17" s="2">
        <v>16</v>
      </c>
      <c r="C17" s="2">
        <v>4</v>
      </c>
      <c r="D17" s="2">
        <v>1</v>
      </c>
      <c r="E17" s="2">
        <v>1.175</v>
      </c>
      <c r="F17" s="2">
        <v>2</v>
      </c>
      <c r="H17" s="2">
        <v>36</v>
      </c>
      <c r="I17" s="2">
        <v>117</v>
      </c>
      <c r="J17" s="2">
        <v>6</v>
      </c>
      <c r="K17" s="2">
        <v>1</v>
      </c>
      <c r="L17" s="2">
        <v>1.2050000000000001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28.09</v>
      </c>
      <c r="R17" s="3">
        <f t="shared" ref="R17:R22" si="3">(R6*COUNTIF($J$1:$J$101,R$16) - COUNTIFS($J$1:$J$101,R$16,$K$1:$K$101,"=1"))^2</f>
        <v>7.2899999999999965</v>
      </c>
      <c r="S17" s="3">
        <f t="shared" ref="S17:T17" si="4">(S6*COUNTIF($J$1:$J$101,S$16) - COUNTIFS($J$1:$J$101,S$16,$K$1:$K$101,"=0"))^2</f>
        <v>2.8899999999999997</v>
      </c>
      <c r="T17" s="3">
        <f t="shared" si="4"/>
        <v>7.2900000000000009</v>
      </c>
      <c r="U17" s="3">
        <f t="shared" ref="U17:V17" si="5">(U6*COUNTIF($J$1:$J$101,U$16) - COUNTIFS($J$1:$J$101,U$16,$K$1:$K$101,"=1"))^2</f>
        <v>0.12250000000000037</v>
      </c>
      <c r="V17" s="3">
        <f t="shared" si="5"/>
        <v>7.2899999999999965</v>
      </c>
      <c r="W17" s="4"/>
      <c r="X17" s="4"/>
      <c r="Y17" s="4"/>
    </row>
    <row r="18" spans="1:25" ht="14.25" customHeight="1">
      <c r="A18" s="2">
        <v>36</v>
      </c>
      <c r="B18" s="2">
        <v>17</v>
      </c>
      <c r="C18" s="2">
        <v>5</v>
      </c>
      <c r="D18" s="2">
        <v>1</v>
      </c>
      <c r="E18" s="2">
        <v>0.79700000000000004</v>
      </c>
      <c r="F18" s="2">
        <v>1</v>
      </c>
      <c r="H18" s="2">
        <v>36</v>
      </c>
      <c r="I18" s="2">
        <v>118</v>
      </c>
      <c r="J18" s="2">
        <v>8</v>
      </c>
      <c r="K18" s="2">
        <v>0</v>
      </c>
      <c r="L18" s="2">
        <v>1.9059999999999999</v>
      </c>
      <c r="M18" s="2">
        <v>1</v>
      </c>
      <c r="N18" s="3">
        <v>2</v>
      </c>
      <c r="O18" s="3">
        <f t="shared" si="0"/>
        <v>2.8899999999999997</v>
      </c>
      <c r="P18" s="3">
        <f t="shared" si="1"/>
        <v>7.2900000000000009</v>
      </c>
      <c r="Q18" s="6">
        <f t="shared" si="2"/>
        <v>1</v>
      </c>
      <c r="R18" s="3">
        <f t="shared" si="3"/>
        <v>7.2899999999999965</v>
      </c>
      <c r="S18" s="6">
        <f t="shared" ref="S18:T18" si="6">(S7*COUNTIF($J$1:$J$101,S$16) - COUNTIFS($J$1:$J$101,S$16,$K$1:$K$101,"=0"))^2</f>
        <v>2.8899999999999997</v>
      </c>
      <c r="T18" s="6">
        <f t="shared" si="6"/>
        <v>7.2900000000000009</v>
      </c>
      <c r="U18" s="6">
        <f t="shared" ref="U18:V18" si="7">(U7*COUNTIF($J$1:$J$101,U$16) - COUNTIFS($J$1:$J$101,U$16,$K$1:$K$101,"=1"))^2</f>
        <v>0.12250000000000037</v>
      </c>
      <c r="V18" s="6">
        <f t="shared" si="7"/>
        <v>7.2899999999999965</v>
      </c>
      <c r="W18" s="4"/>
      <c r="X18" s="4"/>
      <c r="Y18" s="4"/>
    </row>
    <row r="19" spans="1:25" ht="14.25" customHeight="1">
      <c r="A19" s="2">
        <v>36</v>
      </c>
      <c r="B19" s="2">
        <v>18</v>
      </c>
      <c r="C19" s="2">
        <v>7</v>
      </c>
      <c r="D19" s="2">
        <v>0</v>
      </c>
      <c r="E19" s="2">
        <v>1.278</v>
      </c>
      <c r="F19" s="2">
        <v>1</v>
      </c>
      <c r="H19" s="2">
        <v>36</v>
      </c>
      <c r="I19" s="2">
        <v>119</v>
      </c>
      <c r="J19" s="2">
        <v>6</v>
      </c>
      <c r="K19" s="2">
        <v>1</v>
      </c>
      <c r="L19" s="2">
        <v>0.92600000000000005</v>
      </c>
      <c r="M19" s="2">
        <v>2</v>
      </c>
      <c r="N19" s="3">
        <v>3</v>
      </c>
      <c r="O19" s="3">
        <f t="shared" si="0"/>
        <v>2.8899999999999997</v>
      </c>
      <c r="P19" s="3">
        <f t="shared" si="1"/>
        <v>7.2899999999999965</v>
      </c>
      <c r="Q19" s="3">
        <f t="shared" si="2"/>
        <v>28.09</v>
      </c>
      <c r="R19" s="3">
        <f t="shared" si="3"/>
        <v>7.2899999999999965</v>
      </c>
      <c r="S19" s="6">
        <f t="shared" ref="S19:T19" si="8">(S8*COUNTIF($J$1:$J$101,S$16) - COUNTIFS($J$1:$J$101,S$16,$K$1:$K$101,"=0"))^2</f>
        <v>2.8899999999999997</v>
      </c>
      <c r="T19" s="6">
        <f t="shared" si="8"/>
        <v>7.2899999999999965</v>
      </c>
      <c r="U19" s="3">
        <f t="shared" ref="U19:V19" si="9">(U8*COUNTIF($J$1:$J$101,U$16) - COUNTIFS($J$1:$J$101,U$16,$K$1:$K$101,"=1"))^2</f>
        <v>44.222500000000004</v>
      </c>
      <c r="V19" s="6">
        <f t="shared" si="9"/>
        <v>7.2899999999999965</v>
      </c>
      <c r="W19" s="4"/>
      <c r="X19" s="4"/>
      <c r="Y19" s="4"/>
    </row>
    <row r="20" spans="1:25" ht="14.25" customHeight="1">
      <c r="A20" s="2">
        <v>36</v>
      </c>
      <c r="B20" s="2">
        <v>19</v>
      </c>
      <c r="C20" s="2">
        <v>4</v>
      </c>
      <c r="D20" s="2">
        <v>1</v>
      </c>
      <c r="E20" s="2">
        <v>1.1619999999999999</v>
      </c>
      <c r="F20" s="2">
        <v>2</v>
      </c>
      <c r="H20" s="2">
        <v>36</v>
      </c>
      <c r="I20" s="2">
        <v>120</v>
      </c>
      <c r="J20" s="2">
        <v>2</v>
      </c>
      <c r="K20" s="2">
        <v>1</v>
      </c>
      <c r="L20" s="2">
        <v>1.083</v>
      </c>
      <c r="M20" s="2">
        <v>1</v>
      </c>
      <c r="N20" s="3">
        <v>4</v>
      </c>
      <c r="O20" s="3">
        <f t="shared" si="0"/>
        <v>1</v>
      </c>
      <c r="P20" s="3">
        <f t="shared" si="1"/>
        <v>0</v>
      </c>
      <c r="Q20" s="3">
        <f t="shared" si="2"/>
        <v>6.25</v>
      </c>
      <c r="R20" s="3">
        <f t="shared" si="3"/>
        <v>0</v>
      </c>
      <c r="S20" s="6">
        <f t="shared" ref="S20:T20" si="10">(S9*COUNTIF($J$1:$J$101,S$16) - COUNTIFS($J$1:$J$101,S$16,$K$1:$K$101,"=0"))^2</f>
        <v>2.8899999999999997</v>
      </c>
      <c r="T20" s="6">
        <f t="shared" si="10"/>
        <v>7.2900000000000009</v>
      </c>
      <c r="U20" s="6">
        <f t="shared" ref="U20:V20" si="11">(U9*COUNTIF($J$1:$J$101,U$16) - COUNTIFS($J$1:$J$101,U$16,$K$1:$K$101,"=1"))^2</f>
        <v>0.12250000000000037</v>
      </c>
      <c r="V20" s="6">
        <f t="shared" si="11"/>
        <v>7.2899999999999965</v>
      </c>
      <c r="W20" s="4"/>
      <c r="X20" s="4"/>
      <c r="Y20" s="4"/>
    </row>
    <row r="21" spans="1:25" ht="14.25" customHeight="1">
      <c r="A21" s="2">
        <v>36</v>
      </c>
      <c r="B21" s="2">
        <v>20</v>
      </c>
      <c r="C21" s="2">
        <v>6</v>
      </c>
      <c r="D21" s="2">
        <v>1</v>
      </c>
      <c r="E21" s="2">
        <v>0.83899999999999997</v>
      </c>
      <c r="F21" s="2">
        <v>1</v>
      </c>
      <c r="H21" s="2">
        <v>36</v>
      </c>
      <c r="I21" s="2">
        <v>121</v>
      </c>
      <c r="J21" s="2">
        <v>5</v>
      </c>
      <c r="K21" s="2">
        <v>1</v>
      </c>
      <c r="L21" s="2">
        <v>1.345</v>
      </c>
      <c r="M21" s="2">
        <v>1</v>
      </c>
      <c r="N21" s="3">
        <v>5</v>
      </c>
      <c r="O21" s="3">
        <f t="shared" si="0"/>
        <v>2.8899999999999997</v>
      </c>
      <c r="P21" s="3">
        <f t="shared" si="1"/>
        <v>7.2899999999999965</v>
      </c>
      <c r="Q21" s="3">
        <f t="shared" si="2"/>
        <v>28.09</v>
      </c>
      <c r="R21" s="3">
        <f t="shared" si="3"/>
        <v>7.2899999999999965</v>
      </c>
      <c r="S21" s="6">
        <f t="shared" ref="S21:T21" si="12">(S10*COUNTIF($J$1:$J$101,S$16) - COUNTIFS($J$1:$J$101,S$16,$K$1:$K$101,"=0"))^2</f>
        <v>1</v>
      </c>
      <c r="T21" s="6">
        <f t="shared" si="12"/>
        <v>0</v>
      </c>
      <c r="U21" s="6">
        <f t="shared" ref="U21:V21" si="13">(U10*COUNTIF($J$1:$J$101,U$16) - COUNTIFS($J$1:$J$101,U$16,$K$1:$K$101,"=1"))^2</f>
        <v>12.25</v>
      </c>
      <c r="V21" s="6">
        <f t="shared" si="13"/>
        <v>0</v>
      </c>
      <c r="W21" s="4"/>
      <c r="X21" s="4"/>
      <c r="Y21" s="4"/>
    </row>
    <row r="22" spans="1:25" ht="14.25" customHeight="1">
      <c r="A22" s="2">
        <v>36</v>
      </c>
      <c r="B22" s="2">
        <v>21</v>
      </c>
      <c r="C22" s="2">
        <v>5</v>
      </c>
      <c r="D22" s="2">
        <v>1</v>
      </c>
      <c r="E22" s="2">
        <v>0.78800000000000003</v>
      </c>
      <c r="F22" s="2">
        <v>1</v>
      </c>
      <c r="H22" s="2">
        <v>36</v>
      </c>
      <c r="I22" s="2">
        <v>122</v>
      </c>
      <c r="J22" s="2">
        <v>7</v>
      </c>
      <c r="K22" s="2">
        <v>1</v>
      </c>
      <c r="L22" s="2">
        <v>1.5169999999999999</v>
      </c>
      <c r="M22" s="2">
        <v>2</v>
      </c>
      <c r="N22" s="3">
        <v>6</v>
      </c>
      <c r="O22" s="3">
        <f t="shared" si="0"/>
        <v>1</v>
      </c>
      <c r="P22" s="3">
        <f t="shared" si="1"/>
        <v>0</v>
      </c>
      <c r="Q22" s="3">
        <f t="shared" si="2"/>
        <v>6.25</v>
      </c>
      <c r="R22" s="3">
        <f t="shared" si="3"/>
        <v>0</v>
      </c>
      <c r="S22" s="6">
        <f t="shared" ref="S22:T22" si="14">(S11*COUNTIF($J$1:$J$101,S$16) - COUNTIFS($J$1:$J$101,S$16,$K$1:$K$101,"=0"))^2</f>
        <v>1</v>
      </c>
      <c r="T22" s="6">
        <f t="shared" si="14"/>
        <v>0</v>
      </c>
      <c r="U22" s="6">
        <f t="shared" ref="U22:V22" si="15">(U11*COUNTIF($J$1:$J$101,U$16) - COUNTIFS($J$1:$J$101,U$16,$K$1:$K$101,"=1"))^2</f>
        <v>12.25</v>
      </c>
      <c r="V22" s="6">
        <f t="shared" si="15"/>
        <v>0</v>
      </c>
      <c r="W22" s="4"/>
      <c r="X22" s="4"/>
      <c r="Y22" s="4"/>
    </row>
    <row r="23" spans="1:25" ht="14.25" customHeight="1">
      <c r="A23" s="2">
        <v>36</v>
      </c>
      <c r="B23" s="2">
        <v>22</v>
      </c>
      <c r="C23" s="2">
        <v>7</v>
      </c>
      <c r="D23" s="2">
        <v>1</v>
      </c>
      <c r="E23" s="2">
        <v>1.349</v>
      </c>
      <c r="F23" s="2">
        <v>2</v>
      </c>
      <c r="H23" s="2">
        <v>36</v>
      </c>
      <c r="I23" s="2">
        <v>123</v>
      </c>
      <c r="J23" s="2">
        <v>8</v>
      </c>
      <c r="K23" s="2">
        <v>1</v>
      </c>
      <c r="L23" s="2">
        <v>1.589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36</v>
      </c>
      <c r="B24" s="2">
        <v>23</v>
      </c>
      <c r="C24" s="2">
        <v>6</v>
      </c>
      <c r="D24" s="2">
        <v>1</v>
      </c>
      <c r="E24" s="2">
        <v>0.73499999999999999</v>
      </c>
      <c r="F24" s="2">
        <v>1</v>
      </c>
      <c r="H24" s="2">
        <v>36</v>
      </c>
      <c r="I24" s="2">
        <v>124</v>
      </c>
      <c r="J24" s="2">
        <v>3</v>
      </c>
      <c r="K24" s="2">
        <v>1</v>
      </c>
      <c r="L24" s="2">
        <v>1.1639999999999999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36</v>
      </c>
      <c r="B25" s="2">
        <v>24</v>
      </c>
      <c r="C25" s="2">
        <v>5</v>
      </c>
      <c r="D25" s="2">
        <v>1</v>
      </c>
      <c r="E25" s="2">
        <v>0.74</v>
      </c>
      <c r="F25" s="2">
        <v>1</v>
      </c>
      <c r="H25" s="2">
        <v>36</v>
      </c>
      <c r="I25" s="2">
        <v>125</v>
      </c>
      <c r="J25" s="2">
        <v>5</v>
      </c>
      <c r="K25" s="2">
        <v>1</v>
      </c>
      <c r="L25" s="2">
        <v>1.623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36</v>
      </c>
      <c r="B26" s="2">
        <v>25</v>
      </c>
      <c r="C26" s="2">
        <v>2</v>
      </c>
      <c r="D26" s="2">
        <v>0</v>
      </c>
      <c r="E26" s="2">
        <v>0.74</v>
      </c>
      <c r="F26" s="2">
        <v>1</v>
      </c>
      <c r="H26" s="2">
        <v>36</v>
      </c>
      <c r="I26" s="2">
        <v>126</v>
      </c>
      <c r="J26" s="2">
        <v>2</v>
      </c>
      <c r="K26" s="2">
        <v>0</v>
      </c>
      <c r="L26" s="2">
        <v>1.579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49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36</v>
      </c>
      <c r="B27" s="2">
        <v>26</v>
      </c>
      <c r="C27" s="2">
        <v>1</v>
      </c>
      <c r="D27" s="2">
        <v>1</v>
      </c>
      <c r="E27" s="2">
        <v>0.60299999999999998</v>
      </c>
      <c r="F27" s="2">
        <v>1</v>
      </c>
      <c r="H27" s="2">
        <v>36</v>
      </c>
      <c r="I27" s="2">
        <v>127</v>
      </c>
      <c r="J27" s="2">
        <v>6</v>
      </c>
      <c r="K27" s="2">
        <v>1</v>
      </c>
      <c r="L27" s="2">
        <v>1.831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36</v>
      </c>
      <c r="B28" s="2">
        <v>27</v>
      </c>
      <c r="C28" s="2">
        <v>6</v>
      </c>
      <c r="D28" s="2">
        <v>1</v>
      </c>
      <c r="E28" s="2">
        <v>1.2130000000000001</v>
      </c>
      <c r="F28" s="2">
        <v>1</v>
      </c>
      <c r="H28" s="2">
        <v>36</v>
      </c>
      <c r="I28" s="2">
        <v>128</v>
      </c>
      <c r="J28" s="2">
        <v>7</v>
      </c>
      <c r="K28" s="2">
        <v>1</v>
      </c>
      <c r="L28" s="2">
        <v>1.6120000000000001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36</v>
      </c>
      <c r="B29" s="2">
        <v>28</v>
      </c>
      <c r="C29" s="2">
        <v>2</v>
      </c>
      <c r="D29" s="2">
        <v>1</v>
      </c>
      <c r="E29" s="2">
        <v>0.98199999999999998</v>
      </c>
      <c r="F29" s="2">
        <v>2</v>
      </c>
      <c r="H29" s="2">
        <v>36</v>
      </c>
      <c r="I29" s="2">
        <v>129</v>
      </c>
      <c r="J29" s="2">
        <v>8</v>
      </c>
      <c r="L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36</v>
      </c>
      <c r="B30" s="2">
        <v>29</v>
      </c>
      <c r="C30" s="2">
        <v>3</v>
      </c>
      <c r="D30" s="2">
        <v>0</v>
      </c>
      <c r="E30" s="2">
        <v>0.74299999999999999</v>
      </c>
      <c r="F30" s="2">
        <v>2</v>
      </c>
      <c r="H30" s="2">
        <v>36</v>
      </c>
      <c r="I30" s="2">
        <v>130</v>
      </c>
      <c r="J30" s="2">
        <v>3</v>
      </c>
      <c r="K30" s="2">
        <v>0</v>
      </c>
      <c r="L30" s="2">
        <v>1.1739999999999999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36</v>
      </c>
      <c r="B31" s="2">
        <v>30</v>
      </c>
      <c r="C31" s="2">
        <v>8</v>
      </c>
      <c r="D31" s="2">
        <v>1</v>
      </c>
      <c r="E31" s="2">
        <v>0.79600000000000004</v>
      </c>
      <c r="F31" s="2">
        <v>2</v>
      </c>
      <c r="H31" s="2">
        <v>36</v>
      </c>
      <c r="I31" s="2">
        <v>131</v>
      </c>
      <c r="J31" s="2">
        <v>5</v>
      </c>
      <c r="K31" s="2">
        <v>0</v>
      </c>
      <c r="L31" s="2">
        <v>1.4450000000000001</v>
      </c>
      <c r="M31" s="2">
        <v>2</v>
      </c>
      <c r="N31" s="3">
        <v>1</v>
      </c>
      <c r="O31" s="3">
        <f t="shared" ref="O31:O36" si="17">SUM(O17:V17)/SUM(O$26:V$26)</f>
        <v>0.20112261146496815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36</v>
      </c>
      <c r="B32" s="2">
        <v>31</v>
      </c>
      <c r="C32" s="2">
        <v>3</v>
      </c>
      <c r="D32" s="2">
        <v>0</v>
      </c>
      <c r="E32" s="2">
        <v>1.1819999999999999</v>
      </c>
      <c r="F32" s="2">
        <v>2</v>
      </c>
      <c r="H32" s="2">
        <v>36</v>
      </c>
      <c r="I32" s="2">
        <v>132</v>
      </c>
      <c r="J32" s="2">
        <v>6</v>
      </c>
      <c r="K32" s="2">
        <v>0</v>
      </c>
      <c r="L32" s="2">
        <v>1.3819999999999999</v>
      </c>
      <c r="M32" s="2">
        <v>2</v>
      </c>
      <c r="N32" s="3">
        <v>2</v>
      </c>
      <c r="O32" s="3">
        <f t="shared" si="17"/>
        <v>0.11484872611464966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36</v>
      </c>
      <c r="B33" s="2">
        <v>32</v>
      </c>
      <c r="C33" s="2">
        <v>1</v>
      </c>
      <c r="D33" s="2">
        <v>1</v>
      </c>
      <c r="E33" s="2">
        <v>0.753</v>
      </c>
      <c r="F33" s="2">
        <v>1</v>
      </c>
      <c r="H33" s="2">
        <v>36</v>
      </c>
      <c r="I33" s="2">
        <v>133</v>
      </c>
      <c r="J33" s="2">
        <v>2</v>
      </c>
      <c r="K33" s="2">
        <v>0</v>
      </c>
      <c r="L33" s="2">
        <v>1.2490000000000001</v>
      </c>
      <c r="M33" s="2">
        <v>2</v>
      </c>
      <c r="N33" s="3">
        <v>3</v>
      </c>
      <c r="O33" s="3">
        <f t="shared" si="17"/>
        <v>0.34156847133757962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36</v>
      </c>
      <c r="B34" s="2">
        <v>33</v>
      </c>
      <c r="C34" s="2">
        <v>5</v>
      </c>
      <c r="D34" s="2">
        <v>0</v>
      </c>
      <c r="E34" s="2">
        <v>1.2769999999999999</v>
      </c>
      <c r="F34" s="2">
        <v>2</v>
      </c>
      <c r="H34" s="2">
        <v>36</v>
      </c>
      <c r="I34" s="2">
        <v>134</v>
      </c>
      <c r="J34" s="2">
        <v>4</v>
      </c>
      <c r="L34" s="2">
        <v>2</v>
      </c>
      <c r="N34" s="3">
        <v>4</v>
      </c>
      <c r="O34" s="3">
        <f t="shared" si="17"/>
        <v>7.9116242038216544E-2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36</v>
      </c>
      <c r="B35" s="2">
        <v>34</v>
      </c>
      <c r="C35" s="2">
        <v>8</v>
      </c>
      <c r="D35" s="2">
        <v>1</v>
      </c>
      <c r="E35" s="2">
        <v>1.159</v>
      </c>
      <c r="F35" s="2">
        <v>2</v>
      </c>
      <c r="H35" s="2">
        <v>36</v>
      </c>
      <c r="I35" s="2">
        <v>135</v>
      </c>
      <c r="J35" s="2">
        <v>3</v>
      </c>
      <c r="K35" s="2">
        <v>0</v>
      </c>
      <c r="L35" s="2">
        <v>1.722</v>
      </c>
      <c r="M35" s="2">
        <v>2</v>
      </c>
      <c r="N35" s="3">
        <v>5</v>
      </c>
      <c r="O35" s="3">
        <f t="shared" si="17"/>
        <v>0.18729299363057322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36</v>
      </c>
      <c r="B36" s="2">
        <v>35</v>
      </c>
      <c r="C36" s="2">
        <v>3</v>
      </c>
      <c r="D36" s="2">
        <v>1</v>
      </c>
      <c r="E36" s="2">
        <v>0.91100000000000003</v>
      </c>
      <c r="F36" s="2">
        <v>1</v>
      </c>
      <c r="H36" s="2">
        <v>36</v>
      </c>
      <c r="I36" s="2">
        <v>136</v>
      </c>
      <c r="J36" s="2">
        <v>5</v>
      </c>
      <c r="K36" s="2">
        <v>1</v>
      </c>
      <c r="L36" s="2">
        <v>1.649</v>
      </c>
      <c r="M36" s="2">
        <v>2</v>
      </c>
      <c r="N36" s="3">
        <v>6</v>
      </c>
      <c r="O36" s="3">
        <f t="shared" si="17"/>
        <v>6.5286624203821655E-2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36</v>
      </c>
      <c r="B37" s="2">
        <v>36</v>
      </c>
      <c r="C37" s="2">
        <v>2</v>
      </c>
      <c r="D37" s="2">
        <v>1</v>
      </c>
      <c r="E37" s="2">
        <v>1.3140000000000001</v>
      </c>
      <c r="F37" s="2">
        <v>2</v>
      </c>
      <c r="H37" s="2">
        <v>36</v>
      </c>
      <c r="I37" s="2">
        <v>137</v>
      </c>
      <c r="J37" s="2">
        <v>8</v>
      </c>
      <c r="K37" s="2">
        <v>1</v>
      </c>
      <c r="L37" s="2">
        <v>1.337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36</v>
      </c>
      <c r="B38" s="2">
        <v>37</v>
      </c>
      <c r="C38" s="2">
        <v>7</v>
      </c>
      <c r="D38" s="2">
        <v>1</v>
      </c>
      <c r="E38" s="2">
        <v>0.999</v>
      </c>
      <c r="F38" s="2">
        <v>2</v>
      </c>
      <c r="H38" s="2">
        <v>36</v>
      </c>
      <c r="I38" s="2">
        <v>138</v>
      </c>
      <c r="J38" s="2">
        <v>1</v>
      </c>
      <c r="K38" s="2">
        <v>0</v>
      </c>
      <c r="L38" s="2">
        <v>1.339</v>
      </c>
      <c r="M38" s="2">
        <v>2</v>
      </c>
    </row>
    <row r="39" spans="1:25" ht="14.25" customHeight="1">
      <c r="A39" s="2">
        <v>36</v>
      </c>
      <c r="B39" s="2">
        <v>38</v>
      </c>
      <c r="C39" s="2">
        <v>3</v>
      </c>
      <c r="D39" s="2">
        <v>1</v>
      </c>
      <c r="E39" s="2">
        <v>1.0569999999999999</v>
      </c>
      <c r="F39" s="2">
        <v>1</v>
      </c>
      <c r="H39" s="2">
        <v>36</v>
      </c>
      <c r="I39" s="2">
        <v>139</v>
      </c>
      <c r="J39" s="2">
        <v>4</v>
      </c>
      <c r="K39" s="2">
        <v>1</v>
      </c>
      <c r="L39" s="2">
        <v>1.0349999999999999</v>
      </c>
      <c r="M39" s="2">
        <v>2</v>
      </c>
    </row>
    <row r="40" spans="1:25" ht="14.25" customHeight="1">
      <c r="A40" s="2">
        <v>36</v>
      </c>
      <c r="B40" s="2">
        <v>39</v>
      </c>
      <c r="C40" s="2">
        <v>7</v>
      </c>
      <c r="D40" s="2">
        <v>1</v>
      </c>
      <c r="E40" s="2">
        <v>0.95699999999999996</v>
      </c>
      <c r="F40" s="2">
        <v>2</v>
      </c>
      <c r="H40" s="2">
        <v>36</v>
      </c>
      <c r="I40" s="2">
        <v>140</v>
      </c>
      <c r="J40" s="2">
        <v>5</v>
      </c>
      <c r="K40" s="2">
        <v>1</v>
      </c>
      <c r="L40" s="2">
        <v>1.825</v>
      </c>
      <c r="M40" s="2">
        <v>2</v>
      </c>
    </row>
    <row r="41" spans="1:25" ht="14.25" customHeight="1">
      <c r="A41" s="2">
        <v>36</v>
      </c>
      <c r="B41" s="2">
        <v>40</v>
      </c>
      <c r="C41" s="2">
        <v>4</v>
      </c>
      <c r="D41" s="2">
        <v>0</v>
      </c>
      <c r="E41" s="2">
        <v>0.93100000000000005</v>
      </c>
      <c r="F41" s="2">
        <v>1</v>
      </c>
      <c r="H41" s="2">
        <v>36</v>
      </c>
      <c r="I41" s="2">
        <v>141</v>
      </c>
      <c r="J41" s="2">
        <v>3</v>
      </c>
      <c r="K41" s="2">
        <v>0</v>
      </c>
      <c r="L41" s="2">
        <v>1.677</v>
      </c>
      <c r="M41" s="2">
        <v>2</v>
      </c>
    </row>
    <row r="42" spans="1:25" ht="14.25" customHeight="1">
      <c r="A42" s="2">
        <v>36</v>
      </c>
      <c r="B42" s="2">
        <v>41</v>
      </c>
      <c r="C42" s="2">
        <v>5</v>
      </c>
      <c r="D42" s="2">
        <v>1</v>
      </c>
      <c r="E42" s="2">
        <v>0.93899999999999995</v>
      </c>
      <c r="F42" s="2">
        <v>1</v>
      </c>
      <c r="H42" s="2">
        <v>36</v>
      </c>
      <c r="I42" s="2">
        <v>142</v>
      </c>
      <c r="J42" s="2">
        <v>1</v>
      </c>
      <c r="K42" s="2">
        <v>1</v>
      </c>
      <c r="L42" s="2">
        <v>1.5609999999999999</v>
      </c>
      <c r="M42" s="2">
        <v>2</v>
      </c>
    </row>
    <row r="43" spans="1:25" ht="14.25" customHeight="1">
      <c r="A43" s="2">
        <v>36</v>
      </c>
      <c r="B43" s="2">
        <v>42</v>
      </c>
      <c r="C43" s="2">
        <v>8</v>
      </c>
      <c r="D43" s="2">
        <v>1</v>
      </c>
      <c r="E43" s="2">
        <v>0.78700000000000003</v>
      </c>
      <c r="F43" s="2">
        <v>2</v>
      </c>
      <c r="H43" s="2">
        <v>36</v>
      </c>
      <c r="I43" s="2">
        <v>143</v>
      </c>
      <c r="J43" s="2">
        <v>7</v>
      </c>
      <c r="K43" s="2">
        <v>1</v>
      </c>
      <c r="L43" s="2">
        <v>0.98099999999999998</v>
      </c>
      <c r="M43" s="2">
        <v>2</v>
      </c>
    </row>
    <row r="44" spans="1:25" ht="14.25" customHeight="1">
      <c r="A44" s="2">
        <v>36</v>
      </c>
      <c r="B44" s="2">
        <v>43</v>
      </c>
      <c r="C44" s="2">
        <v>2</v>
      </c>
      <c r="D44" s="2">
        <v>0</v>
      </c>
      <c r="E44" s="2">
        <v>0.71599999999999997</v>
      </c>
      <c r="F44" s="2">
        <v>1</v>
      </c>
      <c r="H44" s="2">
        <v>36</v>
      </c>
      <c r="I44" s="2">
        <v>144</v>
      </c>
      <c r="J44" s="2">
        <v>6</v>
      </c>
      <c r="K44" s="2">
        <v>0</v>
      </c>
      <c r="L44" s="2">
        <v>1.4810000000000001</v>
      </c>
      <c r="M44" s="2">
        <v>1</v>
      </c>
    </row>
    <row r="45" spans="1:25" ht="14.25" customHeight="1">
      <c r="A45" s="2">
        <v>36</v>
      </c>
      <c r="B45" s="2">
        <v>44</v>
      </c>
      <c r="C45" s="2">
        <v>7</v>
      </c>
      <c r="D45" s="2">
        <v>1</v>
      </c>
      <c r="E45" s="2">
        <v>0.79800000000000004</v>
      </c>
      <c r="F45" s="2">
        <v>2</v>
      </c>
      <c r="H45" s="2">
        <v>36</v>
      </c>
      <c r="I45" s="2">
        <v>145</v>
      </c>
      <c r="J45" s="2">
        <v>3</v>
      </c>
      <c r="K45" s="2">
        <v>0</v>
      </c>
      <c r="L45" s="2">
        <v>1.1559999999999999</v>
      </c>
      <c r="M45" s="2">
        <v>2</v>
      </c>
    </row>
    <row r="46" spans="1:25" ht="14.25" customHeight="1">
      <c r="A46" s="2">
        <v>36</v>
      </c>
      <c r="B46" s="2">
        <v>45</v>
      </c>
      <c r="C46" s="2">
        <v>1</v>
      </c>
      <c r="D46" s="2">
        <v>1</v>
      </c>
      <c r="E46" s="2">
        <v>0.89100000000000001</v>
      </c>
      <c r="F46" s="2">
        <v>1</v>
      </c>
      <c r="H46" s="2">
        <v>36</v>
      </c>
      <c r="I46" s="2">
        <v>146</v>
      </c>
      <c r="J46" s="2">
        <v>4</v>
      </c>
      <c r="K46" s="2">
        <v>1</v>
      </c>
      <c r="L46" s="2">
        <v>0.75700000000000001</v>
      </c>
      <c r="M46" s="2">
        <v>2</v>
      </c>
    </row>
    <row r="47" spans="1:25" ht="14.25" customHeight="1">
      <c r="A47" s="2">
        <v>36</v>
      </c>
      <c r="B47" s="2">
        <v>46</v>
      </c>
      <c r="C47" s="2">
        <v>2</v>
      </c>
      <c r="D47" s="2">
        <v>1</v>
      </c>
      <c r="E47" s="2">
        <v>0.67700000000000005</v>
      </c>
      <c r="F47" s="2">
        <v>2</v>
      </c>
      <c r="H47" s="2">
        <v>36</v>
      </c>
      <c r="I47" s="2">
        <v>147</v>
      </c>
      <c r="J47" s="2">
        <v>3</v>
      </c>
      <c r="K47" s="2">
        <v>0</v>
      </c>
      <c r="L47" s="2">
        <v>1.7090000000000001</v>
      </c>
      <c r="M47" s="2">
        <v>2</v>
      </c>
    </row>
    <row r="48" spans="1:25" ht="14.25" customHeight="1">
      <c r="A48" s="2">
        <v>36</v>
      </c>
      <c r="B48" s="2">
        <v>47</v>
      </c>
      <c r="C48" s="2">
        <v>3</v>
      </c>
      <c r="D48" s="2">
        <v>1</v>
      </c>
      <c r="E48" s="2">
        <v>0.78900000000000003</v>
      </c>
      <c r="F48" s="2">
        <v>1</v>
      </c>
      <c r="H48" s="2">
        <v>36</v>
      </c>
      <c r="I48" s="2">
        <v>148</v>
      </c>
      <c r="J48" s="2">
        <v>8</v>
      </c>
      <c r="K48" s="2">
        <v>1</v>
      </c>
      <c r="L48" s="2">
        <v>0.90900000000000003</v>
      </c>
      <c r="M48" s="2">
        <v>2</v>
      </c>
    </row>
    <row r="49" spans="1:13" ht="14.25" customHeight="1">
      <c r="A49" s="2">
        <v>36</v>
      </c>
      <c r="B49" s="2">
        <v>48</v>
      </c>
      <c r="C49" s="2">
        <v>4</v>
      </c>
      <c r="D49" s="2">
        <v>0</v>
      </c>
      <c r="E49" s="2">
        <v>0.81499999999999995</v>
      </c>
      <c r="F49" s="2">
        <v>1</v>
      </c>
      <c r="H49" s="2">
        <v>36</v>
      </c>
      <c r="I49" s="2">
        <v>149</v>
      </c>
      <c r="J49" s="2">
        <v>4</v>
      </c>
      <c r="K49" s="2">
        <v>1</v>
      </c>
      <c r="L49" s="2">
        <v>1.3939999999999999</v>
      </c>
      <c r="M49" s="2">
        <v>1</v>
      </c>
    </row>
    <row r="50" spans="1:13" ht="14.25" customHeight="1">
      <c r="A50" s="2">
        <v>36</v>
      </c>
      <c r="B50" s="2">
        <v>49</v>
      </c>
      <c r="C50" s="2">
        <v>1</v>
      </c>
      <c r="D50" s="2">
        <v>0</v>
      </c>
      <c r="E50" s="2">
        <v>1.762</v>
      </c>
      <c r="F50" s="2">
        <v>2</v>
      </c>
      <c r="H50" s="2">
        <v>36</v>
      </c>
      <c r="I50" s="2">
        <v>150</v>
      </c>
      <c r="J50" s="2">
        <v>7</v>
      </c>
      <c r="K50" s="2">
        <v>1</v>
      </c>
      <c r="L50" s="2">
        <v>1.3839999999999999</v>
      </c>
      <c r="M50" s="2">
        <v>2</v>
      </c>
    </row>
    <row r="51" spans="1:13" ht="14.25" customHeight="1">
      <c r="A51" s="2">
        <v>36</v>
      </c>
      <c r="B51" s="2">
        <v>50</v>
      </c>
      <c r="C51" s="2">
        <v>8</v>
      </c>
      <c r="D51" s="2">
        <v>1</v>
      </c>
      <c r="E51" s="2">
        <v>1.5209999999999999</v>
      </c>
      <c r="F51" s="2">
        <v>2</v>
      </c>
    </row>
    <row r="52" spans="1:13" ht="14.25" customHeight="1">
      <c r="A52" s="2">
        <v>36</v>
      </c>
      <c r="B52" s="2">
        <v>51</v>
      </c>
      <c r="C52" s="2">
        <v>1</v>
      </c>
      <c r="D52" s="2">
        <v>0</v>
      </c>
      <c r="E52" s="2">
        <v>0.97199999999999998</v>
      </c>
      <c r="F52" s="2">
        <v>2</v>
      </c>
    </row>
    <row r="53" spans="1:13" ht="14.25" customHeight="1">
      <c r="A53" s="2">
        <v>36</v>
      </c>
      <c r="B53" s="2">
        <v>52</v>
      </c>
      <c r="C53" s="2">
        <v>3</v>
      </c>
      <c r="D53" s="2">
        <v>1</v>
      </c>
      <c r="E53" s="2">
        <v>1.0820000000000001</v>
      </c>
      <c r="F53" s="2">
        <v>2</v>
      </c>
    </row>
    <row r="54" spans="1:13" ht="14.25" customHeight="1">
      <c r="A54" s="2">
        <v>36</v>
      </c>
      <c r="B54" s="2">
        <v>53</v>
      </c>
      <c r="C54" s="2">
        <v>6</v>
      </c>
      <c r="D54" s="2">
        <v>1</v>
      </c>
      <c r="E54" s="2">
        <v>1.139</v>
      </c>
      <c r="F54" s="2">
        <v>1</v>
      </c>
    </row>
    <row r="55" spans="1:13" ht="14.25" customHeight="1">
      <c r="A55" s="2">
        <v>36</v>
      </c>
      <c r="B55" s="2">
        <v>54</v>
      </c>
      <c r="C55" s="2">
        <v>5</v>
      </c>
      <c r="D55" s="2">
        <v>1</v>
      </c>
      <c r="E55" s="2">
        <v>1.3919999999999999</v>
      </c>
      <c r="F55" s="2">
        <v>2</v>
      </c>
    </row>
    <row r="56" spans="1:13" ht="14.25" customHeight="1">
      <c r="A56" s="2">
        <v>36</v>
      </c>
      <c r="B56" s="2">
        <v>55</v>
      </c>
      <c r="C56" s="2">
        <v>3</v>
      </c>
      <c r="D56" s="2">
        <v>1</v>
      </c>
      <c r="E56" s="2">
        <v>1.5</v>
      </c>
      <c r="F56" s="2">
        <v>1</v>
      </c>
    </row>
    <row r="57" spans="1:13" ht="14.25" customHeight="1">
      <c r="A57" s="2">
        <v>36</v>
      </c>
      <c r="B57" s="2">
        <v>56</v>
      </c>
      <c r="C57" s="2">
        <v>8</v>
      </c>
      <c r="D57" s="2">
        <v>0</v>
      </c>
      <c r="E57" s="2">
        <v>1.6759999999999999</v>
      </c>
      <c r="F57" s="2">
        <v>2</v>
      </c>
    </row>
    <row r="58" spans="1:13" ht="14.25" customHeight="1">
      <c r="A58" s="2">
        <v>36</v>
      </c>
      <c r="B58" s="2">
        <v>57</v>
      </c>
      <c r="C58" s="2">
        <v>5</v>
      </c>
      <c r="D58" s="2">
        <v>1</v>
      </c>
      <c r="E58" s="2">
        <v>1.0529999999999999</v>
      </c>
      <c r="F58" s="2">
        <v>2</v>
      </c>
    </row>
    <row r="59" spans="1:13" ht="14.25" customHeight="1">
      <c r="A59" s="2">
        <v>36</v>
      </c>
      <c r="B59" s="2">
        <v>58</v>
      </c>
      <c r="C59" s="2">
        <v>8</v>
      </c>
      <c r="D59" s="2">
        <v>0</v>
      </c>
      <c r="E59" s="2">
        <v>1.22</v>
      </c>
      <c r="F59" s="2">
        <v>1</v>
      </c>
    </row>
    <row r="60" spans="1:13" ht="14.25" customHeight="1">
      <c r="A60" s="2">
        <v>36</v>
      </c>
      <c r="B60" s="2">
        <v>59</v>
      </c>
      <c r="C60" s="2">
        <v>7</v>
      </c>
      <c r="D60" s="2">
        <v>1</v>
      </c>
      <c r="E60" s="2">
        <v>1.2110000000000001</v>
      </c>
      <c r="F60" s="2">
        <v>1</v>
      </c>
    </row>
    <row r="61" spans="1:13" ht="14.25" customHeight="1">
      <c r="A61" s="2">
        <v>36</v>
      </c>
      <c r="B61" s="2">
        <v>60</v>
      </c>
      <c r="C61" s="2">
        <v>5</v>
      </c>
      <c r="D61" s="2">
        <v>1</v>
      </c>
      <c r="E61" s="2">
        <v>0.996</v>
      </c>
      <c r="F61" s="2">
        <v>2</v>
      </c>
    </row>
    <row r="62" spans="1:13" ht="14.25" customHeight="1">
      <c r="A62" s="2">
        <v>36</v>
      </c>
      <c r="B62" s="2">
        <v>61</v>
      </c>
      <c r="C62" s="2">
        <v>2</v>
      </c>
      <c r="D62" s="2">
        <v>1</v>
      </c>
      <c r="E62" s="2">
        <v>1.1279999999999999</v>
      </c>
      <c r="F62" s="2">
        <v>1</v>
      </c>
    </row>
    <row r="63" spans="1:13" ht="14.25" customHeight="1">
      <c r="A63" s="2">
        <v>36</v>
      </c>
      <c r="B63" s="2">
        <v>62</v>
      </c>
      <c r="C63" s="2">
        <v>6</v>
      </c>
      <c r="D63" s="2">
        <v>1</v>
      </c>
      <c r="E63" s="2">
        <v>0.95199999999999996</v>
      </c>
      <c r="F63" s="2">
        <v>2</v>
      </c>
    </row>
    <row r="64" spans="1:13" ht="14.25" customHeight="1">
      <c r="A64" s="2">
        <v>36</v>
      </c>
      <c r="B64" s="2">
        <v>63</v>
      </c>
      <c r="C64" s="2">
        <v>2</v>
      </c>
      <c r="D64" s="2">
        <v>1</v>
      </c>
      <c r="E64" s="2">
        <v>1.0529999999999999</v>
      </c>
      <c r="F64" s="2">
        <v>1</v>
      </c>
    </row>
    <row r="65" spans="1:6" ht="14.25" customHeight="1">
      <c r="A65" s="2">
        <v>36</v>
      </c>
      <c r="B65" s="2">
        <v>64</v>
      </c>
      <c r="C65" s="2">
        <v>6</v>
      </c>
      <c r="D65" s="2">
        <v>1</v>
      </c>
      <c r="E65" s="2">
        <v>0.76400000000000001</v>
      </c>
      <c r="F65" s="2">
        <v>2</v>
      </c>
    </row>
    <row r="66" spans="1:6" ht="14.25" customHeight="1">
      <c r="A66" s="2">
        <v>36</v>
      </c>
      <c r="B66" s="2">
        <v>65</v>
      </c>
      <c r="C66" s="2">
        <v>3</v>
      </c>
      <c r="D66" s="2">
        <v>1</v>
      </c>
      <c r="E66" s="2">
        <v>0.82699999999999996</v>
      </c>
      <c r="F66" s="2">
        <v>1</v>
      </c>
    </row>
    <row r="67" spans="1:6" ht="14.25" customHeight="1">
      <c r="A67" s="2">
        <v>36</v>
      </c>
      <c r="B67" s="2">
        <v>66</v>
      </c>
      <c r="C67" s="2">
        <v>4</v>
      </c>
      <c r="D67" s="2">
        <v>0</v>
      </c>
      <c r="E67" s="2">
        <v>1.036</v>
      </c>
      <c r="F67" s="2">
        <v>1</v>
      </c>
    </row>
    <row r="68" spans="1:6" ht="14.25" customHeight="1">
      <c r="A68" s="2">
        <v>36</v>
      </c>
      <c r="B68" s="2">
        <v>67</v>
      </c>
      <c r="C68" s="2">
        <v>1</v>
      </c>
      <c r="D68" s="2">
        <v>1</v>
      </c>
      <c r="E68" s="2">
        <v>1.0960000000000001</v>
      </c>
      <c r="F68" s="2">
        <v>1</v>
      </c>
    </row>
    <row r="69" spans="1:6" ht="14.25" customHeight="1">
      <c r="A69" s="2">
        <v>36</v>
      </c>
      <c r="B69" s="2">
        <v>68</v>
      </c>
      <c r="C69" s="2">
        <v>3</v>
      </c>
      <c r="D69" s="2">
        <v>1</v>
      </c>
      <c r="E69" s="2">
        <v>0.872</v>
      </c>
      <c r="F69" s="2">
        <v>2</v>
      </c>
    </row>
    <row r="70" spans="1:6" ht="14.25" customHeight="1">
      <c r="A70" s="2">
        <v>36</v>
      </c>
      <c r="B70" s="2">
        <v>69</v>
      </c>
      <c r="C70" s="2">
        <v>4</v>
      </c>
      <c r="D70" s="2">
        <v>0</v>
      </c>
      <c r="E70" s="2">
        <v>1.2190000000000001</v>
      </c>
      <c r="F70" s="2">
        <v>1</v>
      </c>
    </row>
    <row r="71" spans="1:6" ht="14.25" customHeight="1">
      <c r="A71" s="2">
        <v>36</v>
      </c>
      <c r="B71" s="2">
        <v>70</v>
      </c>
      <c r="C71" s="2">
        <v>1</v>
      </c>
      <c r="D71" s="2">
        <v>1</v>
      </c>
      <c r="E71" s="2">
        <v>1.675</v>
      </c>
      <c r="F71" s="2">
        <v>1</v>
      </c>
    </row>
    <row r="72" spans="1:6" ht="14.25" customHeight="1">
      <c r="A72" s="2">
        <v>36</v>
      </c>
      <c r="B72" s="2">
        <v>71</v>
      </c>
      <c r="C72" s="2">
        <v>6</v>
      </c>
      <c r="D72" s="2">
        <v>0</v>
      </c>
      <c r="E72" s="2">
        <v>1.395</v>
      </c>
      <c r="F72" s="2">
        <v>2</v>
      </c>
    </row>
    <row r="73" spans="1:6" ht="14.25" customHeight="1">
      <c r="A73" s="2">
        <v>36</v>
      </c>
      <c r="B73" s="2">
        <v>72</v>
      </c>
      <c r="C73" s="2">
        <v>2</v>
      </c>
      <c r="D73" s="2">
        <v>0</v>
      </c>
      <c r="E73" s="2">
        <v>1.5940000000000001</v>
      </c>
      <c r="F73" s="2">
        <v>1</v>
      </c>
    </row>
    <row r="74" spans="1:6" ht="14.25" customHeight="1">
      <c r="A74" s="2">
        <v>36</v>
      </c>
      <c r="B74" s="2">
        <v>73</v>
      </c>
      <c r="C74" s="2">
        <v>7</v>
      </c>
      <c r="D74" s="2">
        <v>1</v>
      </c>
      <c r="E74" s="2">
        <v>1.371</v>
      </c>
      <c r="F74" s="2">
        <v>1</v>
      </c>
    </row>
    <row r="75" spans="1:6" ht="14.25" customHeight="1">
      <c r="A75" s="2">
        <v>36</v>
      </c>
      <c r="B75" s="2">
        <v>74</v>
      </c>
      <c r="C75" s="2">
        <v>4</v>
      </c>
      <c r="D75" s="2">
        <v>0</v>
      </c>
      <c r="E75" s="2">
        <v>1.5349999999999999</v>
      </c>
      <c r="F75" s="2">
        <v>2</v>
      </c>
    </row>
    <row r="76" spans="1:6" ht="14.25" customHeight="1">
      <c r="A76" s="2">
        <v>36</v>
      </c>
      <c r="B76" s="2">
        <v>75</v>
      </c>
      <c r="C76" s="2">
        <v>7</v>
      </c>
      <c r="D76" s="2">
        <v>1</v>
      </c>
      <c r="E76" s="2">
        <v>0.84899999999999998</v>
      </c>
      <c r="F76" s="2">
        <v>2</v>
      </c>
    </row>
    <row r="77" spans="1:6" ht="14.25" customHeight="1">
      <c r="A77" s="2">
        <v>36</v>
      </c>
      <c r="B77" s="2">
        <v>76</v>
      </c>
      <c r="C77" s="2">
        <v>4</v>
      </c>
      <c r="D77" s="2">
        <v>0</v>
      </c>
      <c r="E77" s="2">
        <v>0.77900000000000003</v>
      </c>
      <c r="F77" s="2">
        <v>2</v>
      </c>
    </row>
    <row r="78" spans="1:6" ht="14.25" customHeight="1">
      <c r="A78" s="2">
        <v>36</v>
      </c>
      <c r="B78" s="2">
        <v>77</v>
      </c>
      <c r="C78" s="2">
        <v>3</v>
      </c>
      <c r="D78" s="2">
        <v>1</v>
      </c>
      <c r="E78" s="2">
        <v>1.6839999999999999</v>
      </c>
      <c r="F78" s="2">
        <v>1</v>
      </c>
    </row>
    <row r="79" spans="1:6" ht="14.25" customHeight="1">
      <c r="A79" s="2">
        <v>36</v>
      </c>
      <c r="B79" s="2">
        <v>78</v>
      </c>
      <c r="C79" s="2">
        <v>7</v>
      </c>
      <c r="D79" s="2">
        <v>1</v>
      </c>
      <c r="E79" s="2">
        <v>1.294</v>
      </c>
      <c r="F79" s="2">
        <v>2</v>
      </c>
    </row>
    <row r="80" spans="1:6" ht="14.25" customHeight="1">
      <c r="A80" s="2">
        <v>36</v>
      </c>
      <c r="B80" s="2">
        <v>79</v>
      </c>
      <c r="C80" s="2">
        <v>8</v>
      </c>
      <c r="D80" s="2">
        <v>0</v>
      </c>
      <c r="E80" s="2">
        <v>1.212</v>
      </c>
      <c r="F80" s="2">
        <v>2</v>
      </c>
    </row>
    <row r="81" spans="1:6" ht="14.25" customHeight="1">
      <c r="A81" s="2">
        <v>36</v>
      </c>
      <c r="B81" s="2">
        <v>80</v>
      </c>
      <c r="C81" s="2">
        <v>1</v>
      </c>
      <c r="D81" s="2">
        <v>1</v>
      </c>
      <c r="E81" s="2">
        <v>1.59</v>
      </c>
      <c r="F81" s="2">
        <v>2</v>
      </c>
    </row>
    <row r="82" spans="1:6" ht="14.25" customHeight="1">
      <c r="A82" s="2">
        <v>36</v>
      </c>
      <c r="B82" s="2">
        <v>81</v>
      </c>
      <c r="C82" s="2">
        <v>2</v>
      </c>
      <c r="D82" s="2">
        <v>1</v>
      </c>
      <c r="E82" s="2">
        <v>1.8919999999999999</v>
      </c>
      <c r="F82" s="2">
        <v>1</v>
      </c>
    </row>
    <row r="83" spans="1:6" ht="14.25" customHeight="1">
      <c r="A83" s="2">
        <v>36</v>
      </c>
      <c r="B83" s="2">
        <v>82</v>
      </c>
      <c r="C83" s="2">
        <v>3</v>
      </c>
      <c r="D83" s="2">
        <v>1</v>
      </c>
      <c r="E83" s="2">
        <v>1.494</v>
      </c>
      <c r="F83" s="2">
        <v>1</v>
      </c>
    </row>
    <row r="84" spans="1:6" ht="14.25" customHeight="1">
      <c r="A84" s="2">
        <v>36</v>
      </c>
      <c r="B84" s="2">
        <v>83</v>
      </c>
      <c r="C84" s="2">
        <v>4</v>
      </c>
      <c r="D84" s="2">
        <v>1</v>
      </c>
      <c r="E84" s="2">
        <v>1.6180000000000001</v>
      </c>
      <c r="F84" s="2">
        <v>1</v>
      </c>
    </row>
    <row r="85" spans="1:6" ht="14.25" customHeight="1">
      <c r="A85" s="2">
        <v>36</v>
      </c>
      <c r="B85" s="2">
        <v>84</v>
      </c>
      <c r="C85" s="2">
        <v>7</v>
      </c>
      <c r="D85" s="2">
        <v>1</v>
      </c>
      <c r="E85" s="2">
        <v>1.101</v>
      </c>
      <c r="F85" s="2">
        <v>2</v>
      </c>
    </row>
    <row r="86" spans="1:6" ht="14.25" customHeight="1">
      <c r="A86" s="2">
        <v>36</v>
      </c>
      <c r="B86" s="2">
        <v>85</v>
      </c>
      <c r="C86" s="2">
        <v>6</v>
      </c>
      <c r="D86" s="2">
        <v>1</v>
      </c>
      <c r="E86" s="2">
        <v>1.1299999999999999</v>
      </c>
      <c r="F86" s="2">
        <v>1</v>
      </c>
    </row>
    <row r="87" spans="1:6" ht="14.25" customHeight="1">
      <c r="A87" s="2">
        <v>36</v>
      </c>
      <c r="B87" s="2">
        <v>86</v>
      </c>
      <c r="C87" s="2">
        <v>7</v>
      </c>
      <c r="D87" s="2">
        <v>0</v>
      </c>
      <c r="E87" s="2">
        <v>1.34</v>
      </c>
      <c r="F87" s="2">
        <v>1</v>
      </c>
    </row>
    <row r="88" spans="1:6" ht="14.25" customHeight="1">
      <c r="A88" s="2">
        <v>36</v>
      </c>
      <c r="B88" s="2">
        <v>87</v>
      </c>
      <c r="C88" s="2">
        <v>1</v>
      </c>
      <c r="D88" s="2">
        <v>0</v>
      </c>
      <c r="E88" s="2">
        <v>1.1910000000000001</v>
      </c>
      <c r="F88" s="2">
        <v>1</v>
      </c>
    </row>
    <row r="89" spans="1:6" ht="14.25" customHeight="1">
      <c r="A89" s="2">
        <v>36</v>
      </c>
      <c r="B89" s="2">
        <v>88</v>
      </c>
      <c r="C89" s="2">
        <v>2</v>
      </c>
      <c r="D89" s="2">
        <v>1</v>
      </c>
      <c r="E89" s="2">
        <v>1.7330000000000001</v>
      </c>
      <c r="F89" s="2">
        <v>1</v>
      </c>
    </row>
    <row r="90" spans="1:6" ht="14.25" customHeight="1">
      <c r="A90" s="2">
        <v>36</v>
      </c>
      <c r="B90" s="2">
        <v>89</v>
      </c>
      <c r="C90" s="2">
        <v>7</v>
      </c>
      <c r="D90" s="2">
        <v>1</v>
      </c>
      <c r="E90" s="2">
        <v>0.65</v>
      </c>
      <c r="F90" s="2">
        <v>2</v>
      </c>
    </row>
    <row r="91" spans="1:6" ht="14.25" customHeight="1">
      <c r="A91" s="2">
        <v>36</v>
      </c>
      <c r="B91" s="2">
        <v>90</v>
      </c>
      <c r="C91" s="2">
        <v>5</v>
      </c>
      <c r="D91" s="2">
        <v>1</v>
      </c>
      <c r="E91" s="2">
        <v>0.91400000000000003</v>
      </c>
      <c r="F91" s="2">
        <v>2</v>
      </c>
    </row>
    <row r="92" spans="1:6" ht="14.25" customHeight="1">
      <c r="A92" s="2">
        <v>36</v>
      </c>
      <c r="B92" s="2">
        <v>91</v>
      </c>
      <c r="C92" s="2">
        <v>6</v>
      </c>
      <c r="D92" s="2">
        <v>1</v>
      </c>
      <c r="E92" s="2">
        <v>1.0589999999999999</v>
      </c>
      <c r="F92" s="2">
        <v>1</v>
      </c>
    </row>
    <row r="93" spans="1:6" ht="14.25" customHeight="1">
      <c r="A93" s="2">
        <v>36</v>
      </c>
      <c r="B93" s="2">
        <v>92</v>
      </c>
      <c r="C93" s="2">
        <v>1</v>
      </c>
      <c r="D93" s="2">
        <v>0</v>
      </c>
      <c r="E93" s="2">
        <v>1.819</v>
      </c>
      <c r="F93" s="2">
        <v>1</v>
      </c>
    </row>
    <row r="94" spans="1:6" ht="14.25" customHeight="1">
      <c r="A94" s="2">
        <v>36</v>
      </c>
      <c r="B94" s="2">
        <v>93</v>
      </c>
      <c r="C94" s="2">
        <v>8</v>
      </c>
      <c r="D94" s="2">
        <v>0</v>
      </c>
      <c r="E94" s="2">
        <v>1.871</v>
      </c>
      <c r="F94" s="2">
        <v>1</v>
      </c>
    </row>
    <row r="95" spans="1:6" ht="14.25" customHeight="1">
      <c r="A95" s="2">
        <v>36</v>
      </c>
      <c r="B95" s="2">
        <v>94</v>
      </c>
      <c r="C95" s="2">
        <v>2</v>
      </c>
      <c r="D95" s="2">
        <v>1</v>
      </c>
      <c r="E95" s="2">
        <v>1.538</v>
      </c>
      <c r="F95" s="2">
        <v>2</v>
      </c>
    </row>
    <row r="96" spans="1:6" ht="14.25" customHeight="1">
      <c r="A96" s="2">
        <v>36</v>
      </c>
      <c r="B96" s="2">
        <v>95</v>
      </c>
      <c r="C96" s="2">
        <v>3</v>
      </c>
      <c r="D96" s="2">
        <v>1</v>
      </c>
      <c r="E96" s="2">
        <v>0.96299999999999997</v>
      </c>
      <c r="F96" s="2">
        <v>1</v>
      </c>
    </row>
    <row r="97" spans="1:6" ht="14.25" customHeight="1">
      <c r="A97" s="2">
        <v>36</v>
      </c>
      <c r="B97" s="2">
        <v>96</v>
      </c>
      <c r="C97" s="2">
        <v>5</v>
      </c>
      <c r="D97" s="2">
        <v>0</v>
      </c>
      <c r="E97" s="2">
        <v>0.86</v>
      </c>
      <c r="F97" s="2">
        <v>1</v>
      </c>
    </row>
    <row r="98" spans="1:6" ht="14.25" customHeight="1">
      <c r="A98" s="2">
        <v>36</v>
      </c>
      <c r="B98" s="2">
        <v>97</v>
      </c>
      <c r="C98" s="2">
        <v>4</v>
      </c>
      <c r="D98" s="2">
        <v>0</v>
      </c>
      <c r="E98" s="2">
        <v>1.2030000000000001</v>
      </c>
      <c r="F98" s="2">
        <v>2</v>
      </c>
    </row>
    <row r="99" spans="1:6" ht="14.25" customHeight="1">
      <c r="A99" s="2">
        <v>36</v>
      </c>
      <c r="B99" s="2">
        <v>98</v>
      </c>
      <c r="C99" s="2">
        <v>8</v>
      </c>
      <c r="D99" s="2">
        <v>1</v>
      </c>
      <c r="E99" s="2">
        <v>1.3169999999999999</v>
      </c>
      <c r="F99" s="2">
        <v>2</v>
      </c>
    </row>
    <row r="100" spans="1:6" ht="14.25" customHeight="1">
      <c r="A100" s="2">
        <v>36</v>
      </c>
      <c r="B100" s="2">
        <v>99</v>
      </c>
      <c r="C100" s="2">
        <v>5</v>
      </c>
      <c r="D100" s="2">
        <v>1</v>
      </c>
      <c r="E100" s="2">
        <v>0.76200000000000001</v>
      </c>
      <c r="F100" s="2">
        <v>1</v>
      </c>
    </row>
    <row r="101" spans="1:6" ht="14.25" customHeight="1">
      <c r="A101" s="2">
        <v>36</v>
      </c>
      <c r="B101" s="2">
        <v>100</v>
      </c>
      <c r="C101" s="2">
        <v>8</v>
      </c>
      <c r="D101" s="2">
        <v>1</v>
      </c>
      <c r="E101" s="2">
        <v>1.18</v>
      </c>
      <c r="F101" s="2">
        <v>2</v>
      </c>
    </row>
    <row r="102" spans="1:6" ht="14.25" customHeight="1">
      <c r="A102" s="2">
        <v>36</v>
      </c>
      <c r="B102" s="2">
        <v>101</v>
      </c>
      <c r="C102" s="2">
        <v>1</v>
      </c>
      <c r="D102" s="2">
        <v>1</v>
      </c>
      <c r="E102" s="2">
        <v>0.94299999999999995</v>
      </c>
      <c r="F102" s="2">
        <v>1</v>
      </c>
    </row>
    <row r="103" spans="1:6" ht="14.25" customHeight="1">
      <c r="A103" s="2">
        <v>36</v>
      </c>
      <c r="B103" s="2">
        <v>102</v>
      </c>
      <c r="C103" s="2">
        <v>2</v>
      </c>
      <c r="D103" s="2">
        <v>1</v>
      </c>
      <c r="E103" s="2">
        <v>0.746</v>
      </c>
      <c r="F103" s="2">
        <v>2</v>
      </c>
    </row>
    <row r="104" spans="1:6" ht="14.25" customHeight="1">
      <c r="A104" s="2">
        <v>36</v>
      </c>
      <c r="B104" s="2">
        <v>103</v>
      </c>
      <c r="C104" s="2">
        <v>8</v>
      </c>
      <c r="D104" s="2">
        <v>0</v>
      </c>
      <c r="E104" s="2">
        <v>1.1659999999999999</v>
      </c>
      <c r="F104" s="2">
        <v>2</v>
      </c>
    </row>
    <row r="105" spans="1:6" ht="14.25" customHeight="1">
      <c r="A105" s="2">
        <v>36</v>
      </c>
      <c r="B105" s="2">
        <v>104</v>
      </c>
      <c r="C105" s="2">
        <v>4</v>
      </c>
      <c r="D105" s="2">
        <v>0</v>
      </c>
      <c r="E105" s="2">
        <v>1.4750000000000001</v>
      </c>
      <c r="F105" s="2">
        <v>1</v>
      </c>
    </row>
    <row r="106" spans="1:6" ht="14.25" customHeight="1">
      <c r="A106" s="2">
        <v>36</v>
      </c>
      <c r="B106" s="2">
        <v>105</v>
      </c>
      <c r="C106" s="2">
        <v>2</v>
      </c>
      <c r="D106" s="2">
        <v>0</v>
      </c>
      <c r="E106" s="2">
        <v>1.1870000000000001</v>
      </c>
      <c r="F106" s="2">
        <v>2</v>
      </c>
    </row>
    <row r="107" spans="1:6" ht="14.25" customHeight="1">
      <c r="A107" s="2">
        <v>36</v>
      </c>
      <c r="B107" s="2">
        <v>106</v>
      </c>
      <c r="C107" s="2">
        <v>7</v>
      </c>
      <c r="D107" s="2">
        <v>1</v>
      </c>
      <c r="E107" s="2">
        <v>1.544</v>
      </c>
      <c r="F107" s="2">
        <v>1</v>
      </c>
    </row>
    <row r="108" spans="1:6" ht="14.25" customHeight="1">
      <c r="A108" s="2">
        <v>36</v>
      </c>
      <c r="B108" s="2">
        <v>107</v>
      </c>
      <c r="C108" s="2">
        <v>1</v>
      </c>
      <c r="D108" s="2">
        <v>1</v>
      </c>
      <c r="E108" s="2">
        <v>1.282</v>
      </c>
      <c r="F108" s="2">
        <v>2</v>
      </c>
    </row>
    <row r="109" spans="1:6" ht="14.25" customHeight="1">
      <c r="A109" s="2">
        <v>36</v>
      </c>
      <c r="B109" s="2">
        <v>108</v>
      </c>
      <c r="C109" s="2">
        <v>7</v>
      </c>
      <c r="D109" s="2">
        <v>1</v>
      </c>
      <c r="E109" s="2">
        <v>1.002</v>
      </c>
      <c r="F109" s="2">
        <v>2</v>
      </c>
    </row>
    <row r="110" spans="1:6" ht="14.25" customHeight="1">
      <c r="A110" s="2">
        <v>36</v>
      </c>
      <c r="B110" s="2">
        <v>109</v>
      </c>
      <c r="C110" s="2">
        <v>3</v>
      </c>
      <c r="D110" s="2">
        <v>0</v>
      </c>
      <c r="E110" s="2">
        <v>1.2030000000000001</v>
      </c>
      <c r="F110" s="2">
        <v>2</v>
      </c>
    </row>
    <row r="111" spans="1:6" ht="14.25" customHeight="1">
      <c r="A111" s="2">
        <v>36</v>
      </c>
      <c r="B111" s="2">
        <v>110</v>
      </c>
      <c r="C111" s="2">
        <v>4</v>
      </c>
      <c r="D111" s="2">
        <v>0</v>
      </c>
      <c r="E111" s="2">
        <v>1.0669999999999999</v>
      </c>
      <c r="F111" s="2">
        <v>1</v>
      </c>
    </row>
    <row r="112" spans="1:6" ht="14.25" customHeight="1">
      <c r="A112" s="2">
        <v>36</v>
      </c>
      <c r="B112" s="2">
        <v>111</v>
      </c>
      <c r="C112" s="2">
        <v>1</v>
      </c>
      <c r="D112" s="2">
        <v>1</v>
      </c>
      <c r="E112" s="2">
        <v>1.306</v>
      </c>
      <c r="F112" s="2">
        <v>1</v>
      </c>
    </row>
    <row r="113" spans="1:6" ht="14.25" customHeight="1">
      <c r="A113" s="2">
        <v>36</v>
      </c>
      <c r="B113" s="2">
        <v>112</v>
      </c>
      <c r="C113" s="2">
        <v>7</v>
      </c>
      <c r="D113" s="2">
        <v>1</v>
      </c>
      <c r="E113" s="2">
        <v>1.0820000000000001</v>
      </c>
      <c r="F113" s="2">
        <v>2</v>
      </c>
    </row>
    <row r="114" spans="1:6" ht="14.25" customHeight="1">
      <c r="A114" s="2">
        <v>36</v>
      </c>
      <c r="B114" s="2">
        <v>113</v>
      </c>
      <c r="C114" s="2">
        <v>1</v>
      </c>
      <c r="D114" s="2">
        <v>0</v>
      </c>
      <c r="E114" s="2">
        <v>1.377</v>
      </c>
      <c r="F114" s="2">
        <v>2</v>
      </c>
    </row>
    <row r="115" spans="1:6" ht="14.25" customHeight="1">
      <c r="A115" s="2">
        <v>36</v>
      </c>
      <c r="B115" s="2">
        <v>114</v>
      </c>
      <c r="C115" s="2">
        <v>6</v>
      </c>
      <c r="D115" s="2">
        <v>0</v>
      </c>
      <c r="E115" s="2">
        <v>1.7450000000000001</v>
      </c>
      <c r="F115" s="2">
        <v>1</v>
      </c>
    </row>
    <row r="116" spans="1:6" ht="14.25" customHeight="1">
      <c r="A116" s="2">
        <v>36</v>
      </c>
      <c r="B116" s="2">
        <v>115</v>
      </c>
      <c r="C116" s="2">
        <v>5</v>
      </c>
      <c r="D116" s="2">
        <v>0</v>
      </c>
      <c r="E116" s="2">
        <v>1.9410000000000001</v>
      </c>
      <c r="F116" s="2">
        <v>2</v>
      </c>
    </row>
    <row r="117" spans="1:6" ht="14.25" customHeight="1">
      <c r="A117" s="2">
        <v>36</v>
      </c>
      <c r="B117" s="2">
        <v>116</v>
      </c>
      <c r="C117" s="2">
        <v>2</v>
      </c>
      <c r="D117" s="2">
        <v>1</v>
      </c>
      <c r="E117" s="2">
        <v>0.95</v>
      </c>
      <c r="F117" s="2">
        <v>2</v>
      </c>
    </row>
    <row r="118" spans="1:6" ht="14.25" customHeight="1">
      <c r="A118" s="2">
        <v>36</v>
      </c>
      <c r="B118" s="2">
        <v>117</v>
      </c>
      <c r="C118" s="2">
        <v>6</v>
      </c>
      <c r="D118" s="2">
        <v>1</v>
      </c>
      <c r="E118" s="2">
        <v>1.2050000000000001</v>
      </c>
      <c r="F118" s="2">
        <v>1</v>
      </c>
    </row>
    <row r="119" spans="1:6" ht="14.25" customHeight="1">
      <c r="A119" s="2">
        <v>36</v>
      </c>
      <c r="B119" s="2">
        <v>118</v>
      </c>
      <c r="C119" s="2">
        <v>8</v>
      </c>
      <c r="D119" s="2">
        <v>0</v>
      </c>
      <c r="E119" s="2">
        <v>1.9059999999999999</v>
      </c>
      <c r="F119" s="2">
        <v>1</v>
      </c>
    </row>
    <row r="120" spans="1:6" ht="14.25" customHeight="1">
      <c r="A120" s="2">
        <v>36</v>
      </c>
      <c r="B120" s="2">
        <v>119</v>
      </c>
      <c r="C120" s="2">
        <v>6</v>
      </c>
      <c r="D120" s="2">
        <v>1</v>
      </c>
      <c r="E120" s="2">
        <v>0.92600000000000005</v>
      </c>
      <c r="F120" s="2">
        <v>2</v>
      </c>
    </row>
    <row r="121" spans="1:6" ht="14.25" customHeight="1">
      <c r="A121" s="2">
        <v>36</v>
      </c>
      <c r="B121" s="2">
        <v>120</v>
      </c>
      <c r="C121" s="2">
        <v>2</v>
      </c>
      <c r="D121" s="2">
        <v>1</v>
      </c>
      <c r="E121" s="2">
        <v>1.083</v>
      </c>
      <c r="F121" s="2">
        <v>1</v>
      </c>
    </row>
    <row r="122" spans="1:6" ht="14.25" customHeight="1">
      <c r="A122" s="2">
        <v>36</v>
      </c>
      <c r="B122" s="2">
        <v>121</v>
      </c>
      <c r="C122" s="2">
        <v>5</v>
      </c>
      <c r="D122" s="2">
        <v>1</v>
      </c>
      <c r="E122" s="2">
        <v>1.345</v>
      </c>
      <c r="F122" s="2">
        <v>1</v>
      </c>
    </row>
    <row r="123" spans="1:6" ht="14.25" customHeight="1">
      <c r="A123" s="2">
        <v>36</v>
      </c>
      <c r="B123" s="2">
        <v>122</v>
      </c>
      <c r="C123" s="2">
        <v>7</v>
      </c>
      <c r="D123" s="2">
        <v>1</v>
      </c>
      <c r="E123" s="2">
        <v>1.5169999999999999</v>
      </c>
      <c r="F123" s="2">
        <v>2</v>
      </c>
    </row>
    <row r="124" spans="1:6" ht="14.25" customHeight="1">
      <c r="A124" s="2">
        <v>36</v>
      </c>
      <c r="B124" s="2">
        <v>123</v>
      </c>
      <c r="C124" s="2">
        <v>8</v>
      </c>
      <c r="D124" s="2">
        <v>1</v>
      </c>
      <c r="E124" s="2">
        <v>1.589</v>
      </c>
      <c r="F124" s="2">
        <v>1</v>
      </c>
    </row>
    <row r="125" spans="1:6" ht="14.25" customHeight="1">
      <c r="A125" s="2">
        <v>36</v>
      </c>
      <c r="B125" s="2">
        <v>124</v>
      </c>
      <c r="C125" s="2">
        <v>3</v>
      </c>
      <c r="D125" s="2">
        <v>1</v>
      </c>
      <c r="E125" s="2">
        <v>1.1639999999999999</v>
      </c>
      <c r="F125" s="2">
        <v>1</v>
      </c>
    </row>
    <row r="126" spans="1:6" ht="14.25" customHeight="1">
      <c r="A126" s="2">
        <v>36</v>
      </c>
      <c r="B126" s="2">
        <v>125</v>
      </c>
      <c r="C126" s="2">
        <v>5</v>
      </c>
      <c r="D126" s="2">
        <v>1</v>
      </c>
      <c r="E126" s="2">
        <v>1.623</v>
      </c>
      <c r="F126" s="2">
        <v>2</v>
      </c>
    </row>
    <row r="127" spans="1:6" ht="14.25" customHeight="1">
      <c r="A127" s="2">
        <v>36</v>
      </c>
      <c r="B127" s="2">
        <v>126</v>
      </c>
      <c r="C127" s="2">
        <v>2</v>
      </c>
      <c r="D127" s="2">
        <v>0</v>
      </c>
      <c r="E127" s="2">
        <v>1.579</v>
      </c>
      <c r="F127" s="2">
        <v>2</v>
      </c>
    </row>
    <row r="128" spans="1:6" ht="14.25" customHeight="1">
      <c r="A128" s="2">
        <v>36</v>
      </c>
      <c r="B128" s="2">
        <v>127</v>
      </c>
      <c r="C128" s="2">
        <v>6</v>
      </c>
      <c r="D128" s="2">
        <v>1</v>
      </c>
      <c r="E128" s="2">
        <v>1.831</v>
      </c>
      <c r="F128" s="2">
        <v>1</v>
      </c>
    </row>
    <row r="129" spans="1:6" ht="14.25" customHeight="1">
      <c r="A129" s="2">
        <v>36</v>
      </c>
      <c r="B129" s="2">
        <v>128</v>
      </c>
      <c r="C129" s="2">
        <v>7</v>
      </c>
      <c r="D129" s="2">
        <v>1</v>
      </c>
      <c r="E129" s="2">
        <v>1.6120000000000001</v>
      </c>
      <c r="F129" s="2">
        <v>2</v>
      </c>
    </row>
    <row r="130" spans="1:6" ht="14.25" customHeight="1">
      <c r="A130" s="2">
        <v>36</v>
      </c>
      <c r="B130" s="2">
        <v>129</v>
      </c>
      <c r="C130" s="2">
        <v>8</v>
      </c>
      <c r="E130" s="2">
        <v>2</v>
      </c>
    </row>
    <row r="131" spans="1:6" ht="14.25" customHeight="1">
      <c r="A131" s="2">
        <v>36</v>
      </c>
      <c r="B131" s="2">
        <v>130</v>
      </c>
      <c r="C131" s="2">
        <v>3</v>
      </c>
      <c r="D131" s="2">
        <v>0</v>
      </c>
      <c r="E131" s="2">
        <v>1.1739999999999999</v>
      </c>
      <c r="F131" s="2">
        <v>1</v>
      </c>
    </row>
    <row r="132" spans="1:6" ht="14.25" customHeight="1">
      <c r="A132" s="2">
        <v>36</v>
      </c>
      <c r="B132" s="2">
        <v>131</v>
      </c>
      <c r="C132" s="2">
        <v>5</v>
      </c>
      <c r="D132" s="2">
        <v>0</v>
      </c>
      <c r="E132" s="2">
        <v>1.4450000000000001</v>
      </c>
      <c r="F132" s="2">
        <v>2</v>
      </c>
    </row>
    <row r="133" spans="1:6" ht="14.25" customHeight="1">
      <c r="A133" s="2">
        <v>36</v>
      </c>
      <c r="B133" s="2">
        <v>132</v>
      </c>
      <c r="C133" s="2">
        <v>6</v>
      </c>
      <c r="D133" s="2">
        <v>0</v>
      </c>
      <c r="E133" s="2">
        <v>1.3819999999999999</v>
      </c>
      <c r="F133" s="2">
        <v>2</v>
      </c>
    </row>
    <row r="134" spans="1:6" ht="14.25" customHeight="1">
      <c r="A134" s="2">
        <v>36</v>
      </c>
      <c r="B134" s="2">
        <v>133</v>
      </c>
      <c r="C134" s="2">
        <v>2</v>
      </c>
      <c r="D134" s="2">
        <v>0</v>
      </c>
      <c r="E134" s="2">
        <v>1.2490000000000001</v>
      </c>
      <c r="F134" s="2">
        <v>2</v>
      </c>
    </row>
    <row r="135" spans="1:6" ht="14.25" customHeight="1">
      <c r="A135" s="2">
        <v>36</v>
      </c>
      <c r="B135" s="2">
        <v>134</v>
      </c>
      <c r="C135" s="2">
        <v>4</v>
      </c>
      <c r="E135" s="2">
        <v>2</v>
      </c>
    </row>
    <row r="136" spans="1:6" ht="14.25" customHeight="1">
      <c r="A136" s="2">
        <v>36</v>
      </c>
      <c r="B136" s="2">
        <v>135</v>
      </c>
      <c r="C136" s="2">
        <v>3</v>
      </c>
      <c r="D136" s="2">
        <v>0</v>
      </c>
      <c r="E136" s="2">
        <v>1.722</v>
      </c>
      <c r="F136" s="2">
        <v>2</v>
      </c>
    </row>
    <row r="137" spans="1:6" ht="14.25" customHeight="1">
      <c r="A137" s="2">
        <v>36</v>
      </c>
      <c r="B137" s="2">
        <v>136</v>
      </c>
      <c r="C137" s="2">
        <v>5</v>
      </c>
      <c r="D137" s="2">
        <v>1</v>
      </c>
      <c r="E137" s="2">
        <v>1.649</v>
      </c>
      <c r="F137" s="2">
        <v>2</v>
      </c>
    </row>
    <row r="138" spans="1:6" ht="14.25" customHeight="1">
      <c r="A138" s="2">
        <v>36</v>
      </c>
      <c r="B138" s="2">
        <v>137</v>
      </c>
      <c r="C138" s="2">
        <v>8</v>
      </c>
      <c r="D138" s="2">
        <v>1</v>
      </c>
      <c r="E138" s="2">
        <v>1.337</v>
      </c>
      <c r="F138" s="2">
        <v>2</v>
      </c>
    </row>
    <row r="139" spans="1:6" ht="14.25" customHeight="1">
      <c r="A139" s="2">
        <v>36</v>
      </c>
      <c r="B139" s="2">
        <v>138</v>
      </c>
      <c r="C139" s="2">
        <v>1</v>
      </c>
      <c r="D139" s="2">
        <v>0</v>
      </c>
      <c r="E139" s="2">
        <v>1.339</v>
      </c>
      <c r="F139" s="2">
        <v>2</v>
      </c>
    </row>
    <row r="140" spans="1:6" ht="14.25" customHeight="1">
      <c r="A140" s="2">
        <v>36</v>
      </c>
      <c r="B140" s="2">
        <v>139</v>
      </c>
      <c r="C140" s="2">
        <v>4</v>
      </c>
      <c r="D140" s="2">
        <v>1</v>
      </c>
      <c r="E140" s="2">
        <v>1.0349999999999999</v>
      </c>
      <c r="F140" s="2">
        <v>2</v>
      </c>
    </row>
    <row r="141" spans="1:6" ht="14.25" customHeight="1">
      <c r="A141" s="2">
        <v>36</v>
      </c>
      <c r="B141" s="2">
        <v>140</v>
      </c>
      <c r="C141" s="2">
        <v>5</v>
      </c>
      <c r="D141" s="2">
        <v>1</v>
      </c>
      <c r="E141" s="2">
        <v>1.825</v>
      </c>
      <c r="F141" s="2">
        <v>2</v>
      </c>
    </row>
    <row r="142" spans="1:6" ht="14.25" customHeight="1">
      <c r="A142" s="2">
        <v>36</v>
      </c>
      <c r="B142" s="2">
        <v>141</v>
      </c>
      <c r="C142" s="2">
        <v>3</v>
      </c>
      <c r="D142" s="2">
        <v>0</v>
      </c>
      <c r="E142" s="2">
        <v>1.677</v>
      </c>
      <c r="F142" s="2">
        <v>2</v>
      </c>
    </row>
    <row r="143" spans="1:6" ht="14.25" customHeight="1">
      <c r="A143" s="2">
        <v>36</v>
      </c>
      <c r="B143" s="2">
        <v>142</v>
      </c>
      <c r="C143" s="2">
        <v>1</v>
      </c>
      <c r="D143" s="2">
        <v>1</v>
      </c>
      <c r="E143" s="2">
        <v>1.5609999999999999</v>
      </c>
      <c r="F143" s="2">
        <v>2</v>
      </c>
    </row>
    <row r="144" spans="1:6" ht="14.25" customHeight="1">
      <c r="A144" s="2">
        <v>36</v>
      </c>
      <c r="B144" s="2">
        <v>143</v>
      </c>
      <c r="C144" s="2">
        <v>7</v>
      </c>
      <c r="D144" s="2">
        <v>1</v>
      </c>
      <c r="E144" s="2">
        <v>0.98099999999999998</v>
      </c>
      <c r="F144" s="2">
        <v>2</v>
      </c>
    </row>
    <row r="145" spans="1:6" ht="14.25" customHeight="1">
      <c r="A145" s="2">
        <v>36</v>
      </c>
      <c r="B145" s="2">
        <v>144</v>
      </c>
      <c r="C145" s="2">
        <v>6</v>
      </c>
      <c r="D145" s="2">
        <v>0</v>
      </c>
      <c r="E145" s="2">
        <v>1.4810000000000001</v>
      </c>
      <c r="F145" s="2">
        <v>1</v>
      </c>
    </row>
    <row r="146" spans="1:6" ht="14.25" customHeight="1">
      <c r="A146" s="2">
        <v>36</v>
      </c>
      <c r="B146" s="2">
        <v>145</v>
      </c>
      <c r="C146" s="2">
        <v>3</v>
      </c>
      <c r="D146" s="2">
        <v>0</v>
      </c>
      <c r="E146" s="2">
        <v>1.1559999999999999</v>
      </c>
      <c r="F146" s="2">
        <v>2</v>
      </c>
    </row>
    <row r="147" spans="1:6" ht="14.25" customHeight="1">
      <c r="A147" s="2">
        <v>36</v>
      </c>
      <c r="B147" s="2">
        <v>146</v>
      </c>
      <c r="C147" s="2">
        <v>4</v>
      </c>
      <c r="D147" s="2">
        <v>1</v>
      </c>
      <c r="E147" s="2">
        <v>0.75700000000000001</v>
      </c>
      <c r="F147" s="2">
        <v>2</v>
      </c>
    </row>
    <row r="148" spans="1:6" ht="14.25" customHeight="1">
      <c r="A148" s="2">
        <v>36</v>
      </c>
      <c r="B148" s="2">
        <v>147</v>
      </c>
      <c r="C148" s="2">
        <v>3</v>
      </c>
      <c r="D148" s="2">
        <v>0</v>
      </c>
      <c r="E148" s="2">
        <v>1.7090000000000001</v>
      </c>
      <c r="F148" s="2">
        <v>2</v>
      </c>
    </row>
    <row r="149" spans="1:6" ht="14.25" customHeight="1">
      <c r="A149" s="2">
        <v>36</v>
      </c>
      <c r="B149" s="2">
        <v>148</v>
      </c>
      <c r="C149" s="2">
        <v>8</v>
      </c>
      <c r="D149" s="2">
        <v>1</v>
      </c>
      <c r="E149" s="2">
        <v>0.90900000000000003</v>
      </c>
      <c r="F149" s="2">
        <v>2</v>
      </c>
    </row>
    <row r="150" spans="1:6" ht="14.25" customHeight="1">
      <c r="A150" s="2">
        <v>36</v>
      </c>
      <c r="B150" s="2">
        <v>149</v>
      </c>
      <c r="C150" s="2">
        <v>4</v>
      </c>
      <c r="D150" s="2">
        <v>1</v>
      </c>
      <c r="E150" s="2">
        <v>1.3939999999999999</v>
      </c>
      <c r="F150" s="2">
        <v>1</v>
      </c>
    </row>
    <row r="151" spans="1:6" ht="14.25" customHeight="1">
      <c r="A151" s="2">
        <v>36</v>
      </c>
      <c r="B151" s="2">
        <v>150</v>
      </c>
      <c r="C151" s="2">
        <v>7</v>
      </c>
      <c r="D151" s="2">
        <v>1</v>
      </c>
      <c r="E151" s="2">
        <v>1.3839999999999999</v>
      </c>
      <c r="F151" s="2">
        <v>2</v>
      </c>
    </row>
    <row r="152" spans="1:6" ht="14.25" customHeight="1">
      <c r="A152" s="2">
        <v>36</v>
      </c>
      <c r="B152" s="2">
        <v>151</v>
      </c>
      <c r="C152" s="2">
        <v>4</v>
      </c>
      <c r="D152" s="2">
        <v>0</v>
      </c>
      <c r="E152" s="2">
        <v>1.8129999999999999</v>
      </c>
      <c r="F152" s="2">
        <v>2</v>
      </c>
    </row>
    <row r="153" spans="1:6" ht="14.25" customHeight="1">
      <c r="A153" s="2">
        <v>36</v>
      </c>
      <c r="B153" s="2">
        <v>152</v>
      </c>
      <c r="C153" s="2">
        <v>5</v>
      </c>
      <c r="D153" s="2">
        <v>1</v>
      </c>
      <c r="E153" s="2">
        <v>1.5309999999999999</v>
      </c>
      <c r="F153" s="2">
        <v>2</v>
      </c>
    </row>
    <row r="154" spans="1:6" ht="14.25" customHeight="1">
      <c r="A154" s="2">
        <v>36</v>
      </c>
      <c r="B154" s="2">
        <v>153</v>
      </c>
      <c r="C154" s="2">
        <v>4</v>
      </c>
      <c r="D154" s="2">
        <v>0</v>
      </c>
      <c r="E154" s="2">
        <v>1.63</v>
      </c>
      <c r="F154" s="2">
        <v>2</v>
      </c>
    </row>
    <row r="155" spans="1:6" ht="14.25" customHeight="1">
      <c r="A155" s="2">
        <v>36</v>
      </c>
      <c r="B155" s="2">
        <v>154</v>
      </c>
      <c r="C155" s="2">
        <v>8</v>
      </c>
      <c r="D155" s="2">
        <v>1</v>
      </c>
      <c r="E155" s="2">
        <v>1.6930000000000001</v>
      </c>
      <c r="F155" s="2">
        <v>2</v>
      </c>
    </row>
    <row r="156" spans="1:6" ht="14.25" customHeight="1">
      <c r="A156" s="2">
        <v>36</v>
      </c>
      <c r="B156" s="2">
        <v>155</v>
      </c>
      <c r="C156" s="2">
        <v>7</v>
      </c>
      <c r="D156" s="2">
        <v>0</v>
      </c>
      <c r="E156" s="2">
        <v>1.4450000000000001</v>
      </c>
      <c r="F156" s="2">
        <v>2</v>
      </c>
    </row>
    <row r="157" spans="1:6" ht="14.25" customHeight="1">
      <c r="A157" s="2">
        <v>36</v>
      </c>
      <c r="B157" s="2">
        <v>156</v>
      </c>
      <c r="C157" s="2">
        <v>2</v>
      </c>
      <c r="D157" s="2">
        <v>1</v>
      </c>
      <c r="E157" s="2">
        <v>1.8420000000000001</v>
      </c>
      <c r="F157" s="2">
        <v>1</v>
      </c>
    </row>
    <row r="158" spans="1:6" ht="14.25" customHeight="1">
      <c r="A158" s="2">
        <v>36</v>
      </c>
      <c r="B158" s="2">
        <v>157</v>
      </c>
      <c r="C158" s="2">
        <v>3</v>
      </c>
      <c r="D158" s="2">
        <v>1</v>
      </c>
      <c r="E158" s="2">
        <v>1.028</v>
      </c>
      <c r="F158" s="2">
        <v>2</v>
      </c>
    </row>
    <row r="159" spans="1:6" ht="14.25" customHeight="1">
      <c r="A159" s="2">
        <v>36</v>
      </c>
      <c r="B159" s="2">
        <v>158</v>
      </c>
      <c r="C159" s="2">
        <v>7</v>
      </c>
      <c r="D159" s="2">
        <v>1</v>
      </c>
      <c r="E159" s="2">
        <v>1.6919999999999999</v>
      </c>
      <c r="F159" s="2">
        <v>2</v>
      </c>
    </row>
    <row r="160" spans="1:6" ht="14.25" customHeight="1">
      <c r="A160" s="2">
        <v>36</v>
      </c>
      <c r="B160" s="2">
        <v>159</v>
      </c>
      <c r="C160" s="2">
        <v>6</v>
      </c>
      <c r="D160" s="2">
        <v>1</v>
      </c>
      <c r="E160" s="2">
        <v>0.996</v>
      </c>
      <c r="F160" s="2">
        <v>1</v>
      </c>
    </row>
    <row r="161" spans="1:6" ht="14.25" customHeight="1">
      <c r="A161" s="2">
        <v>36</v>
      </c>
      <c r="B161" s="2">
        <v>160</v>
      </c>
      <c r="C161" s="2">
        <v>2</v>
      </c>
      <c r="E161" s="2">
        <v>2</v>
      </c>
    </row>
    <row r="162" spans="1:6" ht="14.25" customHeight="1">
      <c r="A162" s="2">
        <v>36</v>
      </c>
      <c r="B162" s="2">
        <v>161</v>
      </c>
      <c r="C162" s="2">
        <v>8</v>
      </c>
      <c r="D162" s="2">
        <v>1</v>
      </c>
      <c r="E162" s="2">
        <v>1.423</v>
      </c>
      <c r="F162" s="2">
        <v>1</v>
      </c>
    </row>
    <row r="163" spans="1:6" ht="14.25" customHeight="1">
      <c r="A163" s="2">
        <v>36</v>
      </c>
      <c r="B163" s="2">
        <v>162</v>
      </c>
      <c r="C163" s="2">
        <v>5</v>
      </c>
      <c r="D163" s="2">
        <v>1</v>
      </c>
      <c r="E163" s="2">
        <v>1.244</v>
      </c>
      <c r="F163" s="2">
        <v>2</v>
      </c>
    </row>
    <row r="164" spans="1:6" ht="14.25" customHeight="1">
      <c r="A164" s="2">
        <v>36</v>
      </c>
      <c r="B164" s="2">
        <v>163</v>
      </c>
      <c r="C164" s="2">
        <v>7</v>
      </c>
      <c r="D164" s="2">
        <v>1</v>
      </c>
      <c r="E164" s="2">
        <v>1.2629999999999999</v>
      </c>
      <c r="F164" s="2">
        <v>1</v>
      </c>
    </row>
    <row r="165" spans="1:6" ht="14.25" customHeight="1">
      <c r="A165" s="2">
        <v>36</v>
      </c>
      <c r="B165" s="2">
        <v>164</v>
      </c>
      <c r="C165" s="2">
        <v>8</v>
      </c>
      <c r="D165" s="2">
        <v>1</v>
      </c>
      <c r="E165" s="2">
        <v>1.0089999999999999</v>
      </c>
      <c r="F165" s="2">
        <v>2</v>
      </c>
    </row>
    <row r="166" spans="1:6" ht="14.25" customHeight="1">
      <c r="A166" s="2">
        <v>36</v>
      </c>
      <c r="B166" s="2">
        <v>165</v>
      </c>
      <c r="C166" s="2">
        <v>3</v>
      </c>
      <c r="D166" s="2">
        <v>1</v>
      </c>
      <c r="E166" s="2">
        <v>1.51</v>
      </c>
      <c r="F166" s="2">
        <v>1</v>
      </c>
    </row>
    <row r="167" spans="1:6" ht="14.25" customHeight="1">
      <c r="A167" s="2">
        <v>36</v>
      </c>
      <c r="B167" s="2">
        <v>166</v>
      </c>
      <c r="C167" s="2">
        <v>7</v>
      </c>
      <c r="D167" s="2">
        <v>1</v>
      </c>
      <c r="E167" s="2">
        <v>0.94</v>
      </c>
      <c r="F167" s="2">
        <v>2</v>
      </c>
    </row>
    <row r="168" spans="1:6" ht="14.25" customHeight="1">
      <c r="A168" s="2">
        <v>36</v>
      </c>
      <c r="B168" s="2">
        <v>167</v>
      </c>
      <c r="C168" s="2">
        <v>1</v>
      </c>
      <c r="D168" s="2">
        <v>1</v>
      </c>
      <c r="E168" s="2">
        <v>1.48</v>
      </c>
      <c r="F168" s="2">
        <v>1</v>
      </c>
    </row>
    <row r="169" spans="1:6" ht="14.25" customHeight="1">
      <c r="A169" s="2">
        <v>36</v>
      </c>
      <c r="B169" s="2">
        <v>168</v>
      </c>
      <c r="C169" s="2">
        <v>7</v>
      </c>
      <c r="D169" s="2">
        <v>1</v>
      </c>
      <c r="E169" s="2">
        <v>1.6950000000000001</v>
      </c>
      <c r="F169" s="2">
        <v>2</v>
      </c>
    </row>
    <row r="170" spans="1:6" ht="14.25" customHeight="1">
      <c r="A170" s="2">
        <v>36</v>
      </c>
      <c r="B170" s="2">
        <v>169</v>
      </c>
      <c r="C170" s="2">
        <v>2</v>
      </c>
      <c r="D170" s="2">
        <v>1</v>
      </c>
      <c r="E170" s="2">
        <v>1.018</v>
      </c>
      <c r="F170" s="2">
        <v>2</v>
      </c>
    </row>
    <row r="171" spans="1:6" ht="14.25" customHeight="1">
      <c r="A171" s="2">
        <v>36</v>
      </c>
      <c r="B171" s="2">
        <v>170</v>
      </c>
      <c r="C171" s="2">
        <v>3</v>
      </c>
      <c r="D171" s="2">
        <v>1</v>
      </c>
      <c r="E171" s="2">
        <v>1.224</v>
      </c>
      <c r="F171" s="2">
        <v>1</v>
      </c>
    </row>
    <row r="172" spans="1:6" ht="14.25" customHeight="1">
      <c r="A172" s="2">
        <v>36</v>
      </c>
      <c r="B172" s="2">
        <v>171</v>
      </c>
      <c r="C172" s="2">
        <v>1</v>
      </c>
      <c r="D172" s="2">
        <v>0</v>
      </c>
      <c r="E172" s="2">
        <v>1.4430000000000001</v>
      </c>
      <c r="F172" s="2">
        <v>2</v>
      </c>
    </row>
    <row r="173" spans="1:6" ht="14.25" customHeight="1">
      <c r="A173" s="2">
        <v>36</v>
      </c>
      <c r="B173" s="2">
        <v>172</v>
      </c>
      <c r="C173" s="2">
        <v>3</v>
      </c>
      <c r="D173" s="2">
        <v>1</v>
      </c>
      <c r="E173" s="2">
        <v>1.214</v>
      </c>
      <c r="F173" s="2">
        <v>2</v>
      </c>
    </row>
    <row r="174" spans="1:6" ht="14.25" customHeight="1">
      <c r="A174" s="2">
        <v>36</v>
      </c>
      <c r="B174" s="2">
        <v>173</v>
      </c>
      <c r="C174" s="2">
        <v>8</v>
      </c>
      <c r="D174" s="2">
        <v>1</v>
      </c>
      <c r="E174" s="2">
        <v>1.746</v>
      </c>
      <c r="F174" s="2">
        <v>1</v>
      </c>
    </row>
    <row r="175" spans="1:6" ht="14.25" customHeight="1">
      <c r="A175" s="2">
        <v>36</v>
      </c>
      <c r="B175" s="2">
        <v>174</v>
      </c>
      <c r="C175" s="2">
        <v>3</v>
      </c>
      <c r="D175" s="2">
        <v>1</v>
      </c>
      <c r="E175" s="2">
        <v>1.5640000000000001</v>
      </c>
      <c r="F175" s="2">
        <v>1</v>
      </c>
    </row>
    <row r="176" spans="1:6" ht="14.25" customHeight="1">
      <c r="A176" s="2">
        <v>36</v>
      </c>
      <c r="B176" s="2">
        <v>175</v>
      </c>
      <c r="C176" s="2">
        <v>6</v>
      </c>
      <c r="D176" s="2">
        <v>1</v>
      </c>
      <c r="E176" s="2">
        <v>1.2529999999999999</v>
      </c>
      <c r="F176" s="2">
        <v>2</v>
      </c>
    </row>
    <row r="177" spans="1:6" ht="14.25" customHeight="1">
      <c r="A177" s="2">
        <v>36</v>
      </c>
      <c r="B177" s="2">
        <v>176</v>
      </c>
      <c r="C177" s="2">
        <v>2</v>
      </c>
      <c r="D177" s="2">
        <v>1</v>
      </c>
      <c r="E177" s="2">
        <v>0.96199999999999997</v>
      </c>
      <c r="F177" s="2">
        <v>1</v>
      </c>
    </row>
    <row r="178" spans="1:6" ht="14.25" customHeight="1">
      <c r="A178" s="2">
        <v>36</v>
      </c>
      <c r="B178" s="2">
        <v>177</v>
      </c>
      <c r="C178" s="2">
        <v>4</v>
      </c>
      <c r="D178" s="2">
        <v>1</v>
      </c>
      <c r="E178" s="2">
        <v>1.58</v>
      </c>
      <c r="F178" s="2">
        <v>1</v>
      </c>
    </row>
    <row r="179" spans="1:6" ht="14.25" customHeight="1">
      <c r="A179" s="2">
        <v>36</v>
      </c>
      <c r="B179" s="2">
        <v>178</v>
      </c>
      <c r="C179" s="2">
        <v>1</v>
      </c>
      <c r="D179" s="2">
        <v>1</v>
      </c>
      <c r="E179" s="2">
        <v>1.0309999999999999</v>
      </c>
      <c r="F179" s="2">
        <v>2</v>
      </c>
    </row>
    <row r="180" spans="1:6" ht="14.25" customHeight="1">
      <c r="A180" s="2">
        <v>36</v>
      </c>
      <c r="B180" s="2">
        <v>179</v>
      </c>
      <c r="C180" s="2">
        <v>2</v>
      </c>
      <c r="D180" s="2">
        <v>1</v>
      </c>
      <c r="E180" s="2">
        <v>1.4590000000000001</v>
      </c>
      <c r="F180" s="2">
        <v>1</v>
      </c>
    </row>
    <row r="181" spans="1:6" ht="14.25" customHeight="1">
      <c r="A181" s="2">
        <v>36</v>
      </c>
      <c r="B181" s="2">
        <v>180</v>
      </c>
      <c r="C181" s="2">
        <v>5</v>
      </c>
      <c r="D181" s="2">
        <v>1</v>
      </c>
      <c r="E181" s="2">
        <v>1.474</v>
      </c>
      <c r="F181" s="2">
        <v>2</v>
      </c>
    </row>
    <row r="182" spans="1:6" ht="14.25" customHeight="1">
      <c r="A182" s="2">
        <v>36</v>
      </c>
      <c r="B182" s="2">
        <v>181</v>
      </c>
      <c r="C182" s="2">
        <v>6</v>
      </c>
      <c r="D182" s="2">
        <v>1</v>
      </c>
      <c r="E182" s="2">
        <v>1.365</v>
      </c>
      <c r="F182" s="2">
        <v>1</v>
      </c>
    </row>
    <row r="183" spans="1:6" ht="14.25" customHeight="1">
      <c r="A183" s="2">
        <v>36</v>
      </c>
      <c r="B183" s="2">
        <v>182</v>
      </c>
      <c r="C183" s="2">
        <v>7</v>
      </c>
      <c r="D183" s="2">
        <v>0</v>
      </c>
      <c r="E183" s="2">
        <v>1.4350000000000001</v>
      </c>
      <c r="F183" s="2">
        <v>2</v>
      </c>
    </row>
    <row r="184" spans="1:6" ht="14.25" customHeight="1">
      <c r="A184" s="2">
        <v>36</v>
      </c>
      <c r="B184" s="2">
        <v>183</v>
      </c>
      <c r="C184" s="2">
        <v>8</v>
      </c>
      <c r="D184" s="2">
        <v>1</v>
      </c>
      <c r="E184" s="2">
        <v>1.242</v>
      </c>
      <c r="F184" s="2">
        <v>1</v>
      </c>
    </row>
    <row r="185" spans="1:6" ht="14.25" customHeight="1">
      <c r="A185" s="2">
        <v>36</v>
      </c>
      <c r="B185" s="2">
        <v>184</v>
      </c>
      <c r="C185" s="2">
        <v>5</v>
      </c>
      <c r="D185" s="2">
        <v>1</v>
      </c>
      <c r="E185" s="2">
        <v>0.94699999999999995</v>
      </c>
      <c r="F185" s="2">
        <v>2</v>
      </c>
    </row>
    <row r="186" spans="1:6" ht="14.25" customHeight="1">
      <c r="A186" s="2">
        <v>36</v>
      </c>
      <c r="B186" s="2">
        <v>185</v>
      </c>
      <c r="C186" s="2">
        <v>4</v>
      </c>
      <c r="D186" s="2">
        <v>1</v>
      </c>
      <c r="E186" s="2">
        <v>1.651</v>
      </c>
      <c r="F186" s="2">
        <v>1</v>
      </c>
    </row>
    <row r="187" spans="1:6" ht="14.25" customHeight="1">
      <c r="A187" s="2">
        <v>36</v>
      </c>
      <c r="B187" s="2">
        <v>186</v>
      </c>
      <c r="C187" s="2">
        <v>7</v>
      </c>
      <c r="D187" s="2">
        <v>1</v>
      </c>
      <c r="E187" s="2">
        <v>1.115</v>
      </c>
      <c r="F187" s="2">
        <v>2</v>
      </c>
    </row>
    <row r="188" spans="1:6" ht="14.25" customHeight="1">
      <c r="A188" s="2">
        <v>36</v>
      </c>
      <c r="B188" s="2">
        <v>187</v>
      </c>
      <c r="C188" s="2">
        <v>3</v>
      </c>
      <c r="D188" s="2">
        <v>1</v>
      </c>
      <c r="E188" s="2">
        <v>1.081</v>
      </c>
      <c r="F188" s="2">
        <v>2</v>
      </c>
    </row>
    <row r="189" spans="1:6" ht="14.25" customHeight="1">
      <c r="A189" s="2">
        <v>36</v>
      </c>
      <c r="B189" s="2">
        <v>188</v>
      </c>
      <c r="C189" s="2">
        <v>4</v>
      </c>
      <c r="D189" s="2">
        <v>1</v>
      </c>
      <c r="E189" s="2">
        <v>1.494</v>
      </c>
      <c r="F189" s="2">
        <v>1</v>
      </c>
    </row>
    <row r="190" spans="1:6" ht="14.25" customHeight="1">
      <c r="A190" s="2">
        <v>36</v>
      </c>
      <c r="B190" s="2">
        <v>189</v>
      </c>
      <c r="C190" s="2">
        <v>6</v>
      </c>
      <c r="D190" s="2">
        <v>1</v>
      </c>
      <c r="E190" s="2">
        <v>1.0149999999999999</v>
      </c>
      <c r="F190" s="2">
        <v>2</v>
      </c>
    </row>
    <row r="191" spans="1:6" ht="14.25" customHeight="1">
      <c r="A191" s="2">
        <v>36</v>
      </c>
      <c r="B191" s="2">
        <v>190</v>
      </c>
      <c r="C191" s="2">
        <v>5</v>
      </c>
      <c r="D191" s="2">
        <v>1</v>
      </c>
      <c r="E191" s="2">
        <v>0.96099999999999997</v>
      </c>
      <c r="F191" s="2">
        <v>2</v>
      </c>
    </row>
    <row r="192" spans="1:6" ht="14.25" customHeight="1">
      <c r="A192" s="2">
        <v>36</v>
      </c>
      <c r="B192" s="2">
        <v>191</v>
      </c>
      <c r="C192" s="2">
        <v>1</v>
      </c>
      <c r="D192" s="2">
        <v>1</v>
      </c>
      <c r="E192" s="2">
        <v>1.5980000000000001</v>
      </c>
      <c r="F192" s="2">
        <v>1</v>
      </c>
    </row>
    <row r="193" spans="1:6" ht="14.25" customHeight="1">
      <c r="A193" s="2">
        <v>36</v>
      </c>
      <c r="B193" s="2">
        <v>192</v>
      </c>
      <c r="C193" s="2">
        <v>5</v>
      </c>
      <c r="D193" s="2">
        <v>1</v>
      </c>
      <c r="E193" s="2">
        <v>1.0429999999999999</v>
      </c>
      <c r="F193" s="2">
        <v>2</v>
      </c>
    </row>
    <row r="194" spans="1:6" ht="14.25" customHeight="1">
      <c r="A194" s="2">
        <v>36</v>
      </c>
      <c r="B194" s="2">
        <v>193</v>
      </c>
      <c r="C194" s="2">
        <v>8</v>
      </c>
      <c r="D194" s="2">
        <v>1</v>
      </c>
      <c r="E194" s="2">
        <v>1.5029999999999999</v>
      </c>
      <c r="F194" s="2">
        <v>2</v>
      </c>
    </row>
    <row r="195" spans="1:6" ht="14.25" customHeight="1">
      <c r="A195" s="2">
        <v>36</v>
      </c>
      <c r="B195" s="2">
        <v>194</v>
      </c>
      <c r="C195" s="2">
        <v>6</v>
      </c>
      <c r="D195" s="2">
        <v>1</v>
      </c>
      <c r="E195" s="2">
        <v>1.111</v>
      </c>
      <c r="F195" s="2">
        <v>2</v>
      </c>
    </row>
    <row r="196" spans="1:6" ht="14.25" customHeight="1">
      <c r="A196" s="2">
        <v>36</v>
      </c>
      <c r="B196" s="2">
        <v>195</v>
      </c>
      <c r="C196" s="2">
        <v>1</v>
      </c>
      <c r="D196" s="2">
        <v>0</v>
      </c>
      <c r="E196" s="2">
        <v>0.90800000000000003</v>
      </c>
      <c r="F196" s="2">
        <v>2</v>
      </c>
    </row>
    <row r="197" spans="1:6" ht="14.25" customHeight="1">
      <c r="A197" s="2">
        <v>36</v>
      </c>
      <c r="B197" s="2">
        <v>196</v>
      </c>
      <c r="C197" s="2">
        <v>2</v>
      </c>
      <c r="D197" s="2">
        <v>1</v>
      </c>
      <c r="E197" s="2">
        <v>0.69699999999999995</v>
      </c>
      <c r="F197" s="2">
        <v>2</v>
      </c>
    </row>
    <row r="198" spans="1:6" ht="14.25" customHeight="1">
      <c r="A198" s="2">
        <v>36</v>
      </c>
      <c r="B198" s="2">
        <v>197</v>
      </c>
      <c r="C198" s="2">
        <v>6</v>
      </c>
      <c r="D198" s="2">
        <v>0</v>
      </c>
      <c r="E198" s="2">
        <v>1.821</v>
      </c>
      <c r="F198" s="2">
        <v>2</v>
      </c>
    </row>
    <row r="199" spans="1:6" ht="14.25" customHeight="1">
      <c r="A199" s="2">
        <v>36</v>
      </c>
      <c r="B199" s="2">
        <v>198</v>
      </c>
      <c r="C199" s="2">
        <v>3</v>
      </c>
      <c r="D199" s="2">
        <v>1</v>
      </c>
      <c r="E199" s="2">
        <v>0.998</v>
      </c>
      <c r="F199" s="2">
        <v>2</v>
      </c>
    </row>
    <row r="200" spans="1:6" ht="14.25" customHeight="1">
      <c r="A200" s="2">
        <v>36</v>
      </c>
      <c r="B200" s="2">
        <v>199</v>
      </c>
      <c r="C200" s="2">
        <v>4</v>
      </c>
      <c r="D200" s="2">
        <v>1</v>
      </c>
      <c r="E200" s="2">
        <v>1.863</v>
      </c>
      <c r="F200" s="2">
        <v>1</v>
      </c>
    </row>
    <row r="201" spans="1:6" ht="14.25" customHeight="1">
      <c r="A201" s="2">
        <v>36</v>
      </c>
      <c r="B201" s="2">
        <v>200</v>
      </c>
      <c r="C201" s="2">
        <v>1</v>
      </c>
      <c r="D201" s="2">
        <v>1</v>
      </c>
      <c r="E201" s="2">
        <v>1.147</v>
      </c>
      <c r="F201" s="2">
        <v>2</v>
      </c>
    </row>
    <row r="202" spans="1:6" ht="14.25" customHeight="1">
      <c r="A202" s="2">
        <v>36</v>
      </c>
      <c r="B202" s="2">
        <v>201</v>
      </c>
      <c r="C202" s="2">
        <v>5</v>
      </c>
      <c r="D202" s="2">
        <v>1</v>
      </c>
      <c r="E202" s="2">
        <v>1.429</v>
      </c>
      <c r="F202" s="2">
        <v>1</v>
      </c>
    </row>
    <row r="203" spans="1:6" ht="14.25" customHeight="1">
      <c r="A203" s="2">
        <v>36</v>
      </c>
      <c r="B203" s="2">
        <v>202</v>
      </c>
      <c r="C203" s="2">
        <v>7</v>
      </c>
      <c r="D203" s="2">
        <v>1</v>
      </c>
      <c r="E203" s="2">
        <v>0.96</v>
      </c>
      <c r="F203" s="2">
        <v>2</v>
      </c>
    </row>
    <row r="204" spans="1:6" ht="14.25" customHeight="1">
      <c r="A204" s="2">
        <v>36</v>
      </c>
      <c r="B204" s="2">
        <v>203</v>
      </c>
      <c r="C204" s="2">
        <v>6</v>
      </c>
      <c r="D204" s="2">
        <v>1</v>
      </c>
      <c r="E204" s="2">
        <v>1.206</v>
      </c>
      <c r="F204" s="2">
        <v>1</v>
      </c>
    </row>
    <row r="205" spans="1:6" ht="14.25" customHeight="1">
      <c r="A205" s="2">
        <v>36</v>
      </c>
      <c r="B205" s="2">
        <v>204</v>
      </c>
      <c r="C205" s="2">
        <v>1</v>
      </c>
      <c r="D205" s="2">
        <v>1</v>
      </c>
      <c r="E205" s="2">
        <v>1.099</v>
      </c>
      <c r="F205" s="2">
        <v>2</v>
      </c>
    </row>
    <row r="206" spans="1:6" ht="14.25" customHeight="1">
      <c r="A206" s="2">
        <v>36</v>
      </c>
      <c r="B206" s="2">
        <v>205</v>
      </c>
      <c r="C206" s="2">
        <v>7</v>
      </c>
      <c r="D206" s="2">
        <v>0</v>
      </c>
      <c r="E206" s="2">
        <v>1.105</v>
      </c>
      <c r="F206" s="2">
        <v>2</v>
      </c>
    </row>
    <row r="207" spans="1:6" ht="14.25" customHeight="1">
      <c r="A207" s="2">
        <v>36</v>
      </c>
      <c r="B207" s="2">
        <v>206</v>
      </c>
      <c r="C207" s="2">
        <v>3</v>
      </c>
      <c r="D207" s="2">
        <v>1</v>
      </c>
      <c r="E207" s="2">
        <v>1.335</v>
      </c>
      <c r="F207" s="2">
        <v>1</v>
      </c>
    </row>
    <row r="208" spans="1:6" ht="14.25" customHeight="1">
      <c r="A208" s="2">
        <v>36</v>
      </c>
      <c r="B208" s="2">
        <v>207</v>
      </c>
      <c r="C208" s="2">
        <v>2</v>
      </c>
      <c r="D208" s="2">
        <v>1</v>
      </c>
      <c r="E208" s="2">
        <v>1.018</v>
      </c>
      <c r="F208" s="2">
        <v>2</v>
      </c>
    </row>
    <row r="209" spans="1:6" ht="14.25" customHeight="1">
      <c r="A209" s="2">
        <v>36</v>
      </c>
      <c r="B209" s="2">
        <v>208</v>
      </c>
      <c r="C209" s="2">
        <v>4</v>
      </c>
      <c r="D209" s="2">
        <v>1</v>
      </c>
      <c r="E209" s="2">
        <v>0.80300000000000005</v>
      </c>
      <c r="F209" s="2">
        <v>2</v>
      </c>
    </row>
    <row r="210" spans="1:6" ht="14.25" customHeight="1">
      <c r="A210" s="2">
        <v>36</v>
      </c>
      <c r="B210" s="2">
        <v>209</v>
      </c>
      <c r="C210" s="2">
        <v>2</v>
      </c>
      <c r="D210" s="2">
        <v>1</v>
      </c>
      <c r="E210" s="2">
        <v>0.83199999999999996</v>
      </c>
      <c r="F210" s="2">
        <v>1</v>
      </c>
    </row>
    <row r="211" spans="1:6" ht="14.25" customHeight="1">
      <c r="A211" s="2">
        <v>36</v>
      </c>
      <c r="B211" s="2">
        <v>210</v>
      </c>
      <c r="C211" s="2">
        <v>3</v>
      </c>
      <c r="D211" s="2">
        <v>1</v>
      </c>
      <c r="E211" s="2">
        <v>1.0269999999999999</v>
      </c>
      <c r="F211" s="2">
        <v>2</v>
      </c>
    </row>
    <row r="212" spans="1:6" ht="14.25" customHeight="1">
      <c r="A212" s="2">
        <v>36</v>
      </c>
      <c r="B212" s="2">
        <v>211</v>
      </c>
      <c r="C212" s="2">
        <v>6</v>
      </c>
      <c r="D212" s="2">
        <v>1</v>
      </c>
      <c r="E212" s="2">
        <v>1.105</v>
      </c>
      <c r="F212" s="2">
        <v>1</v>
      </c>
    </row>
    <row r="213" spans="1:6" ht="14.25" customHeight="1">
      <c r="A213" s="2">
        <v>36</v>
      </c>
      <c r="B213" s="2">
        <v>212</v>
      </c>
      <c r="C213" s="2">
        <v>5</v>
      </c>
      <c r="D213" s="2">
        <v>1</v>
      </c>
      <c r="E213" s="2">
        <v>0.63700000000000001</v>
      </c>
      <c r="F213" s="2">
        <v>2</v>
      </c>
    </row>
    <row r="214" spans="1:6" ht="14.25" customHeight="1">
      <c r="A214" s="2">
        <v>36</v>
      </c>
      <c r="B214" s="2">
        <v>213</v>
      </c>
      <c r="C214" s="2">
        <v>7</v>
      </c>
      <c r="D214" s="2">
        <v>1</v>
      </c>
      <c r="E214" s="2">
        <v>1.2430000000000001</v>
      </c>
      <c r="F214" s="2">
        <v>1</v>
      </c>
    </row>
    <row r="215" spans="1:6" ht="14.25" customHeight="1">
      <c r="A215" s="2">
        <v>36</v>
      </c>
      <c r="B215" s="2">
        <v>214</v>
      </c>
      <c r="C215" s="2">
        <v>1</v>
      </c>
      <c r="D215" s="2">
        <v>1</v>
      </c>
      <c r="E215" s="2">
        <v>1.1679999999999999</v>
      </c>
      <c r="F215" s="2">
        <v>2</v>
      </c>
    </row>
    <row r="216" spans="1:6" ht="14.25" customHeight="1">
      <c r="A216" s="2">
        <v>36</v>
      </c>
      <c r="B216" s="2">
        <v>215</v>
      </c>
      <c r="C216" s="2">
        <v>8</v>
      </c>
      <c r="D216" s="2">
        <v>1</v>
      </c>
      <c r="E216" s="2">
        <v>0.93500000000000005</v>
      </c>
      <c r="F216" s="2">
        <v>1</v>
      </c>
    </row>
    <row r="217" spans="1:6" ht="14.25" customHeight="1">
      <c r="A217" s="2">
        <v>36</v>
      </c>
      <c r="B217" s="2">
        <v>216</v>
      </c>
      <c r="C217" s="2">
        <v>4</v>
      </c>
      <c r="D217" s="2">
        <v>1</v>
      </c>
      <c r="E217" s="2">
        <v>0.72899999999999998</v>
      </c>
      <c r="F217" s="2">
        <v>2</v>
      </c>
    </row>
    <row r="218" spans="1:6" ht="14.25" customHeight="1">
      <c r="A218" s="2">
        <v>36</v>
      </c>
      <c r="B218" s="2">
        <v>217</v>
      </c>
      <c r="C218" s="2">
        <v>8</v>
      </c>
      <c r="D218" s="2">
        <v>1</v>
      </c>
      <c r="E218" s="2">
        <v>0.84599999999999997</v>
      </c>
      <c r="F218" s="2">
        <v>1</v>
      </c>
    </row>
    <row r="219" spans="1:6" ht="14.25" customHeight="1">
      <c r="A219" s="2">
        <v>36</v>
      </c>
      <c r="B219" s="2">
        <v>218</v>
      </c>
      <c r="C219" s="2">
        <v>1</v>
      </c>
      <c r="D219" s="2">
        <v>1</v>
      </c>
      <c r="E219" s="2">
        <v>1.522</v>
      </c>
      <c r="F219" s="2">
        <v>2</v>
      </c>
    </row>
    <row r="220" spans="1:6" ht="14.25" customHeight="1">
      <c r="A220" s="2">
        <v>36</v>
      </c>
      <c r="B220" s="2">
        <v>219</v>
      </c>
      <c r="C220" s="2">
        <v>5</v>
      </c>
      <c r="D220" s="2">
        <v>1</v>
      </c>
      <c r="E220" s="2">
        <v>0.78700000000000003</v>
      </c>
      <c r="F220" s="2">
        <v>2</v>
      </c>
    </row>
    <row r="221" spans="1:6" ht="14.25" customHeight="1">
      <c r="A221" s="2">
        <v>36</v>
      </c>
      <c r="B221" s="2">
        <v>220</v>
      </c>
      <c r="C221" s="2">
        <v>1</v>
      </c>
      <c r="D221" s="2">
        <v>1</v>
      </c>
      <c r="E221" s="2">
        <v>1.171</v>
      </c>
      <c r="F221" s="2">
        <v>1</v>
      </c>
    </row>
    <row r="222" spans="1:6" ht="14.25" customHeight="1">
      <c r="A222" s="2">
        <v>36</v>
      </c>
      <c r="B222" s="2">
        <v>221</v>
      </c>
      <c r="C222" s="2">
        <v>3</v>
      </c>
      <c r="D222" s="2">
        <v>0</v>
      </c>
      <c r="E222" s="2">
        <v>1.1970000000000001</v>
      </c>
      <c r="F222" s="2">
        <v>2</v>
      </c>
    </row>
    <row r="223" spans="1:6" ht="14.25" customHeight="1">
      <c r="A223" s="2">
        <v>36</v>
      </c>
      <c r="B223" s="2">
        <v>222</v>
      </c>
      <c r="C223" s="2">
        <v>6</v>
      </c>
      <c r="D223" s="2">
        <v>1</v>
      </c>
      <c r="E223" s="2">
        <v>1.0249999999999999</v>
      </c>
      <c r="F223" s="2">
        <v>2</v>
      </c>
    </row>
    <row r="224" spans="1:6" ht="14.25" customHeight="1">
      <c r="A224" s="2">
        <v>36</v>
      </c>
      <c r="B224" s="2">
        <v>223</v>
      </c>
      <c r="C224" s="2">
        <v>3</v>
      </c>
      <c r="D224" s="2">
        <v>1</v>
      </c>
      <c r="E224" s="2">
        <v>1.2290000000000001</v>
      </c>
      <c r="F224" s="2">
        <v>1</v>
      </c>
    </row>
    <row r="225" spans="1:6" ht="14.25" customHeight="1">
      <c r="A225" s="2">
        <v>36</v>
      </c>
      <c r="B225" s="2">
        <v>224</v>
      </c>
      <c r="C225" s="2">
        <v>5</v>
      </c>
      <c r="D225" s="2">
        <v>0</v>
      </c>
      <c r="E225" s="2">
        <v>1.2270000000000001</v>
      </c>
      <c r="F225" s="2">
        <v>2</v>
      </c>
    </row>
    <row r="226" spans="1:6" ht="14.25" customHeight="1">
      <c r="A226" s="2">
        <v>36</v>
      </c>
      <c r="B226" s="2">
        <v>225</v>
      </c>
      <c r="C226" s="2">
        <v>8</v>
      </c>
      <c r="D226" s="2">
        <v>1</v>
      </c>
      <c r="E226" s="2">
        <v>0.74099999999999999</v>
      </c>
      <c r="F226" s="2">
        <v>2</v>
      </c>
    </row>
    <row r="227" spans="1:6" ht="14.25" customHeight="1">
      <c r="A227" s="2">
        <v>36</v>
      </c>
      <c r="B227" s="2">
        <v>226</v>
      </c>
      <c r="C227" s="2">
        <v>4</v>
      </c>
      <c r="D227" s="2">
        <v>1</v>
      </c>
      <c r="E227" s="2">
        <v>1.028</v>
      </c>
      <c r="F227" s="2">
        <v>1</v>
      </c>
    </row>
    <row r="228" spans="1:6" ht="14.25" customHeight="1">
      <c r="A228" s="2">
        <v>36</v>
      </c>
      <c r="B228" s="2">
        <v>227</v>
      </c>
      <c r="C228" s="2">
        <v>2</v>
      </c>
      <c r="D228" s="2">
        <v>1</v>
      </c>
      <c r="E228" s="2">
        <v>1.216</v>
      </c>
      <c r="F228" s="2">
        <v>1</v>
      </c>
    </row>
    <row r="229" spans="1:6" ht="14.25" customHeight="1">
      <c r="A229" s="2">
        <v>36</v>
      </c>
      <c r="B229" s="2">
        <v>228</v>
      </c>
      <c r="C229" s="2">
        <v>3</v>
      </c>
      <c r="D229" s="2">
        <v>1</v>
      </c>
      <c r="E229" s="2">
        <v>0.91800000000000004</v>
      </c>
      <c r="F229" s="2">
        <v>2</v>
      </c>
    </row>
    <row r="230" spans="1:6" ht="14.25" customHeight="1">
      <c r="A230" s="2">
        <v>36</v>
      </c>
      <c r="B230" s="2">
        <v>229</v>
      </c>
      <c r="C230" s="2">
        <v>2</v>
      </c>
      <c r="D230" s="2">
        <v>1</v>
      </c>
      <c r="E230" s="2">
        <v>1.486</v>
      </c>
      <c r="F230" s="2">
        <v>1</v>
      </c>
    </row>
    <row r="231" spans="1:6" ht="14.25" customHeight="1">
      <c r="A231" s="2">
        <v>36</v>
      </c>
      <c r="B231" s="2">
        <v>230</v>
      </c>
      <c r="C231" s="2">
        <v>1</v>
      </c>
      <c r="D231" s="2">
        <v>1</v>
      </c>
      <c r="E231" s="2">
        <v>1.036</v>
      </c>
      <c r="F231" s="2">
        <v>2</v>
      </c>
    </row>
    <row r="232" spans="1:6" ht="14.25" customHeight="1">
      <c r="A232" s="2">
        <v>36</v>
      </c>
      <c r="B232" s="2">
        <v>231</v>
      </c>
      <c r="C232" s="2">
        <v>2</v>
      </c>
      <c r="D232" s="2">
        <v>1</v>
      </c>
      <c r="E232" s="2">
        <v>1.321</v>
      </c>
      <c r="F232" s="2">
        <v>1</v>
      </c>
    </row>
    <row r="233" spans="1:6" ht="14.25" customHeight="1">
      <c r="A233" s="2">
        <v>36</v>
      </c>
      <c r="B233" s="2">
        <v>232</v>
      </c>
      <c r="C233" s="2">
        <v>6</v>
      </c>
      <c r="D233" s="2">
        <v>1</v>
      </c>
      <c r="E233" s="2">
        <v>1.4930000000000001</v>
      </c>
      <c r="F233" s="2">
        <v>1</v>
      </c>
    </row>
    <row r="234" spans="1:6" ht="14.25" customHeight="1">
      <c r="A234" s="2">
        <v>36</v>
      </c>
      <c r="B234" s="2">
        <v>233</v>
      </c>
      <c r="C234" s="2">
        <v>8</v>
      </c>
      <c r="D234" s="2">
        <v>1</v>
      </c>
      <c r="E234" s="2">
        <v>1.5509999999999999</v>
      </c>
      <c r="F234" s="2">
        <v>1</v>
      </c>
    </row>
    <row r="235" spans="1:6" ht="14.25" customHeight="1">
      <c r="A235" s="2">
        <v>36</v>
      </c>
      <c r="B235" s="2">
        <v>234</v>
      </c>
      <c r="C235" s="2">
        <v>3</v>
      </c>
      <c r="D235" s="2">
        <v>1</v>
      </c>
      <c r="E235" s="2">
        <v>1.02</v>
      </c>
      <c r="F235" s="2">
        <v>2</v>
      </c>
    </row>
    <row r="236" spans="1:6" ht="14.25" customHeight="1">
      <c r="A236" s="2">
        <v>36</v>
      </c>
      <c r="B236" s="2">
        <v>235</v>
      </c>
      <c r="C236" s="2">
        <v>4</v>
      </c>
      <c r="D236" s="2">
        <v>1</v>
      </c>
      <c r="E236" s="2">
        <v>1.258</v>
      </c>
      <c r="F236" s="2">
        <v>1</v>
      </c>
    </row>
    <row r="237" spans="1:6" ht="14.25" customHeight="1">
      <c r="A237" s="2">
        <v>36</v>
      </c>
      <c r="B237" s="2">
        <v>236</v>
      </c>
      <c r="C237" s="2">
        <v>2</v>
      </c>
      <c r="D237" s="2">
        <v>1</v>
      </c>
      <c r="E237" s="2">
        <v>1.72</v>
      </c>
      <c r="F237" s="2">
        <v>2</v>
      </c>
    </row>
    <row r="238" spans="1:6" ht="14.25" customHeight="1">
      <c r="A238" s="2">
        <v>36</v>
      </c>
      <c r="B238" s="2">
        <v>237</v>
      </c>
      <c r="C238" s="2">
        <v>6</v>
      </c>
      <c r="D238" s="2">
        <v>1</v>
      </c>
      <c r="E238" s="2">
        <v>1.371</v>
      </c>
      <c r="F238" s="2">
        <v>2</v>
      </c>
    </row>
    <row r="239" spans="1:6" ht="14.25" customHeight="1">
      <c r="A239" s="2">
        <v>36</v>
      </c>
      <c r="B239" s="2">
        <v>238</v>
      </c>
      <c r="C239" s="2">
        <v>8</v>
      </c>
      <c r="D239" s="2">
        <v>1</v>
      </c>
      <c r="E239" s="2">
        <v>1.5960000000000001</v>
      </c>
      <c r="F239" s="2">
        <v>1</v>
      </c>
    </row>
    <row r="240" spans="1:6" ht="14.25" customHeight="1">
      <c r="A240" s="2">
        <v>36</v>
      </c>
      <c r="B240" s="2">
        <v>239</v>
      </c>
      <c r="C240" s="2">
        <v>1</v>
      </c>
      <c r="D240" s="2">
        <v>0</v>
      </c>
      <c r="E240" s="2">
        <v>1.385</v>
      </c>
      <c r="F240" s="2">
        <v>1</v>
      </c>
    </row>
    <row r="241" spans="1:6" ht="14.25" customHeight="1">
      <c r="A241" s="2">
        <v>36</v>
      </c>
      <c r="B241" s="2">
        <v>240</v>
      </c>
      <c r="C241" s="2">
        <v>5</v>
      </c>
      <c r="D241" s="2">
        <v>1</v>
      </c>
      <c r="E241" s="2">
        <v>1.0469999999999999</v>
      </c>
      <c r="F241" s="2">
        <v>2</v>
      </c>
    </row>
    <row r="242" spans="1:6" ht="14.25" customHeight="1">
      <c r="A242" s="2">
        <v>36</v>
      </c>
      <c r="B242" s="2">
        <v>241</v>
      </c>
      <c r="C242" s="2">
        <v>7</v>
      </c>
      <c r="D242" s="2">
        <v>1</v>
      </c>
      <c r="E242" s="2">
        <v>1.238</v>
      </c>
      <c r="F242" s="2">
        <v>1</v>
      </c>
    </row>
    <row r="243" spans="1:6" ht="14.25" customHeight="1">
      <c r="A243" s="2">
        <v>36</v>
      </c>
      <c r="B243" s="2">
        <v>242</v>
      </c>
      <c r="C243" s="2">
        <v>4</v>
      </c>
      <c r="D243" s="2">
        <v>1</v>
      </c>
      <c r="E243" s="2">
        <v>1.1160000000000001</v>
      </c>
      <c r="F243" s="2">
        <v>2</v>
      </c>
    </row>
    <row r="244" spans="1:6" ht="14.25" customHeight="1">
      <c r="A244" s="2">
        <v>36</v>
      </c>
      <c r="B244" s="2">
        <v>243</v>
      </c>
      <c r="C244" s="2">
        <v>3</v>
      </c>
      <c r="D244" s="2">
        <v>1</v>
      </c>
      <c r="E244" s="2">
        <v>1.264</v>
      </c>
      <c r="F244" s="2">
        <v>2</v>
      </c>
    </row>
    <row r="245" spans="1:6" ht="14.25" customHeight="1">
      <c r="A245" s="2">
        <v>36</v>
      </c>
      <c r="B245" s="2">
        <v>244</v>
      </c>
      <c r="C245" s="2">
        <v>7</v>
      </c>
      <c r="D245" s="2">
        <v>1</v>
      </c>
      <c r="E245" s="2">
        <v>1.0229999999999999</v>
      </c>
      <c r="F245" s="2">
        <v>2</v>
      </c>
    </row>
    <row r="246" spans="1:6" ht="14.25" customHeight="1">
      <c r="A246" s="2">
        <v>36</v>
      </c>
      <c r="B246" s="2">
        <v>245</v>
      </c>
      <c r="C246" s="2">
        <v>5</v>
      </c>
      <c r="D246" s="2">
        <v>1</v>
      </c>
      <c r="E246" s="2">
        <v>1.3819999999999999</v>
      </c>
      <c r="F246" s="2">
        <v>1</v>
      </c>
    </row>
    <row r="247" spans="1:6" ht="14.25" customHeight="1">
      <c r="A247" s="2">
        <v>36</v>
      </c>
      <c r="B247" s="2">
        <v>246</v>
      </c>
      <c r="C247" s="2">
        <v>7</v>
      </c>
      <c r="D247" s="2">
        <v>1</v>
      </c>
      <c r="E247" s="2">
        <v>0.68100000000000005</v>
      </c>
      <c r="F247" s="2">
        <v>2</v>
      </c>
    </row>
    <row r="248" spans="1:6" ht="14.25" customHeight="1">
      <c r="A248" s="2">
        <v>36</v>
      </c>
      <c r="B248" s="2">
        <v>247</v>
      </c>
      <c r="C248" s="2">
        <v>8</v>
      </c>
      <c r="D248" s="2">
        <v>1</v>
      </c>
      <c r="E248" s="2">
        <v>1.0589999999999999</v>
      </c>
      <c r="F248" s="2">
        <v>1</v>
      </c>
    </row>
    <row r="249" spans="1:6" ht="14.25" customHeight="1">
      <c r="A249" s="2">
        <v>36</v>
      </c>
      <c r="B249" s="2">
        <v>248</v>
      </c>
      <c r="C249" s="2">
        <v>4</v>
      </c>
      <c r="D249" s="2">
        <v>1</v>
      </c>
      <c r="E249" s="2">
        <v>0.747</v>
      </c>
      <c r="F249" s="2">
        <v>2</v>
      </c>
    </row>
    <row r="250" spans="1:6" ht="14.25" customHeight="1">
      <c r="A250" s="2">
        <v>36</v>
      </c>
      <c r="B250" s="2">
        <v>249</v>
      </c>
      <c r="C250" s="2">
        <v>7</v>
      </c>
      <c r="D250" s="2">
        <v>1</v>
      </c>
      <c r="E250" s="2">
        <v>0.86599999999999999</v>
      </c>
      <c r="F250" s="2">
        <v>1</v>
      </c>
    </row>
    <row r="251" spans="1:6" ht="14.25" customHeight="1">
      <c r="A251" s="2">
        <v>36</v>
      </c>
      <c r="B251" s="2">
        <v>250</v>
      </c>
      <c r="C251" s="2">
        <v>6</v>
      </c>
      <c r="D251" s="2">
        <v>1</v>
      </c>
      <c r="E251" s="2">
        <v>1.4019999999999999</v>
      </c>
      <c r="F251" s="2">
        <v>2</v>
      </c>
    </row>
    <row r="252" spans="1:6" ht="14.25" customHeight="1">
      <c r="A252" s="2">
        <v>36</v>
      </c>
      <c r="B252" s="2">
        <v>251</v>
      </c>
      <c r="C252" s="2">
        <v>3</v>
      </c>
      <c r="D252" s="2">
        <v>1</v>
      </c>
      <c r="E252" s="2">
        <v>1.496</v>
      </c>
    </row>
    <row r="253" spans="1:6" ht="14.25" customHeight="1">
      <c r="A253" s="2">
        <v>36</v>
      </c>
      <c r="B253" s="2">
        <v>252</v>
      </c>
      <c r="C253" s="2">
        <v>7</v>
      </c>
      <c r="D253" s="2">
        <v>1</v>
      </c>
      <c r="E253" s="2">
        <v>0.95899999999999996</v>
      </c>
    </row>
    <row r="254" spans="1:6" ht="14.25" customHeight="1">
      <c r="A254" s="2">
        <v>36</v>
      </c>
      <c r="B254" s="2">
        <v>253</v>
      </c>
      <c r="C254" s="2">
        <v>5</v>
      </c>
      <c r="D254" s="2">
        <v>1</v>
      </c>
      <c r="E254" s="2">
        <v>0.88300000000000001</v>
      </c>
    </row>
    <row r="255" spans="1:6" ht="14.25" customHeight="1">
      <c r="A255" s="2">
        <v>36</v>
      </c>
      <c r="B255" s="2">
        <v>254</v>
      </c>
      <c r="C255" s="2">
        <v>3</v>
      </c>
      <c r="D255" s="2">
        <v>1</v>
      </c>
      <c r="E255" s="2">
        <v>1.159</v>
      </c>
    </row>
    <row r="256" spans="1:6" ht="14.25" customHeight="1">
      <c r="A256" s="2">
        <v>36</v>
      </c>
      <c r="B256" s="2">
        <v>255</v>
      </c>
      <c r="C256" s="2">
        <v>2</v>
      </c>
      <c r="D256" s="2">
        <v>1</v>
      </c>
      <c r="E256" s="2">
        <v>1.2609999999999999</v>
      </c>
    </row>
    <row r="257" spans="1:5" ht="14.25" customHeight="1">
      <c r="A257" s="2">
        <v>36</v>
      </c>
      <c r="B257" s="2">
        <v>256</v>
      </c>
      <c r="C257" s="2">
        <v>1</v>
      </c>
      <c r="D257" s="2">
        <v>1</v>
      </c>
      <c r="E257" s="2">
        <v>1.0029999999999999</v>
      </c>
    </row>
    <row r="258" spans="1:5" ht="14.25" customHeight="1">
      <c r="A258" s="2">
        <v>36</v>
      </c>
      <c r="B258" s="2">
        <v>257</v>
      </c>
      <c r="C258" s="2">
        <v>4</v>
      </c>
      <c r="D258" s="2">
        <v>1</v>
      </c>
      <c r="E258" s="2">
        <v>0.73899999999999999</v>
      </c>
    </row>
    <row r="259" spans="1:5" ht="14.25" customHeight="1">
      <c r="A259" s="2">
        <v>36</v>
      </c>
      <c r="B259" s="2">
        <v>258</v>
      </c>
      <c r="C259" s="2">
        <v>7</v>
      </c>
      <c r="D259" s="2">
        <v>1</v>
      </c>
      <c r="E259" s="2">
        <v>0.871</v>
      </c>
    </row>
    <row r="260" spans="1:5" ht="14.25" customHeight="1">
      <c r="A260" s="2">
        <v>36</v>
      </c>
      <c r="B260" s="2">
        <v>259</v>
      </c>
      <c r="C260" s="2">
        <v>5</v>
      </c>
      <c r="D260" s="2">
        <v>1</v>
      </c>
      <c r="E260" s="2">
        <v>0.73099999999999998</v>
      </c>
    </row>
    <row r="261" spans="1:5" ht="14.25" customHeight="1">
      <c r="A261" s="2">
        <v>36</v>
      </c>
      <c r="B261" s="2">
        <v>260</v>
      </c>
      <c r="C261" s="2">
        <v>8</v>
      </c>
      <c r="D261" s="2">
        <v>1</v>
      </c>
      <c r="E261" s="2">
        <v>1.165</v>
      </c>
    </row>
    <row r="262" spans="1:5" ht="14.25" customHeight="1">
      <c r="A262" s="2">
        <v>36</v>
      </c>
      <c r="B262" s="2">
        <v>261</v>
      </c>
      <c r="C262" s="2">
        <v>2</v>
      </c>
      <c r="D262" s="2">
        <v>1</v>
      </c>
      <c r="E262" s="2">
        <v>1.2450000000000001</v>
      </c>
    </row>
    <row r="263" spans="1:5" ht="14.25" customHeight="1">
      <c r="A263" s="2">
        <v>36</v>
      </c>
      <c r="B263" s="2">
        <v>262</v>
      </c>
      <c r="C263" s="2">
        <v>4</v>
      </c>
      <c r="D263" s="2">
        <v>1</v>
      </c>
      <c r="E263" s="2">
        <v>0.71699999999999997</v>
      </c>
    </row>
    <row r="264" spans="1:5" ht="14.25" customHeight="1">
      <c r="A264" s="2">
        <v>36</v>
      </c>
      <c r="B264" s="2">
        <v>263</v>
      </c>
      <c r="C264" s="2">
        <v>7</v>
      </c>
      <c r="D264" s="2">
        <v>1</v>
      </c>
      <c r="E264" s="2">
        <v>1.319</v>
      </c>
    </row>
    <row r="265" spans="1:5" ht="14.25" customHeight="1">
      <c r="A265" s="2">
        <v>36</v>
      </c>
      <c r="B265" s="2">
        <v>264</v>
      </c>
      <c r="C265" s="2">
        <v>3</v>
      </c>
      <c r="D265" s="2">
        <v>1</v>
      </c>
      <c r="E265" s="2">
        <v>0.92700000000000005</v>
      </c>
    </row>
    <row r="266" spans="1:5" ht="14.25" customHeight="1">
      <c r="A266" s="2">
        <v>36</v>
      </c>
      <c r="B266" s="2">
        <v>265</v>
      </c>
      <c r="C266" s="2">
        <v>5</v>
      </c>
      <c r="D266" s="2">
        <v>1</v>
      </c>
      <c r="E266" s="2">
        <v>1.417</v>
      </c>
    </row>
    <row r="267" spans="1:5" ht="14.25" customHeight="1">
      <c r="A267" s="2">
        <v>36</v>
      </c>
      <c r="B267" s="2">
        <v>266</v>
      </c>
      <c r="C267" s="2">
        <v>6</v>
      </c>
      <c r="D267" s="2">
        <v>1</v>
      </c>
      <c r="E267" s="2">
        <v>0.98699999999999999</v>
      </c>
    </row>
    <row r="268" spans="1:5" ht="14.25" customHeight="1">
      <c r="A268" s="2">
        <v>36</v>
      </c>
      <c r="B268" s="2">
        <v>267</v>
      </c>
      <c r="C268" s="2">
        <v>1</v>
      </c>
      <c r="D268" s="2">
        <v>1</v>
      </c>
      <c r="E268" s="2">
        <v>1.37</v>
      </c>
    </row>
    <row r="269" spans="1:5" ht="14.25" customHeight="1">
      <c r="A269" s="2">
        <v>36</v>
      </c>
      <c r="B269" s="2">
        <v>268</v>
      </c>
      <c r="C269" s="2">
        <v>7</v>
      </c>
      <c r="D269" s="2">
        <v>1</v>
      </c>
      <c r="E269" s="2">
        <v>0.99</v>
      </c>
    </row>
    <row r="270" spans="1:5" ht="14.25" customHeight="1">
      <c r="A270" s="2">
        <v>36</v>
      </c>
      <c r="B270" s="2">
        <v>269</v>
      </c>
      <c r="C270" s="2">
        <v>6</v>
      </c>
      <c r="D270" s="2">
        <v>1</v>
      </c>
      <c r="E270" s="2">
        <v>0.83599999999999997</v>
      </c>
    </row>
    <row r="271" spans="1:5" ht="14.25" customHeight="1">
      <c r="A271" s="2">
        <v>36</v>
      </c>
      <c r="B271" s="2">
        <v>270</v>
      </c>
      <c r="C271" s="2">
        <v>7</v>
      </c>
      <c r="D271" s="2">
        <v>1</v>
      </c>
      <c r="E271" s="2">
        <v>1.1040000000000001</v>
      </c>
    </row>
    <row r="272" spans="1:5" ht="14.25" customHeight="1">
      <c r="A272" s="2">
        <v>36</v>
      </c>
      <c r="B272" s="2">
        <v>271</v>
      </c>
      <c r="C272" s="2">
        <v>2</v>
      </c>
      <c r="D272" s="2">
        <v>1</v>
      </c>
      <c r="E272" s="2">
        <v>0.94</v>
      </c>
    </row>
    <row r="273" spans="1:5" ht="14.25" customHeight="1">
      <c r="A273" s="2">
        <v>36</v>
      </c>
      <c r="B273" s="2">
        <v>272</v>
      </c>
      <c r="C273" s="2">
        <v>6</v>
      </c>
      <c r="D273" s="2">
        <v>1</v>
      </c>
      <c r="E273" s="2">
        <v>0.79300000000000004</v>
      </c>
    </row>
    <row r="274" spans="1:5" ht="14.25" customHeight="1">
      <c r="A274" s="2">
        <v>36</v>
      </c>
      <c r="B274" s="2">
        <v>273</v>
      </c>
      <c r="C274" s="2">
        <v>1</v>
      </c>
      <c r="D274" s="2">
        <v>1</v>
      </c>
      <c r="E274" s="2">
        <v>1.0529999999999999</v>
      </c>
    </row>
    <row r="275" spans="1:5" ht="14.25" customHeight="1">
      <c r="A275" s="2">
        <v>36</v>
      </c>
      <c r="B275" s="2">
        <v>274</v>
      </c>
      <c r="C275" s="2">
        <v>6</v>
      </c>
      <c r="D275" s="2">
        <v>1</v>
      </c>
      <c r="E275" s="2">
        <v>1.0569999999999999</v>
      </c>
    </row>
    <row r="276" spans="1:5" ht="14.25" customHeight="1">
      <c r="A276" s="2">
        <v>36</v>
      </c>
      <c r="B276" s="2">
        <v>275</v>
      </c>
      <c r="C276" s="2">
        <v>8</v>
      </c>
      <c r="D276" s="2">
        <v>1</v>
      </c>
      <c r="E276" s="2">
        <v>0.81100000000000005</v>
      </c>
    </row>
    <row r="277" spans="1:5" ht="14.25" customHeight="1">
      <c r="A277" s="2">
        <v>36</v>
      </c>
      <c r="B277" s="2">
        <v>276</v>
      </c>
      <c r="C277" s="2">
        <v>4</v>
      </c>
      <c r="D277" s="2">
        <v>1</v>
      </c>
      <c r="E277" s="2">
        <v>0.88400000000000001</v>
      </c>
    </row>
    <row r="278" spans="1:5" ht="14.25" customHeight="1">
      <c r="A278" s="2">
        <v>36</v>
      </c>
      <c r="B278" s="2">
        <v>277</v>
      </c>
      <c r="C278" s="2">
        <v>5</v>
      </c>
      <c r="D278" s="2">
        <v>1</v>
      </c>
      <c r="E278" s="2">
        <v>1.1399999999999999</v>
      </c>
    </row>
    <row r="279" spans="1:5" ht="14.25" customHeight="1">
      <c r="A279" s="2">
        <v>36</v>
      </c>
      <c r="B279" s="2">
        <v>278</v>
      </c>
      <c r="C279" s="2">
        <v>1</v>
      </c>
      <c r="D279" s="2">
        <v>1</v>
      </c>
      <c r="E279" s="2">
        <v>0.59299999999999997</v>
      </c>
    </row>
    <row r="280" spans="1:5" ht="14.25" customHeight="1">
      <c r="A280" s="2">
        <v>36</v>
      </c>
      <c r="B280" s="2">
        <v>279</v>
      </c>
      <c r="C280" s="2">
        <v>8</v>
      </c>
      <c r="D280" s="2">
        <v>1</v>
      </c>
      <c r="E280" s="2">
        <v>1.036</v>
      </c>
    </row>
    <row r="281" spans="1:5" ht="14.25" customHeight="1">
      <c r="A281" s="2">
        <v>36</v>
      </c>
      <c r="B281" s="2">
        <v>280</v>
      </c>
      <c r="C281" s="2">
        <v>4</v>
      </c>
      <c r="D281" s="2">
        <v>1</v>
      </c>
      <c r="E281" s="2">
        <v>1.0669999999999999</v>
      </c>
    </row>
    <row r="282" spans="1:5" ht="14.25" customHeight="1">
      <c r="A282" s="2">
        <v>36</v>
      </c>
      <c r="B282" s="2">
        <v>281</v>
      </c>
      <c r="C282" s="2">
        <v>1</v>
      </c>
      <c r="D282" s="2">
        <v>1</v>
      </c>
      <c r="E282" s="2">
        <v>0.89500000000000002</v>
      </c>
    </row>
    <row r="283" spans="1:5" ht="14.25" customHeight="1">
      <c r="A283" s="2">
        <v>36</v>
      </c>
      <c r="B283" s="2">
        <v>282</v>
      </c>
      <c r="C283" s="2">
        <v>3</v>
      </c>
      <c r="D283" s="2">
        <v>1</v>
      </c>
      <c r="E283" s="2">
        <v>0.76700000000000002</v>
      </c>
    </row>
    <row r="284" spans="1:5" ht="14.25" customHeight="1">
      <c r="A284" s="2">
        <v>36</v>
      </c>
      <c r="B284" s="2">
        <v>283</v>
      </c>
      <c r="C284" s="2">
        <v>8</v>
      </c>
      <c r="D284" s="2">
        <v>1</v>
      </c>
      <c r="E284" s="2">
        <v>0.95299999999999996</v>
      </c>
    </row>
    <row r="285" spans="1:5" ht="14.25" customHeight="1">
      <c r="A285" s="2">
        <v>36</v>
      </c>
      <c r="B285" s="2">
        <v>284</v>
      </c>
      <c r="C285" s="2">
        <v>2</v>
      </c>
      <c r="D285" s="2">
        <v>1</v>
      </c>
      <c r="E285" s="2">
        <v>1.038</v>
      </c>
    </row>
    <row r="286" spans="1:5" ht="14.25" customHeight="1">
      <c r="A286" s="2">
        <v>36</v>
      </c>
      <c r="B286" s="2">
        <v>285</v>
      </c>
      <c r="C286" s="2">
        <v>5</v>
      </c>
      <c r="D286" s="2">
        <v>1</v>
      </c>
      <c r="E286" s="2">
        <v>1.093</v>
      </c>
    </row>
    <row r="287" spans="1:5" ht="14.25" customHeight="1">
      <c r="A287" s="2">
        <v>36</v>
      </c>
      <c r="B287" s="2">
        <v>286</v>
      </c>
      <c r="C287" s="2">
        <v>6</v>
      </c>
      <c r="D287" s="2">
        <v>1</v>
      </c>
      <c r="E287" s="2">
        <v>1.1539999999999999</v>
      </c>
    </row>
    <row r="288" spans="1:5" ht="14.25" customHeight="1">
      <c r="A288" s="2">
        <v>36</v>
      </c>
      <c r="B288" s="2">
        <v>287</v>
      </c>
      <c r="C288" s="2">
        <v>3</v>
      </c>
      <c r="D288" s="2">
        <v>1</v>
      </c>
      <c r="E288" s="2">
        <v>0.91200000000000003</v>
      </c>
    </row>
    <row r="289" spans="1:5" ht="14.25" customHeight="1">
      <c r="A289" s="2">
        <v>36</v>
      </c>
      <c r="B289" s="2">
        <v>288</v>
      </c>
      <c r="C289" s="2">
        <v>2</v>
      </c>
      <c r="D289" s="2">
        <v>1</v>
      </c>
      <c r="E289" s="2">
        <v>0.83099999999999996</v>
      </c>
    </row>
    <row r="290" spans="1:5" ht="14.25" customHeight="1">
      <c r="A290" s="2">
        <v>36</v>
      </c>
      <c r="B290" s="2">
        <v>289</v>
      </c>
      <c r="C290" s="2">
        <v>3</v>
      </c>
      <c r="D290" s="2">
        <v>1</v>
      </c>
      <c r="E290" s="2">
        <v>0.89900000000000002</v>
      </c>
    </row>
    <row r="291" spans="1:5" ht="14.25" customHeight="1">
      <c r="A291" s="2">
        <v>36</v>
      </c>
      <c r="B291" s="2">
        <v>290</v>
      </c>
      <c r="C291" s="2">
        <v>8</v>
      </c>
      <c r="D291" s="2">
        <v>1</v>
      </c>
      <c r="E291" s="2">
        <v>1.093</v>
      </c>
    </row>
    <row r="292" spans="1:5" ht="14.25" customHeight="1">
      <c r="A292" s="2">
        <v>36</v>
      </c>
      <c r="B292" s="2">
        <v>291</v>
      </c>
      <c r="C292" s="2">
        <v>7</v>
      </c>
      <c r="D292" s="2">
        <v>1</v>
      </c>
      <c r="E292" s="2">
        <v>0.85299999999999998</v>
      </c>
    </row>
    <row r="293" spans="1:5" ht="14.25" customHeight="1">
      <c r="A293" s="2">
        <v>36</v>
      </c>
      <c r="B293" s="2">
        <v>292</v>
      </c>
      <c r="C293" s="2">
        <v>5</v>
      </c>
      <c r="D293" s="2">
        <v>1</v>
      </c>
      <c r="E293" s="2">
        <v>1.115</v>
      </c>
    </row>
    <row r="294" spans="1:5" ht="14.25" customHeight="1">
      <c r="A294" s="2">
        <v>36</v>
      </c>
      <c r="B294" s="2">
        <v>293</v>
      </c>
      <c r="C294" s="2">
        <v>6</v>
      </c>
      <c r="D294" s="2">
        <v>1</v>
      </c>
      <c r="E294" s="2">
        <v>0.93700000000000006</v>
      </c>
    </row>
    <row r="295" spans="1:5" ht="14.25" customHeight="1">
      <c r="A295" s="2">
        <v>36</v>
      </c>
      <c r="B295" s="2">
        <v>294</v>
      </c>
      <c r="C295" s="2">
        <v>4</v>
      </c>
      <c r="D295" s="2">
        <v>1</v>
      </c>
      <c r="E295" s="2">
        <v>1.0669999999999999</v>
      </c>
    </row>
    <row r="296" spans="1:5" ht="14.25" customHeight="1">
      <c r="A296" s="2">
        <v>36</v>
      </c>
      <c r="B296" s="2">
        <v>295</v>
      </c>
      <c r="C296" s="2">
        <v>3</v>
      </c>
      <c r="D296" s="2">
        <v>1</v>
      </c>
      <c r="E296" s="2">
        <v>1.232</v>
      </c>
    </row>
    <row r="297" spans="1:5" ht="14.25" customHeight="1">
      <c r="A297" s="2">
        <v>36</v>
      </c>
      <c r="B297" s="2">
        <v>296</v>
      </c>
      <c r="C297" s="2">
        <v>1</v>
      </c>
      <c r="D297" s="2">
        <v>1</v>
      </c>
      <c r="E297" s="2">
        <v>0.629</v>
      </c>
    </row>
    <row r="298" spans="1:5" ht="14.25" customHeight="1">
      <c r="A298" s="2">
        <v>36</v>
      </c>
      <c r="B298" s="2">
        <v>297</v>
      </c>
      <c r="C298" s="2">
        <v>4</v>
      </c>
      <c r="D298" s="2">
        <v>1</v>
      </c>
      <c r="E298" s="2">
        <v>1.0529999999999999</v>
      </c>
    </row>
    <row r="299" spans="1:5" ht="14.25" customHeight="1">
      <c r="A299" s="2">
        <v>36</v>
      </c>
      <c r="B299" s="2">
        <v>298</v>
      </c>
      <c r="C299" s="2">
        <v>7</v>
      </c>
      <c r="D299" s="2">
        <v>1</v>
      </c>
      <c r="E299" s="2">
        <v>0.63800000000000001</v>
      </c>
    </row>
    <row r="300" spans="1:5" ht="14.25" customHeight="1">
      <c r="A300" s="2">
        <v>36</v>
      </c>
      <c r="B300" s="2">
        <v>299</v>
      </c>
      <c r="C300" s="2">
        <v>2</v>
      </c>
      <c r="D300" s="2">
        <v>1</v>
      </c>
      <c r="E300" s="2">
        <v>0.81499999999999995</v>
      </c>
    </row>
    <row r="301" spans="1:5" ht="14.25" customHeight="1">
      <c r="A301" s="2">
        <v>36</v>
      </c>
      <c r="B301" s="2">
        <v>300</v>
      </c>
      <c r="C301" s="2">
        <v>8</v>
      </c>
      <c r="D301" s="2">
        <v>1</v>
      </c>
      <c r="E301" s="2">
        <v>0.83099999999999996</v>
      </c>
    </row>
    <row r="302" spans="1:5" ht="14.25" customHeight="1"/>
    <row r="303" spans="1:5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5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37</v>
      </c>
      <c r="I1" s="2">
        <v>101</v>
      </c>
      <c r="J1" s="2">
        <v>3</v>
      </c>
      <c r="K1" s="2">
        <v>1</v>
      </c>
      <c r="L1" s="2">
        <v>0.66800000000000004</v>
      </c>
      <c r="M1" s="2">
        <v>2</v>
      </c>
    </row>
    <row r="2" spans="1:25" ht="14.25" customHeight="1">
      <c r="A2" s="2">
        <v>37</v>
      </c>
      <c r="B2" s="2">
        <v>1</v>
      </c>
      <c r="C2" s="2">
        <v>7</v>
      </c>
      <c r="E2" s="2">
        <v>2.0030000000000001</v>
      </c>
      <c r="H2" s="2">
        <v>37</v>
      </c>
      <c r="I2" s="2">
        <v>102</v>
      </c>
      <c r="J2" s="2">
        <v>2</v>
      </c>
      <c r="K2" s="2">
        <v>1</v>
      </c>
      <c r="L2" s="2">
        <v>0.72799999999999998</v>
      </c>
      <c r="M2" s="2">
        <v>2</v>
      </c>
    </row>
    <row r="3" spans="1:25" ht="14.25" customHeight="1">
      <c r="A3" s="2">
        <v>37</v>
      </c>
      <c r="B3" s="2">
        <v>2</v>
      </c>
      <c r="C3" s="2">
        <v>8</v>
      </c>
      <c r="D3" s="2">
        <v>0</v>
      </c>
      <c r="E3" s="2">
        <v>1.0720000000000001</v>
      </c>
      <c r="F3" s="2">
        <v>1</v>
      </c>
      <c r="H3" s="2">
        <v>37</v>
      </c>
      <c r="I3" s="2">
        <v>103</v>
      </c>
      <c r="J3" s="2">
        <v>1</v>
      </c>
      <c r="K3" s="2">
        <v>1</v>
      </c>
      <c r="L3" s="2">
        <v>1.079</v>
      </c>
      <c r="M3" s="2">
        <v>1</v>
      </c>
    </row>
    <row r="4" spans="1:25" ht="14.25" customHeight="1">
      <c r="A4" s="2">
        <v>37</v>
      </c>
      <c r="B4" s="2">
        <v>3</v>
      </c>
      <c r="C4" s="2">
        <v>6</v>
      </c>
      <c r="D4" s="2">
        <v>1</v>
      </c>
      <c r="E4" s="2">
        <v>1.0429999999999999</v>
      </c>
      <c r="F4" s="2">
        <v>1</v>
      </c>
      <c r="H4" s="2">
        <v>37</v>
      </c>
      <c r="I4" s="2">
        <v>104</v>
      </c>
      <c r="J4" s="2">
        <v>3</v>
      </c>
      <c r="K4" s="2">
        <v>1</v>
      </c>
      <c r="L4" s="2">
        <v>1.212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37</v>
      </c>
      <c r="B5" s="2">
        <v>4</v>
      </c>
      <c r="C5" s="2">
        <v>7</v>
      </c>
      <c r="D5" s="2">
        <v>1</v>
      </c>
      <c r="E5" s="2">
        <v>1.105</v>
      </c>
      <c r="F5" s="2">
        <v>2</v>
      </c>
      <c r="H5" s="2">
        <v>37</v>
      </c>
      <c r="I5" s="2">
        <v>105</v>
      </c>
      <c r="J5" s="2">
        <v>1</v>
      </c>
      <c r="K5" s="2">
        <v>1</v>
      </c>
      <c r="L5" s="2">
        <v>0.82699999999999996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37</v>
      </c>
      <c r="B6" s="2">
        <v>5</v>
      </c>
      <c r="C6" s="2">
        <v>5</v>
      </c>
      <c r="D6" s="2">
        <v>1</v>
      </c>
      <c r="E6" s="2">
        <v>1.0449999999999999</v>
      </c>
      <c r="F6" s="2">
        <v>1</v>
      </c>
      <c r="H6" s="2">
        <v>37</v>
      </c>
      <c r="I6" s="2">
        <v>106</v>
      </c>
      <c r="J6" s="2">
        <v>7</v>
      </c>
      <c r="K6" s="2">
        <v>0</v>
      </c>
      <c r="L6" s="2">
        <v>1.149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37</v>
      </c>
      <c r="B7" s="2">
        <v>6</v>
      </c>
      <c r="C7" s="2">
        <v>4</v>
      </c>
      <c r="D7" s="2">
        <v>1</v>
      </c>
      <c r="E7" s="2">
        <v>1.1120000000000001</v>
      </c>
      <c r="F7" s="2">
        <v>2</v>
      </c>
      <c r="H7" s="2">
        <v>37</v>
      </c>
      <c r="I7" s="2">
        <v>107</v>
      </c>
      <c r="J7" s="2">
        <v>6</v>
      </c>
      <c r="K7" s="2">
        <v>0</v>
      </c>
      <c r="L7" s="2">
        <v>1.5089999999999999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37</v>
      </c>
      <c r="B8" s="2">
        <v>7</v>
      </c>
      <c r="C8" s="2">
        <v>3</v>
      </c>
      <c r="D8" s="2">
        <v>0</v>
      </c>
      <c r="E8" s="2">
        <v>0.497</v>
      </c>
      <c r="F8" s="2">
        <v>2</v>
      </c>
      <c r="H8" s="2">
        <v>37</v>
      </c>
      <c r="I8" s="2">
        <v>108</v>
      </c>
      <c r="J8" s="2">
        <v>5</v>
      </c>
      <c r="K8" s="2">
        <v>0</v>
      </c>
      <c r="L8" s="2">
        <v>0.84399999999999997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37</v>
      </c>
      <c r="B9" s="2">
        <v>8</v>
      </c>
      <c r="C9" s="2">
        <v>4</v>
      </c>
      <c r="D9" s="2">
        <v>0</v>
      </c>
      <c r="E9" s="2">
        <v>0.629</v>
      </c>
      <c r="F9" s="2">
        <v>1</v>
      </c>
      <c r="H9" s="2">
        <v>37</v>
      </c>
      <c r="I9" s="2">
        <v>109</v>
      </c>
      <c r="J9" s="2">
        <v>2</v>
      </c>
      <c r="K9" s="2">
        <v>1</v>
      </c>
      <c r="L9" s="2">
        <v>0.91900000000000004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37</v>
      </c>
      <c r="B10" s="2">
        <v>9</v>
      </c>
      <c r="C10" s="2">
        <v>5</v>
      </c>
      <c r="D10" s="2">
        <v>1</v>
      </c>
      <c r="E10" s="2">
        <v>0.66600000000000004</v>
      </c>
      <c r="F10" s="2">
        <v>1</v>
      </c>
      <c r="H10" s="2">
        <v>37</v>
      </c>
      <c r="I10" s="2">
        <v>110</v>
      </c>
      <c r="J10" s="2">
        <v>3</v>
      </c>
      <c r="K10" s="2">
        <v>1</v>
      </c>
      <c r="L10" s="2">
        <v>0.97899999999999998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37</v>
      </c>
      <c r="B11" s="2">
        <v>10</v>
      </c>
      <c r="C11" s="2">
        <v>1</v>
      </c>
      <c r="D11" s="2">
        <v>1</v>
      </c>
      <c r="E11" s="2">
        <v>0.623</v>
      </c>
      <c r="F11" s="2">
        <v>1</v>
      </c>
      <c r="H11" s="2">
        <v>37</v>
      </c>
      <c r="I11" s="2">
        <v>111</v>
      </c>
      <c r="J11" s="2">
        <v>7</v>
      </c>
      <c r="K11" s="2">
        <v>1</v>
      </c>
      <c r="L11" s="2">
        <v>1.282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37</v>
      </c>
      <c r="B12" s="2">
        <v>11</v>
      </c>
      <c r="C12" s="2">
        <v>2</v>
      </c>
      <c r="D12" s="2">
        <v>0</v>
      </c>
      <c r="E12" s="2">
        <v>0.71699999999999997</v>
      </c>
      <c r="F12" s="2">
        <v>1</v>
      </c>
      <c r="H12" s="2">
        <v>37</v>
      </c>
      <c r="I12" s="2">
        <v>112</v>
      </c>
      <c r="J12" s="2">
        <v>5</v>
      </c>
      <c r="K12" s="2">
        <v>1</v>
      </c>
      <c r="L12" s="2">
        <v>1.079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37</v>
      </c>
      <c r="B13" s="2">
        <v>12</v>
      </c>
      <c r="C13" s="2">
        <v>6</v>
      </c>
      <c r="D13" s="2">
        <v>1</v>
      </c>
      <c r="E13" s="2">
        <v>0.83399999999999996</v>
      </c>
      <c r="F13" s="2">
        <v>1</v>
      </c>
      <c r="H13" s="2">
        <v>37</v>
      </c>
      <c r="I13" s="2">
        <v>113</v>
      </c>
      <c r="J13" s="2">
        <v>3</v>
      </c>
      <c r="K13" s="2">
        <v>1</v>
      </c>
      <c r="L13" s="2">
        <v>0.84599999999999997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37</v>
      </c>
      <c r="B14" s="2">
        <v>13</v>
      </c>
      <c r="C14" s="2">
        <v>5</v>
      </c>
      <c r="D14" s="2">
        <v>0</v>
      </c>
      <c r="E14" s="2">
        <v>0.97399999999999998</v>
      </c>
      <c r="F14" s="2">
        <v>2</v>
      </c>
      <c r="H14" s="2">
        <v>37</v>
      </c>
      <c r="I14" s="2">
        <v>114</v>
      </c>
      <c r="J14" s="2">
        <v>7</v>
      </c>
      <c r="K14" s="2">
        <v>1</v>
      </c>
      <c r="L14" s="2">
        <v>1.9750000000000001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37</v>
      </c>
      <c r="B15" s="2">
        <v>14</v>
      </c>
      <c r="C15" s="2">
        <v>1</v>
      </c>
      <c r="D15" s="2">
        <v>1</v>
      </c>
      <c r="E15" s="2">
        <v>1.738</v>
      </c>
      <c r="F15" s="2">
        <v>1</v>
      </c>
      <c r="H15" s="2">
        <v>37</v>
      </c>
      <c r="I15" s="2">
        <v>115</v>
      </c>
      <c r="J15" s="2">
        <v>6</v>
      </c>
      <c r="K15" s="2">
        <v>1</v>
      </c>
      <c r="L15" s="2">
        <v>1.399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37</v>
      </c>
      <c r="B16" s="2">
        <v>15</v>
      </c>
      <c r="C16" s="2">
        <v>4</v>
      </c>
      <c r="D16" s="2">
        <v>1</v>
      </c>
      <c r="E16" s="2">
        <v>1.512</v>
      </c>
      <c r="F16" s="2">
        <v>2</v>
      </c>
      <c r="H16" s="2">
        <v>37</v>
      </c>
      <c r="I16" s="2">
        <v>116</v>
      </c>
      <c r="J16" s="2">
        <v>5</v>
      </c>
      <c r="L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37</v>
      </c>
      <c r="B17" s="2">
        <v>16</v>
      </c>
      <c r="C17" s="2">
        <v>1</v>
      </c>
      <c r="D17" s="2">
        <v>1</v>
      </c>
      <c r="E17" s="2">
        <v>1.0409999999999999</v>
      </c>
      <c r="F17" s="2">
        <v>1</v>
      </c>
      <c r="H17" s="2">
        <v>37</v>
      </c>
      <c r="I17" s="2">
        <v>117</v>
      </c>
      <c r="J17" s="2">
        <v>8</v>
      </c>
      <c r="K17" s="2">
        <v>1</v>
      </c>
      <c r="L17" s="2">
        <v>1.0049999999999999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0.42249999999999988</v>
      </c>
      <c r="P17" s="3">
        <f t="shared" ref="P17:P22" si="1">(P6*COUNTIF($J$1:$J$101,P$16) - COUNTIFS($J$1:$J$101,P$16,$K$1:$K$101,"=1"))^2</f>
        <v>9.0000000000000427E-2</v>
      </c>
      <c r="Q17" s="3">
        <f t="shared" ref="Q17:Q22" si="2">(Q6*COUNTIF($J$1:$J$101,Q$16) - COUNTIFS($J$1:$J$101,Q$16,$K$1:$K$101,"=0"))^2</f>
        <v>8.9999999999999955E-2</v>
      </c>
      <c r="R17" s="3">
        <f t="shared" ref="R17:R22" si="3">(R6*COUNTIF($J$1:$J$101,R$16) - COUNTIFS($J$1:$J$101,R$16,$K$1:$K$101,"=1"))^2</f>
        <v>9.0000000000000427E-2</v>
      </c>
      <c r="S17" s="3">
        <f t="shared" ref="S17:T17" si="4">(S6*COUNTIF($J$1:$J$101,S$16) - COUNTIFS($J$1:$J$101,S$16,$K$1:$K$101,"=0"))^2</f>
        <v>7.2900000000000009</v>
      </c>
      <c r="T17" s="3">
        <f t="shared" si="4"/>
        <v>7.2900000000000009</v>
      </c>
      <c r="U17" s="3">
        <f t="shared" ref="U17:V17" si="5">(U6*COUNTIF($J$1:$J$101,U$16) - COUNTIFS($J$1:$J$101,U$16,$K$1:$K$101,"=1"))^2</f>
        <v>0.48999999999999899</v>
      </c>
      <c r="V17" s="3">
        <f t="shared" si="5"/>
        <v>0.48999999999999899</v>
      </c>
      <c r="W17" s="4"/>
      <c r="X17" s="4"/>
      <c r="Y17" s="4"/>
    </row>
    <row r="18" spans="1:25" ht="14.25" customHeight="1">
      <c r="A18" s="2">
        <v>37</v>
      </c>
      <c r="B18" s="2">
        <v>17</v>
      </c>
      <c r="C18" s="2">
        <v>6</v>
      </c>
      <c r="D18" s="2">
        <v>1</v>
      </c>
      <c r="E18" s="2">
        <v>0.88700000000000001</v>
      </c>
      <c r="F18" s="2">
        <v>1</v>
      </c>
      <c r="H18" s="2">
        <v>37</v>
      </c>
      <c r="I18" s="2">
        <v>118</v>
      </c>
      <c r="J18" s="2">
        <v>5</v>
      </c>
      <c r="K18" s="2">
        <v>0</v>
      </c>
      <c r="L18" s="2">
        <v>1.954</v>
      </c>
      <c r="M18" s="2">
        <v>1</v>
      </c>
      <c r="N18" s="3">
        <v>2</v>
      </c>
      <c r="O18" s="3">
        <f t="shared" si="0"/>
        <v>0.42249999999999988</v>
      </c>
      <c r="P18" s="3">
        <f t="shared" si="1"/>
        <v>32.49</v>
      </c>
      <c r="Q18" s="6">
        <f t="shared" si="2"/>
        <v>36</v>
      </c>
      <c r="R18" s="3">
        <f t="shared" si="3"/>
        <v>9.0000000000000427E-2</v>
      </c>
      <c r="S18" s="6">
        <f t="shared" ref="S18:T18" si="6">(S7*COUNTIF($J$1:$J$101,S$16) - COUNTIFS($J$1:$J$101,S$16,$K$1:$K$101,"=0"))^2</f>
        <v>7.2900000000000009</v>
      </c>
      <c r="T18" s="6">
        <f t="shared" si="6"/>
        <v>7.2900000000000009</v>
      </c>
      <c r="U18" s="6">
        <f t="shared" ref="U18:V18" si="7">(U7*COUNTIF($J$1:$J$101,U$16) - COUNTIFS($J$1:$J$101,U$16,$K$1:$K$101,"=1"))^2</f>
        <v>0.48999999999999899</v>
      </c>
      <c r="V18" s="6">
        <f t="shared" si="7"/>
        <v>0.48999999999999899</v>
      </c>
      <c r="W18" s="4"/>
      <c r="X18" s="4"/>
      <c r="Y18" s="4"/>
    </row>
    <row r="19" spans="1:25" ht="14.25" customHeight="1">
      <c r="A19" s="2">
        <v>37</v>
      </c>
      <c r="B19" s="2">
        <v>18</v>
      </c>
      <c r="C19" s="2">
        <v>2</v>
      </c>
      <c r="D19" s="2">
        <v>0</v>
      </c>
      <c r="E19" s="2">
        <v>0.61699999999999999</v>
      </c>
      <c r="F19" s="2">
        <v>1</v>
      </c>
      <c r="H19" s="2">
        <v>37</v>
      </c>
      <c r="I19" s="2">
        <v>119</v>
      </c>
      <c r="J19" s="2">
        <v>6</v>
      </c>
      <c r="K19" s="2">
        <v>1</v>
      </c>
      <c r="L19" s="2">
        <v>0.89700000000000002</v>
      </c>
      <c r="M19" s="2">
        <v>1</v>
      </c>
      <c r="N19" s="3">
        <v>3</v>
      </c>
      <c r="O19" s="3">
        <f t="shared" si="0"/>
        <v>0.42249999999999988</v>
      </c>
      <c r="P19" s="3">
        <f t="shared" si="1"/>
        <v>9.0000000000000427E-2</v>
      </c>
      <c r="Q19" s="3">
        <f t="shared" si="2"/>
        <v>8.9999999999999955E-2</v>
      </c>
      <c r="R19" s="3">
        <f t="shared" si="3"/>
        <v>9.0000000000000427E-2</v>
      </c>
      <c r="S19" s="6">
        <f t="shared" ref="S19:T19" si="8">(S8*COUNTIF($J$1:$J$101,S$16) - COUNTIFS($J$1:$J$101,S$16,$K$1:$K$101,"=0"))^2</f>
        <v>7.2900000000000009</v>
      </c>
      <c r="T19" s="6">
        <f t="shared" si="8"/>
        <v>7.2899999999999965</v>
      </c>
      <c r="U19" s="3">
        <f t="shared" ref="U19:V19" si="9">(U8*COUNTIF($J$1:$J$101,U$16) - COUNTIFS($J$1:$J$101,U$16,$K$1:$K$101,"=1"))^2</f>
        <v>22.090000000000003</v>
      </c>
      <c r="V19" s="6">
        <f t="shared" si="9"/>
        <v>0.48999999999999899</v>
      </c>
      <c r="W19" s="4"/>
      <c r="X19" s="4"/>
      <c r="Y19" s="4"/>
    </row>
    <row r="20" spans="1:25" ht="14.25" customHeight="1">
      <c r="A20" s="2">
        <v>37</v>
      </c>
      <c r="B20" s="2">
        <v>19</v>
      </c>
      <c r="C20" s="2">
        <v>6</v>
      </c>
      <c r="D20" s="2">
        <v>1</v>
      </c>
      <c r="E20" s="2">
        <v>1.5289999999999999</v>
      </c>
      <c r="F20" s="2">
        <v>1</v>
      </c>
      <c r="H20" s="2">
        <v>37</v>
      </c>
      <c r="I20" s="2">
        <v>120</v>
      </c>
      <c r="J20" s="2">
        <v>1</v>
      </c>
      <c r="K20" s="2">
        <v>0</v>
      </c>
      <c r="L20" s="2">
        <v>1.647</v>
      </c>
      <c r="M20" s="2">
        <v>2</v>
      </c>
      <c r="N20" s="3">
        <v>4</v>
      </c>
      <c r="O20" s="3">
        <f t="shared" si="0"/>
        <v>6.25</v>
      </c>
      <c r="P20" s="3">
        <f t="shared" si="1"/>
        <v>9</v>
      </c>
      <c r="Q20" s="3">
        <f t="shared" si="2"/>
        <v>6.25</v>
      </c>
      <c r="R20" s="3">
        <f t="shared" si="3"/>
        <v>9</v>
      </c>
      <c r="S20" s="6">
        <f t="shared" ref="S20:T20" si="10">(S9*COUNTIF($J$1:$J$101,S$16) - COUNTIFS($J$1:$J$101,S$16,$K$1:$K$101,"=0"))^2</f>
        <v>7.2900000000000009</v>
      </c>
      <c r="T20" s="6">
        <f t="shared" si="10"/>
        <v>7.2900000000000009</v>
      </c>
      <c r="U20" s="6">
        <f t="shared" ref="U20:V20" si="11">(U9*COUNTIF($J$1:$J$101,U$16) - COUNTIFS($J$1:$J$101,U$16,$K$1:$K$101,"=1"))^2</f>
        <v>0.48999999999999899</v>
      </c>
      <c r="V20" s="6">
        <f t="shared" si="11"/>
        <v>0.48999999999999899</v>
      </c>
      <c r="W20" s="4"/>
      <c r="X20" s="4"/>
      <c r="Y20" s="4"/>
    </row>
    <row r="21" spans="1:25" ht="14.25" customHeight="1">
      <c r="A21" s="2">
        <v>37</v>
      </c>
      <c r="B21" s="2">
        <v>20</v>
      </c>
      <c r="C21" s="2">
        <v>3</v>
      </c>
      <c r="D21" s="2">
        <v>0</v>
      </c>
      <c r="E21" s="2">
        <v>0.79400000000000004</v>
      </c>
      <c r="F21" s="2">
        <v>2</v>
      </c>
      <c r="H21" s="2">
        <v>37</v>
      </c>
      <c r="I21" s="2">
        <v>121</v>
      </c>
      <c r="J21" s="2">
        <v>2</v>
      </c>
      <c r="K21" s="2">
        <v>1</v>
      </c>
      <c r="L21" s="2">
        <v>0.63300000000000001</v>
      </c>
      <c r="M21" s="2">
        <v>2</v>
      </c>
      <c r="N21" s="3">
        <v>5</v>
      </c>
      <c r="O21" s="3">
        <f t="shared" si="0"/>
        <v>0.42249999999999988</v>
      </c>
      <c r="P21" s="3">
        <f t="shared" si="1"/>
        <v>9.0000000000000427E-2</v>
      </c>
      <c r="Q21" s="3">
        <f t="shared" si="2"/>
        <v>8.9999999999999955E-2</v>
      </c>
      <c r="R21" s="3">
        <f t="shared" si="3"/>
        <v>9.0000000000000427E-2</v>
      </c>
      <c r="S21" s="6">
        <f t="shared" ref="S21:T21" si="12">(S10*COUNTIF($J$1:$J$101,S$16) - COUNTIFS($J$1:$J$101,S$16,$K$1:$K$101,"=0"))^2</f>
        <v>0</v>
      </c>
      <c r="T21" s="6">
        <f t="shared" si="12"/>
        <v>0</v>
      </c>
      <c r="U21" s="6">
        <f t="shared" ref="U21:V21" si="13">(U10*COUNTIF($J$1:$J$101,U$16) - COUNTIFS($J$1:$J$101,U$16,$K$1:$K$101,"=1"))^2</f>
        <v>4</v>
      </c>
      <c r="V21" s="6">
        <f t="shared" si="13"/>
        <v>4</v>
      </c>
      <c r="W21" s="4"/>
      <c r="X21" s="4"/>
      <c r="Y21" s="4"/>
    </row>
    <row r="22" spans="1:25" ht="14.25" customHeight="1">
      <c r="A22" s="2">
        <v>37</v>
      </c>
      <c r="B22" s="2">
        <v>21</v>
      </c>
      <c r="C22" s="2">
        <v>8</v>
      </c>
      <c r="D22" s="2">
        <v>1</v>
      </c>
      <c r="E22" s="2">
        <v>1.0229999999999999</v>
      </c>
      <c r="F22" s="2">
        <v>2</v>
      </c>
      <c r="H22" s="2">
        <v>37</v>
      </c>
      <c r="I22" s="2">
        <v>122</v>
      </c>
      <c r="J22" s="2">
        <v>5</v>
      </c>
      <c r="K22" s="2">
        <v>0</v>
      </c>
      <c r="L22" s="2">
        <v>1.5860000000000001</v>
      </c>
      <c r="M22" s="2">
        <v>1</v>
      </c>
      <c r="N22" s="3">
        <v>6</v>
      </c>
      <c r="O22" s="3">
        <f t="shared" si="0"/>
        <v>6.25</v>
      </c>
      <c r="P22" s="3">
        <f t="shared" si="1"/>
        <v>9</v>
      </c>
      <c r="Q22" s="3">
        <f t="shared" si="2"/>
        <v>6.25</v>
      </c>
      <c r="R22" s="3">
        <f t="shared" si="3"/>
        <v>9</v>
      </c>
      <c r="S22" s="6">
        <f t="shared" ref="S22:T22" si="14">(S11*COUNTIF($J$1:$J$101,S$16) - COUNTIFS($J$1:$J$101,S$16,$K$1:$K$101,"=0"))^2</f>
        <v>0</v>
      </c>
      <c r="T22" s="6">
        <f t="shared" si="14"/>
        <v>0</v>
      </c>
      <c r="U22" s="6">
        <f t="shared" ref="U22:V22" si="15">(U11*COUNTIF($J$1:$J$101,U$16) - COUNTIFS($J$1:$J$101,U$16,$K$1:$K$101,"=1"))^2</f>
        <v>4</v>
      </c>
      <c r="V22" s="6">
        <f t="shared" si="15"/>
        <v>4</v>
      </c>
      <c r="W22" s="4"/>
      <c r="X22" s="4"/>
      <c r="Y22" s="4"/>
    </row>
    <row r="23" spans="1:25" ht="14.25" customHeight="1">
      <c r="A23" s="2">
        <v>37</v>
      </c>
      <c r="B23" s="2">
        <v>22</v>
      </c>
      <c r="C23" s="2">
        <v>2</v>
      </c>
      <c r="D23" s="2">
        <v>0</v>
      </c>
      <c r="E23" s="2">
        <v>0.79900000000000004</v>
      </c>
      <c r="F23" s="2">
        <v>1</v>
      </c>
      <c r="H23" s="2">
        <v>37</v>
      </c>
      <c r="I23" s="2">
        <v>123</v>
      </c>
      <c r="J23" s="2">
        <v>4</v>
      </c>
      <c r="K23" s="2">
        <v>1</v>
      </c>
      <c r="L23" s="2">
        <v>0.69499999999999995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37</v>
      </c>
      <c r="B24" s="2">
        <v>23</v>
      </c>
      <c r="C24" s="2">
        <v>6</v>
      </c>
      <c r="D24" s="2">
        <v>1</v>
      </c>
      <c r="E24" s="2">
        <v>1.544</v>
      </c>
      <c r="F24" s="2">
        <v>1</v>
      </c>
      <c r="H24" s="2">
        <v>37</v>
      </c>
      <c r="I24" s="2">
        <v>124</v>
      </c>
      <c r="J24" s="2">
        <v>2</v>
      </c>
      <c r="K24" s="2">
        <v>1</v>
      </c>
      <c r="L24" s="2">
        <v>0.78400000000000003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37</v>
      </c>
      <c r="B25" s="2">
        <v>24</v>
      </c>
      <c r="C25" s="2">
        <v>8</v>
      </c>
      <c r="D25" s="2">
        <v>1</v>
      </c>
      <c r="E25" s="2">
        <v>0.71299999999999997</v>
      </c>
      <c r="F25" s="2">
        <v>2</v>
      </c>
      <c r="H25" s="2">
        <v>37</v>
      </c>
      <c r="I25" s="2">
        <v>125</v>
      </c>
      <c r="J25" s="2">
        <v>1</v>
      </c>
      <c r="K25" s="2">
        <v>1</v>
      </c>
      <c r="L25" s="2">
        <v>1.081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37</v>
      </c>
      <c r="B26" s="2">
        <v>25</v>
      </c>
      <c r="C26" s="2">
        <v>5</v>
      </c>
      <c r="D26" s="2">
        <v>0</v>
      </c>
      <c r="E26" s="2">
        <v>1.456</v>
      </c>
      <c r="F26" s="2">
        <v>2</v>
      </c>
      <c r="H26" s="2">
        <v>37</v>
      </c>
      <c r="I26" s="2">
        <v>126</v>
      </c>
      <c r="J26" s="2">
        <v>2</v>
      </c>
      <c r="K26" s="2">
        <v>1</v>
      </c>
      <c r="L26" s="2">
        <v>0.68700000000000006</v>
      </c>
      <c r="M26" s="2">
        <v>2</v>
      </c>
      <c r="N26" s="4"/>
      <c r="O26" s="3">
        <f t="shared" ref="O26:V26" si="16">COUNTIF($J$1:$J$102,O16)*COUNTIF($J$1:$J$102,O16)</f>
        <v>49</v>
      </c>
      <c r="P26" s="3">
        <f t="shared" si="16"/>
        <v>36</v>
      </c>
      <c r="Q26" s="3">
        <f t="shared" si="16"/>
        <v>49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37</v>
      </c>
      <c r="B27" s="2">
        <v>26</v>
      </c>
      <c r="C27" s="2">
        <v>8</v>
      </c>
      <c r="D27" s="2">
        <v>1</v>
      </c>
      <c r="E27" s="2">
        <v>1.2030000000000001</v>
      </c>
      <c r="F27" s="2">
        <v>2</v>
      </c>
      <c r="H27" s="2">
        <v>37</v>
      </c>
      <c r="I27" s="2">
        <v>127</v>
      </c>
      <c r="J27" s="2">
        <v>1</v>
      </c>
      <c r="K27" s="2">
        <v>1</v>
      </c>
      <c r="L27" s="2">
        <v>0.81399999999999995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37</v>
      </c>
      <c r="B28" s="2">
        <v>27</v>
      </c>
      <c r="C28" s="2">
        <v>7</v>
      </c>
      <c r="D28" s="2">
        <v>1</v>
      </c>
      <c r="E28" s="2">
        <v>0.74</v>
      </c>
      <c r="F28" s="2">
        <v>2</v>
      </c>
      <c r="H28" s="2">
        <v>37</v>
      </c>
      <c r="I28" s="2">
        <v>128</v>
      </c>
      <c r="J28" s="2">
        <v>4</v>
      </c>
      <c r="K28" s="2">
        <v>1</v>
      </c>
      <c r="L28" s="2">
        <v>0.85699999999999998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37</v>
      </c>
      <c r="B29" s="2">
        <v>28</v>
      </c>
      <c r="C29" s="2">
        <v>5</v>
      </c>
      <c r="D29" s="2">
        <v>1</v>
      </c>
      <c r="E29" s="2">
        <v>1.177</v>
      </c>
      <c r="F29" s="2">
        <v>1</v>
      </c>
      <c r="H29" s="2">
        <v>37</v>
      </c>
      <c r="I29" s="2">
        <v>129</v>
      </c>
      <c r="J29" s="2">
        <v>1</v>
      </c>
      <c r="K29" s="2">
        <v>1</v>
      </c>
      <c r="L29" s="2">
        <v>1.2070000000000001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37</v>
      </c>
      <c r="B30" s="2">
        <v>29</v>
      </c>
      <c r="C30" s="2">
        <v>4</v>
      </c>
      <c r="D30" s="2">
        <v>1</v>
      </c>
      <c r="E30" s="2">
        <v>1.04</v>
      </c>
      <c r="F30" s="2">
        <v>2</v>
      </c>
      <c r="H30" s="2">
        <v>37</v>
      </c>
      <c r="I30" s="2">
        <v>130</v>
      </c>
      <c r="J30" s="2">
        <v>7</v>
      </c>
      <c r="K30" s="2">
        <v>1</v>
      </c>
      <c r="L30" s="2">
        <v>0.79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37</v>
      </c>
      <c r="B31" s="2">
        <v>30</v>
      </c>
      <c r="C31" s="2">
        <v>5</v>
      </c>
      <c r="D31" s="2">
        <v>0</v>
      </c>
      <c r="E31" s="2">
        <v>1.5940000000000001</v>
      </c>
      <c r="F31" s="2">
        <v>2</v>
      </c>
      <c r="H31" s="2">
        <v>37</v>
      </c>
      <c r="I31" s="2">
        <v>131</v>
      </c>
      <c r="J31" s="2">
        <v>6</v>
      </c>
      <c r="K31" s="2">
        <v>0</v>
      </c>
      <c r="L31" s="2">
        <v>1.359</v>
      </c>
      <c r="M31" s="2">
        <v>2</v>
      </c>
      <c r="N31" s="3">
        <v>1</v>
      </c>
      <c r="O31" s="3">
        <f t="shared" ref="O31:O36" si="17">SUM(O17:V17)/SUM(O$26:V$26)</f>
        <v>5.1759554140127395E-2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37</v>
      </c>
      <c r="B32" s="2">
        <v>31</v>
      </c>
      <c r="C32" s="2">
        <v>3</v>
      </c>
      <c r="D32" s="2">
        <v>0</v>
      </c>
      <c r="E32" s="2">
        <v>1.014</v>
      </c>
      <c r="F32" s="2">
        <v>2</v>
      </c>
      <c r="H32" s="2">
        <v>37</v>
      </c>
      <c r="I32" s="2">
        <v>132</v>
      </c>
      <c r="J32" s="2">
        <v>8</v>
      </c>
      <c r="K32" s="2">
        <v>1</v>
      </c>
      <c r="L32" s="2">
        <v>1.01</v>
      </c>
      <c r="M32" s="2">
        <v>2</v>
      </c>
      <c r="N32" s="3">
        <v>2</v>
      </c>
      <c r="O32" s="3">
        <f t="shared" si="17"/>
        <v>0.26930732484076431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37</v>
      </c>
      <c r="B33" s="2">
        <v>32</v>
      </c>
      <c r="C33" s="2">
        <v>4</v>
      </c>
      <c r="D33" s="2">
        <v>0</v>
      </c>
      <c r="E33" s="2">
        <v>1.1910000000000001</v>
      </c>
      <c r="F33" s="2">
        <v>1</v>
      </c>
      <c r="H33" s="2">
        <v>37</v>
      </c>
      <c r="I33" s="2">
        <v>133</v>
      </c>
      <c r="J33" s="2">
        <v>4</v>
      </c>
      <c r="K33" s="2">
        <v>1</v>
      </c>
      <c r="L33" s="2">
        <v>1.04</v>
      </c>
      <c r="M33" s="2">
        <v>1</v>
      </c>
      <c r="N33" s="3">
        <v>3</v>
      </c>
      <c r="O33" s="3">
        <f t="shared" si="17"/>
        <v>0.12054936305732483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37</v>
      </c>
      <c r="B34" s="2">
        <v>33</v>
      </c>
      <c r="C34" s="2">
        <v>3</v>
      </c>
      <c r="D34" s="2">
        <v>0</v>
      </c>
      <c r="E34" s="2">
        <v>1.617</v>
      </c>
      <c r="F34" s="2">
        <v>2</v>
      </c>
      <c r="H34" s="2">
        <v>37</v>
      </c>
      <c r="I34" s="2">
        <v>134</v>
      </c>
      <c r="J34" s="2">
        <v>5</v>
      </c>
      <c r="K34" s="2">
        <v>1</v>
      </c>
      <c r="L34" s="2">
        <v>0.80600000000000005</v>
      </c>
      <c r="M34" s="2">
        <v>2</v>
      </c>
      <c r="N34" s="3">
        <v>4</v>
      </c>
      <c r="O34" s="3">
        <f t="shared" si="17"/>
        <v>0.14668789808917199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37</v>
      </c>
      <c r="B35" s="2">
        <v>34</v>
      </c>
      <c r="C35" s="2">
        <v>8</v>
      </c>
      <c r="D35" s="2">
        <v>1</v>
      </c>
      <c r="E35" s="2">
        <v>1.046</v>
      </c>
      <c r="F35" s="2">
        <v>2</v>
      </c>
      <c r="H35" s="2">
        <v>37</v>
      </c>
      <c r="I35" s="2">
        <v>135</v>
      </c>
      <c r="J35" s="2">
        <v>2</v>
      </c>
      <c r="K35" s="2">
        <v>1</v>
      </c>
      <c r="L35" s="2">
        <v>1.393</v>
      </c>
      <c r="M35" s="2">
        <v>2</v>
      </c>
      <c r="N35" s="3">
        <v>5</v>
      </c>
      <c r="O35" s="3">
        <f t="shared" si="17"/>
        <v>2.7683121019108282E-2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37</v>
      </c>
      <c r="B36" s="2">
        <v>35</v>
      </c>
      <c r="C36" s="2">
        <v>4</v>
      </c>
      <c r="D36" s="2">
        <v>1</v>
      </c>
      <c r="E36" s="2">
        <v>0.876</v>
      </c>
      <c r="F36" s="2">
        <v>2</v>
      </c>
      <c r="H36" s="2">
        <v>37</v>
      </c>
      <c r="I36" s="2">
        <v>136</v>
      </c>
      <c r="J36" s="2">
        <v>7</v>
      </c>
      <c r="K36" s="2">
        <v>1</v>
      </c>
      <c r="L36" s="2">
        <v>0.91100000000000003</v>
      </c>
      <c r="M36" s="2">
        <v>1</v>
      </c>
      <c r="N36" s="3">
        <v>6</v>
      </c>
      <c r="O36" s="3">
        <f t="shared" si="17"/>
        <v>0.12261146496815287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37</v>
      </c>
      <c r="B37" s="2">
        <v>36</v>
      </c>
      <c r="C37" s="2">
        <v>1</v>
      </c>
      <c r="D37" s="2">
        <v>1</v>
      </c>
      <c r="E37" s="2">
        <v>0.69499999999999995</v>
      </c>
      <c r="F37" s="2">
        <v>1</v>
      </c>
      <c r="H37" s="2">
        <v>37</v>
      </c>
      <c r="I37" s="2">
        <v>137</v>
      </c>
      <c r="J37" s="2">
        <v>8</v>
      </c>
      <c r="K37" s="2">
        <v>1</v>
      </c>
      <c r="L37" s="2">
        <v>0.72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37</v>
      </c>
      <c r="B38" s="2">
        <v>37</v>
      </c>
      <c r="C38" s="2">
        <v>6</v>
      </c>
      <c r="D38" s="2">
        <v>1</v>
      </c>
      <c r="E38" s="2">
        <v>0.69799999999999995</v>
      </c>
      <c r="F38" s="2">
        <v>1</v>
      </c>
      <c r="H38" s="2">
        <v>37</v>
      </c>
      <c r="I38" s="2">
        <v>138</v>
      </c>
      <c r="J38" s="2">
        <v>3</v>
      </c>
      <c r="K38" s="2">
        <v>0</v>
      </c>
      <c r="L38" s="2">
        <v>0.94399999999999995</v>
      </c>
      <c r="M38" s="2">
        <v>1</v>
      </c>
    </row>
    <row r="39" spans="1:25" ht="14.25" customHeight="1">
      <c r="A39" s="2">
        <v>37</v>
      </c>
      <c r="B39" s="2">
        <v>38</v>
      </c>
      <c r="C39" s="2">
        <v>2</v>
      </c>
      <c r="D39" s="2">
        <v>0</v>
      </c>
      <c r="E39" s="2">
        <v>1.7909999999999999</v>
      </c>
      <c r="F39" s="2">
        <v>1</v>
      </c>
      <c r="H39" s="2">
        <v>37</v>
      </c>
      <c r="I39" s="2">
        <v>139</v>
      </c>
      <c r="J39" s="2">
        <v>1</v>
      </c>
      <c r="K39" s="2">
        <v>1</v>
      </c>
      <c r="L39" s="2">
        <v>1.0089999999999999</v>
      </c>
      <c r="M39" s="2">
        <v>2</v>
      </c>
    </row>
    <row r="40" spans="1:25" ht="14.25" customHeight="1">
      <c r="A40" s="2">
        <v>37</v>
      </c>
      <c r="B40" s="2">
        <v>39</v>
      </c>
      <c r="C40" s="2">
        <v>7</v>
      </c>
      <c r="D40" s="2">
        <v>1</v>
      </c>
      <c r="E40" s="2">
        <v>1.1339999999999999</v>
      </c>
      <c r="F40" s="2">
        <v>2</v>
      </c>
      <c r="H40" s="2">
        <v>37</v>
      </c>
      <c r="I40" s="2">
        <v>140</v>
      </c>
      <c r="J40" s="2">
        <v>6</v>
      </c>
      <c r="K40" s="2">
        <v>1</v>
      </c>
      <c r="L40" s="2">
        <v>0.73499999999999999</v>
      </c>
      <c r="M40" s="2">
        <v>2</v>
      </c>
    </row>
    <row r="41" spans="1:25" ht="14.25" customHeight="1">
      <c r="A41" s="2">
        <v>37</v>
      </c>
      <c r="B41" s="2">
        <v>40</v>
      </c>
      <c r="C41" s="2">
        <v>8</v>
      </c>
      <c r="D41" s="2">
        <v>1</v>
      </c>
      <c r="E41" s="2">
        <v>0.61699999999999999</v>
      </c>
      <c r="F41" s="2">
        <v>2</v>
      </c>
      <c r="H41" s="2">
        <v>37</v>
      </c>
      <c r="I41" s="2">
        <v>141</v>
      </c>
      <c r="J41" s="2">
        <v>4</v>
      </c>
      <c r="K41" s="2">
        <v>1</v>
      </c>
      <c r="L41" s="2">
        <v>1.1020000000000001</v>
      </c>
      <c r="M41" s="2">
        <v>2</v>
      </c>
    </row>
    <row r="42" spans="1:25" ht="14.25" customHeight="1">
      <c r="A42" s="2">
        <v>37</v>
      </c>
      <c r="B42" s="2">
        <v>41</v>
      </c>
      <c r="C42" s="2">
        <v>2</v>
      </c>
      <c r="D42" s="2">
        <v>0</v>
      </c>
      <c r="E42" s="2">
        <v>1.091</v>
      </c>
      <c r="F42" s="2">
        <v>1</v>
      </c>
      <c r="H42" s="2">
        <v>37</v>
      </c>
      <c r="I42" s="2">
        <v>142</v>
      </c>
      <c r="J42" s="2">
        <v>8</v>
      </c>
      <c r="K42" s="2">
        <v>1</v>
      </c>
      <c r="L42" s="2">
        <v>1.3420000000000001</v>
      </c>
      <c r="M42" s="2">
        <v>1</v>
      </c>
    </row>
    <row r="43" spans="1:25" ht="14.25" customHeight="1">
      <c r="A43" s="2">
        <v>37</v>
      </c>
      <c r="B43" s="2">
        <v>42</v>
      </c>
      <c r="C43" s="2">
        <v>1</v>
      </c>
      <c r="D43" s="2">
        <v>1</v>
      </c>
      <c r="E43" s="2">
        <v>0.77600000000000002</v>
      </c>
      <c r="F43" s="2">
        <v>1</v>
      </c>
      <c r="H43" s="2">
        <v>37</v>
      </c>
      <c r="I43" s="2">
        <v>143</v>
      </c>
      <c r="J43" s="2">
        <v>3</v>
      </c>
      <c r="K43" s="2">
        <v>1</v>
      </c>
      <c r="L43" s="2">
        <v>1.5569999999999999</v>
      </c>
      <c r="M43" s="2">
        <v>1</v>
      </c>
    </row>
    <row r="44" spans="1:25" ht="14.25" customHeight="1">
      <c r="A44" s="2">
        <v>37</v>
      </c>
      <c r="B44" s="2">
        <v>43</v>
      </c>
      <c r="C44" s="2">
        <v>3</v>
      </c>
      <c r="D44" s="2">
        <v>0</v>
      </c>
      <c r="E44" s="2">
        <v>0.56499999999999995</v>
      </c>
      <c r="F44" s="2">
        <v>2</v>
      </c>
      <c r="H44" s="2">
        <v>37</v>
      </c>
      <c r="I44" s="2">
        <v>144</v>
      </c>
      <c r="J44" s="2">
        <v>8</v>
      </c>
      <c r="K44" s="2">
        <v>1</v>
      </c>
      <c r="L44" s="2">
        <v>0.61299999999999999</v>
      </c>
      <c r="M44" s="2">
        <v>2</v>
      </c>
    </row>
    <row r="45" spans="1:25" ht="14.25" customHeight="1">
      <c r="A45" s="2">
        <v>37</v>
      </c>
      <c r="B45" s="2">
        <v>44</v>
      </c>
      <c r="C45" s="2">
        <v>7</v>
      </c>
      <c r="D45" s="2">
        <v>1</v>
      </c>
      <c r="E45" s="2">
        <v>0.65200000000000002</v>
      </c>
      <c r="F45" s="2">
        <v>2</v>
      </c>
      <c r="H45" s="2">
        <v>37</v>
      </c>
      <c r="I45" s="2">
        <v>145</v>
      </c>
      <c r="J45" s="2">
        <v>4</v>
      </c>
      <c r="K45" s="2">
        <v>1</v>
      </c>
      <c r="L45" s="2">
        <v>0.94299999999999995</v>
      </c>
      <c r="M45" s="2">
        <v>2</v>
      </c>
    </row>
    <row r="46" spans="1:25" ht="14.25" customHeight="1">
      <c r="A46" s="2">
        <v>37</v>
      </c>
      <c r="B46" s="2">
        <v>45</v>
      </c>
      <c r="C46" s="2">
        <v>2</v>
      </c>
      <c r="D46" s="2">
        <v>1</v>
      </c>
      <c r="E46" s="2">
        <v>1.345</v>
      </c>
      <c r="F46" s="2">
        <v>2</v>
      </c>
      <c r="H46" s="2">
        <v>37</v>
      </c>
      <c r="I46" s="2">
        <v>146</v>
      </c>
      <c r="J46" s="2">
        <v>7</v>
      </c>
      <c r="K46" s="2">
        <v>1</v>
      </c>
      <c r="L46" s="2">
        <v>0.96</v>
      </c>
      <c r="M46" s="2">
        <v>1</v>
      </c>
    </row>
    <row r="47" spans="1:25" ht="14.25" customHeight="1">
      <c r="A47" s="2">
        <v>37</v>
      </c>
      <c r="B47" s="2">
        <v>46</v>
      </c>
      <c r="C47" s="2">
        <v>1</v>
      </c>
      <c r="D47" s="2">
        <v>1</v>
      </c>
      <c r="E47" s="2">
        <v>0.873</v>
      </c>
      <c r="F47" s="2">
        <v>1</v>
      </c>
      <c r="H47" s="2">
        <v>37</v>
      </c>
      <c r="I47" s="2">
        <v>147</v>
      </c>
      <c r="J47" s="2">
        <v>6</v>
      </c>
      <c r="K47" s="2">
        <v>0</v>
      </c>
      <c r="L47" s="2">
        <v>1.41</v>
      </c>
      <c r="M47" s="2">
        <v>2</v>
      </c>
    </row>
    <row r="48" spans="1:25" ht="14.25" customHeight="1">
      <c r="A48" s="2">
        <v>37</v>
      </c>
      <c r="B48" s="2">
        <v>47</v>
      </c>
      <c r="C48" s="2">
        <v>3</v>
      </c>
      <c r="D48" s="2">
        <v>0</v>
      </c>
      <c r="E48" s="2">
        <v>1.415</v>
      </c>
      <c r="F48" s="2">
        <v>2</v>
      </c>
      <c r="H48" s="2">
        <v>37</v>
      </c>
      <c r="I48" s="2">
        <v>148</v>
      </c>
      <c r="J48" s="2">
        <v>3</v>
      </c>
      <c r="K48" s="2">
        <v>1</v>
      </c>
      <c r="L48" s="2">
        <v>1.518</v>
      </c>
      <c r="M48" s="2">
        <v>1</v>
      </c>
    </row>
    <row r="49" spans="1:13" ht="14.25" customHeight="1">
      <c r="A49" s="2">
        <v>37</v>
      </c>
      <c r="B49" s="2">
        <v>48</v>
      </c>
      <c r="C49" s="2">
        <v>1</v>
      </c>
      <c r="D49" s="2">
        <v>1</v>
      </c>
      <c r="E49" s="2">
        <v>1.024</v>
      </c>
      <c r="F49" s="2">
        <v>1</v>
      </c>
      <c r="H49" s="2">
        <v>37</v>
      </c>
      <c r="I49" s="2">
        <v>149</v>
      </c>
      <c r="J49" s="2">
        <v>8</v>
      </c>
      <c r="K49" s="2">
        <v>0</v>
      </c>
      <c r="L49" s="2">
        <v>1.601</v>
      </c>
      <c r="M49" s="2">
        <v>2</v>
      </c>
    </row>
    <row r="50" spans="1:13" ht="14.25" customHeight="1">
      <c r="A50" s="2">
        <v>37</v>
      </c>
      <c r="B50" s="2">
        <v>49</v>
      </c>
      <c r="C50" s="2">
        <v>3</v>
      </c>
      <c r="D50" s="2">
        <v>0</v>
      </c>
      <c r="E50" s="2">
        <v>0.93500000000000005</v>
      </c>
      <c r="F50" s="2">
        <v>2</v>
      </c>
      <c r="H50" s="2">
        <v>37</v>
      </c>
      <c r="I50" s="2">
        <v>150</v>
      </c>
      <c r="J50" s="2">
        <v>4</v>
      </c>
      <c r="K50" s="2">
        <v>1</v>
      </c>
      <c r="L50" s="2">
        <v>1.0780000000000001</v>
      </c>
      <c r="M50" s="2">
        <v>2</v>
      </c>
    </row>
    <row r="51" spans="1:13" ht="14.25" customHeight="1">
      <c r="A51" s="2">
        <v>37</v>
      </c>
      <c r="B51" s="2">
        <v>50</v>
      </c>
      <c r="C51" s="2">
        <v>7</v>
      </c>
      <c r="D51" s="2">
        <v>1</v>
      </c>
      <c r="E51" s="2">
        <v>1.143</v>
      </c>
      <c r="F51" s="2">
        <v>2</v>
      </c>
    </row>
    <row r="52" spans="1:13" ht="14.25" customHeight="1">
      <c r="A52" s="2">
        <v>37</v>
      </c>
      <c r="B52" s="2">
        <v>51</v>
      </c>
      <c r="C52" s="2">
        <v>1</v>
      </c>
      <c r="D52" s="2">
        <v>1</v>
      </c>
      <c r="E52" s="2">
        <v>0.97899999999999998</v>
      </c>
      <c r="F52" s="2">
        <v>2</v>
      </c>
    </row>
    <row r="53" spans="1:13" ht="14.25" customHeight="1">
      <c r="A53" s="2">
        <v>37</v>
      </c>
      <c r="B53" s="2">
        <v>52</v>
      </c>
      <c r="C53" s="2">
        <v>8</v>
      </c>
      <c r="D53" s="2">
        <v>0</v>
      </c>
      <c r="E53" s="2">
        <v>1.494</v>
      </c>
      <c r="F53" s="2">
        <v>1</v>
      </c>
    </row>
    <row r="54" spans="1:13" ht="14.25" customHeight="1">
      <c r="A54" s="2">
        <v>37</v>
      </c>
      <c r="B54" s="2">
        <v>53</v>
      </c>
      <c r="C54" s="2">
        <v>2</v>
      </c>
      <c r="D54" s="2">
        <v>1</v>
      </c>
      <c r="E54" s="2">
        <v>1.087</v>
      </c>
      <c r="F54" s="2">
        <v>1</v>
      </c>
    </row>
    <row r="55" spans="1:13" ht="14.25" customHeight="1">
      <c r="A55" s="2">
        <v>37</v>
      </c>
      <c r="B55" s="2">
        <v>54</v>
      </c>
      <c r="C55" s="2">
        <v>6</v>
      </c>
      <c r="D55" s="2">
        <v>1</v>
      </c>
      <c r="E55" s="2">
        <v>0.77800000000000002</v>
      </c>
      <c r="F55" s="2">
        <v>2</v>
      </c>
    </row>
    <row r="56" spans="1:13" ht="14.25" customHeight="1">
      <c r="A56" s="2">
        <v>37</v>
      </c>
      <c r="B56" s="2">
        <v>55</v>
      </c>
      <c r="C56" s="2">
        <v>5</v>
      </c>
      <c r="D56" s="2">
        <v>1</v>
      </c>
      <c r="E56" s="2">
        <v>1.4419999999999999</v>
      </c>
      <c r="F56" s="2">
        <v>1</v>
      </c>
    </row>
    <row r="57" spans="1:13" ht="14.25" customHeight="1">
      <c r="A57" s="2">
        <v>37</v>
      </c>
      <c r="B57" s="2">
        <v>56</v>
      </c>
      <c r="C57" s="2">
        <v>2</v>
      </c>
      <c r="D57" s="2">
        <v>1</v>
      </c>
      <c r="E57" s="2">
        <v>1.2649999999999999</v>
      </c>
      <c r="F57" s="2">
        <v>2</v>
      </c>
    </row>
    <row r="58" spans="1:13" ht="14.25" customHeight="1">
      <c r="A58" s="2">
        <v>37</v>
      </c>
      <c r="B58" s="2">
        <v>57</v>
      </c>
      <c r="C58" s="2">
        <v>5</v>
      </c>
      <c r="D58" s="2">
        <v>0</v>
      </c>
      <c r="E58" s="2">
        <v>0.90400000000000003</v>
      </c>
      <c r="F58" s="2">
        <v>2</v>
      </c>
    </row>
    <row r="59" spans="1:13" ht="14.25" customHeight="1">
      <c r="A59" s="2">
        <v>37</v>
      </c>
      <c r="B59" s="2">
        <v>58</v>
      </c>
      <c r="C59" s="2">
        <v>3</v>
      </c>
      <c r="E59" s="2">
        <v>2</v>
      </c>
    </row>
    <row r="60" spans="1:13" ht="14.25" customHeight="1">
      <c r="A60" s="2">
        <v>37</v>
      </c>
      <c r="B60" s="2">
        <v>59</v>
      </c>
      <c r="C60" s="2">
        <v>5</v>
      </c>
      <c r="D60" s="2">
        <v>1</v>
      </c>
      <c r="E60" s="2">
        <v>0.81899999999999995</v>
      </c>
      <c r="F60" s="2">
        <v>1</v>
      </c>
    </row>
    <row r="61" spans="1:13" ht="14.25" customHeight="1">
      <c r="A61" s="2">
        <v>37</v>
      </c>
      <c r="B61" s="2">
        <v>60</v>
      </c>
      <c r="C61" s="2">
        <v>1</v>
      </c>
      <c r="D61" s="2">
        <v>1</v>
      </c>
      <c r="E61" s="2">
        <v>0.97599999999999998</v>
      </c>
      <c r="F61" s="2">
        <v>1</v>
      </c>
    </row>
    <row r="62" spans="1:13" ht="14.25" customHeight="1">
      <c r="A62" s="2">
        <v>37</v>
      </c>
      <c r="B62" s="2">
        <v>61</v>
      </c>
      <c r="C62" s="2">
        <v>3</v>
      </c>
      <c r="D62" s="2">
        <v>0</v>
      </c>
      <c r="E62" s="2">
        <v>1.139</v>
      </c>
      <c r="F62" s="2">
        <v>1</v>
      </c>
    </row>
    <row r="63" spans="1:13" ht="14.25" customHeight="1">
      <c r="A63" s="2">
        <v>37</v>
      </c>
      <c r="B63" s="2">
        <v>62</v>
      </c>
      <c r="C63" s="2">
        <v>1</v>
      </c>
      <c r="D63" s="2">
        <v>1</v>
      </c>
      <c r="E63" s="2">
        <v>1.097</v>
      </c>
      <c r="F63" s="2">
        <v>1</v>
      </c>
    </row>
    <row r="64" spans="1:13" ht="14.25" customHeight="1">
      <c r="A64" s="2">
        <v>37</v>
      </c>
      <c r="B64" s="2">
        <v>63</v>
      </c>
      <c r="C64" s="2">
        <v>3</v>
      </c>
      <c r="D64" s="2">
        <v>1</v>
      </c>
      <c r="E64" s="2">
        <v>1.1040000000000001</v>
      </c>
      <c r="F64" s="2">
        <v>1</v>
      </c>
    </row>
    <row r="65" spans="1:6" ht="14.25" customHeight="1">
      <c r="A65" s="2">
        <v>37</v>
      </c>
      <c r="B65" s="2">
        <v>64</v>
      </c>
      <c r="C65" s="2">
        <v>4</v>
      </c>
      <c r="D65" s="2">
        <v>0</v>
      </c>
      <c r="E65" s="2">
        <v>1.319</v>
      </c>
      <c r="F65" s="2">
        <v>2</v>
      </c>
    </row>
    <row r="66" spans="1:6" ht="14.25" customHeight="1">
      <c r="A66" s="2">
        <v>37</v>
      </c>
      <c r="B66" s="2">
        <v>65</v>
      </c>
      <c r="C66" s="2">
        <v>1</v>
      </c>
      <c r="D66" s="2">
        <v>0</v>
      </c>
      <c r="E66" s="2">
        <v>1.8140000000000001</v>
      </c>
      <c r="F66" s="2">
        <v>1</v>
      </c>
    </row>
    <row r="67" spans="1:6" ht="14.25" customHeight="1">
      <c r="A67" s="2">
        <v>37</v>
      </c>
      <c r="B67" s="2">
        <v>66</v>
      </c>
      <c r="C67" s="2">
        <v>4</v>
      </c>
      <c r="D67" s="2">
        <v>1</v>
      </c>
      <c r="E67" s="2">
        <v>0.89500000000000002</v>
      </c>
      <c r="F67" s="2">
        <v>1</v>
      </c>
    </row>
    <row r="68" spans="1:6" ht="14.25" customHeight="1">
      <c r="A68" s="2">
        <v>37</v>
      </c>
      <c r="B68" s="2">
        <v>67</v>
      </c>
      <c r="C68" s="2">
        <v>3</v>
      </c>
      <c r="D68" s="2">
        <v>1</v>
      </c>
      <c r="E68" s="2">
        <v>1.365</v>
      </c>
      <c r="F68" s="2">
        <v>1</v>
      </c>
    </row>
    <row r="69" spans="1:6" ht="14.25" customHeight="1">
      <c r="A69" s="2">
        <v>37</v>
      </c>
      <c r="B69" s="2">
        <v>68</v>
      </c>
      <c r="C69" s="2">
        <v>1</v>
      </c>
      <c r="D69" s="2">
        <v>0</v>
      </c>
      <c r="E69" s="2">
        <v>0.83599999999999997</v>
      </c>
      <c r="F69" s="2">
        <v>1</v>
      </c>
    </row>
    <row r="70" spans="1:6" ht="14.25" customHeight="1">
      <c r="A70" s="2">
        <v>37</v>
      </c>
      <c r="B70" s="2">
        <v>69</v>
      </c>
      <c r="C70" s="2">
        <v>2</v>
      </c>
      <c r="D70" s="2">
        <v>1</v>
      </c>
      <c r="E70" s="2">
        <v>0.84</v>
      </c>
      <c r="F70" s="2">
        <v>1</v>
      </c>
    </row>
    <row r="71" spans="1:6" ht="14.25" customHeight="1">
      <c r="A71" s="2">
        <v>37</v>
      </c>
      <c r="B71" s="2">
        <v>70</v>
      </c>
      <c r="C71" s="2">
        <v>4</v>
      </c>
      <c r="D71" s="2">
        <v>0</v>
      </c>
      <c r="E71" s="2">
        <v>1.0169999999999999</v>
      </c>
      <c r="F71" s="2">
        <v>2</v>
      </c>
    </row>
    <row r="72" spans="1:6" ht="14.25" customHeight="1">
      <c r="A72" s="2">
        <v>37</v>
      </c>
      <c r="B72" s="2">
        <v>71</v>
      </c>
      <c r="C72" s="2">
        <v>1</v>
      </c>
      <c r="D72" s="2">
        <v>1</v>
      </c>
      <c r="E72" s="2">
        <v>1.1339999999999999</v>
      </c>
      <c r="F72" s="2">
        <v>2</v>
      </c>
    </row>
    <row r="73" spans="1:6" ht="14.25" customHeight="1">
      <c r="A73" s="2">
        <v>37</v>
      </c>
      <c r="B73" s="2">
        <v>72</v>
      </c>
      <c r="C73" s="2">
        <v>2</v>
      </c>
      <c r="D73" s="2">
        <v>1</v>
      </c>
      <c r="E73" s="2">
        <v>1.218</v>
      </c>
      <c r="F73" s="2">
        <v>2</v>
      </c>
    </row>
    <row r="74" spans="1:6" ht="14.25" customHeight="1">
      <c r="A74" s="2">
        <v>37</v>
      </c>
      <c r="B74" s="2">
        <v>73</v>
      </c>
      <c r="C74" s="2">
        <v>6</v>
      </c>
      <c r="D74" s="2">
        <v>1</v>
      </c>
      <c r="E74" s="2">
        <v>1.3360000000000001</v>
      </c>
      <c r="F74" s="2">
        <v>1</v>
      </c>
    </row>
    <row r="75" spans="1:6" ht="14.25" customHeight="1">
      <c r="A75" s="2">
        <v>37</v>
      </c>
      <c r="B75" s="2">
        <v>74</v>
      </c>
      <c r="C75" s="2">
        <v>3</v>
      </c>
      <c r="D75" s="2">
        <v>1</v>
      </c>
      <c r="E75" s="2">
        <v>0.51200000000000001</v>
      </c>
      <c r="F75" s="2">
        <v>2</v>
      </c>
    </row>
    <row r="76" spans="1:6" ht="14.25" customHeight="1">
      <c r="A76" s="2">
        <v>37</v>
      </c>
      <c r="B76" s="2">
        <v>75</v>
      </c>
      <c r="C76" s="2">
        <v>7</v>
      </c>
      <c r="D76" s="2">
        <v>1</v>
      </c>
      <c r="E76" s="2">
        <v>1.903</v>
      </c>
      <c r="F76" s="2">
        <v>1</v>
      </c>
    </row>
    <row r="77" spans="1:6" ht="14.25" customHeight="1">
      <c r="A77" s="2">
        <v>37</v>
      </c>
      <c r="B77" s="2">
        <v>76</v>
      </c>
      <c r="C77" s="2">
        <v>6</v>
      </c>
      <c r="D77" s="2">
        <v>1</v>
      </c>
      <c r="E77" s="2">
        <v>0.70499999999999996</v>
      </c>
      <c r="F77" s="2">
        <v>2</v>
      </c>
    </row>
    <row r="78" spans="1:6" ht="14.25" customHeight="1">
      <c r="A78" s="2">
        <v>37</v>
      </c>
      <c r="B78" s="2">
        <v>77</v>
      </c>
      <c r="C78" s="2">
        <v>7</v>
      </c>
      <c r="D78" s="2">
        <v>1</v>
      </c>
      <c r="E78" s="2">
        <v>0.72799999999999998</v>
      </c>
      <c r="F78" s="2">
        <v>2</v>
      </c>
    </row>
    <row r="79" spans="1:6" ht="14.25" customHeight="1">
      <c r="A79" s="2">
        <v>37</v>
      </c>
      <c r="B79" s="2">
        <v>78</v>
      </c>
      <c r="C79" s="2">
        <v>6</v>
      </c>
      <c r="D79" s="2">
        <v>1</v>
      </c>
      <c r="E79" s="2">
        <v>1.08</v>
      </c>
      <c r="F79" s="2">
        <v>1</v>
      </c>
    </row>
    <row r="80" spans="1:6" ht="14.25" customHeight="1">
      <c r="A80" s="2">
        <v>37</v>
      </c>
      <c r="B80" s="2">
        <v>79</v>
      </c>
      <c r="C80" s="2">
        <v>8</v>
      </c>
      <c r="D80" s="2">
        <v>1</v>
      </c>
      <c r="E80" s="2">
        <v>1.2829999999999999</v>
      </c>
      <c r="F80" s="2">
        <v>2</v>
      </c>
    </row>
    <row r="81" spans="1:6" ht="14.25" customHeight="1">
      <c r="A81" s="2">
        <v>37</v>
      </c>
      <c r="B81" s="2">
        <v>80</v>
      </c>
      <c r="C81" s="2">
        <v>4</v>
      </c>
      <c r="D81" s="2">
        <v>1</v>
      </c>
      <c r="E81" s="2">
        <v>1.0089999999999999</v>
      </c>
      <c r="F81" s="2">
        <v>1</v>
      </c>
    </row>
    <row r="82" spans="1:6" ht="14.25" customHeight="1">
      <c r="A82" s="2">
        <v>37</v>
      </c>
      <c r="B82" s="2">
        <v>81</v>
      </c>
      <c r="C82" s="2">
        <v>7</v>
      </c>
      <c r="D82" s="2">
        <v>0</v>
      </c>
      <c r="E82" s="2">
        <v>1.026</v>
      </c>
      <c r="F82" s="2">
        <v>2</v>
      </c>
    </row>
    <row r="83" spans="1:6" ht="14.25" customHeight="1">
      <c r="A83" s="2">
        <v>37</v>
      </c>
      <c r="B83" s="2">
        <v>82</v>
      </c>
      <c r="C83" s="2">
        <v>4</v>
      </c>
      <c r="D83" s="2">
        <v>1</v>
      </c>
      <c r="E83" s="2">
        <v>1.4419999999999999</v>
      </c>
      <c r="F83" s="2">
        <v>2</v>
      </c>
    </row>
    <row r="84" spans="1:6" ht="14.25" customHeight="1">
      <c r="A84" s="2">
        <v>37</v>
      </c>
      <c r="B84" s="2">
        <v>83</v>
      </c>
      <c r="C84" s="2">
        <v>8</v>
      </c>
      <c r="D84" s="2">
        <v>0</v>
      </c>
      <c r="E84" s="2">
        <v>0.89100000000000001</v>
      </c>
      <c r="F84" s="2">
        <v>2</v>
      </c>
    </row>
    <row r="85" spans="1:6" ht="14.25" customHeight="1">
      <c r="A85" s="2">
        <v>37</v>
      </c>
      <c r="B85" s="2">
        <v>84</v>
      </c>
      <c r="C85" s="2">
        <v>7</v>
      </c>
      <c r="D85" s="2">
        <v>1</v>
      </c>
      <c r="E85" s="2">
        <v>1.2589999999999999</v>
      </c>
      <c r="F85" s="2">
        <v>2</v>
      </c>
    </row>
    <row r="86" spans="1:6" ht="14.25" customHeight="1">
      <c r="A86" s="2">
        <v>37</v>
      </c>
      <c r="B86" s="2">
        <v>85</v>
      </c>
      <c r="C86" s="2">
        <v>8</v>
      </c>
      <c r="D86" s="2">
        <v>0</v>
      </c>
      <c r="E86" s="2">
        <v>1.5109999999999999</v>
      </c>
      <c r="F86" s="2">
        <v>1</v>
      </c>
    </row>
    <row r="87" spans="1:6" ht="14.25" customHeight="1">
      <c r="A87" s="2">
        <v>37</v>
      </c>
      <c r="B87" s="2">
        <v>86</v>
      </c>
      <c r="C87" s="2">
        <v>6</v>
      </c>
      <c r="D87" s="2">
        <v>1</v>
      </c>
      <c r="E87" s="2">
        <v>0.80700000000000005</v>
      </c>
      <c r="F87" s="2">
        <v>1</v>
      </c>
    </row>
    <row r="88" spans="1:6" ht="14.25" customHeight="1">
      <c r="A88" s="2">
        <v>37</v>
      </c>
      <c r="B88" s="2">
        <v>87</v>
      </c>
      <c r="C88" s="2">
        <v>2</v>
      </c>
      <c r="D88" s="2">
        <v>1</v>
      </c>
      <c r="E88" s="2">
        <v>0.72199999999999998</v>
      </c>
      <c r="F88" s="2">
        <v>1</v>
      </c>
    </row>
    <row r="89" spans="1:6" ht="14.25" customHeight="1">
      <c r="A89" s="2">
        <v>37</v>
      </c>
      <c r="B89" s="2">
        <v>88</v>
      </c>
      <c r="C89" s="2">
        <v>8</v>
      </c>
      <c r="D89" s="2">
        <v>0</v>
      </c>
      <c r="E89" s="2">
        <v>0.625</v>
      </c>
      <c r="F89" s="2">
        <v>1</v>
      </c>
    </row>
    <row r="90" spans="1:6" ht="14.25" customHeight="1">
      <c r="A90" s="2">
        <v>37</v>
      </c>
      <c r="B90" s="2">
        <v>89</v>
      </c>
      <c r="C90" s="2">
        <v>5</v>
      </c>
      <c r="D90" s="2">
        <v>1</v>
      </c>
      <c r="E90" s="2">
        <v>0.98499999999999999</v>
      </c>
      <c r="F90" s="2">
        <v>2</v>
      </c>
    </row>
    <row r="91" spans="1:6" ht="14.25" customHeight="1">
      <c r="A91" s="2">
        <v>37</v>
      </c>
      <c r="B91" s="2">
        <v>90</v>
      </c>
      <c r="C91" s="2">
        <v>3</v>
      </c>
      <c r="D91" s="2">
        <v>1</v>
      </c>
      <c r="E91" s="2">
        <v>0.61</v>
      </c>
      <c r="F91" s="2">
        <v>2</v>
      </c>
    </row>
    <row r="92" spans="1:6" ht="14.25" customHeight="1">
      <c r="A92" s="2">
        <v>37</v>
      </c>
      <c r="B92" s="2">
        <v>91</v>
      </c>
      <c r="C92" s="2">
        <v>6</v>
      </c>
      <c r="D92" s="2">
        <v>1</v>
      </c>
      <c r="E92" s="2">
        <v>1.1339999999999999</v>
      </c>
      <c r="F92" s="2">
        <v>2</v>
      </c>
    </row>
    <row r="93" spans="1:6" ht="14.25" customHeight="1">
      <c r="A93" s="2">
        <v>37</v>
      </c>
      <c r="B93" s="2">
        <v>92</v>
      </c>
      <c r="C93" s="2">
        <v>5</v>
      </c>
      <c r="D93" s="2">
        <v>1</v>
      </c>
      <c r="E93" s="2">
        <v>1.022</v>
      </c>
      <c r="F93" s="2">
        <v>1</v>
      </c>
    </row>
    <row r="94" spans="1:6" ht="14.25" customHeight="1">
      <c r="A94" s="2">
        <v>37</v>
      </c>
      <c r="B94" s="2">
        <v>93</v>
      </c>
      <c r="C94" s="2">
        <v>3</v>
      </c>
      <c r="D94" s="2">
        <v>0</v>
      </c>
      <c r="E94" s="2">
        <v>1.139</v>
      </c>
      <c r="F94" s="2">
        <v>2</v>
      </c>
    </row>
    <row r="95" spans="1:6" ht="14.25" customHeight="1">
      <c r="A95" s="2">
        <v>37</v>
      </c>
      <c r="B95" s="2">
        <v>94</v>
      </c>
      <c r="C95" s="2">
        <v>1</v>
      </c>
      <c r="D95" s="2">
        <v>1</v>
      </c>
      <c r="E95" s="2">
        <v>0.98899999999999999</v>
      </c>
      <c r="F95" s="2">
        <v>2</v>
      </c>
    </row>
    <row r="96" spans="1:6" ht="14.25" customHeight="1">
      <c r="A96" s="2">
        <v>37</v>
      </c>
      <c r="B96" s="2">
        <v>95</v>
      </c>
      <c r="C96" s="2">
        <v>7</v>
      </c>
      <c r="D96" s="2">
        <v>1</v>
      </c>
      <c r="E96" s="2">
        <v>0.95199999999999996</v>
      </c>
      <c r="F96" s="2">
        <v>2</v>
      </c>
    </row>
    <row r="97" spans="1:6" ht="14.25" customHeight="1">
      <c r="A97" s="2">
        <v>37</v>
      </c>
      <c r="B97" s="2">
        <v>96</v>
      </c>
      <c r="C97" s="2">
        <v>4</v>
      </c>
      <c r="D97" s="2">
        <v>1</v>
      </c>
      <c r="E97" s="2">
        <v>0.745</v>
      </c>
      <c r="F97" s="2">
        <v>1</v>
      </c>
    </row>
    <row r="98" spans="1:6" ht="14.25" customHeight="1">
      <c r="A98" s="2">
        <v>37</v>
      </c>
      <c r="B98" s="2">
        <v>97</v>
      </c>
      <c r="C98" s="2">
        <v>2</v>
      </c>
      <c r="D98" s="2">
        <v>0</v>
      </c>
      <c r="E98" s="2">
        <v>0.81699999999999995</v>
      </c>
      <c r="F98" s="2">
        <v>2</v>
      </c>
    </row>
    <row r="99" spans="1:6" ht="14.25" customHeight="1">
      <c r="A99" s="2">
        <v>37</v>
      </c>
      <c r="B99" s="2">
        <v>98</v>
      </c>
      <c r="C99" s="2">
        <v>5</v>
      </c>
      <c r="D99" s="2">
        <v>1</v>
      </c>
      <c r="E99" s="2">
        <v>1.1459999999999999</v>
      </c>
      <c r="F99" s="2">
        <v>1</v>
      </c>
    </row>
    <row r="100" spans="1:6" ht="14.25" customHeight="1">
      <c r="A100" s="2">
        <v>37</v>
      </c>
      <c r="B100" s="2">
        <v>99</v>
      </c>
      <c r="C100" s="2">
        <v>7</v>
      </c>
      <c r="D100" s="2">
        <v>0</v>
      </c>
      <c r="E100" s="2">
        <v>0.82399999999999995</v>
      </c>
      <c r="F100" s="2">
        <v>2</v>
      </c>
    </row>
    <row r="101" spans="1:6" ht="14.25" customHeight="1">
      <c r="A101" s="2">
        <v>37</v>
      </c>
      <c r="B101" s="2">
        <v>100</v>
      </c>
      <c r="C101" s="2">
        <v>8</v>
      </c>
      <c r="D101" s="2">
        <v>1</v>
      </c>
      <c r="E101" s="2">
        <v>0.96699999999999997</v>
      </c>
      <c r="F101" s="2">
        <v>2</v>
      </c>
    </row>
    <row r="102" spans="1:6" ht="14.25" customHeight="1">
      <c r="A102" s="2">
        <v>37</v>
      </c>
      <c r="B102" s="2">
        <v>101</v>
      </c>
      <c r="C102" s="2">
        <v>3</v>
      </c>
      <c r="D102" s="2">
        <v>1</v>
      </c>
      <c r="E102" s="2">
        <v>0.66800000000000004</v>
      </c>
      <c r="F102" s="2">
        <v>2</v>
      </c>
    </row>
    <row r="103" spans="1:6" ht="14.25" customHeight="1">
      <c r="A103" s="2">
        <v>37</v>
      </c>
      <c r="B103" s="2">
        <v>102</v>
      </c>
      <c r="C103" s="2">
        <v>2</v>
      </c>
      <c r="D103" s="2">
        <v>1</v>
      </c>
      <c r="E103" s="2">
        <v>0.72799999999999998</v>
      </c>
      <c r="F103" s="2">
        <v>2</v>
      </c>
    </row>
    <row r="104" spans="1:6" ht="14.25" customHeight="1">
      <c r="A104" s="2">
        <v>37</v>
      </c>
      <c r="B104" s="2">
        <v>103</v>
      </c>
      <c r="C104" s="2">
        <v>1</v>
      </c>
      <c r="D104" s="2">
        <v>1</v>
      </c>
      <c r="E104" s="2">
        <v>1.079</v>
      </c>
      <c r="F104" s="2">
        <v>1</v>
      </c>
    </row>
    <row r="105" spans="1:6" ht="14.25" customHeight="1">
      <c r="A105" s="2">
        <v>37</v>
      </c>
      <c r="B105" s="2">
        <v>104</v>
      </c>
      <c r="C105" s="2">
        <v>3</v>
      </c>
      <c r="D105" s="2">
        <v>1</v>
      </c>
      <c r="E105" s="2">
        <v>1.212</v>
      </c>
      <c r="F105" s="2">
        <v>2</v>
      </c>
    </row>
    <row r="106" spans="1:6" ht="14.25" customHeight="1">
      <c r="A106" s="2">
        <v>37</v>
      </c>
      <c r="B106" s="2">
        <v>105</v>
      </c>
      <c r="C106" s="2">
        <v>1</v>
      </c>
      <c r="D106" s="2">
        <v>1</v>
      </c>
      <c r="E106" s="2">
        <v>0.82699999999999996</v>
      </c>
      <c r="F106" s="2">
        <v>1</v>
      </c>
    </row>
    <row r="107" spans="1:6" ht="14.25" customHeight="1">
      <c r="A107" s="2">
        <v>37</v>
      </c>
      <c r="B107" s="2">
        <v>106</v>
      </c>
      <c r="C107" s="2">
        <v>7</v>
      </c>
      <c r="D107" s="2">
        <v>0</v>
      </c>
      <c r="E107" s="2">
        <v>1.149</v>
      </c>
      <c r="F107" s="2">
        <v>1</v>
      </c>
    </row>
    <row r="108" spans="1:6" ht="14.25" customHeight="1">
      <c r="A108" s="2">
        <v>37</v>
      </c>
      <c r="B108" s="2">
        <v>107</v>
      </c>
      <c r="C108" s="2">
        <v>6</v>
      </c>
      <c r="D108" s="2">
        <v>0</v>
      </c>
      <c r="E108" s="2">
        <v>1.5089999999999999</v>
      </c>
      <c r="F108" s="2">
        <v>2</v>
      </c>
    </row>
    <row r="109" spans="1:6" ht="14.25" customHeight="1">
      <c r="A109" s="2">
        <v>37</v>
      </c>
      <c r="B109" s="2">
        <v>108</v>
      </c>
      <c r="C109" s="2">
        <v>5</v>
      </c>
      <c r="D109" s="2">
        <v>0</v>
      </c>
      <c r="E109" s="2">
        <v>0.84399999999999997</v>
      </c>
      <c r="F109" s="2">
        <v>1</v>
      </c>
    </row>
    <row r="110" spans="1:6" ht="14.25" customHeight="1">
      <c r="A110" s="2">
        <v>37</v>
      </c>
      <c r="B110" s="2">
        <v>109</v>
      </c>
      <c r="C110" s="2">
        <v>2</v>
      </c>
      <c r="D110" s="2">
        <v>1</v>
      </c>
      <c r="E110" s="2">
        <v>0.91900000000000004</v>
      </c>
      <c r="F110" s="2">
        <v>1</v>
      </c>
    </row>
    <row r="111" spans="1:6" ht="14.25" customHeight="1">
      <c r="A111" s="2">
        <v>37</v>
      </c>
      <c r="B111" s="2">
        <v>110</v>
      </c>
      <c r="C111" s="2">
        <v>3</v>
      </c>
      <c r="D111" s="2">
        <v>1</v>
      </c>
      <c r="E111" s="2">
        <v>0.97899999999999998</v>
      </c>
      <c r="F111" s="2">
        <v>1</v>
      </c>
    </row>
    <row r="112" spans="1:6" ht="14.25" customHeight="1">
      <c r="A112" s="2">
        <v>37</v>
      </c>
      <c r="B112" s="2">
        <v>111</v>
      </c>
      <c r="C112" s="2">
        <v>7</v>
      </c>
      <c r="D112" s="2">
        <v>1</v>
      </c>
      <c r="E112" s="2">
        <v>1.282</v>
      </c>
      <c r="F112" s="2">
        <v>2</v>
      </c>
    </row>
    <row r="113" spans="1:6" ht="14.25" customHeight="1">
      <c r="A113" s="2">
        <v>37</v>
      </c>
      <c r="B113" s="2">
        <v>112</v>
      </c>
      <c r="C113" s="2">
        <v>5</v>
      </c>
      <c r="D113" s="2">
        <v>1</v>
      </c>
      <c r="E113" s="2">
        <v>1.079</v>
      </c>
      <c r="F113" s="2">
        <v>1</v>
      </c>
    </row>
    <row r="114" spans="1:6" ht="14.25" customHeight="1">
      <c r="A114" s="2">
        <v>37</v>
      </c>
      <c r="B114" s="2">
        <v>113</v>
      </c>
      <c r="C114" s="2">
        <v>3</v>
      </c>
      <c r="D114" s="2">
        <v>1</v>
      </c>
      <c r="E114" s="2">
        <v>0.84599999999999997</v>
      </c>
      <c r="F114" s="2">
        <v>1</v>
      </c>
    </row>
    <row r="115" spans="1:6" ht="14.25" customHeight="1">
      <c r="A115" s="2">
        <v>37</v>
      </c>
      <c r="B115" s="2">
        <v>114</v>
      </c>
      <c r="C115" s="2">
        <v>7</v>
      </c>
      <c r="D115" s="2">
        <v>1</v>
      </c>
      <c r="E115" s="2">
        <v>1.9750000000000001</v>
      </c>
      <c r="F115" s="2">
        <v>1</v>
      </c>
    </row>
    <row r="116" spans="1:6" ht="14.25" customHeight="1">
      <c r="A116" s="2">
        <v>37</v>
      </c>
      <c r="B116" s="2">
        <v>115</v>
      </c>
      <c r="C116" s="2">
        <v>6</v>
      </c>
      <c r="D116" s="2">
        <v>1</v>
      </c>
      <c r="E116" s="2">
        <v>1.399</v>
      </c>
      <c r="F116" s="2">
        <v>2</v>
      </c>
    </row>
    <row r="117" spans="1:6" ht="14.25" customHeight="1">
      <c r="A117" s="2">
        <v>37</v>
      </c>
      <c r="B117" s="2">
        <v>116</v>
      </c>
      <c r="C117" s="2">
        <v>5</v>
      </c>
      <c r="E117" s="2">
        <v>2</v>
      </c>
    </row>
    <row r="118" spans="1:6" ht="14.25" customHeight="1">
      <c r="A118" s="2">
        <v>37</v>
      </c>
      <c r="B118" s="2">
        <v>117</v>
      </c>
      <c r="C118" s="2">
        <v>8</v>
      </c>
      <c r="D118" s="2">
        <v>1</v>
      </c>
      <c r="E118" s="2">
        <v>1.0049999999999999</v>
      </c>
      <c r="F118" s="2">
        <v>1</v>
      </c>
    </row>
    <row r="119" spans="1:6" ht="14.25" customHeight="1">
      <c r="A119" s="2">
        <v>37</v>
      </c>
      <c r="B119" s="2">
        <v>118</v>
      </c>
      <c r="C119" s="2">
        <v>5</v>
      </c>
      <c r="D119" s="2">
        <v>0</v>
      </c>
      <c r="E119" s="2">
        <v>1.954</v>
      </c>
      <c r="F119" s="2">
        <v>1</v>
      </c>
    </row>
    <row r="120" spans="1:6" ht="14.25" customHeight="1">
      <c r="A120" s="2">
        <v>37</v>
      </c>
      <c r="B120" s="2">
        <v>119</v>
      </c>
      <c r="C120" s="2">
        <v>6</v>
      </c>
      <c r="D120" s="2">
        <v>1</v>
      </c>
      <c r="E120" s="2">
        <v>0.89700000000000002</v>
      </c>
      <c r="F120" s="2">
        <v>1</v>
      </c>
    </row>
    <row r="121" spans="1:6" ht="14.25" customHeight="1">
      <c r="A121" s="2">
        <v>37</v>
      </c>
      <c r="B121" s="2">
        <v>120</v>
      </c>
      <c r="C121" s="2">
        <v>1</v>
      </c>
      <c r="D121" s="2">
        <v>0</v>
      </c>
      <c r="E121" s="2">
        <v>1.647</v>
      </c>
      <c r="F121" s="2">
        <v>2</v>
      </c>
    </row>
    <row r="122" spans="1:6" ht="14.25" customHeight="1">
      <c r="A122" s="2">
        <v>37</v>
      </c>
      <c r="B122" s="2">
        <v>121</v>
      </c>
      <c r="C122" s="2">
        <v>2</v>
      </c>
      <c r="D122" s="2">
        <v>1</v>
      </c>
      <c r="E122" s="2">
        <v>0.63300000000000001</v>
      </c>
      <c r="F122" s="2">
        <v>2</v>
      </c>
    </row>
    <row r="123" spans="1:6" ht="14.25" customHeight="1">
      <c r="A123" s="2">
        <v>37</v>
      </c>
      <c r="B123" s="2">
        <v>122</v>
      </c>
      <c r="C123" s="2">
        <v>5</v>
      </c>
      <c r="D123" s="2">
        <v>0</v>
      </c>
      <c r="E123" s="2">
        <v>1.5860000000000001</v>
      </c>
      <c r="F123" s="2">
        <v>1</v>
      </c>
    </row>
    <row r="124" spans="1:6" ht="14.25" customHeight="1">
      <c r="A124" s="2">
        <v>37</v>
      </c>
      <c r="B124" s="2">
        <v>123</v>
      </c>
      <c r="C124" s="2">
        <v>4</v>
      </c>
      <c r="D124" s="2">
        <v>1</v>
      </c>
      <c r="E124" s="2">
        <v>0.69499999999999995</v>
      </c>
      <c r="F124" s="2">
        <v>1</v>
      </c>
    </row>
    <row r="125" spans="1:6" ht="14.25" customHeight="1">
      <c r="A125" s="2">
        <v>37</v>
      </c>
      <c r="B125" s="2">
        <v>124</v>
      </c>
      <c r="C125" s="2">
        <v>2</v>
      </c>
      <c r="D125" s="2">
        <v>1</v>
      </c>
      <c r="E125" s="2">
        <v>0.78400000000000003</v>
      </c>
      <c r="F125" s="2">
        <v>2</v>
      </c>
    </row>
    <row r="126" spans="1:6" ht="14.25" customHeight="1">
      <c r="A126" s="2">
        <v>37</v>
      </c>
      <c r="B126" s="2">
        <v>125</v>
      </c>
      <c r="C126" s="2">
        <v>1</v>
      </c>
      <c r="D126" s="2">
        <v>1</v>
      </c>
      <c r="E126" s="2">
        <v>1.081</v>
      </c>
      <c r="F126" s="2">
        <v>1</v>
      </c>
    </row>
    <row r="127" spans="1:6" ht="14.25" customHeight="1">
      <c r="A127" s="2">
        <v>37</v>
      </c>
      <c r="B127" s="2">
        <v>126</v>
      </c>
      <c r="C127" s="2">
        <v>2</v>
      </c>
      <c r="D127" s="2">
        <v>1</v>
      </c>
      <c r="E127" s="2">
        <v>0.68700000000000006</v>
      </c>
      <c r="F127" s="2">
        <v>2</v>
      </c>
    </row>
    <row r="128" spans="1:6" ht="14.25" customHeight="1">
      <c r="A128" s="2">
        <v>37</v>
      </c>
      <c r="B128" s="2">
        <v>127</v>
      </c>
      <c r="C128" s="2">
        <v>1</v>
      </c>
      <c r="D128" s="2">
        <v>1</v>
      </c>
      <c r="E128" s="2">
        <v>0.81399999999999995</v>
      </c>
      <c r="F128" s="2">
        <v>2</v>
      </c>
    </row>
    <row r="129" spans="1:6" ht="14.25" customHeight="1">
      <c r="A129" s="2">
        <v>37</v>
      </c>
      <c r="B129" s="2">
        <v>128</v>
      </c>
      <c r="C129" s="2">
        <v>4</v>
      </c>
      <c r="D129" s="2">
        <v>1</v>
      </c>
      <c r="E129" s="2">
        <v>0.85699999999999998</v>
      </c>
      <c r="F129" s="2">
        <v>1</v>
      </c>
    </row>
    <row r="130" spans="1:6" ht="14.25" customHeight="1">
      <c r="A130" s="2">
        <v>37</v>
      </c>
      <c r="B130" s="2">
        <v>129</v>
      </c>
      <c r="C130" s="2">
        <v>1</v>
      </c>
      <c r="D130" s="2">
        <v>1</v>
      </c>
      <c r="E130" s="2">
        <v>1.2070000000000001</v>
      </c>
      <c r="F130" s="2">
        <v>2</v>
      </c>
    </row>
    <row r="131" spans="1:6" ht="14.25" customHeight="1">
      <c r="A131" s="2">
        <v>37</v>
      </c>
      <c r="B131" s="2">
        <v>130</v>
      </c>
      <c r="C131" s="2">
        <v>7</v>
      </c>
      <c r="D131" s="2">
        <v>1</v>
      </c>
      <c r="E131" s="2">
        <v>0.79</v>
      </c>
      <c r="F131" s="2">
        <v>1</v>
      </c>
    </row>
    <row r="132" spans="1:6" ht="14.25" customHeight="1">
      <c r="A132" s="2">
        <v>37</v>
      </c>
      <c r="B132" s="2">
        <v>131</v>
      </c>
      <c r="C132" s="2">
        <v>6</v>
      </c>
      <c r="D132" s="2">
        <v>0</v>
      </c>
      <c r="E132" s="2">
        <v>1.359</v>
      </c>
      <c r="F132" s="2">
        <v>2</v>
      </c>
    </row>
    <row r="133" spans="1:6" ht="14.25" customHeight="1">
      <c r="A133" s="2">
        <v>37</v>
      </c>
      <c r="B133" s="2">
        <v>132</v>
      </c>
      <c r="C133" s="2">
        <v>8</v>
      </c>
      <c r="D133" s="2">
        <v>1</v>
      </c>
      <c r="E133" s="2">
        <v>1.01</v>
      </c>
      <c r="F133" s="2">
        <v>2</v>
      </c>
    </row>
    <row r="134" spans="1:6" ht="14.25" customHeight="1">
      <c r="A134" s="2">
        <v>37</v>
      </c>
      <c r="B134" s="2">
        <v>133</v>
      </c>
      <c r="C134" s="2">
        <v>4</v>
      </c>
      <c r="D134" s="2">
        <v>1</v>
      </c>
      <c r="E134" s="2">
        <v>1.04</v>
      </c>
      <c r="F134" s="2">
        <v>1</v>
      </c>
    </row>
    <row r="135" spans="1:6" ht="14.25" customHeight="1">
      <c r="A135" s="2">
        <v>37</v>
      </c>
      <c r="B135" s="2">
        <v>134</v>
      </c>
      <c r="C135" s="2">
        <v>5</v>
      </c>
      <c r="D135" s="2">
        <v>1</v>
      </c>
      <c r="E135" s="2">
        <v>0.80600000000000005</v>
      </c>
      <c r="F135" s="2">
        <v>2</v>
      </c>
    </row>
    <row r="136" spans="1:6" ht="14.25" customHeight="1">
      <c r="A136" s="2">
        <v>37</v>
      </c>
      <c r="B136" s="2">
        <v>135</v>
      </c>
      <c r="C136" s="2">
        <v>2</v>
      </c>
      <c r="D136" s="2">
        <v>1</v>
      </c>
      <c r="E136" s="2">
        <v>1.393</v>
      </c>
      <c r="F136" s="2">
        <v>2</v>
      </c>
    </row>
    <row r="137" spans="1:6" ht="14.25" customHeight="1">
      <c r="A137" s="2">
        <v>37</v>
      </c>
      <c r="B137" s="2">
        <v>136</v>
      </c>
      <c r="C137" s="2">
        <v>7</v>
      </c>
      <c r="D137" s="2">
        <v>1</v>
      </c>
      <c r="E137" s="2">
        <v>0.91100000000000003</v>
      </c>
      <c r="F137" s="2">
        <v>1</v>
      </c>
    </row>
    <row r="138" spans="1:6" ht="14.25" customHeight="1">
      <c r="A138" s="2">
        <v>37</v>
      </c>
      <c r="B138" s="2">
        <v>137</v>
      </c>
      <c r="C138" s="2">
        <v>8</v>
      </c>
      <c r="D138" s="2">
        <v>1</v>
      </c>
      <c r="E138" s="2">
        <v>0.72</v>
      </c>
      <c r="F138" s="2">
        <v>1</v>
      </c>
    </row>
    <row r="139" spans="1:6" ht="14.25" customHeight="1">
      <c r="A139" s="2">
        <v>37</v>
      </c>
      <c r="B139" s="2">
        <v>138</v>
      </c>
      <c r="C139" s="2">
        <v>3</v>
      </c>
      <c r="D139" s="2">
        <v>0</v>
      </c>
      <c r="E139" s="2">
        <v>0.94399999999999995</v>
      </c>
      <c r="F139" s="2">
        <v>1</v>
      </c>
    </row>
    <row r="140" spans="1:6" ht="14.25" customHeight="1">
      <c r="A140" s="2">
        <v>37</v>
      </c>
      <c r="B140" s="2">
        <v>139</v>
      </c>
      <c r="C140" s="2">
        <v>1</v>
      </c>
      <c r="D140" s="2">
        <v>1</v>
      </c>
      <c r="E140" s="2">
        <v>1.0089999999999999</v>
      </c>
      <c r="F140" s="2">
        <v>2</v>
      </c>
    </row>
    <row r="141" spans="1:6" ht="14.25" customHeight="1">
      <c r="A141" s="2">
        <v>37</v>
      </c>
      <c r="B141" s="2">
        <v>140</v>
      </c>
      <c r="C141" s="2">
        <v>6</v>
      </c>
      <c r="D141" s="2">
        <v>1</v>
      </c>
      <c r="E141" s="2">
        <v>0.73499999999999999</v>
      </c>
      <c r="F141" s="2">
        <v>2</v>
      </c>
    </row>
    <row r="142" spans="1:6" ht="14.25" customHeight="1">
      <c r="A142" s="2">
        <v>37</v>
      </c>
      <c r="B142" s="2">
        <v>141</v>
      </c>
      <c r="C142" s="2">
        <v>4</v>
      </c>
      <c r="D142" s="2">
        <v>1</v>
      </c>
      <c r="E142" s="2">
        <v>1.1020000000000001</v>
      </c>
      <c r="F142" s="2">
        <v>2</v>
      </c>
    </row>
    <row r="143" spans="1:6" ht="14.25" customHeight="1">
      <c r="A143" s="2">
        <v>37</v>
      </c>
      <c r="B143" s="2">
        <v>142</v>
      </c>
      <c r="C143" s="2">
        <v>8</v>
      </c>
      <c r="D143" s="2">
        <v>1</v>
      </c>
      <c r="E143" s="2">
        <v>1.3420000000000001</v>
      </c>
      <c r="F143" s="2">
        <v>1</v>
      </c>
    </row>
    <row r="144" spans="1:6" ht="14.25" customHeight="1">
      <c r="A144" s="2">
        <v>37</v>
      </c>
      <c r="B144" s="2">
        <v>143</v>
      </c>
      <c r="C144" s="2">
        <v>3</v>
      </c>
      <c r="D144" s="2">
        <v>1</v>
      </c>
      <c r="E144" s="2">
        <v>1.5569999999999999</v>
      </c>
      <c r="F144" s="2">
        <v>1</v>
      </c>
    </row>
    <row r="145" spans="1:6" ht="14.25" customHeight="1">
      <c r="A145" s="2">
        <v>37</v>
      </c>
      <c r="B145" s="2">
        <v>144</v>
      </c>
      <c r="C145" s="2">
        <v>8</v>
      </c>
      <c r="D145" s="2">
        <v>1</v>
      </c>
      <c r="E145" s="2">
        <v>0.61299999999999999</v>
      </c>
      <c r="F145" s="2">
        <v>2</v>
      </c>
    </row>
    <row r="146" spans="1:6" ht="14.25" customHeight="1">
      <c r="A146" s="2">
        <v>37</v>
      </c>
      <c r="B146" s="2">
        <v>145</v>
      </c>
      <c r="C146" s="2">
        <v>4</v>
      </c>
      <c r="D146" s="2">
        <v>1</v>
      </c>
      <c r="E146" s="2">
        <v>0.94299999999999995</v>
      </c>
      <c r="F146" s="2">
        <v>2</v>
      </c>
    </row>
    <row r="147" spans="1:6" ht="14.25" customHeight="1">
      <c r="A147" s="2">
        <v>37</v>
      </c>
      <c r="B147" s="2">
        <v>146</v>
      </c>
      <c r="C147" s="2">
        <v>7</v>
      </c>
      <c r="D147" s="2">
        <v>1</v>
      </c>
      <c r="E147" s="2">
        <v>0.96</v>
      </c>
      <c r="F147" s="2">
        <v>1</v>
      </c>
    </row>
    <row r="148" spans="1:6" ht="14.25" customHeight="1">
      <c r="A148" s="2">
        <v>37</v>
      </c>
      <c r="B148" s="2">
        <v>147</v>
      </c>
      <c r="C148" s="2">
        <v>6</v>
      </c>
      <c r="D148" s="2">
        <v>0</v>
      </c>
      <c r="E148" s="2">
        <v>1.41</v>
      </c>
      <c r="F148" s="2">
        <v>2</v>
      </c>
    </row>
    <row r="149" spans="1:6" ht="14.25" customHeight="1">
      <c r="A149" s="2">
        <v>37</v>
      </c>
      <c r="B149" s="2">
        <v>148</v>
      </c>
      <c r="C149" s="2">
        <v>3</v>
      </c>
      <c r="D149" s="2">
        <v>1</v>
      </c>
      <c r="E149" s="2">
        <v>1.518</v>
      </c>
      <c r="F149" s="2">
        <v>1</v>
      </c>
    </row>
    <row r="150" spans="1:6" ht="14.25" customHeight="1">
      <c r="A150" s="2">
        <v>37</v>
      </c>
      <c r="B150" s="2">
        <v>149</v>
      </c>
      <c r="C150" s="2">
        <v>8</v>
      </c>
      <c r="D150" s="2">
        <v>0</v>
      </c>
      <c r="E150" s="2">
        <v>1.601</v>
      </c>
      <c r="F150" s="2">
        <v>2</v>
      </c>
    </row>
    <row r="151" spans="1:6" ht="14.25" customHeight="1">
      <c r="A151" s="2">
        <v>37</v>
      </c>
      <c r="B151" s="2">
        <v>150</v>
      </c>
      <c r="C151" s="2">
        <v>4</v>
      </c>
      <c r="D151" s="2">
        <v>1</v>
      </c>
      <c r="E151" s="2">
        <v>1.0780000000000001</v>
      </c>
      <c r="F151" s="2">
        <v>2</v>
      </c>
    </row>
    <row r="152" spans="1:6" ht="14.25" customHeight="1">
      <c r="A152" s="2">
        <v>37</v>
      </c>
      <c r="B152" s="2">
        <v>151</v>
      </c>
      <c r="C152" s="2">
        <v>3</v>
      </c>
      <c r="D152" s="2">
        <v>1</v>
      </c>
      <c r="E152" s="2">
        <v>0.76300000000000001</v>
      </c>
      <c r="F152" s="2">
        <v>2</v>
      </c>
    </row>
    <row r="153" spans="1:6" ht="14.25" customHeight="1">
      <c r="A153" s="2">
        <v>37</v>
      </c>
      <c r="B153" s="2">
        <v>152</v>
      </c>
      <c r="C153" s="2">
        <v>6</v>
      </c>
      <c r="D153" s="2">
        <v>1</v>
      </c>
      <c r="E153" s="2">
        <v>0.751</v>
      </c>
      <c r="F153" s="2">
        <v>2</v>
      </c>
    </row>
    <row r="154" spans="1:6" ht="14.25" customHeight="1">
      <c r="A154" s="2">
        <v>37</v>
      </c>
      <c r="B154" s="2">
        <v>153</v>
      </c>
      <c r="C154" s="2">
        <v>5</v>
      </c>
      <c r="D154" s="2">
        <v>1</v>
      </c>
      <c r="E154" s="2">
        <v>1.145</v>
      </c>
      <c r="F154" s="2">
        <v>1</v>
      </c>
    </row>
    <row r="155" spans="1:6" ht="14.25" customHeight="1">
      <c r="A155" s="2">
        <v>37</v>
      </c>
      <c r="B155" s="2">
        <v>154</v>
      </c>
      <c r="C155" s="2">
        <v>2</v>
      </c>
      <c r="D155" s="2">
        <v>1</v>
      </c>
      <c r="E155" s="2">
        <v>1.091</v>
      </c>
      <c r="F155" s="2">
        <v>2</v>
      </c>
    </row>
    <row r="156" spans="1:6" ht="14.25" customHeight="1">
      <c r="A156" s="2">
        <v>37</v>
      </c>
      <c r="B156" s="2">
        <v>155</v>
      </c>
      <c r="C156" s="2">
        <v>8</v>
      </c>
      <c r="D156" s="2">
        <v>1</v>
      </c>
      <c r="E156" s="2">
        <v>0.92800000000000005</v>
      </c>
      <c r="F156" s="2">
        <v>1</v>
      </c>
    </row>
    <row r="157" spans="1:6" ht="14.25" customHeight="1">
      <c r="A157" s="2">
        <v>37</v>
      </c>
      <c r="B157" s="2">
        <v>156</v>
      </c>
      <c r="C157" s="2">
        <v>4</v>
      </c>
      <c r="D157" s="2">
        <v>1</v>
      </c>
      <c r="E157" s="2">
        <v>1.5169999999999999</v>
      </c>
      <c r="F157" s="2">
        <v>2</v>
      </c>
    </row>
    <row r="158" spans="1:6" ht="14.25" customHeight="1">
      <c r="A158" s="2">
        <v>37</v>
      </c>
      <c r="B158" s="2">
        <v>157</v>
      </c>
      <c r="C158" s="2">
        <v>3</v>
      </c>
      <c r="D158" s="2">
        <v>1</v>
      </c>
      <c r="E158" s="2">
        <v>1.0660000000000001</v>
      </c>
      <c r="F158" s="2">
        <v>1</v>
      </c>
    </row>
    <row r="159" spans="1:6" ht="14.25" customHeight="1">
      <c r="A159" s="2">
        <v>37</v>
      </c>
      <c r="B159" s="2">
        <v>158</v>
      </c>
      <c r="C159" s="2">
        <v>4</v>
      </c>
      <c r="D159" s="2">
        <v>1</v>
      </c>
      <c r="E159" s="2">
        <v>1.7509999999999999</v>
      </c>
      <c r="F159" s="2">
        <v>2</v>
      </c>
    </row>
    <row r="160" spans="1:6" ht="14.25" customHeight="1">
      <c r="A160" s="2">
        <v>37</v>
      </c>
      <c r="B160" s="2">
        <v>159</v>
      </c>
      <c r="C160" s="2">
        <v>3</v>
      </c>
      <c r="D160" s="2">
        <v>1</v>
      </c>
      <c r="E160" s="2">
        <v>0.78800000000000003</v>
      </c>
      <c r="F160" s="2">
        <v>1</v>
      </c>
    </row>
    <row r="161" spans="1:6" ht="14.25" customHeight="1">
      <c r="A161" s="2">
        <v>37</v>
      </c>
      <c r="B161" s="2">
        <v>160</v>
      </c>
      <c r="C161" s="2">
        <v>7</v>
      </c>
      <c r="D161" s="2">
        <v>1</v>
      </c>
      <c r="E161" s="2">
        <v>1.659</v>
      </c>
      <c r="F161" s="2">
        <v>1</v>
      </c>
    </row>
    <row r="162" spans="1:6" ht="14.25" customHeight="1">
      <c r="A162" s="2">
        <v>37</v>
      </c>
      <c r="B162" s="2">
        <v>161</v>
      </c>
      <c r="C162" s="2">
        <v>3</v>
      </c>
      <c r="D162" s="2">
        <v>1</v>
      </c>
      <c r="E162" s="2">
        <v>0.94599999999999995</v>
      </c>
      <c r="F162" s="2">
        <v>2</v>
      </c>
    </row>
    <row r="163" spans="1:6" ht="14.25" customHeight="1">
      <c r="A163" s="2">
        <v>37</v>
      </c>
      <c r="B163" s="2">
        <v>162</v>
      </c>
      <c r="C163" s="2">
        <v>8</v>
      </c>
      <c r="D163" s="2">
        <v>1</v>
      </c>
      <c r="E163" s="2">
        <v>0.99</v>
      </c>
      <c r="F163" s="2">
        <v>1</v>
      </c>
    </row>
    <row r="164" spans="1:6" ht="14.25" customHeight="1">
      <c r="A164" s="2">
        <v>37</v>
      </c>
      <c r="B164" s="2">
        <v>163</v>
      </c>
      <c r="C164" s="2">
        <v>5</v>
      </c>
      <c r="D164" s="2">
        <v>1</v>
      </c>
      <c r="E164" s="2">
        <v>0.93899999999999995</v>
      </c>
      <c r="F164" s="2">
        <v>1</v>
      </c>
    </row>
    <row r="165" spans="1:6" ht="14.25" customHeight="1">
      <c r="A165" s="2">
        <v>37</v>
      </c>
      <c r="B165" s="2">
        <v>164</v>
      </c>
      <c r="C165" s="2">
        <v>6</v>
      </c>
      <c r="D165" s="2">
        <v>1</v>
      </c>
      <c r="E165" s="2">
        <v>1.8979999999999999</v>
      </c>
      <c r="F165" s="2">
        <v>1</v>
      </c>
    </row>
    <row r="166" spans="1:6" ht="14.25" customHeight="1">
      <c r="A166" s="2">
        <v>37</v>
      </c>
      <c r="B166" s="2">
        <v>165</v>
      </c>
      <c r="C166" s="2">
        <v>1</v>
      </c>
      <c r="D166" s="2">
        <v>1</v>
      </c>
      <c r="E166" s="2">
        <v>1.7669999999999999</v>
      </c>
      <c r="F166" s="2">
        <v>2</v>
      </c>
    </row>
    <row r="167" spans="1:6" ht="14.25" customHeight="1">
      <c r="A167" s="2">
        <v>37</v>
      </c>
      <c r="B167" s="2">
        <v>166</v>
      </c>
      <c r="C167" s="2">
        <v>8</v>
      </c>
      <c r="D167" s="2">
        <v>1</v>
      </c>
      <c r="E167" s="2">
        <v>1.048</v>
      </c>
      <c r="F167" s="2">
        <v>1</v>
      </c>
    </row>
    <row r="168" spans="1:6" ht="14.25" customHeight="1">
      <c r="A168" s="2">
        <v>37</v>
      </c>
      <c r="B168" s="2">
        <v>167</v>
      </c>
      <c r="C168" s="2">
        <v>7</v>
      </c>
      <c r="D168" s="2">
        <v>1</v>
      </c>
      <c r="E168" s="2">
        <v>0.999</v>
      </c>
      <c r="F168" s="2">
        <v>1</v>
      </c>
    </row>
    <row r="169" spans="1:6" ht="14.25" customHeight="1">
      <c r="A169" s="2">
        <v>37</v>
      </c>
      <c r="B169" s="2">
        <v>168</v>
      </c>
      <c r="C169" s="2">
        <v>1</v>
      </c>
      <c r="D169" s="2">
        <v>1</v>
      </c>
      <c r="E169" s="2">
        <v>1.903</v>
      </c>
      <c r="F169" s="2">
        <v>2</v>
      </c>
    </row>
    <row r="170" spans="1:6" ht="14.25" customHeight="1">
      <c r="A170" s="2">
        <v>37</v>
      </c>
      <c r="B170" s="2">
        <v>169</v>
      </c>
      <c r="C170" s="2">
        <v>6</v>
      </c>
      <c r="D170" s="2">
        <v>1</v>
      </c>
      <c r="E170" s="2">
        <v>0.76</v>
      </c>
      <c r="F170" s="2">
        <v>1</v>
      </c>
    </row>
    <row r="171" spans="1:6" ht="14.25" customHeight="1">
      <c r="A171" s="2">
        <v>37</v>
      </c>
      <c r="B171" s="2">
        <v>170</v>
      </c>
      <c r="C171" s="2">
        <v>5</v>
      </c>
      <c r="D171" s="2">
        <v>1</v>
      </c>
      <c r="E171" s="2">
        <v>1.355</v>
      </c>
      <c r="F171" s="2">
        <v>1</v>
      </c>
    </row>
    <row r="172" spans="1:6" ht="14.25" customHeight="1">
      <c r="A172" s="2">
        <v>37</v>
      </c>
      <c r="B172" s="2">
        <v>171</v>
      </c>
      <c r="C172" s="2">
        <v>6</v>
      </c>
      <c r="D172" s="2">
        <v>1</v>
      </c>
      <c r="E172" s="2">
        <v>1.0609999999999999</v>
      </c>
      <c r="F172" s="2">
        <v>2</v>
      </c>
    </row>
    <row r="173" spans="1:6" ht="14.25" customHeight="1">
      <c r="A173" s="2">
        <v>37</v>
      </c>
      <c r="B173" s="2">
        <v>172</v>
      </c>
      <c r="C173" s="2">
        <v>4</v>
      </c>
      <c r="D173" s="2">
        <v>0</v>
      </c>
      <c r="E173" s="2">
        <v>1.9159999999999999</v>
      </c>
      <c r="F173" s="2">
        <v>1</v>
      </c>
    </row>
    <row r="174" spans="1:6" ht="14.25" customHeight="1">
      <c r="A174" s="2">
        <v>37</v>
      </c>
      <c r="B174" s="2">
        <v>173</v>
      </c>
      <c r="C174" s="2">
        <v>1</v>
      </c>
      <c r="D174" s="2">
        <v>1</v>
      </c>
      <c r="E174" s="2">
        <v>0.82099999999999995</v>
      </c>
      <c r="F174" s="2">
        <v>1</v>
      </c>
    </row>
    <row r="175" spans="1:6" ht="14.25" customHeight="1">
      <c r="A175" s="2">
        <v>37</v>
      </c>
      <c r="B175" s="2">
        <v>174</v>
      </c>
      <c r="C175" s="2">
        <v>8</v>
      </c>
      <c r="D175" s="2">
        <v>1</v>
      </c>
      <c r="E175" s="2">
        <v>0.90600000000000003</v>
      </c>
      <c r="F175" s="2">
        <v>2</v>
      </c>
    </row>
    <row r="176" spans="1:6" ht="14.25" customHeight="1">
      <c r="A176" s="2">
        <v>37</v>
      </c>
      <c r="B176" s="2">
        <v>175</v>
      </c>
      <c r="C176" s="2">
        <v>3</v>
      </c>
      <c r="D176" s="2">
        <v>1</v>
      </c>
      <c r="E176" s="2">
        <v>1.0229999999999999</v>
      </c>
      <c r="F176" s="2">
        <v>1</v>
      </c>
    </row>
    <row r="177" spans="1:6" ht="14.25" customHeight="1">
      <c r="A177" s="2">
        <v>37</v>
      </c>
      <c r="B177" s="2">
        <v>176</v>
      </c>
      <c r="C177" s="2">
        <v>2</v>
      </c>
      <c r="D177" s="2">
        <v>1</v>
      </c>
      <c r="E177" s="2">
        <v>0.89600000000000002</v>
      </c>
      <c r="F177" s="2">
        <v>2</v>
      </c>
    </row>
    <row r="178" spans="1:6" ht="14.25" customHeight="1">
      <c r="A178" s="2">
        <v>37</v>
      </c>
      <c r="B178" s="2">
        <v>177</v>
      </c>
      <c r="C178" s="2">
        <v>3</v>
      </c>
      <c r="D178" s="2">
        <v>1</v>
      </c>
      <c r="E178" s="2">
        <v>0.72699999999999998</v>
      </c>
      <c r="F178" s="2">
        <v>2</v>
      </c>
    </row>
    <row r="179" spans="1:6" ht="14.25" customHeight="1">
      <c r="A179" s="2">
        <v>37</v>
      </c>
      <c r="B179" s="2">
        <v>178</v>
      </c>
      <c r="C179" s="2">
        <v>1</v>
      </c>
      <c r="D179" s="2">
        <v>1</v>
      </c>
      <c r="E179" s="2">
        <v>0.81699999999999995</v>
      </c>
      <c r="F179" s="2">
        <v>1</v>
      </c>
    </row>
    <row r="180" spans="1:6" ht="14.25" customHeight="1">
      <c r="A180" s="2">
        <v>37</v>
      </c>
      <c r="B180" s="2">
        <v>179</v>
      </c>
      <c r="C180" s="2">
        <v>6</v>
      </c>
      <c r="E180" s="2">
        <v>2</v>
      </c>
    </row>
    <row r="181" spans="1:6" ht="14.25" customHeight="1">
      <c r="A181" s="2">
        <v>37</v>
      </c>
      <c r="B181" s="2">
        <v>180</v>
      </c>
      <c r="C181" s="2">
        <v>8</v>
      </c>
      <c r="D181" s="2">
        <v>1</v>
      </c>
      <c r="E181" s="2">
        <v>0.70899999999999996</v>
      </c>
      <c r="F181" s="2">
        <v>1</v>
      </c>
    </row>
    <row r="182" spans="1:6" ht="14.25" customHeight="1">
      <c r="A182" s="2">
        <v>37</v>
      </c>
      <c r="B182" s="2">
        <v>181</v>
      </c>
      <c r="C182" s="2">
        <v>7</v>
      </c>
      <c r="D182" s="2">
        <v>0</v>
      </c>
      <c r="E182" s="2">
        <v>1.4179999999999999</v>
      </c>
      <c r="F182" s="2">
        <v>2</v>
      </c>
    </row>
    <row r="183" spans="1:6" ht="14.25" customHeight="1">
      <c r="A183" s="2">
        <v>37</v>
      </c>
      <c r="B183" s="2">
        <v>182</v>
      </c>
      <c r="C183" s="2">
        <v>1</v>
      </c>
      <c r="D183" s="2">
        <v>1</v>
      </c>
      <c r="E183" s="2">
        <v>1.27</v>
      </c>
      <c r="F183" s="2">
        <v>2</v>
      </c>
    </row>
    <row r="184" spans="1:6" ht="14.25" customHeight="1">
      <c r="A184" s="2">
        <v>37</v>
      </c>
      <c r="B184" s="2">
        <v>183</v>
      </c>
      <c r="C184" s="2">
        <v>4</v>
      </c>
      <c r="D184" s="2">
        <v>1</v>
      </c>
      <c r="E184" s="2">
        <v>0.91</v>
      </c>
      <c r="F184" s="2">
        <v>1</v>
      </c>
    </row>
    <row r="185" spans="1:6" ht="14.25" customHeight="1">
      <c r="A185" s="2">
        <v>37</v>
      </c>
      <c r="B185" s="2">
        <v>184</v>
      </c>
      <c r="C185" s="2">
        <v>8</v>
      </c>
      <c r="D185" s="2">
        <v>1</v>
      </c>
      <c r="E185" s="2">
        <v>0.86599999999999999</v>
      </c>
      <c r="F185" s="2">
        <v>2</v>
      </c>
    </row>
    <row r="186" spans="1:6" ht="14.25" customHeight="1">
      <c r="A186" s="2">
        <v>37</v>
      </c>
      <c r="B186" s="2">
        <v>185</v>
      </c>
      <c r="C186" s="2">
        <v>2</v>
      </c>
      <c r="D186" s="2">
        <v>1</v>
      </c>
      <c r="E186" s="2">
        <v>1.5620000000000001</v>
      </c>
      <c r="F186" s="2">
        <v>2</v>
      </c>
    </row>
    <row r="187" spans="1:6" ht="14.25" customHeight="1">
      <c r="A187" s="2">
        <v>37</v>
      </c>
      <c r="B187" s="2">
        <v>186</v>
      </c>
      <c r="C187" s="2">
        <v>3</v>
      </c>
      <c r="D187" s="2">
        <v>1</v>
      </c>
      <c r="E187" s="2">
        <v>1.0289999999999999</v>
      </c>
      <c r="F187" s="2">
        <v>1</v>
      </c>
    </row>
    <row r="188" spans="1:6" ht="14.25" customHeight="1">
      <c r="A188" s="2">
        <v>37</v>
      </c>
      <c r="B188" s="2">
        <v>187</v>
      </c>
      <c r="C188" s="2">
        <v>4</v>
      </c>
      <c r="D188" s="2">
        <v>1</v>
      </c>
      <c r="E188" s="2">
        <v>0.96</v>
      </c>
      <c r="F188" s="2">
        <v>1</v>
      </c>
    </row>
    <row r="189" spans="1:6" ht="14.25" customHeight="1">
      <c r="A189" s="2">
        <v>37</v>
      </c>
      <c r="B189" s="2">
        <v>188</v>
      </c>
      <c r="C189" s="2">
        <v>2</v>
      </c>
      <c r="D189" s="2">
        <v>1</v>
      </c>
      <c r="E189" s="2">
        <v>0.93</v>
      </c>
      <c r="F189" s="2">
        <v>2</v>
      </c>
    </row>
    <row r="190" spans="1:6" ht="14.25" customHeight="1">
      <c r="A190" s="2">
        <v>37</v>
      </c>
      <c r="B190" s="2">
        <v>189</v>
      </c>
      <c r="C190" s="2">
        <v>6</v>
      </c>
      <c r="D190" s="2">
        <v>1</v>
      </c>
      <c r="E190" s="2">
        <v>0.92900000000000005</v>
      </c>
      <c r="F190" s="2">
        <v>2</v>
      </c>
    </row>
    <row r="191" spans="1:6" ht="14.25" customHeight="1">
      <c r="A191" s="2">
        <v>37</v>
      </c>
      <c r="B191" s="2">
        <v>190</v>
      </c>
      <c r="C191" s="2">
        <v>4</v>
      </c>
      <c r="D191" s="2">
        <v>1</v>
      </c>
      <c r="E191" s="2">
        <v>0.872</v>
      </c>
      <c r="F191" s="2">
        <v>2</v>
      </c>
    </row>
    <row r="192" spans="1:6" ht="14.25" customHeight="1">
      <c r="A192" s="2">
        <v>37</v>
      </c>
      <c r="B192" s="2">
        <v>191</v>
      </c>
      <c r="C192" s="2">
        <v>5</v>
      </c>
      <c r="D192" s="2">
        <v>1</v>
      </c>
      <c r="E192" s="2">
        <v>1.6859999999999999</v>
      </c>
      <c r="F192" s="2">
        <v>2</v>
      </c>
    </row>
    <row r="193" spans="1:6" ht="14.25" customHeight="1">
      <c r="A193" s="2">
        <v>37</v>
      </c>
      <c r="B193" s="2">
        <v>192</v>
      </c>
      <c r="C193" s="2">
        <v>7</v>
      </c>
      <c r="D193" s="2">
        <v>1</v>
      </c>
      <c r="E193" s="2">
        <v>0.872</v>
      </c>
      <c r="F193" s="2">
        <v>1</v>
      </c>
    </row>
    <row r="194" spans="1:6" ht="14.25" customHeight="1">
      <c r="A194" s="2">
        <v>37</v>
      </c>
      <c r="B194" s="2">
        <v>193</v>
      </c>
      <c r="C194" s="2">
        <v>1</v>
      </c>
      <c r="E194" s="2">
        <v>2.0009999999999999</v>
      </c>
    </row>
    <row r="195" spans="1:6" ht="14.25" customHeight="1">
      <c r="A195" s="2">
        <v>37</v>
      </c>
      <c r="B195" s="2">
        <v>194</v>
      </c>
      <c r="C195" s="2">
        <v>2</v>
      </c>
      <c r="D195" s="2">
        <v>1</v>
      </c>
      <c r="E195" s="2">
        <v>0.64200000000000002</v>
      </c>
      <c r="F195" s="2">
        <v>2</v>
      </c>
    </row>
    <row r="196" spans="1:6" ht="14.25" customHeight="1">
      <c r="A196" s="2">
        <v>37</v>
      </c>
      <c r="B196" s="2">
        <v>195</v>
      </c>
      <c r="C196" s="2">
        <v>1</v>
      </c>
      <c r="D196" s="2">
        <v>1</v>
      </c>
      <c r="E196" s="2">
        <v>1.2410000000000001</v>
      </c>
      <c r="F196" s="2">
        <v>2</v>
      </c>
    </row>
    <row r="197" spans="1:6" ht="14.25" customHeight="1">
      <c r="A197" s="2">
        <v>37</v>
      </c>
      <c r="B197" s="2">
        <v>196</v>
      </c>
      <c r="C197" s="2">
        <v>7</v>
      </c>
      <c r="D197" s="2">
        <v>1</v>
      </c>
      <c r="E197" s="2">
        <v>1.0649999999999999</v>
      </c>
      <c r="F197" s="2">
        <v>1</v>
      </c>
    </row>
    <row r="198" spans="1:6" ht="14.25" customHeight="1">
      <c r="A198" s="2">
        <v>37</v>
      </c>
      <c r="B198" s="2">
        <v>197</v>
      </c>
      <c r="C198" s="2">
        <v>5</v>
      </c>
      <c r="D198" s="2">
        <v>1</v>
      </c>
      <c r="E198" s="2">
        <v>0.58299999999999996</v>
      </c>
      <c r="F198" s="2">
        <v>1</v>
      </c>
    </row>
    <row r="199" spans="1:6" ht="14.25" customHeight="1">
      <c r="A199" s="2">
        <v>37</v>
      </c>
      <c r="B199" s="2">
        <v>198</v>
      </c>
      <c r="C199" s="2">
        <v>7</v>
      </c>
      <c r="D199" s="2">
        <v>1</v>
      </c>
      <c r="E199" s="2">
        <v>0.96199999999999997</v>
      </c>
      <c r="F199" s="2">
        <v>1</v>
      </c>
    </row>
    <row r="200" spans="1:6" ht="14.25" customHeight="1">
      <c r="A200" s="2">
        <v>37</v>
      </c>
      <c r="B200" s="2">
        <v>199</v>
      </c>
      <c r="C200" s="2">
        <v>5</v>
      </c>
      <c r="D200" s="2">
        <v>1</v>
      </c>
      <c r="E200" s="2">
        <v>1.4159999999999999</v>
      </c>
      <c r="F200" s="2">
        <v>1</v>
      </c>
    </row>
    <row r="201" spans="1:6" ht="14.25" customHeight="1">
      <c r="A201" s="2">
        <v>37</v>
      </c>
      <c r="B201" s="2">
        <v>200</v>
      </c>
      <c r="C201" s="2">
        <v>2</v>
      </c>
      <c r="D201" s="2">
        <v>1</v>
      </c>
      <c r="E201" s="2">
        <v>0.67100000000000004</v>
      </c>
      <c r="F201" s="2">
        <v>2</v>
      </c>
    </row>
    <row r="202" spans="1:6" ht="14.25" customHeight="1">
      <c r="A202" s="2">
        <v>37</v>
      </c>
      <c r="B202" s="2">
        <v>201</v>
      </c>
      <c r="C202" s="2">
        <v>7</v>
      </c>
      <c r="D202" s="2">
        <v>1</v>
      </c>
      <c r="E202" s="2">
        <v>0.67800000000000005</v>
      </c>
      <c r="F202" s="2">
        <v>2</v>
      </c>
    </row>
    <row r="203" spans="1:6" ht="14.25" customHeight="1">
      <c r="A203" s="2">
        <v>37</v>
      </c>
      <c r="B203" s="2">
        <v>202</v>
      </c>
      <c r="C203" s="2">
        <v>3</v>
      </c>
      <c r="D203" s="2">
        <v>1</v>
      </c>
      <c r="E203" s="2">
        <v>0.78800000000000003</v>
      </c>
      <c r="F203" s="2">
        <v>2</v>
      </c>
    </row>
    <row r="204" spans="1:6" ht="14.25" customHeight="1">
      <c r="A204" s="2">
        <v>37</v>
      </c>
      <c r="B204" s="2">
        <v>203</v>
      </c>
      <c r="C204" s="2">
        <v>5</v>
      </c>
      <c r="D204" s="2">
        <v>1</v>
      </c>
      <c r="E204" s="2">
        <v>1.115</v>
      </c>
      <c r="F204" s="2">
        <v>1</v>
      </c>
    </row>
    <row r="205" spans="1:6" ht="14.25" customHeight="1">
      <c r="A205" s="2">
        <v>37</v>
      </c>
      <c r="B205" s="2">
        <v>204</v>
      </c>
      <c r="C205" s="2">
        <v>4</v>
      </c>
      <c r="D205" s="2">
        <v>1</v>
      </c>
      <c r="E205" s="2">
        <v>0.66600000000000004</v>
      </c>
      <c r="F205" s="2">
        <v>2</v>
      </c>
    </row>
    <row r="206" spans="1:6" ht="14.25" customHeight="1">
      <c r="A206" s="2">
        <v>37</v>
      </c>
      <c r="B206" s="2">
        <v>205</v>
      </c>
      <c r="C206" s="2">
        <v>7</v>
      </c>
      <c r="D206" s="2">
        <v>1</v>
      </c>
      <c r="E206" s="2">
        <v>0.72699999999999998</v>
      </c>
      <c r="F206" s="2">
        <v>1</v>
      </c>
    </row>
    <row r="207" spans="1:6" ht="14.25" customHeight="1">
      <c r="A207" s="2">
        <v>37</v>
      </c>
      <c r="B207" s="2">
        <v>206</v>
      </c>
      <c r="C207" s="2">
        <v>3</v>
      </c>
      <c r="D207" s="2">
        <v>0</v>
      </c>
      <c r="E207" s="2">
        <v>1.335</v>
      </c>
      <c r="F207" s="2">
        <v>1</v>
      </c>
    </row>
    <row r="208" spans="1:6" ht="14.25" customHeight="1">
      <c r="A208" s="2">
        <v>37</v>
      </c>
      <c r="B208" s="2">
        <v>207</v>
      </c>
      <c r="C208" s="2">
        <v>6</v>
      </c>
      <c r="D208" s="2">
        <v>0</v>
      </c>
      <c r="E208" s="2">
        <v>1.5369999999999999</v>
      </c>
      <c r="F208" s="2">
        <v>2</v>
      </c>
    </row>
    <row r="209" spans="1:6" ht="14.25" customHeight="1">
      <c r="A209" s="2">
        <v>37</v>
      </c>
      <c r="B209" s="2">
        <v>208</v>
      </c>
      <c r="C209" s="2">
        <v>4</v>
      </c>
      <c r="D209" s="2">
        <v>1</v>
      </c>
      <c r="E209" s="2">
        <v>0.96099999999999997</v>
      </c>
      <c r="F209" s="2">
        <v>2</v>
      </c>
    </row>
    <row r="210" spans="1:6" ht="14.25" customHeight="1">
      <c r="A210" s="2">
        <v>37</v>
      </c>
      <c r="B210" s="2">
        <v>209</v>
      </c>
      <c r="C210" s="2">
        <v>5</v>
      </c>
      <c r="D210" s="2">
        <v>1</v>
      </c>
      <c r="E210" s="2">
        <v>0.75600000000000001</v>
      </c>
      <c r="F210" s="2">
        <v>1</v>
      </c>
    </row>
    <row r="211" spans="1:6" ht="14.25" customHeight="1">
      <c r="A211" s="2">
        <v>37</v>
      </c>
      <c r="B211" s="2">
        <v>210</v>
      </c>
      <c r="C211" s="2">
        <v>6</v>
      </c>
      <c r="D211" s="2">
        <v>1</v>
      </c>
      <c r="E211" s="2">
        <v>0.68700000000000006</v>
      </c>
      <c r="F211" s="2">
        <v>1</v>
      </c>
    </row>
    <row r="212" spans="1:6" ht="14.25" customHeight="1">
      <c r="A212" s="2">
        <v>37</v>
      </c>
      <c r="B212" s="2">
        <v>211</v>
      </c>
      <c r="C212" s="2">
        <v>3</v>
      </c>
      <c r="D212" s="2">
        <v>1</v>
      </c>
      <c r="E212" s="2">
        <v>1.3979999999999999</v>
      </c>
      <c r="F212" s="2">
        <v>2</v>
      </c>
    </row>
    <row r="213" spans="1:6" ht="14.25" customHeight="1">
      <c r="A213" s="2">
        <v>37</v>
      </c>
      <c r="B213" s="2">
        <v>212</v>
      </c>
      <c r="C213" s="2">
        <v>1</v>
      </c>
      <c r="D213" s="2">
        <v>1</v>
      </c>
      <c r="E213" s="2">
        <v>0.86499999999999999</v>
      </c>
      <c r="F213" s="2">
        <v>1</v>
      </c>
    </row>
    <row r="214" spans="1:6" ht="14.25" customHeight="1">
      <c r="A214" s="2">
        <v>37</v>
      </c>
      <c r="B214" s="2">
        <v>213</v>
      </c>
      <c r="C214" s="2">
        <v>7</v>
      </c>
      <c r="D214" s="2">
        <v>1</v>
      </c>
      <c r="E214" s="2">
        <v>0.65700000000000003</v>
      </c>
      <c r="F214" s="2">
        <v>1</v>
      </c>
    </row>
    <row r="215" spans="1:6" ht="14.25" customHeight="1">
      <c r="A215" s="2">
        <v>37</v>
      </c>
      <c r="B215" s="2">
        <v>214</v>
      </c>
      <c r="C215" s="2">
        <v>8</v>
      </c>
      <c r="D215" s="2">
        <v>1</v>
      </c>
      <c r="E215" s="2">
        <v>1.095</v>
      </c>
      <c r="F215" s="2">
        <v>1</v>
      </c>
    </row>
    <row r="216" spans="1:6" ht="14.25" customHeight="1">
      <c r="A216" s="2">
        <v>37</v>
      </c>
      <c r="B216" s="2">
        <v>215</v>
      </c>
      <c r="C216" s="2">
        <v>7</v>
      </c>
      <c r="D216" s="2">
        <v>0</v>
      </c>
      <c r="E216" s="2">
        <v>1.1519999999999999</v>
      </c>
      <c r="F216" s="2">
        <v>1</v>
      </c>
    </row>
    <row r="217" spans="1:6" ht="14.25" customHeight="1">
      <c r="A217" s="2">
        <v>37</v>
      </c>
      <c r="B217" s="2">
        <v>216</v>
      </c>
      <c r="C217" s="2">
        <v>2</v>
      </c>
      <c r="D217" s="2">
        <v>1</v>
      </c>
      <c r="E217" s="2">
        <v>0.96099999999999997</v>
      </c>
      <c r="F217" s="2">
        <v>1</v>
      </c>
    </row>
    <row r="218" spans="1:6" ht="14.25" customHeight="1">
      <c r="A218" s="2">
        <v>37</v>
      </c>
      <c r="B218" s="2">
        <v>217</v>
      </c>
      <c r="C218" s="2">
        <v>7</v>
      </c>
      <c r="D218" s="2">
        <v>0</v>
      </c>
      <c r="E218" s="2">
        <v>0.65</v>
      </c>
      <c r="F218" s="2">
        <v>2</v>
      </c>
    </row>
    <row r="219" spans="1:6" ht="14.25" customHeight="1">
      <c r="A219" s="2">
        <v>37</v>
      </c>
      <c r="B219" s="2">
        <v>218</v>
      </c>
      <c r="C219" s="2">
        <v>3</v>
      </c>
      <c r="D219" s="2">
        <v>0</v>
      </c>
      <c r="E219" s="2">
        <v>1.014</v>
      </c>
      <c r="F219" s="2">
        <v>1</v>
      </c>
    </row>
    <row r="220" spans="1:6" ht="14.25" customHeight="1">
      <c r="A220" s="2">
        <v>37</v>
      </c>
      <c r="B220" s="2">
        <v>219</v>
      </c>
      <c r="C220" s="2">
        <v>2</v>
      </c>
      <c r="D220" s="2">
        <v>1</v>
      </c>
      <c r="E220" s="2">
        <v>0.70799999999999996</v>
      </c>
      <c r="F220" s="2">
        <v>1</v>
      </c>
    </row>
    <row r="221" spans="1:6" ht="14.25" customHeight="1">
      <c r="A221" s="2">
        <v>37</v>
      </c>
      <c r="B221" s="2">
        <v>220</v>
      </c>
      <c r="C221" s="2">
        <v>8</v>
      </c>
      <c r="D221" s="2">
        <v>1</v>
      </c>
      <c r="E221" s="2">
        <v>1.3049999999999999</v>
      </c>
      <c r="F221" s="2">
        <v>1</v>
      </c>
    </row>
    <row r="222" spans="1:6" ht="14.25" customHeight="1">
      <c r="A222" s="2">
        <v>37</v>
      </c>
      <c r="B222" s="2">
        <v>221</v>
      </c>
      <c r="C222" s="2">
        <v>1</v>
      </c>
      <c r="D222" s="2">
        <v>1</v>
      </c>
      <c r="E222" s="2">
        <v>0.77900000000000003</v>
      </c>
      <c r="F222" s="2">
        <v>2</v>
      </c>
    </row>
    <row r="223" spans="1:6" ht="14.25" customHeight="1">
      <c r="A223" s="2">
        <v>37</v>
      </c>
      <c r="B223" s="2">
        <v>222</v>
      </c>
      <c r="C223" s="2">
        <v>3</v>
      </c>
      <c r="D223" s="2">
        <v>0</v>
      </c>
      <c r="E223" s="2">
        <v>1.3520000000000001</v>
      </c>
      <c r="F223" s="2">
        <v>1</v>
      </c>
    </row>
    <row r="224" spans="1:6" ht="14.25" customHeight="1">
      <c r="A224" s="2">
        <v>37</v>
      </c>
      <c r="B224" s="2">
        <v>223</v>
      </c>
      <c r="C224" s="2">
        <v>4</v>
      </c>
      <c r="D224" s="2">
        <v>1</v>
      </c>
      <c r="E224" s="2">
        <v>0.77900000000000003</v>
      </c>
      <c r="F224" s="2">
        <v>1</v>
      </c>
    </row>
    <row r="225" spans="1:6" ht="14.25" customHeight="1">
      <c r="A225" s="2">
        <v>37</v>
      </c>
      <c r="B225" s="2">
        <v>224</v>
      </c>
      <c r="C225" s="2">
        <v>7</v>
      </c>
      <c r="D225" s="2">
        <v>1</v>
      </c>
      <c r="E225" s="2">
        <v>0.71299999999999997</v>
      </c>
      <c r="F225" s="2">
        <v>2</v>
      </c>
    </row>
    <row r="226" spans="1:6" ht="14.25" customHeight="1">
      <c r="A226" s="2">
        <v>37</v>
      </c>
      <c r="B226" s="2">
        <v>225</v>
      </c>
      <c r="C226" s="2">
        <v>6</v>
      </c>
      <c r="D226" s="2">
        <v>1</v>
      </c>
      <c r="E226" s="2">
        <v>1.27</v>
      </c>
      <c r="F226" s="2">
        <v>1</v>
      </c>
    </row>
    <row r="227" spans="1:6" ht="14.25" customHeight="1">
      <c r="A227" s="2">
        <v>37</v>
      </c>
      <c r="B227" s="2">
        <v>226</v>
      </c>
      <c r="C227" s="2">
        <v>5</v>
      </c>
      <c r="D227" s="2">
        <v>1</v>
      </c>
      <c r="E227" s="2">
        <v>0.97399999999999998</v>
      </c>
      <c r="F227" s="2">
        <v>2</v>
      </c>
    </row>
    <row r="228" spans="1:6" ht="14.25" customHeight="1">
      <c r="A228" s="2">
        <v>37</v>
      </c>
      <c r="B228" s="2">
        <v>227</v>
      </c>
      <c r="C228" s="2">
        <v>8</v>
      </c>
      <c r="D228" s="2">
        <v>1</v>
      </c>
      <c r="E228" s="2">
        <v>0.83</v>
      </c>
      <c r="F228" s="2">
        <v>2</v>
      </c>
    </row>
    <row r="229" spans="1:6" ht="14.25" customHeight="1">
      <c r="A229" s="2">
        <v>37</v>
      </c>
      <c r="B229" s="2">
        <v>228</v>
      </c>
      <c r="C229" s="2">
        <v>1</v>
      </c>
      <c r="D229" s="2">
        <v>1</v>
      </c>
      <c r="E229" s="2">
        <v>1.048</v>
      </c>
      <c r="F229" s="2">
        <v>1</v>
      </c>
    </row>
    <row r="230" spans="1:6" ht="14.25" customHeight="1">
      <c r="A230" s="2">
        <v>37</v>
      </c>
      <c r="B230" s="2">
        <v>229</v>
      </c>
      <c r="C230" s="2">
        <v>4</v>
      </c>
      <c r="D230" s="2">
        <v>1</v>
      </c>
      <c r="E230" s="2">
        <v>1.198</v>
      </c>
      <c r="F230" s="2">
        <v>2</v>
      </c>
    </row>
    <row r="231" spans="1:6" ht="14.25" customHeight="1">
      <c r="A231" s="2">
        <v>37</v>
      </c>
      <c r="B231" s="2">
        <v>230</v>
      </c>
      <c r="C231" s="2">
        <v>2</v>
      </c>
      <c r="D231" s="2">
        <v>1</v>
      </c>
      <c r="E231" s="2">
        <v>0.86499999999999999</v>
      </c>
      <c r="F231" s="2">
        <v>1</v>
      </c>
    </row>
    <row r="232" spans="1:6" ht="14.25" customHeight="1">
      <c r="A232" s="2">
        <v>37</v>
      </c>
      <c r="B232" s="2">
        <v>231</v>
      </c>
      <c r="C232" s="2">
        <v>1</v>
      </c>
      <c r="D232" s="2">
        <v>1</v>
      </c>
      <c r="E232" s="2">
        <v>1.2569999999999999</v>
      </c>
      <c r="F232" s="2">
        <v>1</v>
      </c>
    </row>
    <row r="233" spans="1:6" ht="14.25" customHeight="1">
      <c r="A233" s="2">
        <v>37</v>
      </c>
      <c r="B233" s="2">
        <v>232</v>
      </c>
      <c r="C233" s="2">
        <v>8</v>
      </c>
      <c r="D233" s="2">
        <v>1</v>
      </c>
      <c r="E233" s="2">
        <v>1.0129999999999999</v>
      </c>
      <c r="F233" s="2">
        <v>2</v>
      </c>
    </row>
    <row r="234" spans="1:6" ht="14.25" customHeight="1">
      <c r="A234" s="2">
        <v>37</v>
      </c>
      <c r="B234" s="2">
        <v>233</v>
      </c>
      <c r="C234" s="2">
        <v>6</v>
      </c>
      <c r="D234" s="2">
        <v>1</v>
      </c>
      <c r="E234" s="2">
        <v>1.883</v>
      </c>
      <c r="F234" s="2">
        <v>1</v>
      </c>
    </row>
    <row r="235" spans="1:6" ht="14.25" customHeight="1">
      <c r="A235" s="2">
        <v>37</v>
      </c>
      <c r="B235" s="2">
        <v>234</v>
      </c>
      <c r="C235" s="2">
        <v>5</v>
      </c>
      <c r="D235" s="2">
        <v>1</v>
      </c>
      <c r="E235" s="2">
        <v>0.91200000000000003</v>
      </c>
      <c r="F235" s="2">
        <v>2</v>
      </c>
    </row>
    <row r="236" spans="1:6" ht="14.25" customHeight="1">
      <c r="A236" s="2">
        <v>37</v>
      </c>
      <c r="B236" s="2">
        <v>235</v>
      </c>
      <c r="C236" s="2">
        <v>6</v>
      </c>
      <c r="E236" s="2">
        <v>2.0009999999999999</v>
      </c>
    </row>
    <row r="237" spans="1:6" ht="14.25" customHeight="1">
      <c r="A237" s="2">
        <v>37</v>
      </c>
      <c r="B237" s="2">
        <v>236</v>
      </c>
      <c r="C237" s="2">
        <v>1</v>
      </c>
      <c r="D237" s="2">
        <v>1</v>
      </c>
      <c r="E237" s="2">
        <v>1.7889999999999999</v>
      </c>
      <c r="F237" s="2">
        <v>1</v>
      </c>
    </row>
    <row r="238" spans="1:6" ht="14.25" customHeight="1">
      <c r="A238" s="2">
        <v>37</v>
      </c>
      <c r="B238" s="2">
        <v>237</v>
      </c>
      <c r="C238" s="2">
        <v>8</v>
      </c>
      <c r="D238" s="2">
        <v>1</v>
      </c>
      <c r="E238" s="2">
        <v>0.97099999999999997</v>
      </c>
      <c r="F238" s="2">
        <v>1</v>
      </c>
    </row>
    <row r="239" spans="1:6" ht="14.25" customHeight="1">
      <c r="A239" s="2">
        <v>37</v>
      </c>
      <c r="B239" s="2">
        <v>238</v>
      </c>
      <c r="C239" s="2">
        <v>3</v>
      </c>
      <c r="D239" s="2">
        <v>0</v>
      </c>
      <c r="E239" s="2">
        <v>1.6850000000000001</v>
      </c>
      <c r="F239" s="2">
        <v>1</v>
      </c>
    </row>
    <row r="240" spans="1:6" ht="14.25" customHeight="1">
      <c r="A240" s="2">
        <v>37</v>
      </c>
      <c r="B240" s="2">
        <v>239</v>
      </c>
      <c r="C240" s="2">
        <v>2</v>
      </c>
      <c r="D240" s="2">
        <v>1</v>
      </c>
      <c r="E240" s="2">
        <v>1.1020000000000001</v>
      </c>
      <c r="F240" s="2">
        <v>2</v>
      </c>
    </row>
    <row r="241" spans="1:6" ht="14.25" customHeight="1">
      <c r="A241" s="2">
        <v>37</v>
      </c>
      <c r="B241" s="2">
        <v>240</v>
      </c>
      <c r="C241" s="2">
        <v>4</v>
      </c>
      <c r="D241" s="2">
        <v>1</v>
      </c>
      <c r="E241" s="2">
        <v>0.61799999999999999</v>
      </c>
      <c r="F241" s="2">
        <v>2</v>
      </c>
    </row>
    <row r="242" spans="1:6" ht="14.25" customHeight="1">
      <c r="A242" s="2">
        <v>37</v>
      </c>
      <c r="B242" s="2">
        <v>241</v>
      </c>
      <c r="C242" s="2">
        <v>2</v>
      </c>
      <c r="D242" s="2">
        <v>1</v>
      </c>
      <c r="E242" s="2">
        <v>0.84599999999999997</v>
      </c>
      <c r="F242" s="2">
        <v>2</v>
      </c>
    </row>
    <row r="243" spans="1:6" ht="14.25" customHeight="1">
      <c r="A243" s="2">
        <v>37</v>
      </c>
      <c r="B243" s="2">
        <v>242</v>
      </c>
      <c r="C243" s="2">
        <v>1</v>
      </c>
      <c r="D243" s="2">
        <v>1</v>
      </c>
      <c r="E243" s="2">
        <v>1.151</v>
      </c>
      <c r="F243" s="2">
        <v>1</v>
      </c>
    </row>
    <row r="244" spans="1:6" ht="14.25" customHeight="1">
      <c r="A244" s="2">
        <v>37</v>
      </c>
      <c r="B244" s="2">
        <v>243</v>
      </c>
      <c r="C244" s="2">
        <v>5</v>
      </c>
      <c r="D244" s="2">
        <v>1</v>
      </c>
      <c r="E244" s="2">
        <v>0.68</v>
      </c>
      <c r="F244" s="2">
        <v>1</v>
      </c>
    </row>
    <row r="245" spans="1:6" ht="14.25" customHeight="1">
      <c r="A245" s="2">
        <v>37</v>
      </c>
      <c r="B245" s="2">
        <v>244</v>
      </c>
      <c r="C245" s="2">
        <v>6</v>
      </c>
      <c r="D245" s="2">
        <v>1</v>
      </c>
      <c r="E245" s="2">
        <v>0.71199999999999997</v>
      </c>
      <c r="F245" s="2">
        <v>2</v>
      </c>
    </row>
    <row r="246" spans="1:6" ht="14.25" customHeight="1">
      <c r="A246" s="2">
        <v>37</v>
      </c>
      <c r="B246" s="2">
        <v>245</v>
      </c>
      <c r="C246" s="2">
        <v>1</v>
      </c>
      <c r="D246" s="2">
        <v>1</v>
      </c>
      <c r="E246" s="2">
        <v>1.0860000000000001</v>
      </c>
      <c r="F246" s="2">
        <v>2</v>
      </c>
    </row>
    <row r="247" spans="1:6" ht="14.25" customHeight="1">
      <c r="A247" s="2">
        <v>37</v>
      </c>
      <c r="B247" s="2">
        <v>246</v>
      </c>
      <c r="C247" s="2">
        <v>3</v>
      </c>
      <c r="D247" s="2">
        <v>1</v>
      </c>
      <c r="E247" s="2">
        <v>0.78200000000000003</v>
      </c>
      <c r="F247" s="2">
        <v>1</v>
      </c>
    </row>
    <row r="248" spans="1:6" ht="14.25" customHeight="1">
      <c r="A248" s="2">
        <v>37</v>
      </c>
      <c r="B248" s="2">
        <v>247</v>
      </c>
      <c r="C248" s="2">
        <v>4</v>
      </c>
      <c r="D248" s="2">
        <v>1</v>
      </c>
      <c r="E248" s="2">
        <v>1.6839999999999999</v>
      </c>
      <c r="F248" s="2">
        <v>1</v>
      </c>
    </row>
    <row r="249" spans="1:6" ht="14.25" customHeight="1">
      <c r="A249" s="2">
        <v>37</v>
      </c>
      <c r="B249" s="2">
        <v>248</v>
      </c>
      <c r="C249" s="2">
        <v>2</v>
      </c>
      <c r="D249" s="2">
        <v>1</v>
      </c>
      <c r="E249" s="2">
        <v>1.393</v>
      </c>
      <c r="F249" s="2">
        <v>1</v>
      </c>
    </row>
    <row r="250" spans="1:6" ht="14.25" customHeight="1">
      <c r="A250" s="2">
        <v>37</v>
      </c>
      <c r="B250" s="2">
        <v>249</v>
      </c>
      <c r="C250" s="2">
        <v>8</v>
      </c>
      <c r="D250" s="2">
        <v>1</v>
      </c>
      <c r="E250" s="2">
        <v>1.0069999999999999</v>
      </c>
      <c r="F250" s="2">
        <v>1</v>
      </c>
    </row>
    <row r="251" spans="1:6" ht="14.25" customHeight="1">
      <c r="A251" s="2">
        <v>37</v>
      </c>
      <c r="B251" s="2">
        <v>250</v>
      </c>
      <c r="C251" s="2">
        <v>5</v>
      </c>
      <c r="D251" s="2">
        <v>1</v>
      </c>
      <c r="E251" s="2">
        <v>0.78500000000000003</v>
      </c>
      <c r="F251" s="2">
        <v>2</v>
      </c>
    </row>
    <row r="252" spans="1:6" ht="14.25" customHeight="1">
      <c r="A252" s="2">
        <v>37</v>
      </c>
      <c r="B252" s="2">
        <v>251</v>
      </c>
      <c r="C252" s="2">
        <v>1</v>
      </c>
      <c r="D252" s="2">
        <v>1</v>
      </c>
      <c r="E252" s="2">
        <v>0.56100000000000005</v>
      </c>
      <c r="F252" s="2">
        <v>2</v>
      </c>
    </row>
    <row r="253" spans="1:6" ht="14.25" customHeight="1">
      <c r="A253" s="2">
        <v>37</v>
      </c>
      <c r="B253" s="2">
        <v>252</v>
      </c>
      <c r="C253" s="2">
        <v>5</v>
      </c>
      <c r="D253" s="2">
        <v>1</v>
      </c>
      <c r="E253" s="2">
        <v>0.70799999999999996</v>
      </c>
      <c r="F253" s="2">
        <v>2</v>
      </c>
    </row>
    <row r="254" spans="1:6" ht="14.25" customHeight="1">
      <c r="A254" s="2">
        <v>37</v>
      </c>
      <c r="B254" s="2">
        <v>253</v>
      </c>
      <c r="C254" s="2">
        <v>4</v>
      </c>
      <c r="D254" s="2">
        <v>1</v>
      </c>
      <c r="E254" s="2">
        <v>1.002</v>
      </c>
      <c r="F254" s="2">
        <v>1</v>
      </c>
    </row>
    <row r="255" spans="1:6" ht="14.25" customHeight="1">
      <c r="A255" s="2">
        <v>37</v>
      </c>
      <c r="B255" s="2">
        <v>254</v>
      </c>
      <c r="C255" s="2">
        <v>2</v>
      </c>
      <c r="D255" s="2">
        <v>1</v>
      </c>
      <c r="E255" s="2">
        <v>0.63300000000000001</v>
      </c>
      <c r="F255" s="2">
        <v>2</v>
      </c>
    </row>
    <row r="256" spans="1:6" ht="14.25" customHeight="1">
      <c r="A256" s="2">
        <v>37</v>
      </c>
      <c r="B256" s="2">
        <v>255</v>
      </c>
      <c r="C256" s="2">
        <v>3</v>
      </c>
      <c r="D256" s="2">
        <v>1</v>
      </c>
      <c r="E256" s="2">
        <v>0.83199999999999996</v>
      </c>
      <c r="F256" s="2">
        <v>1</v>
      </c>
    </row>
    <row r="257" spans="1:6" ht="14.25" customHeight="1">
      <c r="A257" s="2">
        <v>37</v>
      </c>
      <c r="B257" s="2">
        <v>256</v>
      </c>
      <c r="C257" s="2">
        <v>6</v>
      </c>
      <c r="D257" s="2">
        <v>1</v>
      </c>
      <c r="E257" s="2">
        <v>1.008</v>
      </c>
      <c r="F257" s="2">
        <v>2</v>
      </c>
    </row>
    <row r="258" spans="1:6" ht="14.25" customHeight="1">
      <c r="A258" s="2">
        <v>37</v>
      </c>
      <c r="B258" s="2">
        <v>257</v>
      </c>
      <c r="C258" s="2">
        <v>5</v>
      </c>
      <c r="D258" s="2">
        <v>1</v>
      </c>
      <c r="E258" s="2">
        <v>1.1559999999999999</v>
      </c>
      <c r="F258" s="2">
        <v>1</v>
      </c>
    </row>
    <row r="259" spans="1:6" ht="14.25" customHeight="1">
      <c r="A259" s="2">
        <v>37</v>
      </c>
      <c r="B259" s="2">
        <v>258</v>
      </c>
      <c r="C259" s="2">
        <v>7</v>
      </c>
      <c r="D259" s="2">
        <v>1</v>
      </c>
      <c r="E259" s="2">
        <v>1.236</v>
      </c>
      <c r="F259" s="2">
        <v>2</v>
      </c>
    </row>
    <row r="260" spans="1:6" ht="14.25" customHeight="1">
      <c r="A260" s="2">
        <v>37</v>
      </c>
      <c r="B260" s="2">
        <v>259</v>
      </c>
      <c r="C260" s="2">
        <v>3</v>
      </c>
      <c r="D260" s="2">
        <v>1</v>
      </c>
      <c r="E260" s="2">
        <v>0.76600000000000001</v>
      </c>
      <c r="F260" s="2">
        <v>1</v>
      </c>
    </row>
    <row r="261" spans="1:6" ht="14.25" customHeight="1">
      <c r="A261" s="2">
        <v>37</v>
      </c>
      <c r="B261" s="2">
        <v>260</v>
      </c>
      <c r="C261" s="2">
        <v>2</v>
      </c>
      <c r="D261" s="2">
        <v>1</v>
      </c>
      <c r="E261" s="2">
        <v>1.256</v>
      </c>
      <c r="F261" s="2">
        <v>1</v>
      </c>
    </row>
    <row r="262" spans="1:6" ht="14.25" customHeight="1">
      <c r="A262" s="2">
        <v>37</v>
      </c>
      <c r="B262" s="2">
        <v>261</v>
      </c>
      <c r="C262" s="2">
        <v>4</v>
      </c>
      <c r="D262" s="2">
        <v>1</v>
      </c>
      <c r="E262" s="2">
        <v>0.94599999999999995</v>
      </c>
      <c r="F262" s="2">
        <v>2</v>
      </c>
    </row>
    <row r="263" spans="1:6" ht="14.25" customHeight="1">
      <c r="A263" s="2">
        <v>37</v>
      </c>
      <c r="B263" s="2">
        <v>262</v>
      </c>
      <c r="C263" s="2">
        <v>8</v>
      </c>
      <c r="D263" s="2">
        <v>1</v>
      </c>
      <c r="E263" s="2">
        <v>0.7</v>
      </c>
      <c r="F263" s="2">
        <v>1</v>
      </c>
    </row>
    <row r="264" spans="1:6" ht="14.25" customHeight="1">
      <c r="A264" s="2">
        <v>37</v>
      </c>
      <c r="B264" s="2">
        <v>263</v>
      </c>
      <c r="C264" s="2">
        <v>5</v>
      </c>
      <c r="D264" s="2">
        <v>1</v>
      </c>
      <c r="E264" s="2">
        <v>0.91</v>
      </c>
      <c r="F264" s="2">
        <v>1</v>
      </c>
    </row>
    <row r="265" spans="1:6" ht="14.25" customHeight="1">
      <c r="A265" s="2">
        <v>37</v>
      </c>
      <c r="B265" s="2">
        <v>264</v>
      </c>
      <c r="C265" s="2">
        <v>6</v>
      </c>
      <c r="D265" s="2">
        <v>1</v>
      </c>
      <c r="E265" s="2">
        <v>1.262</v>
      </c>
      <c r="F265" s="2">
        <v>1</v>
      </c>
    </row>
    <row r="266" spans="1:6" ht="14.25" customHeight="1">
      <c r="A266" s="2">
        <v>37</v>
      </c>
      <c r="B266" s="2">
        <v>265</v>
      </c>
      <c r="C266" s="2">
        <v>4</v>
      </c>
      <c r="D266" s="2">
        <v>1</v>
      </c>
      <c r="E266" s="2">
        <v>1.2030000000000001</v>
      </c>
      <c r="F266" s="2">
        <v>2</v>
      </c>
    </row>
    <row r="267" spans="1:6" ht="14.25" customHeight="1">
      <c r="A267" s="2">
        <v>37</v>
      </c>
      <c r="B267" s="2">
        <v>266</v>
      </c>
      <c r="C267" s="2">
        <v>6</v>
      </c>
      <c r="D267" s="2">
        <v>1</v>
      </c>
      <c r="E267" s="2">
        <v>1.1419999999999999</v>
      </c>
      <c r="F267" s="2">
        <v>1</v>
      </c>
    </row>
    <row r="268" spans="1:6" ht="14.25" customHeight="1">
      <c r="A268" s="2">
        <v>37</v>
      </c>
      <c r="B268" s="2">
        <v>267</v>
      </c>
      <c r="C268" s="2">
        <v>7</v>
      </c>
      <c r="D268" s="2">
        <v>1</v>
      </c>
      <c r="E268" s="2">
        <v>0.79400000000000004</v>
      </c>
      <c r="F268" s="2">
        <v>1</v>
      </c>
    </row>
    <row r="269" spans="1:6" ht="14.25" customHeight="1">
      <c r="A269" s="2">
        <v>37</v>
      </c>
      <c r="B269" s="2">
        <v>268</v>
      </c>
      <c r="C269" s="2">
        <v>1</v>
      </c>
      <c r="D269" s="2">
        <v>0</v>
      </c>
      <c r="E269" s="2">
        <v>1.552</v>
      </c>
      <c r="F269" s="2">
        <v>1</v>
      </c>
    </row>
    <row r="270" spans="1:6" ht="14.25" customHeight="1">
      <c r="A270" s="2">
        <v>37</v>
      </c>
      <c r="B270" s="2">
        <v>269</v>
      </c>
      <c r="C270" s="2">
        <v>5</v>
      </c>
      <c r="D270" s="2">
        <v>1</v>
      </c>
      <c r="E270" s="2">
        <v>0.59499999999999997</v>
      </c>
      <c r="F270" s="2">
        <v>1</v>
      </c>
    </row>
    <row r="271" spans="1:6" ht="14.25" customHeight="1">
      <c r="A271" s="2">
        <v>37</v>
      </c>
      <c r="B271" s="2">
        <v>270</v>
      </c>
      <c r="C271" s="2">
        <v>1</v>
      </c>
      <c r="D271" s="2">
        <v>0</v>
      </c>
      <c r="E271" s="2">
        <v>1.58</v>
      </c>
      <c r="F271" s="2">
        <v>2</v>
      </c>
    </row>
    <row r="272" spans="1:6" ht="14.25" customHeight="1">
      <c r="A272" s="2">
        <v>37</v>
      </c>
      <c r="B272" s="2">
        <v>271</v>
      </c>
      <c r="C272" s="2">
        <v>3</v>
      </c>
      <c r="D272" s="2">
        <v>0</v>
      </c>
      <c r="E272" s="2">
        <v>0.64500000000000002</v>
      </c>
      <c r="F272" s="2">
        <v>1</v>
      </c>
    </row>
    <row r="273" spans="1:6" ht="14.25" customHeight="1">
      <c r="A273" s="2">
        <v>37</v>
      </c>
      <c r="B273" s="2">
        <v>272</v>
      </c>
      <c r="C273" s="2">
        <v>7</v>
      </c>
      <c r="D273" s="2">
        <v>0</v>
      </c>
      <c r="E273" s="2">
        <v>1.117</v>
      </c>
      <c r="F273" s="2">
        <v>1</v>
      </c>
    </row>
    <row r="274" spans="1:6" ht="14.25" customHeight="1">
      <c r="A274" s="2">
        <v>37</v>
      </c>
      <c r="B274" s="2">
        <v>273</v>
      </c>
      <c r="C274" s="2">
        <v>1</v>
      </c>
      <c r="D274" s="2">
        <v>1</v>
      </c>
      <c r="E274" s="2">
        <v>0.69099999999999995</v>
      </c>
      <c r="F274" s="2">
        <v>1</v>
      </c>
    </row>
    <row r="275" spans="1:6" ht="14.25" customHeight="1">
      <c r="A275" s="2">
        <v>37</v>
      </c>
      <c r="B275" s="2">
        <v>274</v>
      </c>
      <c r="C275" s="2">
        <v>8</v>
      </c>
      <c r="D275" s="2">
        <v>1</v>
      </c>
      <c r="E275" s="2">
        <v>0.81299999999999994</v>
      </c>
      <c r="F275" s="2">
        <v>2</v>
      </c>
    </row>
    <row r="276" spans="1:6" ht="14.25" customHeight="1">
      <c r="A276" s="2">
        <v>37</v>
      </c>
      <c r="B276" s="2">
        <v>275</v>
      </c>
      <c r="C276" s="2">
        <v>1</v>
      </c>
      <c r="D276" s="2">
        <v>1</v>
      </c>
      <c r="E276" s="2">
        <v>1.1100000000000001</v>
      </c>
      <c r="F276" s="2">
        <v>1</v>
      </c>
    </row>
    <row r="277" spans="1:6" ht="14.25" customHeight="1">
      <c r="A277" s="2">
        <v>37</v>
      </c>
      <c r="B277" s="2">
        <v>276</v>
      </c>
      <c r="C277" s="2">
        <v>2</v>
      </c>
      <c r="D277" s="2">
        <v>1</v>
      </c>
      <c r="E277" s="2">
        <v>0.68899999999999995</v>
      </c>
      <c r="F277" s="2">
        <v>2</v>
      </c>
    </row>
    <row r="278" spans="1:6" ht="14.25" customHeight="1">
      <c r="A278" s="2">
        <v>37</v>
      </c>
      <c r="B278" s="2">
        <v>277</v>
      </c>
      <c r="C278" s="2">
        <v>3</v>
      </c>
      <c r="D278" s="2">
        <v>1</v>
      </c>
      <c r="E278" s="2">
        <v>0.64</v>
      </c>
      <c r="F278" s="2">
        <v>2</v>
      </c>
    </row>
    <row r="279" spans="1:6" ht="14.25" customHeight="1">
      <c r="A279" s="2">
        <v>37</v>
      </c>
      <c r="B279" s="2">
        <v>278</v>
      </c>
      <c r="C279" s="2">
        <v>7</v>
      </c>
      <c r="D279" s="2">
        <v>1</v>
      </c>
      <c r="E279" s="2">
        <v>0.99099999999999999</v>
      </c>
      <c r="F279" s="2">
        <v>1</v>
      </c>
    </row>
    <row r="280" spans="1:6" ht="14.25" customHeight="1">
      <c r="A280" s="2">
        <v>37</v>
      </c>
      <c r="B280" s="2">
        <v>279</v>
      </c>
      <c r="C280" s="2">
        <v>2</v>
      </c>
      <c r="D280" s="2">
        <v>1</v>
      </c>
      <c r="E280" s="2">
        <v>1.5149999999999999</v>
      </c>
      <c r="F280" s="2">
        <v>2</v>
      </c>
    </row>
    <row r="281" spans="1:6" ht="14.25" customHeight="1">
      <c r="A281" s="2">
        <v>37</v>
      </c>
      <c r="B281" s="2">
        <v>280</v>
      </c>
      <c r="C281" s="2">
        <v>8</v>
      </c>
      <c r="D281" s="2">
        <v>1</v>
      </c>
      <c r="E281" s="2">
        <v>0.65500000000000003</v>
      </c>
      <c r="F281" s="2">
        <v>1</v>
      </c>
    </row>
    <row r="282" spans="1:6" ht="14.25" customHeight="1">
      <c r="A282" s="2">
        <v>37</v>
      </c>
      <c r="B282" s="2">
        <v>281</v>
      </c>
      <c r="C282" s="2">
        <v>2</v>
      </c>
      <c r="D282" s="2">
        <v>1</v>
      </c>
      <c r="E282" s="2">
        <v>1.0589999999999999</v>
      </c>
      <c r="F282" s="2">
        <v>1</v>
      </c>
    </row>
    <row r="283" spans="1:6" ht="14.25" customHeight="1">
      <c r="A283" s="2">
        <v>37</v>
      </c>
      <c r="B283" s="2">
        <v>282</v>
      </c>
      <c r="C283" s="2">
        <v>5</v>
      </c>
      <c r="D283" s="2">
        <v>1</v>
      </c>
      <c r="E283" s="2">
        <v>1.109</v>
      </c>
      <c r="F283" s="2">
        <v>2</v>
      </c>
    </row>
    <row r="284" spans="1:6" ht="14.25" customHeight="1">
      <c r="A284" s="2">
        <v>37</v>
      </c>
      <c r="B284" s="2">
        <v>283</v>
      </c>
      <c r="C284" s="2">
        <v>1</v>
      </c>
      <c r="D284" s="2">
        <v>1</v>
      </c>
      <c r="E284" s="2">
        <v>0.748</v>
      </c>
      <c r="F284" s="2">
        <v>1</v>
      </c>
    </row>
    <row r="285" spans="1:6" ht="14.25" customHeight="1">
      <c r="A285" s="2">
        <v>37</v>
      </c>
      <c r="B285" s="2">
        <v>284</v>
      </c>
      <c r="C285" s="2">
        <v>4</v>
      </c>
      <c r="D285" s="2">
        <v>1</v>
      </c>
      <c r="E285" s="2">
        <v>0.88700000000000001</v>
      </c>
      <c r="F285" s="2">
        <v>2</v>
      </c>
    </row>
    <row r="286" spans="1:6" ht="14.25" customHeight="1">
      <c r="A286" s="2">
        <v>37</v>
      </c>
      <c r="B286" s="2">
        <v>285</v>
      </c>
      <c r="C286" s="2">
        <v>3</v>
      </c>
      <c r="D286" s="2">
        <v>1</v>
      </c>
      <c r="E286" s="2">
        <v>1.294</v>
      </c>
      <c r="F286" s="2">
        <v>2</v>
      </c>
    </row>
    <row r="287" spans="1:6" ht="14.25" customHeight="1">
      <c r="A287" s="2">
        <v>37</v>
      </c>
      <c r="B287" s="2">
        <v>286</v>
      </c>
      <c r="C287" s="2">
        <v>4</v>
      </c>
      <c r="D287" s="2">
        <v>1</v>
      </c>
      <c r="E287" s="2">
        <v>1.2669999999999999</v>
      </c>
      <c r="F287" s="2">
        <v>1</v>
      </c>
    </row>
    <row r="288" spans="1:6" ht="14.25" customHeight="1">
      <c r="A288" s="2">
        <v>37</v>
      </c>
      <c r="B288" s="2">
        <v>287</v>
      </c>
      <c r="C288" s="2">
        <v>6</v>
      </c>
      <c r="D288" s="2">
        <v>1</v>
      </c>
      <c r="E288" s="2">
        <v>0.92900000000000005</v>
      </c>
      <c r="F288" s="2">
        <v>1</v>
      </c>
    </row>
    <row r="289" spans="1:6" ht="14.25" customHeight="1">
      <c r="A289" s="2">
        <v>37</v>
      </c>
      <c r="B289" s="2">
        <v>288</v>
      </c>
      <c r="C289" s="2">
        <v>2</v>
      </c>
      <c r="D289" s="2">
        <v>1</v>
      </c>
      <c r="E289" s="2">
        <v>0.66600000000000004</v>
      </c>
      <c r="F289" s="2">
        <v>2</v>
      </c>
    </row>
    <row r="290" spans="1:6" ht="14.25" customHeight="1">
      <c r="A290" s="2">
        <v>37</v>
      </c>
      <c r="B290" s="2">
        <v>289</v>
      </c>
      <c r="C290" s="2">
        <v>8</v>
      </c>
      <c r="D290" s="2">
        <v>1</v>
      </c>
      <c r="E290" s="2">
        <v>0.79200000000000004</v>
      </c>
      <c r="F290" s="2">
        <v>2</v>
      </c>
    </row>
    <row r="291" spans="1:6" ht="14.25" customHeight="1">
      <c r="A291" s="2">
        <v>37</v>
      </c>
      <c r="B291" s="2">
        <v>290</v>
      </c>
      <c r="C291" s="2">
        <v>6</v>
      </c>
      <c r="D291" s="2">
        <v>1</v>
      </c>
      <c r="E291" s="2">
        <v>1.0129999999999999</v>
      </c>
      <c r="F291" s="2">
        <v>2</v>
      </c>
    </row>
    <row r="292" spans="1:6" ht="14.25" customHeight="1">
      <c r="A292" s="2">
        <v>37</v>
      </c>
      <c r="B292" s="2">
        <v>291</v>
      </c>
      <c r="C292" s="2">
        <v>1</v>
      </c>
      <c r="D292" s="2">
        <v>1</v>
      </c>
      <c r="E292" s="2">
        <v>1.6739999999999999</v>
      </c>
      <c r="F292" s="2">
        <v>2</v>
      </c>
    </row>
    <row r="293" spans="1:6" ht="14.25" customHeight="1">
      <c r="A293" s="2">
        <v>37</v>
      </c>
      <c r="B293" s="2">
        <v>292</v>
      </c>
      <c r="C293" s="2">
        <v>6</v>
      </c>
      <c r="D293" s="2">
        <v>1</v>
      </c>
      <c r="E293" s="2">
        <v>1.268</v>
      </c>
      <c r="F293" s="2">
        <v>1</v>
      </c>
    </row>
    <row r="294" spans="1:6" ht="14.25" customHeight="1">
      <c r="A294" s="2">
        <v>37</v>
      </c>
      <c r="B294" s="2">
        <v>293</v>
      </c>
      <c r="C294" s="2">
        <v>3</v>
      </c>
      <c r="D294" s="2">
        <v>1</v>
      </c>
      <c r="E294" s="2">
        <v>1.242</v>
      </c>
      <c r="F294" s="2">
        <v>1</v>
      </c>
    </row>
    <row r="295" spans="1:6" ht="14.25" customHeight="1">
      <c r="A295" s="2">
        <v>37</v>
      </c>
      <c r="B295" s="2">
        <v>294</v>
      </c>
      <c r="C295" s="2">
        <v>7</v>
      </c>
      <c r="D295" s="2">
        <v>1</v>
      </c>
      <c r="E295" s="2">
        <v>0.78400000000000003</v>
      </c>
      <c r="F295" s="2">
        <v>2</v>
      </c>
    </row>
    <row r="296" spans="1:6" ht="14.25" customHeight="1">
      <c r="A296" s="2">
        <v>37</v>
      </c>
      <c r="B296" s="2">
        <v>295</v>
      </c>
      <c r="C296" s="2">
        <v>8</v>
      </c>
      <c r="D296" s="2">
        <v>0</v>
      </c>
      <c r="E296" s="2">
        <v>1.2350000000000001</v>
      </c>
      <c r="F296" s="2">
        <v>1</v>
      </c>
    </row>
    <row r="297" spans="1:6" ht="14.25" customHeight="1">
      <c r="A297" s="2">
        <v>37</v>
      </c>
      <c r="B297" s="2">
        <v>296</v>
      </c>
      <c r="C297" s="2">
        <v>3</v>
      </c>
      <c r="D297" s="2">
        <v>1</v>
      </c>
      <c r="E297" s="2">
        <v>1.048</v>
      </c>
      <c r="F297" s="2">
        <v>1</v>
      </c>
    </row>
    <row r="298" spans="1:6" ht="14.25" customHeight="1">
      <c r="A298" s="2">
        <v>37</v>
      </c>
      <c r="B298" s="2">
        <v>297</v>
      </c>
      <c r="C298" s="2">
        <v>8</v>
      </c>
      <c r="D298" s="2">
        <v>0</v>
      </c>
      <c r="E298" s="2">
        <v>1.5309999999999999</v>
      </c>
      <c r="F298" s="2">
        <v>2</v>
      </c>
    </row>
    <row r="299" spans="1:6" ht="14.25" customHeight="1">
      <c r="A299" s="2">
        <v>37</v>
      </c>
      <c r="B299" s="2">
        <v>298</v>
      </c>
      <c r="C299" s="2">
        <v>5</v>
      </c>
      <c r="D299" s="2">
        <v>1</v>
      </c>
      <c r="E299" s="2">
        <v>0.95799999999999996</v>
      </c>
      <c r="F299" s="2">
        <v>1</v>
      </c>
    </row>
    <row r="300" spans="1:6" ht="14.25" customHeight="1">
      <c r="A300" s="2">
        <v>37</v>
      </c>
      <c r="B300" s="2">
        <v>299</v>
      </c>
      <c r="C300" s="2">
        <v>4</v>
      </c>
      <c r="D300" s="2">
        <v>1</v>
      </c>
      <c r="E300" s="2">
        <v>1.464</v>
      </c>
      <c r="F300" s="2">
        <v>1</v>
      </c>
    </row>
    <row r="301" spans="1:6" ht="14.25" customHeight="1">
      <c r="A301" s="2">
        <v>37</v>
      </c>
      <c r="B301" s="2">
        <v>300</v>
      </c>
      <c r="C301" s="2">
        <v>7</v>
      </c>
      <c r="D301" s="2">
        <v>1</v>
      </c>
      <c r="E301" s="2">
        <v>0.74099999999999999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38</v>
      </c>
      <c r="I1" s="2">
        <v>1</v>
      </c>
      <c r="J1" s="2">
        <v>5</v>
      </c>
      <c r="K1" s="2">
        <v>0</v>
      </c>
      <c r="L1" s="2">
        <v>1.5189999999999999</v>
      </c>
      <c r="M1" s="2">
        <v>2</v>
      </c>
    </row>
    <row r="2" spans="1:25" ht="14.25" customHeight="1">
      <c r="A2" s="2">
        <v>38</v>
      </c>
      <c r="B2" s="2">
        <v>1</v>
      </c>
      <c r="C2" s="2">
        <v>5</v>
      </c>
      <c r="D2" s="2">
        <v>0</v>
      </c>
      <c r="E2" s="2">
        <v>1.5189999999999999</v>
      </c>
      <c r="F2" s="2">
        <v>2</v>
      </c>
      <c r="H2" s="2">
        <v>38</v>
      </c>
      <c r="I2" s="2">
        <v>2</v>
      </c>
      <c r="J2" s="2">
        <v>8</v>
      </c>
      <c r="K2" s="2">
        <v>0</v>
      </c>
      <c r="L2" s="2">
        <v>1.7709999999999999</v>
      </c>
      <c r="M2" s="2">
        <v>1</v>
      </c>
    </row>
    <row r="3" spans="1:25" ht="14.25" customHeight="1">
      <c r="A3" s="2">
        <v>38</v>
      </c>
      <c r="B3" s="2">
        <v>2</v>
      </c>
      <c r="C3" s="2">
        <v>8</v>
      </c>
      <c r="D3" s="2">
        <v>0</v>
      </c>
      <c r="E3" s="2">
        <v>1.7709999999999999</v>
      </c>
      <c r="F3" s="2">
        <v>1</v>
      </c>
      <c r="H3" s="2">
        <v>38</v>
      </c>
      <c r="I3" s="2">
        <v>3</v>
      </c>
      <c r="J3" s="2">
        <v>5</v>
      </c>
      <c r="K3" s="2">
        <v>1</v>
      </c>
      <c r="L3" s="2">
        <v>1.6279999999999999</v>
      </c>
      <c r="M3" s="2">
        <v>1</v>
      </c>
    </row>
    <row r="4" spans="1:25" ht="14.25" customHeight="1">
      <c r="A4" s="2">
        <v>38</v>
      </c>
      <c r="B4" s="2">
        <v>3</v>
      </c>
      <c r="C4" s="2">
        <v>5</v>
      </c>
      <c r="D4" s="2">
        <v>1</v>
      </c>
      <c r="E4" s="2">
        <v>1.6279999999999999</v>
      </c>
      <c r="F4" s="2">
        <v>1</v>
      </c>
      <c r="H4" s="2">
        <v>38</v>
      </c>
      <c r="I4" s="2">
        <v>4</v>
      </c>
      <c r="J4" s="2">
        <v>6</v>
      </c>
      <c r="K4" s="2">
        <v>0</v>
      </c>
      <c r="L4" s="2">
        <v>0.42599999999999999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38</v>
      </c>
      <c r="B5" s="2">
        <v>4</v>
      </c>
      <c r="C5" s="2">
        <v>6</v>
      </c>
      <c r="D5" s="2">
        <v>0</v>
      </c>
      <c r="E5" s="2">
        <v>0.42599999999999999</v>
      </c>
      <c r="F5" s="2">
        <v>2</v>
      </c>
      <c r="H5" s="2">
        <v>38</v>
      </c>
      <c r="I5" s="2">
        <v>5</v>
      </c>
      <c r="J5" s="2">
        <v>7</v>
      </c>
      <c r="K5" s="2">
        <v>1</v>
      </c>
      <c r="L5" s="2">
        <v>1.385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38</v>
      </c>
      <c r="B6" s="2">
        <v>5</v>
      </c>
      <c r="C6" s="2">
        <v>7</v>
      </c>
      <c r="D6" s="2">
        <v>1</v>
      </c>
      <c r="E6" s="2">
        <v>1.385</v>
      </c>
      <c r="F6" s="2">
        <v>2</v>
      </c>
      <c r="H6" s="2">
        <v>38</v>
      </c>
      <c r="I6" s="2">
        <v>6</v>
      </c>
      <c r="J6" s="2">
        <v>6</v>
      </c>
      <c r="K6" s="2">
        <v>1</v>
      </c>
      <c r="L6" s="2">
        <v>0.58799999999999997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38</v>
      </c>
      <c r="B7" s="2">
        <v>6</v>
      </c>
      <c r="C7" s="2">
        <v>6</v>
      </c>
      <c r="D7" s="2">
        <v>1</v>
      </c>
      <c r="E7" s="2">
        <v>0.58799999999999997</v>
      </c>
      <c r="F7" s="2">
        <v>1</v>
      </c>
      <c r="H7" s="2">
        <v>38</v>
      </c>
      <c r="I7" s="2">
        <v>7</v>
      </c>
      <c r="J7" s="2">
        <v>3</v>
      </c>
      <c r="L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38</v>
      </c>
      <c r="B8" s="2">
        <v>7</v>
      </c>
      <c r="C8" s="2">
        <v>3</v>
      </c>
      <c r="E8" s="2">
        <v>2</v>
      </c>
      <c r="H8" s="2">
        <v>38</v>
      </c>
      <c r="I8" s="2">
        <v>8</v>
      </c>
      <c r="J8" s="2">
        <v>7</v>
      </c>
      <c r="K8" s="2">
        <v>1</v>
      </c>
      <c r="L8" s="2">
        <v>0.89700000000000002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38</v>
      </c>
      <c r="B9" s="2">
        <v>8</v>
      </c>
      <c r="C9" s="2">
        <v>7</v>
      </c>
      <c r="D9" s="2">
        <v>1</v>
      </c>
      <c r="E9" s="2">
        <v>0.89700000000000002</v>
      </c>
      <c r="F9" s="2">
        <v>2</v>
      </c>
      <c r="H9" s="2">
        <v>38</v>
      </c>
      <c r="I9" s="2">
        <v>9</v>
      </c>
      <c r="J9" s="2">
        <v>5</v>
      </c>
      <c r="K9" s="2">
        <v>1</v>
      </c>
      <c r="L9" s="2">
        <v>0.70499999999999996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38</v>
      </c>
      <c r="B10" s="2">
        <v>9</v>
      </c>
      <c r="C10" s="2">
        <v>5</v>
      </c>
      <c r="D10" s="2">
        <v>1</v>
      </c>
      <c r="E10" s="2">
        <v>0.70499999999999996</v>
      </c>
      <c r="F10" s="2">
        <v>1</v>
      </c>
      <c r="H10" s="2">
        <v>38</v>
      </c>
      <c r="I10" s="2">
        <v>10</v>
      </c>
      <c r="J10" s="2">
        <v>6</v>
      </c>
      <c r="K10" s="2">
        <v>1</v>
      </c>
      <c r="L10" s="2">
        <v>0.94799999999999995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38</v>
      </c>
      <c r="B11" s="2">
        <v>10</v>
      </c>
      <c r="C11" s="2">
        <v>6</v>
      </c>
      <c r="D11" s="2">
        <v>1</v>
      </c>
      <c r="E11" s="2">
        <v>0.94799999999999995</v>
      </c>
      <c r="F11" s="2">
        <v>1</v>
      </c>
      <c r="H11" s="2">
        <v>38</v>
      </c>
      <c r="I11" s="2">
        <v>11</v>
      </c>
      <c r="J11" s="2">
        <v>8</v>
      </c>
      <c r="K11" s="2">
        <v>1</v>
      </c>
      <c r="L11" s="2">
        <v>0.753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38</v>
      </c>
      <c r="B12" s="2">
        <v>11</v>
      </c>
      <c r="C12" s="2">
        <v>8</v>
      </c>
      <c r="D12" s="2">
        <v>1</v>
      </c>
      <c r="E12" s="2">
        <v>0.753</v>
      </c>
      <c r="F12" s="2">
        <v>2</v>
      </c>
      <c r="H12" s="2">
        <v>38</v>
      </c>
      <c r="I12" s="2">
        <v>12</v>
      </c>
      <c r="J12" s="2">
        <v>4</v>
      </c>
      <c r="K12" s="2">
        <v>1</v>
      </c>
      <c r="L12" s="2">
        <v>1.0649999999999999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38</v>
      </c>
      <c r="B13" s="2">
        <v>12</v>
      </c>
      <c r="C13" s="2">
        <v>4</v>
      </c>
      <c r="D13" s="2">
        <v>1</v>
      </c>
      <c r="E13" s="2">
        <v>1.0649999999999999</v>
      </c>
      <c r="F13" s="2">
        <v>2</v>
      </c>
      <c r="H13" s="2">
        <v>38</v>
      </c>
      <c r="I13" s="2">
        <v>13</v>
      </c>
      <c r="J13" s="2">
        <v>1</v>
      </c>
      <c r="K13" s="2">
        <v>1</v>
      </c>
      <c r="L13" s="2">
        <v>0.498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38</v>
      </c>
      <c r="B14" s="2">
        <v>13</v>
      </c>
      <c r="C14" s="2">
        <v>1</v>
      </c>
      <c r="D14" s="2">
        <v>1</v>
      </c>
      <c r="E14" s="2">
        <v>0.498</v>
      </c>
      <c r="F14" s="2">
        <v>1</v>
      </c>
      <c r="H14" s="2">
        <v>38</v>
      </c>
      <c r="I14" s="2">
        <v>14</v>
      </c>
      <c r="J14" s="2">
        <v>3</v>
      </c>
      <c r="K14" s="2">
        <v>0</v>
      </c>
      <c r="L14" s="2">
        <v>0.76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38</v>
      </c>
      <c r="B15" s="2">
        <v>14</v>
      </c>
      <c r="C15" s="2">
        <v>3</v>
      </c>
      <c r="D15" s="2">
        <v>0</v>
      </c>
      <c r="E15" s="2">
        <v>0.76</v>
      </c>
      <c r="F15" s="2">
        <v>2</v>
      </c>
      <c r="H15" s="2">
        <v>38</v>
      </c>
      <c r="I15" s="2">
        <v>15</v>
      </c>
      <c r="J15" s="2">
        <v>2</v>
      </c>
      <c r="K15" s="2">
        <v>0</v>
      </c>
      <c r="L15" s="2">
        <v>1.0469999999999999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38</v>
      </c>
      <c r="B16" s="2">
        <v>15</v>
      </c>
      <c r="C16" s="2">
        <v>2</v>
      </c>
      <c r="D16" s="2">
        <v>0</v>
      </c>
      <c r="E16" s="2">
        <v>1.0469999999999999</v>
      </c>
      <c r="F16" s="2">
        <v>1</v>
      </c>
      <c r="H16" s="2">
        <v>38</v>
      </c>
      <c r="I16" s="2">
        <v>16</v>
      </c>
      <c r="J16" s="2">
        <v>8</v>
      </c>
      <c r="K16" s="2">
        <v>0</v>
      </c>
      <c r="L16" s="2">
        <v>1.3440000000000001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38</v>
      </c>
      <c r="B17" s="2">
        <v>16</v>
      </c>
      <c r="C17" s="2">
        <v>8</v>
      </c>
      <c r="D17" s="2">
        <v>0</v>
      </c>
      <c r="E17" s="2">
        <v>1.3440000000000001</v>
      </c>
      <c r="F17" s="2">
        <v>1</v>
      </c>
      <c r="H17" s="2">
        <v>38</v>
      </c>
      <c r="I17" s="2">
        <v>17</v>
      </c>
      <c r="J17" s="2">
        <v>6</v>
      </c>
      <c r="K17" s="2">
        <v>1</v>
      </c>
      <c r="L17" s="2">
        <v>0.75900000000000001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9.0000000000000024E-2</v>
      </c>
      <c r="P17" s="3">
        <f t="shared" ref="P17:P22" si="1">(P6*COUNTIF($J$1:$J$101,P$16) - COUNTIFS($J$1:$J$101,P$16,$K$1:$K$101,"=1"))^2</f>
        <v>2.8899999999999975</v>
      </c>
      <c r="Q17" s="3">
        <f t="shared" ref="Q17:Q22" si="2">(Q6*COUNTIF($J$1:$J$101,Q$16) - COUNTIFS($J$1:$J$101,Q$16,$K$1:$K$101,"=0"))^2</f>
        <v>11.559999999999999</v>
      </c>
      <c r="R17" s="3">
        <f t="shared" ref="R17:R22" si="3">(R6*COUNTIF($J$1:$J$101,R$16) - COUNTIFS($J$1:$J$101,R$16,$K$1:$K$101,"=1"))^2</f>
        <v>9.0000000000000427E-2</v>
      </c>
      <c r="S17" s="3">
        <f t="shared" ref="S17:T17" si="4">(S6*COUNTIF($J$1:$J$101,S$16) - COUNTIFS($J$1:$J$101,S$16,$K$1:$K$101,"=0"))^2</f>
        <v>0.42249999999999988</v>
      </c>
      <c r="T17" s="3">
        <f t="shared" si="4"/>
        <v>0.48999999999999994</v>
      </c>
      <c r="U17" s="3">
        <f t="shared" ref="U17:V17" si="5">(U6*COUNTIF($J$1:$J$101,U$16) - COUNTIFS($J$1:$J$101,U$16,$K$1:$K$101,"=1"))^2</f>
        <v>9.0000000000000427E-2</v>
      </c>
      <c r="V17" s="3">
        <f t="shared" si="5"/>
        <v>2.7224999999999984</v>
      </c>
      <c r="W17" s="4"/>
      <c r="X17" s="4"/>
      <c r="Y17" s="4"/>
    </row>
    <row r="18" spans="1:25" ht="14.25" customHeight="1">
      <c r="A18" s="2">
        <v>38</v>
      </c>
      <c r="B18" s="2">
        <v>17</v>
      </c>
      <c r="C18" s="2">
        <v>6</v>
      </c>
      <c r="D18" s="2">
        <v>1</v>
      </c>
      <c r="E18" s="2">
        <v>0.75900000000000001</v>
      </c>
      <c r="F18" s="2">
        <v>1</v>
      </c>
      <c r="H18" s="2">
        <v>38</v>
      </c>
      <c r="I18" s="2">
        <v>18</v>
      </c>
      <c r="J18" s="2">
        <v>4</v>
      </c>
      <c r="K18" s="2">
        <v>1</v>
      </c>
      <c r="L18" s="2">
        <v>0.81599999999999995</v>
      </c>
      <c r="M18" s="2">
        <v>2</v>
      </c>
      <c r="N18" s="3">
        <v>2</v>
      </c>
      <c r="O18" s="3">
        <f t="shared" si="0"/>
        <v>9.0000000000000024E-2</v>
      </c>
      <c r="P18" s="3">
        <f t="shared" si="1"/>
        <v>13.690000000000001</v>
      </c>
      <c r="Q18" s="6">
        <f t="shared" si="2"/>
        <v>4</v>
      </c>
      <c r="R18" s="3">
        <f t="shared" si="3"/>
        <v>9.0000000000000427E-2</v>
      </c>
      <c r="S18" s="6">
        <f t="shared" ref="S18:T18" si="6">(S7*COUNTIF($J$1:$J$101,S$16) - COUNTIFS($J$1:$J$101,S$16,$K$1:$K$101,"=0"))^2</f>
        <v>0.42249999999999988</v>
      </c>
      <c r="T18" s="6">
        <f t="shared" si="6"/>
        <v>0.48999999999999994</v>
      </c>
      <c r="U18" s="6">
        <f t="shared" ref="U18:V18" si="7">(U7*COUNTIF($J$1:$J$101,U$16) - COUNTIFS($J$1:$J$101,U$16,$K$1:$K$101,"=1"))^2</f>
        <v>9.0000000000000427E-2</v>
      </c>
      <c r="V18" s="6">
        <f t="shared" si="7"/>
        <v>2.7224999999999984</v>
      </c>
      <c r="W18" s="4"/>
      <c r="X18" s="4"/>
      <c r="Y18" s="4"/>
    </row>
    <row r="19" spans="1:25" ht="14.25" customHeight="1">
      <c r="A19" s="2">
        <v>38</v>
      </c>
      <c r="B19" s="2">
        <v>18</v>
      </c>
      <c r="C19" s="2">
        <v>4</v>
      </c>
      <c r="D19" s="2">
        <v>1</v>
      </c>
      <c r="E19" s="2">
        <v>0.81599999999999995</v>
      </c>
      <c r="F19" s="2">
        <v>2</v>
      </c>
      <c r="H19" s="2">
        <v>38</v>
      </c>
      <c r="I19" s="2">
        <v>19</v>
      </c>
      <c r="J19" s="2">
        <v>7</v>
      </c>
      <c r="K19" s="2">
        <v>1</v>
      </c>
      <c r="L19" s="2">
        <v>1.024</v>
      </c>
      <c r="M19" s="2">
        <v>2</v>
      </c>
      <c r="N19" s="3">
        <v>3</v>
      </c>
      <c r="O19" s="3">
        <f t="shared" si="0"/>
        <v>9.0000000000000024E-2</v>
      </c>
      <c r="P19" s="3">
        <f t="shared" si="1"/>
        <v>2.8899999999999975</v>
      </c>
      <c r="Q19" s="3">
        <f t="shared" si="2"/>
        <v>11.559999999999999</v>
      </c>
      <c r="R19" s="3">
        <f t="shared" si="3"/>
        <v>9.0000000000000427E-2</v>
      </c>
      <c r="S19" s="6">
        <f t="shared" ref="S19:T19" si="8">(S8*COUNTIF($J$1:$J$101,S$16) - COUNTIFS($J$1:$J$101,S$16,$K$1:$K$101,"=0"))^2</f>
        <v>0.42249999999999988</v>
      </c>
      <c r="T19" s="6">
        <f t="shared" si="8"/>
        <v>22.089999999999993</v>
      </c>
      <c r="U19" s="3">
        <f t="shared" ref="U19:V19" si="9">(U8*COUNTIF($J$1:$J$101,U$16) - COUNTIFS($J$1:$J$101,U$16,$K$1:$K$101,"=1"))^2</f>
        <v>32.49</v>
      </c>
      <c r="V19" s="6">
        <f t="shared" si="9"/>
        <v>2.7224999999999984</v>
      </c>
      <c r="W19" s="4"/>
      <c r="X19" s="4"/>
      <c r="Y19" s="4"/>
    </row>
    <row r="20" spans="1:25" ht="14.25" customHeight="1">
      <c r="A20" s="2">
        <v>38</v>
      </c>
      <c r="B20" s="2">
        <v>19</v>
      </c>
      <c r="C20" s="2">
        <v>7</v>
      </c>
      <c r="D20" s="2">
        <v>1</v>
      </c>
      <c r="E20" s="2">
        <v>1.024</v>
      </c>
      <c r="F20" s="2">
        <v>2</v>
      </c>
      <c r="H20" s="2">
        <v>38</v>
      </c>
      <c r="I20" s="2">
        <v>20</v>
      </c>
      <c r="J20" s="2">
        <v>4</v>
      </c>
      <c r="K20" s="2">
        <v>1</v>
      </c>
      <c r="L20" s="2">
        <v>1.5369999999999999</v>
      </c>
      <c r="M20" s="2">
        <v>2</v>
      </c>
      <c r="N20" s="3">
        <v>4</v>
      </c>
      <c r="O20" s="3">
        <f t="shared" si="0"/>
        <v>9</v>
      </c>
      <c r="P20" s="3">
        <f t="shared" si="1"/>
        <v>1</v>
      </c>
      <c r="Q20" s="3">
        <f t="shared" si="2"/>
        <v>1</v>
      </c>
      <c r="R20" s="3">
        <f t="shared" si="3"/>
        <v>9</v>
      </c>
      <c r="S20" s="6">
        <f t="shared" ref="S20:T20" si="10">(S9*COUNTIF($J$1:$J$101,S$16) - COUNTIFS($J$1:$J$101,S$16,$K$1:$K$101,"=0"))^2</f>
        <v>0.42249999999999988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9.0000000000000427E-2</v>
      </c>
      <c r="V20" s="6">
        <f t="shared" si="11"/>
        <v>2.7224999999999984</v>
      </c>
      <c r="W20" s="4"/>
      <c r="X20" s="4"/>
      <c r="Y20" s="4"/>
    </row>
    <row r="21" spans="1:25" ht="14.25" customHeight="1">
      <c r="A21" s="2">
        <v>38</v>
      </c>
      <c r="B21" s="2">
        <v>20</v>
      </c>
      <c r="C21" s="2">
        <v>4</v>
      </c>
      <c r="D21" s="2">
        <v>1</v>
      </c>
      <c r="E21" s="2">
        <v>1.5369999999999999</v>
      </c>
      <c r="F21" s="2">
        <v>2</v>
      </c>
      <c r="H21" s="2">
        <v>38</v>
      </c>
      <c r="I21" s="2">
        <v>21</v>
      </c>
      <c r="J21" s="2">
        <v>5</v>
      </c>
      <c r="K21" s="2">
        <v>1</v>
      </c>
      <c r="L21" s="2">
        <v>1.1279999999999999</v>
      </c>
      <c r="M21" s="2">
        <v>1</v>
      </c>
      <c r="N21" s="3">
        <v>5</v>
      </c>
      <c r="O21" s="3">
        <f t="shared" si="0"/>
        <v>9.0000000000000024E-2</v>
      </c>
      <c r="P21" s="3">
        <f t="shared" si="1"/>
        <v>2.8899999999999975</v>
      </c>
      <c r="Q21" s="3">
        <f t="shared" si="2"/>
        <v>11.559999999999999</v>
      </c>
      <c r="R21" s="3">
        <f t="shared" si="3"/>
        <v>9.0000000000000427E-2</v>
      </c>
      <c r="S21" s="6">
        <f t="shared" ref="S21:T21" si="12">(S10*COUNTIF($J$1:$J$101,S$16) - COUNTIFS($J$1:$J$101,S$16,$K$1:$K$101,"=0"))^2</f>
        <v>6.25</v>
      </c>
      <c r="T21" s="6">
        <f t="shared" si="12"/>
        <v>4</v>
      </c>
      <c r="U21" s="6">
        <f t="shared" ref="U21:V21" si="13">(U10*COUNTIF($J$1:$J$101,U$16) - COUNTIFS($J$1:$J$101,U$16,$K$1:$K$101,"=1"))^2</f>
        <v>9</v>
      </c>
      <c r="V21" s="6">
        <f t="shared" si="13"/>
        <v>2.25</v>
      </c>
      <c r="W21" s="4"/>
      <c r="X21" s="4"/>
      <c r="Y21" s="4"/>
    </row>
    <row r="22" spans="1:25" ht="14.25" customHeight="1">
      <c r="A22" s="2">
        <v>38</v>
      </c>
      <c r="B22" s="2">
        <v>21</v>
      </c>
      <c r="C22" s="2">
        <v>5</v>
      </c>
      <c r="D22" s="2">
        <v>1</v>
      </c>
      <c r="E22" s="2">
        <v>1.1279999999999999</v>
      </c>
      <c r="F22" s="2">
        <v>1</v>
      </c>
      <c r="H22" s="2">
        <v>38</v>
      </c>
      <c r="I22" s="2">
        <v>22</v>
      </c>
      <c r="J22" s="2">
        <v>1</v>
      </c>
      <c r="K22" s="2">
        <v>1</v>
      </c>
      <c r="L22" s="2">
        <v>1.746</v>
      </c>
      <c r="M22" s="2">
        <v>1</v>
      </c>
      <c r="N22" s="3">
        <v>6</v>
      </c>
      <c r="O22" s="3">
        <f t="shared" si="0"/>
        <v>9</v>
      </c>
      <c r="P22" s="3">
        <f t="shared" si="1"/>
        <v>1</v>
      </c>
      <c r="Q22" s="3">
        <f t="shared" si="2"/>
        <v>1</v>
      </c>
      <c r="R22" s="3">
        <f t="shared" si="3"/>
        <v>9</v>
      </c>
      <c r="S22" s="6">
        <f t="shared" ref="S22:T22" si="14">(S11*COUNTIF($J$1:$J$101,S$16) - COUNTIFS($J$1:$J$101,S$16,$K$1:$K$101,"=0"))^2</f>
        <v>6.25</v>
      </c>
      <c r="T22" s="6">
        <f t="shared" si="14"/>
        <v>4</v>
      </c>
      <c r="U22" s="6">
        <f t="shared" ref="U22:V22" si="15">(U11*COUNTIF($J$1:$J$101,U$16) - COUNTIFS($J$1:$J$101,U$16,$K$1:$K$101,"=1"))^2</f>
        <v>9</v>
      </c>
      <c r="V22" s="6">
        <f t="shared" si="15"/>
        <v>2.25</v>
      </c>
      <c r="W22" s="4"/>
      <c r="X22" s="4"/>
      <c r="Y22" s="4"/>
    </row>
    <row r="23" spans="1:25" ht="14.25" customHeight="1">
      <c r="A23" s="2">
        <v>38</v>
      </c>
      <c r="B23" s="2">
        <v>22</v>
      </c>
      <c r="C23" s="2">
        <v>1</v>
      </c>
      <c r="D23" s="2">
        <v>1</v>
      </c>
      <c r="E23" s="2">
        <v>1.746</v>
      </c>
      <c r="F23" s="2">
        <v>1</v>
      </c>
      <c r="H23" s="2">
        <v>38</v>
      </c>
      <c r="I23" s="2">
        <v>23</v>
      </c>
      <c r="J23" s="2">
        <v>5</v>
      </c>
      <c r="K23" s="2">
        <v>1</v>
      </c>
      <c r="L23" s="2">
        <v>1.6779999999999999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38</v>
      </c>
      <c r="B24" s="2">
        <v>23</v>
      </c>
      <c r="C24" s="2">
        <v>5</v>
      </c>
      <c r="D24" s="2">
        <v>1</v>
      </c>
      <c r="E24" s="2">
        <v>1.6779999999999999</v>
      </c>
      <c r="F24" s="2">
        <v>1</v>
      </c>
      <c r="H24" s="2">
        <v>38</v>
      </c>
      <c r="I24" s="2">
        <v>24</v>
      </c>
      <c r="J24" s="2">
        <v>2</v>
      </c>
      <c r="K24" s="2">
        <v>0</v>
      </c>
      <c r="L24" s="2">
        <v>1.3640000000000001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38</v>
      </c>
      <c r="B25" s="2">
        <v>24</v>
      </c>
      <c r="C25" s="2">
        <v>2</v>
      </c>
      <c r="D25" s="2">
        <v>0</v>
      </c>
      <c r="E25" s="2">
        <v>1.3640000000000001</v>
      </c>
      <c r="F25" s="2">
        <v>1</v>
      </c>
      <c r="H25" s="2">
        <v>38</v>
      </c>
      <c r="I25" s="2">
        <v>25</v>
      </c>
      <c r="J25" s="2">
        <v>3</v>
      </c>
      <c r="K25" s="2">
        <v>0</v>
      </c>
      <c r="L25" s="2">
        <v>1.2090000000000001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38</v>
      </c>
      <c r="B26" s="2">
        <v>25</v>
      </c>
      <c r="C26" s="2">
        <v>3</v>
      </c>
      <c r="D26" s="2">
        <v>0</v>
      </c>
      <c r="E26" s="2">
        <v>1.2090000000000001</v>
      </c>
      <c r="F26" s="2">
        <v>2</v>
      </c>
      <c r="H26" s="2">
        <v>38</v>
      </c>
      <c r="I26" s="2">
        <v>26</v>
      </c>
      <c r="J26" s="2">
        <v>1</v>
      </c>
      <c r="K26" s="2">
        <v>1</v>
      </c>
      <c r="L26" s="2">
        <v>1.702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49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38</v>
      </c>
      <c r="B27" s="2">
        <v>26</v>
      </c>
      <c r="C27" s="2">
        <v>1</v>
      </c>
      <c r="D27" s="2">
        <v>1</v>
      </c>
      <c r="E27" s="2">
        <v>1.702</v>
      </c>
      <c r="F27" s="2">
        <v>1</v>
      </c>
      <c r="H27" s="2">
        <v>38</v>
      </c>
      <c r="I27" s="2">
        <v>27</v>
      </c>
      <c r="J27" s="2">
        <v>8</v>
      </c>
      <c r="K27" s="2">
        <v>1</v>
      </c>
      <c r="L27" s="2">
        <v>1.2709999999999999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38</v>
      </c>
      <c r="B28" s="2">
        <v>27</v>
      </c>
      <c r="C28" s="2">
        <v>8</v>
      </c>
      <c r="D28" s="2">
        <v>1</v>
      </c>
      <c r="E28" s="2">
        <v>1.2709999999999999</v>
      </c>
      <c r="F28" s="2">
        <v>2</v>
      </c>
      <c r="H28" s="2">
        <v>38</v>
      </c>
      <c r="I28" s="2">
        <v>28</v>
      </c>
      <c r="J28" s="2">
        <v>1</v>
      </c>
      <c r="K28" s="2">
        <v>1</v>
      </c>
      <c r="L28" s="2">
        <v>1.226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38</v>
      </c>
      <c r="B29" s="2">
        <v>28</v>
      </c>
      <c r="C29" s="2">
        <v>1</v>
      </c>
      <c r="D29" s="2">
        <v>1</v>
      </c>
      <c r="E29" s="2">
        <v>1.226</v>
      </c>
      <c r="F29" s="2">
        <v>1</v>
      </c>
      <c r="H29" s="2">
        <v>38</v>
      </c>
      <c r="I29" s="2">
        <v>29</v>
      </c>
      <c r="J29" s="2">
        <v>8</v>
      </c>
      <c r="K29" s="2">
        <v>1</v>
      </c>
      <c r="L29" s="2">
        <v>1.113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38</v>
      </c>
      <c r="B30" s="2">
        <v>29</v>
      </c>
      <c r="C30" s="2">
        <v>8</v>
      </c>
      <c r="D30" s="2">
        <v>1</v>
      </c>
      <c r="E30" s="2">
        <v>1.113</v>
      </c>
      <c r="F30" s="2">
        <v>2</v>
      </c>
      <c r="H30" s="2">
        <v>38</v>
      </c>
      <c r="I30" s="2">
        <v>30</v>
      </c>
      <c r="J30" s="2">
        <v>4</v>
      </c>
      <c r="K30" s="2">
        <v>1</v>
      </c>
      <c r="L30" s="2">
        <v>1.262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38</v>
      </c>
      <c r="B31" s="2">
        <v>30</v>
      </c>
      <c r="C31" s="2">
        <v>4</v>
      </c>
      <c r="D31" s="2">
        <v>1</v>
      </c>
      <c r="E31" s="2">
        <v>1.262</v>
      </c>
      <c r="F31" s="2">
        <v>2</v>
      </c>
      <c r="H31" s="2">
        <v>38</v>
      </c>
      <c r="I31" s="2">
        <v>31</v>
      </c>
      <c r="J31" s="2">
        <v>1</v>
      </c>
      <c r="K31" s="2">
        <v>1</v>
      </c>
      <c r="L31" s="2">
        <v>1.752</v>
      </c>
      <c r="M31" s="2">
        <v>1</v>
      </c>
      <c r="N31" s="3">
        <v>1</v>
      </c>
      <c r="O31" s="3">
        <f t="shared" ref="O31:O36" si="17">SUM(O17:V17)/SUM(O$26:V$26)</f>
        <v>5.8455414012738835E-2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38</v>
      </c>
      <c r="B32" s="2">
        <v>31</v>
      </c>
      <c r="C32" s="2">
        <v>1</v>
      </c>
      <c r="D32" s="2">
        <v>1</v>
      </c>
      <c r="E32" s="2">
        <v>1.752</v>
      </c>
      <c r="F32" s="2">
        <v>1</v>
      </c>
      <c r="H32" s="2">
        <v>38</v>
      </c>
      <c r="I32" s="2">
        <v>32</v>
      </c>
      <c r="J32" s="2">
        <v>6</v>
      </c>
      <c r="K32" s="2">
        <v>1</v>
      </c>
      <c r="L32" s="2">
        <v>0.95199999999999996</v>
      </c>
      <c r="M32" s="2">
        <v>1</v>
      </c>
      <c r="N32" s="3">
        <v>2</v>
      </c>
      <c r="O32" s="3">
        <f t="shared" si="17"/>
        <v>6.8773885350318462E-2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38</v>
      </c>
      <c r="B33" s="2">
        <v>32</v>
      </c>
      <c r="C33" s="2">
        <v>6</v>
      </c>
      <c r="D33" s="2">
        <v>1</v>
      </c>
      <c r="E33" s="2">
        <v>0.95199999999999996</v>
      </c>
      <c r="F33" s="2">
        <v>1</v>
      </c>
      <c r="H33" s="2">
        <v>38</v>
      </c>
      <c r="I33" s="2">
        <v>33</v>
      </c>
      <c r="J33" s="2">
        <v>2</v>
      </c>
      <c r="K33" s="2">
        <v>1</v>
      </c>
      <c r="L33" s="2">
        <v>1.1279999999999999</v>
      </c>
      <c r="M33" s="2">
        <v>2</v>
      </c>
      <c r="N33" s="3">
        <v>3</v>
      </c>
      <c r="O33" s="3">
        <f t="shared" si="17"/>
        <v>0.23042993630573244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38</v>
      </c>
      <c r="B34" s="2">
        <v>33</v>
      </c>
      <c r="C34" s="2">
        <v>2</v>
      </c>
      <c r="D34" s="2">
        <v>1</v>
      </c>
      <c r="E34" s="2">
        <v>1.1279999999999999</v>
      </c>
      <c r="F34" s="2">
        <v>2</v>
      </c>
      <c r="H34" s="2">
        <v>38</v>
      </c>
      <c r="I34" s="2">
        <v>34</v>
      </c>
      <c r="J34" s="2">
        <v>3</v>
      </c>
      <c r="K34" s="2">
        <v>0</v>
      </c>
      <c r="L34" s="2">
        <v>1.2010000000000001</v>
      </c>
      <c r="M34" s="2">
        <v>2</v>
      </c>
      <c r="N34" s="3">
        <v>4</v>
      </c>
      <c r="O34" s="3">
        <f t="shared" si="17"/>
        <v>7.5557324840764314E-2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38</v>
      </c>
      <c r="B35" s="2">
        <v>34</v>
      </c>
      <c r="C35" s="2">
        <v>3</v>
      </c>
      <c r="D35" s="2">
        <v>0</v>
      </c>
      <c r="E35" s="2">
        <v>1.2010000000000001</v>
      </c>
      <c r="F35" s="2">
        <v>2</v>
      </c>
      <c r="H35" s="2">
        <v>38</v>
      </c>
      <c r="I35" s="2">
        <v>35</v>
      </c>
      <c r="J35" s="2">
        <v>5</v>
      </c>
      <c r="K35" s="2">
        <v>1</v>
      </c>
      <c r="L35" s="2">
        <v>1.399</v>
      </c>
      <c r="M35" s="2">
        <v>1</v>
      </c>
      <c r="N35" s="3">
        <v>5</v>
      </c>
      <c r="O35" s="3">
        <f t="shared" si="17"/>
        <v>0.11506369426751591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38</v>
      </c>
      <c r="B36" s="2">
        <v>35</v>
      </c>
      <c r="C36" s="2">
        <v>5</v>
      </c>
      <c r="D36" s="2">
        <v>1</v>
      </c>
      <c r="E36" s="2">
        <v>1.399</v>
      </c>
      <c r="F36" s="2">
        <v>1</v>
      </c>
      <c r="H36" s="2">
        <v>38</v>
      </c>
      <c r="I36" s="2">
        <v>36</v>
      </c>
      <c r="J36" s="2">
        <v>3</v>
      </c>
      <c r="K36" s="2">
        <v>0</v>
      </c>
      <c r="L36" s="2">
        <v>1.3979999999999999</v>
      </c>
      <c r="M36" s="2">
        <v>2</v>
      </c>
      <c r="N36" s="3">
        <v>6</v>
      </c>
      <c r="O36" s="3">
        <f t="shared" si="17"/>
        <v>0.1321656050955414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38</v>
      </c>
      <c r="B37" s="2">
        <v>36</v>
      </c>
      <c r="C37" s="2">
        <v>3</v>
      </c>
      <c r="D37" s="2">
        <v>0</v>
      </c>
      <c r="E37" s="2">
        <v>1.3979999999999999</v>
      </c>
      <c r="F37" s="2">
        <v>2</v>
      </c>
      <c r="H37" s="2">
        <v>38</v>
      </c>
      <c r="I37" s="2">
        <v>37</v>
      </c>
      <c r="J37" s="2">
        <v>8</v>
      </c>
      <c r="K37" s="2">
        <v>1</v>
      </c>
      <c r="L37" s="2">
        <v>1.099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38</v>
      </c>
      <c r="B38" s="2">
        <v>37</v>
      </c>
      <c r="C38" s="2">
        <v>8</v>
      </c>
      <c r="D38" s="2">
        <v>1</v>
      </c>
      <c r="E38" s="2">
        <v>1.099</v>
      </c>
      <c r="F38" s="2">
        <v>2</v>
      </c>
      <c r="H38" s="2">
        <v>38</v>
      </c>
      <c r="I38" s="2">
        <v>38</v>
      </c>
      <c r="J38" s="2">
        <v>7</v>
      </c>
      <c r="K38" s="2">
        <v>1</v>
      </c>
      <c r="L38" s="2">
        <v>1.048</v>
      </c>
      <c r="M38" s="2">
        <v>2</v>
      </c>
    </row>
    <row r="39" spans="1:25" ht="14.25" customHeight="1">
      <c r="A39" s="2">
        <v>38</v>
      </c>
      <c r="B39" s="2">
        <v>38</v>
      </c>
      <c r="C39" s="2">
        <v>7</v>
      </c>
      <c r="D39" s="2">
        <v>1</v>
      </c>
      <c r="E39" s="2">
        <v>1.048</v>
      </c>
      <c r="F39" s="2">
        <v>2</v>
      </c>
      <c r="H39" s="2">
        <v>38</v>
      </c>
      <c r="I39" s="2">
        <v>39</v>
      </c>
      <c r="J39" s="2">
        <v>2</v>
      </c>
      <c r="K39" s="2">
        <v>1</v>
      </c>
      <c r="L39" s="2">
        <v>1.1519999999999999</v>
      </c>
      <c r="M39" s="2">
        <v>2</v>
      </c>
    </row>
    <row r="40" spans="1:25" ht="14.25" customHeight="1">
      <c r="A40" s="2">
        <v>38</v>
      </c>
      <c r="B40" s="2">
        <v>39</v>
      </c>
      <c r="C40" s="2">
        <v>2</v>
      </c>
      <c r="D40" s="2">
        <v>1</v>
      </c>
      <c r="E40" s="2">
        <v>1.1519999999999999</v>
      </c>
      <c r="F40" s="2">
        <v>2</v>
      </c>
      <c r="H40" s="2">
        <v>38</v>
      </c>
      <c r="I40" s="2">
        <v>40</v>
      </c>
      <c r="J40" s="2">
        <v>4</v>
      </c>
      <c r="K40" s="2">
        <v>1</v>
      </c>
      <c r="L40" s="2">
        <v>1.111</v>
      </c>
      <c r="M40" s="2">
        <v>2</v>
      </c>
    </row>
    <row r="41" spans="1:25" ht="14.25" customHeight="1">
      <c r="A41" s="2">
        <v>38</v>
      </c>
      <c r="B41" s="2">
        <v>40</v>
      </c>
      <c r="C41" s="2">
        <v>4</v>
      </c>
      <c r="D41" s="2">
        <v>1</v>
      </c>
      <c r="E41" s="2">
        <v>1.111</v>
      </c>
      <c r="F41" s="2">
        <v>2</v>
      </c>
      <c r="H41" s="2">
        <v>38</v>
      </c>
      <c r="I41" s="2">
        <v>41</v>
      </c>
      <c r="J41" s="2">
        <v>2</v>
      </c>
      <c r="K41" s="2">
        <v>1</v>
      </c>
      <c r="L41" s="2">
        <v>0.95299999999999996</v>
      </c>
      <c r="M41" s="2">
        <v>2</v>
      </c>
    </row>
    <row r="42" spans="1:25" ht="14.25" customHeight="1">
      <c r="A42" s="2">
        <v>38</v>
      </c>
      <c r="B42" s="2">
        <v>41</v>
      </c>
      <c r="C42" s="2">
        <v>2</v>
      </c>
      <c r="D42" s="2">
        <v>1</v>
      </c>
      <c r="E42" s="2">
        <v>0.95299999999999996</v>
      </c>
      <c r="F42" s="2">
        <v>2</v>
      </c>
      <c r="H42" s="2">
        <v>38</v>
      </c>
      <c r="I42" s="2">
        <v>42</v>
      </c>
      <c r="J42" s="2">
        <v>5</v>
      </c>
      <c r="K42" s="2">
        <v>1</v>
      </c>
      <c r="L42" s="2">
        <v>0.93300000000000005</v>
      </c>
      <c r="M42" s="2">
        <v>1</v>
      </c>
    </row>
    <row r="43" spans="1:25" ht="14.25" customHeight="1">
      <c r="A43" s="2">
        <v>38</v>
      </c>
      <c r="B43" s="2">
        <v>42</v>
      </c>
      <c r="C43" s="2">
        <v>5</v>
      </c>
      <c r="D43" s="2">
        <v>1</v>
      </c>
      <c r="E43" s="2">
        <v>0.93300000000000005</v>
      </c>
      <c r="F43" s="2">
        <v>1</v>
      </c>
      <c r="H43" s="2">
        <v>38</v>
      </c>
      <c r="I43" s="2">
        <v>43</v>
      </c>
      <c r="J43" s="2">
        <v>1</v>
      </c>
      <c r="K43" s="2">
        <v>1</v>
      </c>
      <c r="L43" s="2">
        <v>1.6619999999999999</v>
      </c>
      <c r="M43" s="2">
        <v>1</v>
      </c>
    </row>
    <row r="44" spans="1:25" ht="14.25" customHeight="1">
      <c r="A44" s="2">
        <v>38</v>
      </c>
      <c r="B44" s="2">
        <v>43</v>
      </c>
      <c r="C44" s="2">
        <v>1</v>
      </c>
      <c r="D44" s="2">
        <v>1</v>
      </c>
      <c r="E44" s="2">
        <v>1.6619999999999999</v>
      </c>
      <c r="F44" s="2">
        <v>1</v>
      </c>
      <c r="H44" s="2">
        <v>38</v>
      </c>
      <c r="I44" s="2">
        <v>44</v>
      </c>
      <c r="J44" s="2">
        <v>6</v>
      </c>
      <c r="K44" s="2">
        <v>1</v>
      </c>
      <c r="L44" s="2">
        <v>1.4450000000000001</v>
      </c>
      <c r="M44" s="2">
        <v>1</v>
      </c>
    </row>
    <row r="45" spans="1:25" ht="14.25" customHeight="1">
      <c r="A45" s="2">
        <v>38</v>
      </c>
      <c r="B45" s="2">
        <v>44</v>
      </c>
      <c r="C45" s="2">
        <v>6</v>
      </c>
      <c r="D45" s="2">
        <v>1</v>
      </c>
      <c r="E45" s="2">
        <v>1.4450000000000001</v>
      </c>
      <c r="F45" s="2">
        <v>1</v>
      </c>
      <c r="H45" s="2">
        <v>38</v>
      </c>
      <c r="I45" s="2">
        <v>45</v>
      </c>
      <c r="J45" s="2">
        <v>7</v>
      </c>
      <c r="K45" s="2">
        <v>1</v>
      </c>
      <c r="L45" s="2">
        <v>1.222</v>
      </c>
      <c r="M45" s="2">
        <v>2</v>
      </c>
    </row>
    <row r="46" spans="1:25" ht="14.25" customHeight="1">
      <c r="A46" s="2">
        <v>38</v>
      </c>
      <c r="B46" s="2">
        <v>45</v>
      </c>
      <c r="C46" s="2">
        <v>7</v>
      </c>
      <c r="D46" s="2">
        <v>1</v>
      </c>
      <c r="E46" s="2">
        <v>1.222</v>
      </c>
      <c r="F46" s="2">
        <v>2</v>
      </c>
      <c r="H46" s="2">
        <v>38</v>
      </c>
      <c r="I46" s="2">
        <v>46</v>
      </c>
      <c r="J46" s="2">
        <v>2</v>
      </c>
      <c r="K46" s="2">
        <v>1</v>
      </c>
      <c r="L46" s="2">
        <v>1.4870000000000001</v>
      </c>
      <c r="M46" s="2">
        <v>2</v>
      </c>
    </row>
    <row r="47" spans="1:25" ht="14.25" customHeight="1">
      <c r="A47" s="2">
        <v>38</v>
      </c>
      <c r="B47" s="2">
        <v>46</v>
      </c>
      <c r="C47" s="2">
        <v>2</v>
      </c>
      <c r="D47" s="2">
        <v>1</v>
      </c>
      <c r="E47" s="2">
        <v>1.4870000000000001</v>
      </c>
      <c r="F47" s="2">
        <v>2</v>
      </c>
      <c r="H47" s="2">
        <v>38</v>
      </c>
      <c r="I47" s="2">
        <v>47</v>
      </c>
      <c r="J47" s="2">
        <v>4</v>
      </c>
      <c r="K47" s="2">
        <v>1</v>
      </c>
      <c r="L47" s="2">
        <v>1.7190000000000001</v>
      </c>
      <c r="M47" s="2">
        <v>2</v>
      </c>
    </row>
    <row r="48" spans="1:25" ht="14.25" customHeight="1">
      <c r="A48" s="2">
        <v>38</v>
      </c>
      <c r="B48" s="2">
        <v>47</v>
      </c>
      <c r="C48" s="2">
        <v>4</v>
      </c>
      <c r="D48" s="2">
        <v>1</v>
      </c>
      <c r="E48" s="2">
        <v>1.7190000000000001</v>
      </c>
      <c r="F48" s="2">
        <v>2</v>
      </c>
      <c r="H48" s="2">
        <v>38</v>
      </c>
      <c r="I48" s="2">
        <v>48</v>
      </c>
      <c r="J48" s="2">
        <v>3</v>
      </c>
      <c r="K48" s="2">
        <v>1</v>
      </c>
      <c r="L48" s="2">
        <v>1.0569999999999999</v>
      </c>
      <c r="M48" s="2">
        <v>1</v>
      </c>
    </row>
    <row r="49" spans="1:13" ht="14.25" customHeight="1">
      <c r="A49" s="2">
        <v>38</v>
      </c>
      <c r="B49" s="2">
        <v>48</v>
      </c>
      <c r="C49" s="2">
        <v>3</v>
      </c>
      <c r="D49" s="2">
        <v>1</v>
      </c>
      <c r="E49" s="2">
        <v>1.0569999999999999</v>
      </c>
      <c r="F49" s="2">
        <v>1</v>
      </c>
      <c r="H49" s="2">
        <v>38</v>
      </c>
      <c r="I49" s="2">
        <v>49</v>
      </c>
      <c r="J49" s="2">
        <v>7</v>
      </c>
      <c r="K49" s="2">
        <v>1</v>
      </c>
      <c r="L49" s="2">
        <v>1.391</v>
      </c>
      <c r="M49" s="2">
        <v>2</v>
      </c>
    </row>
    <row r="50" spans="1:13" ht="14.25" customHeight="1">
      <c r="A50" s="2">
        <v>38</v>
      </c>
      <c r="B50" s="2">
        <v>49</v>
      </c>
      <c r="C50" s="2">
        <v>7</v>
      </c>
      <c r="D50" s="2">
        <v>1</v>
      </c>
      <c r="E50" s="2">
        <v>1.391</v>
      </c>
      <c r="F50" s="2">
        <v>2</v>
      </c>
      <c r="H50" s="2">
        <v>38</v>
      </c>
      <c r="I50" s="2">
        <v>50</v>
      </c>
      <c r="J50" s="2">
        <v>8</v>
      </c>
      <c r="K50" s="2">
        <v>1</v>
      </c>
      <c r="L50" s="2">
        <v>1.6719999999999999</v>
      </c>
      <c r="M50" s="2">
        <v>2</v>
      </c>
    </row>
    <row r="51" spans="1:13" ht="14.25" customHeight="1">
      <c r="A51" s="2">
        <v>38</v>
      </c>
      <c r="B51" s="2">
        <v>50</v>
      </c>
      <c r="C51" s="2">
        <v>8</v>
      </c>
      <c r="D51" s="2">
        <v>1</v>
      </c>
      <c r="E51" s="2">
        <v>1.6719999999999999</v>
      </c>
      <c r="F51" s="2">
        <v>2</v>
      </c>
    </row>
    <row r="52" spans="1:13" ht="14.25" customHeight="1">
      <c r="A52" s="2">
        <v>38</v>
      </c>
      <c r="B52" s="2">
        <v>51</v>
      </c>
      <c r="C52" s="2">
        <v>4</v>
      </c>
      <c r="E52" s="2">
        <v>2</v>
      </c>
    </row>
    <row r="53" spans="1:13" ht="14.25" customHeight="1">
      <c r="A53" s="2">
        <v>38</v>
      </c>
      <c r="B53" s="2">
        <v>52</v>
      </c>
      <c r="C53" s="2">
        <v>3</v>
      </c>
      <c r="D53" s="2">
        <v>1</v>
      </c>
      <c r="E53" s="2">
        <v>0.97799999999999998</v>
      </c>
      <c r="F53" s="2">
        <v>2</v>
      </c>
    </row>
    <row r="54" spans="1:13" ht="14.25" customHeight="1">
      <c r="A54" s="2">
        <v>38</v>
      </c>
      <c r="B54" s="2">
        <v>53</v>
      </c>
      <c r="C54" s="2">
        <v>1</v>
      </c>
      <c r="D54" s="2">
        <v>1</v>
      </c>
      <c r="E54" s="2">
        <v>1.712</v>
      </c>
      <c r="F54" s="2">
        <v>1</v>
      </c>
    </row>
    <row r="55" spans="1:13" ht="14.25" customHeight="1">
      <c r="A55" s="2">
        <v>38</v>
      </c>
      <c r="B55" s="2">
        <v>54</v>
      </c>
      <c r="C55" s="2">
        <v>2</v>
      </c>
      <c r="D55" s="2">
        <v>1</v>
      </c>
      <c r="E55" s="2">
        <v>0.78300000000000003</v>
      </c>
      <c r="F55" s="2">
        <v>1</v>
      </c>
    </row>
    <row r="56" spans="1:13" ht="14.25" customHeight="1">
      <c r="A56" s="2">
        <v>38</v>
      </c>
      <c r="B56" s="2">
        <v>55</v>
      </c>
      <c r="C56" s="2">
        <v>8</v>
      </c>
      <c r="D56" s="2">
        <v>1</v>
      </c>
      <c r="E56" s="2">
        <v>0.96</v>
      </c>
      <c r="F56" s="2">
        <v>2</v>
      </c>
    </row>
    <row r="57" spans="1:13" ht="14.25" customHeight="1">
      <c r="A57" s="2">
        <v>38</v>
      </c>
      <c r="B57" s="2">
        <v>56</v>
      </c>
      <c r="C57" s="2">
        <v>5</v>
      </c>
      <c r="D57" s="2">
        <v>1</v>
      </c>
      <c r="E57" s="2">
        <v>0.85499999999999998</v>
      </c>
      <c r="F57" s="2">
        <v>1</v>
      </c>
    </row>
    <row r="58" spans="1:13" ht="14.25" customHeight="1">
      <c r="A58" s="2">
        <v>38</v>
      </c>
      <c r="B58" s="2">
        <v>57</v>
      </c>
      <c r="C58" s="2">
        <v>6</v>
      </c>
      <c r="D58" s="2">
        <v>0</v>
      </c>
      <c r="E58" s="2">
        <v>0.95899999999999996</v>
      </c>
      <c r="F58" s="2">
        <v>2</v>
      </c>
    </row>
    <row r="59" spans="1:13" ht="14.25" customHeight="1">
      <c r="A59" s="2">
        <v>38</v>
      </c>
      <c r="B59" s="2">
        <v>58</v>
      </c>
      <c r="C59" s="2">
        <v>7</v>
      </c>
      <c r="D59" s="2">
        <v>1</v>
      </c>
      <c r="E59" s="2">
        <v>0.90200000000000002</v>
      </c>
      <c r="F59" s="2">
        <v>2</v>
      </c>
    </row>
    <row r="60" spans="1:13" ht="14.25" customHeight="1">
      <c r="A60" s="2">
        <v>38</v>
      </c>
      <c r="B60" s="2">
        <v>59</v>
      </c>
      <c r="C60" s="2">
        <v>5</v>
      </c>
      <c r="D60" s="2">
        <v>1</v>
      </c>
      <c r="E60" s="2">
        <v>1.01</v>
      </c>
      <c r="F60" s="2">
        <v>1</v>
      </c>
    </row>
    <row r="61" spans="1:13" ht="14.25" customHeight="1">
      <c r="A61" s="2">
        <v>38</v>
      </c>
      <c r="B61" s="2">
        <v>60</v>
      </c>
      <c r="C61" s="2">
        <v>2</v>
      </c>
      <c r="D61" s="2">
        <v>1</v>
      </c>
      <c r="E61" s="2">
        <v>1.198</v>
      </c>
      <c r="F61" s="2">
        <v>1</v>
      </c>
    </row>
    <row r="62" spans="1:13" ht="14.25" customHeight="1">
      <c r="A62" s="2">
        <v>38</v>
      </c>
      <c r="B62" s="2">
        <v>61</v>
      </c>
      <c r="C62" s="2">
        <v>5</v>
      </c>
      <c r="D62" s="2">
        <v>1</v>
      </c>
      <c r="E62" s="2">
        <v>1.0760000000000001</v>
      </c>
      <c r="F62" s="2">
        <v>2</v>
      </c>
    </row>
    <row r="63" spans="1:13" ht="14.25" customHeight="1">
      <c r="A63" s="2">
        <v>38</v>
      </c>
      <c r="B63" s="2">
        <v>62</v>
      </c>
      <c r="C63" s="2">
        <v>4</v>
      </c>
      <c r="D63" s="2">
        <v>1</v>
      </c>
      <c r="E63" s="2">
        <v>1.357</v>
      </c>
      <c r="F63" s="2">
        <v>2</v>
      </c>
    </row>
    <row r="64" spans="1:13" ht="14.25" customHeight="1">
      <c r="A64" s="2">
        <v>38</v>
      </c>
      <c r="B64" s="2">
        <v>63</v>
      </c>
      <c r="C64" s="2">
        <v>7</v>
      </c>
      <c r="D64" s="2">
        <v>1</v>
      </c>
      <c r="E64" s="2">
        <v>1.534</v>
      </c>
      <c r="F64" s="2">
        <v>1</v>
      </c>
    </row>
    <row r="65" spans="1:6" ht="14.25" customHeight="1">
      <c r="A65" s="2">
        <v>38</v>
      </c>
      <c r="B65" s="2">
        <v>64</v>
      </c>
      <c r="C65" s="2">
        <v>4</v>
      </c>
      <c r="D65" s="2">
        <v>1</v>
      </c>
      <c r="E65" s="2">
        <v>1.103</v>
      </c>
      <c r="F65" s="2">
        <v>1</v>
      </c>
    </row>
    <row r="66" spans="1:6" ht="14.25" customHeight="1">
      <c r="A66" s="2">
        <v>38</v>
      </c>
      <c r="B66" s="2">
        <v>65</v>
      </c>
      <c r="C66" s="2">
        <v>2</v>
      </c>
      <c r="D66" s="2">
        <v>1</v>
      </c>
      <c r="E66" s="2">
        <v>1.2549999999999999</v>
      </c>
      <c r="F66" s="2">
        <v>2</v>
      </c>
    </row>
    <row r="67" spans="1:6" ht="14.25" customHeight="1">
      <c r="A67" s="2">
        <v>38</v>
      </c>
      <c r="B67" s="2">
        <v>66</v>
      </c>
      <c r="C67" s="2">
        <v>7</v>
      </c>
      <c r="D67" s="2">
        <v>1</v>
      </c>
      <c r="E67" s="2">
        <v>1.0820000000000001</v>
      </c>
      <c r="F67" s="2">
        <v>2</v>
      </c>
    </row>
    <row r="68" spans="1:6" ht="14.25" customHeight="1">
      <c r="A68" s="2">
        <v>38</v>
      </c>
      <c r="B68" s="2">
        <v>67</v>
      </c>
      <c r="C68" s="2">
        <v>1</v>
      </c>
      <c r="D68" s="2">
        <v>1</v>
      </c>
      <c r="E68" s="2">
        <v>1.9350000000000001</v>
      </c>
      <c r="F68" s="2">
        <v>1</v>
      </c>
    </row>
    <row r="69" spans="1:6" ht="14.25" customHeight="1">
      <c r="A69" s="2">
        <v>38</v>
      </c>
      <c r="B69" s="2">
        <v>68</v>
      </c>
      <c r="C69" s="2">
        <v>6</v>
      </c>
      <c r="D69" s="2">
        <v>1</v>
      </c>
      <c r="E69" s="2">
        <v>1.2210000000000001</v>
      </c>
      <c r="F69" s="2">
        <v>2</v>
      </c>
    </row>
    <row r="70" spans="1:6" ht="14.25" customHeight="1">
      <c r="A70" s="2">
        <v>38</v>
      </c>
      <c r="B70" s="2">
        <v>69</v>
      </c>
      <c r="C70" s="2">
        <v>7</v>
      </c>
      <c r="D70" s="2">
        <v>1</v>
      </c>
      <c r="E70" s="2">
        <v>0.91100000000000003</v>
      </c>
      <c r="F70" s="2">
        <v>2</v>
      </c>
    </row>
    <row r="71" spans="1:6" ht="14.25" customHeight="1">
      <c r="A71" s="2">
        <v>38</v>
      </c>
      <c r="B71" s="2">
        <v>70</v>
      </c>
      <c r="C71" s="2">
        <v>8</v>
      </c>
      <c r="D71" s="2">
        <v>1</v>
      </c>
      <c r="E71" s="2">
        <v>1.159</v>
      </c>
      <c r="F71" s="2">
        <v>2</v>
      </c>
    </row>
    <row r="72" spans="1:6" ht="14.25" customHeight="1">
      <c r="A72" s="2">
        <v>38</v>
      </c>
      <c r="B72" s="2">
        <v>71</v>
      </c>
      <c r="C72" s="2">
        <v>1</v>
      </c>
      <c r="D72" s="2">
        <v>1</v>
      </c>
      <c r="E72" s="2">
        <v>1.181</v>
      </c>
      <c r="F72" s="2">
        <v>1</v>
      </c>
    </row>
    <row r="73" spans="1:6" ht="14.25" customHeight="1">
      <c r="A73" s="2">
        <v>38</v>
      </c>
      <c r="B73" s="2">
        <v>72</v>
      </c>
      <c r="C73" s="2">
        <v>8</v>
      </c>
      <c r="D73" s="2">
        <v>1</v>
      </c>
      <c r="E73" s="2">
        <v>1.395</v>
      </c>
      <c r="F73" s="2">
        <v>1</v>
      </c>
    </row>
    <row r="74" spans="1:6" ht="14.25" customHeight="1">
      <c r="A74" s="2">
        <v>38</v>
      </c>
      <c r="B74" s="2">
        <v>73</v>
      </c>
      <c r="C74" s="2">
        <v>7</v>
      </c>
      <c r="D74" s="2">
        <v>1</v>
      </c>
      <c r="E74" s="2">
        <v>1.44</v>
      </c>
      <c r="F74" s="2">
        <v>1</v>
      </c>
    </row>
    <row r="75" spans="1:6" ht="14.25" customHeight="1">
      <c r="A75" s="2">
        <v>38</v>
      </c>
      <c r="B75" s="2">
        <v>74</v>
      </c>
      <c r="C75" s="2">
        <v>1</v>
      </c>
      <c r="D75" s="2">
        <v>1</v>
      </c>
      <c r="E75" s="2">
        <v>0.96199999999999997</v>
      </c>
      <c r="F75" s="2">
        <v>2</v>
      </c>
    </row>
    <row r="76" spans="1:6" ht="14.25" customHeight="1">
      <c r="A76" s="2">
        <v>38</v>
      </c>
      <c r="B76" s="2">
        <v>75</v>
      </c>
      <c r="C76" s="2">
        <v>8</v>
      </c>
      <c r="D76" s="2">
        <v>1</v>
      </c>
      <c r="E76" s="2">
        <v>1.175</v>
      </c>
      <c r="F76" s="2">
        <v>1</v>
      </c>
    </row>
    <row r="77" spans="1:6" ht="14.25" customHeight="1">
      <c r="A77" s="2">
        <v>38</v>
      </c>
      <c r="B77" s="2">
        <v>76</v>
      </c>
      <c r="C77" s="2">
        <v>2</v>
      </c>
      <c r="D77" s="2">
        <v>1</v>
      </c>
      <c r="E77" s="2">
        <v>0.92700000000000005</v>
      </c>
      <c r="F77" s="2">
        <v>1</v>
      </c>
    </row>
    <row r="78" spans="1:6" ht="14.25" customHeight="1">
      <c r="A78" s="2">
        <v>38</v>
      </c>
      <c r="B78" s="2">
        <v>77</v>
      </c>
      <c r="C78" s="2">
        <v>5</v>
      </c>
      <c r="D78" s="2">
        <v>1</v>
      </c>
      <c r="E78" s="2">
        <v>1.478</v>
      </c>
      <c r="F78" s="2">
        <v>2</v>
      </c>
    </row>
    <row r="79" spans="1:6" ht="14.25" customHeight="1">
      <c r="A79" s="2">
        <v>38</v>
      </c>
      <c r="B79" s="2">
        <v>78</v>
      </c>
      <c r="C79" s="2">
        <v>8</v>
      </c>
      <c r="D79" s="2">
        <v>1</v>
      </c>
      <c r="E79" s="2">
        <v>1.0509999999999999</v>
      </c>
      <c r="F79" s="2">
        <v>1</v>
      </c>
    </row>
    <row r="80" spans="1:6" ht="14.25" customHeight="1">
      <c r="A80" s="2">
        <v>38</v>
      </c>
      <c r="B80" s="2">
        <v>79</v>
      </c>
      <c r="C80" s="2">
        <v>6</v>
      </c>
      <c r="D80" s="2">
        <v>1</v>
      </c>
      <c r="E80" s="2">
        <v>1.073</v>
      </c>
      <c r="F80" s="2">
        <v>2</v>
      </c>
    </row>
    <row r="81" spans="1:6" ht="14.25" customHeight="1">
      <c r="A81" s="2">
        <v>38</v>
      </c>
      <c r="B81" s="2">
        <v>80</v>
      </c>
      <c r="C81" s="2">
        <v>1</v>
      </c>
      <c r="D81" s="2">
        <v>1</v>
      </c>
      <c r="E81" s="2">
        <v>1.06</v>
      </c>
      <c r="F81" s="2">
        <v>2</v>
      </c>
    </row>
    <row r="82" spans="1:6" ht="14.25" customHeight="1">
      <c r="A82" s="2">
        <v>38</v>
      </c>
      <c r="B82" s="2">
        <v>81</v>
      </c>
      <c r="C82" s="2">
        <v>3</v>
      </c>
      <c r="D82" s="2">
        <v>1</v>
      </c>
      <c r="E82" s="2">
        <v>0.82399999999999995</v>
      </c>
      <c r="F82" s="2">
        <v>1</v>
      </c>
    </row>
    <row r="83" spans="1:6" ht="14.25" customHeight="1">
      <c r="A83" s="2">
        <v>38</v>
      </c>
      <c r="B83" s="2">
        <v>82</v>
      </c>
      <c r="C83" s="2">
        <v>4</v>
      </c>
      <c r="D83" s="2">
        <v>0</v>
      </c>
      <c r="E83" s="2">
        <v>0.73199999999999998</v>
      </c>
      <c r="F83" s="2">
        <v>2</v>
      </c>
    </row>
    <row r="84" spans="1:6" ht="14.25" customHeight="1">
      <c r="A84" s="2">
        <v>38</v>
      </c>
      <c r="B84" s="2">
        <v>83</v>
      </c>
      <c r="C84" s="2">
        <v>2</v>
      </c>
      <c r="D84" s="2">
        <v>1</v>
      </c>
      <c r="E84" s="2">
        <v>0.745</v>
      </c>
      <c r="F84" s="2">
        <v>2</v>
      </c>
    </row>
    <row r="85" spans="1:6" ht="14.25" customHeight="1">
      <c r="A85" s="2">
        <v>38</v>
      </c>
      <c r="B85" s="2">
        <v>84</v>
      </c>
      <c r="C85" s="2">
        <v>3</v>
      </c>
      <c r="D85" s="2">
        <v>1</v>
      </c>
      <c r="E85" s="2">
        <v>0.90800000000000003</v>
      </c>
      <c r="F85" s="2">
        <v>1</v>
      </c>
    </row>
    <row r="86" spans="1:6" ht="14.25" customHeight="1">
      <c r="A86" s="2">
        <v>38</v>
      </c>
      <c r="B86" s="2">
        <v>85</v>
      </c>
      <c r="C86" s="2">
        <v>2</v>
      </c>
      <c r="D86" s="2">
        <v>1</v>
      </c>
      <c r="E86" s="2">
        <v>1.216</v>
      </c>
      <c r="F86" s="2">
        <v>1</v>
      </c>
    </row>
    <row r="87" spans="1:6" ht="14.25" customHeight="1">
      <c r="A87" s="2">
        <v>38</v>
      </c>
      <c r="B87" s="2">
        <v>86</v>
      </c>
      <c r="C87" s="2">
        <v>6</v>
      </c>
      <c r="D87" s="2">
        <v>1</v>
      </c>
      <c r="E87" s="2">
        <v>0.88</v>
      </c>
      <c r="F87" s="2">
        <v>1</v>
      </c>
    </row>
    <row r="88" spans="1:6" ht="14.25" customHeight="1">
      <c r="A88" s="2">
        <v>38</v>
      </c>
      <c r="B88" s="2">
        <v>87</v>
      </c>
      <c r="C88" s="2">
        <v>3</v>
      </c>
      <c r="D88" s="2">
        <v>1</v>
      </c>
      <c r="E88" s="2">
        <v>1.07</v>
      </c>
      <c r="F88" s="2">
        <v>2</v>
      </c>
    </row>
    <row r="89" spans="1:6" ht="14.25" customHeight="1">
      <c r="A89" s="2">
        <v>38</v>
      </c>
      <c r="B89" s="2">
        <v>88</v>
      </c>
      <c r="C89" s="2">
        <v>8</v>
      </c>
      <c r="D89" s="2">
        <v>1</v>
      </c>
      <c r="E89" s="2">
        <v>0.69799999999999995</v>
      </c>
      <c r="F89" s="2">
        <v>2</v>
      </c>
    </row>
    <row r="90" spans="1:6" ht="14.25" customHeight="1">
      <c r="A90" s="2">
        <v>38</v>
      </c>
      <c r="B90" s="2">
        <v>89</v>
      </c>
      <c r="C90" s="2">
        <v>5</v>
      </c>
      <c r="D90" s="2">
        <v>1</v>
      </c>
      <c r="E90" s="2">
        <v>0.95</v>
      </c>
      <c r="F90" s="2">
        <v>2</v>
      </c>
    </row>
    <row r="91" spans="1:6" ht="14.25" customHeight="1">
      <c r="A91" s="2">
        <v>38</v>
      </c>
      <c r="B91" s="2">
        <v>90</v>
      </c>
      <c r="C91" s="2">
        <v>3</v>
      </c>
      <c r="D91" s="2">
        <v>1</v>
      </c>
      <c r="E91" s="2">
        <v>0.63200000000000001</v>
      </c>
      <c r="F91" s="2">
        <v>2</v>
      </c>
    </row>
    <row r="92" spans="1:6" ht="14.25" customHeight="1">
      <c r="A92" s="2">
        <v>38</v>
      </c>
      <c r="B92" s="2">
        <v>91</v>
      </c>
      <c r="C92" s="2">
        <v>5</v>
      </c>
      <c r="D92" s="2">
        <v>1</v>
      </c>
      <c r="E92" s="2">
        <v>1.0229999999999999</v>
      </c>
      <c r="F92" s="2">
        <v>2</v>
      </c>
    </row>
    <row r="93" spans="1:6" ht="14.25" customHeight="1">
      <c r="A93" s="2">
        <v>38</v>
      </c>
      <c r="B93" s="2">
        <v>92</v>
      </c>
      <c r="C93" s="2">
        <v>4</v>
      </c>
      <c r="D93" s="2">
        <v>1</v>
      </c>
      <c r="E93" s="2">
        <v>1.0409999999999999</v>
      </c>
      <c r="F93" s="2">
        <v>1</v>
      </c>
    </row>
    <row r="94" spans="1:6" ht="14.25" customHeight="1">
      <c r="A94" s="2">
        <v>38</v>
      </c>
      <c r="B94" s="2">
        <v>93</v>
      </c>
      <c r="C94" s="2">
        <v>8</v>
      </c>
      <c r="D94" s="2">
        <v>1</v>
      </c>
      <c r="E94" s="2">
        <v>0.92700000000000005</v>
      </c>
      <c r="F94" s="2">
        <v>1</v>
      </c>
    </row>
    <row r="95" spans="1:6" ht="14.25" customHeight="1">
      <c r="A95" s="2">
        <v>38</v>
      </c>
      <c r="B95" s="2">
        <v>94</v>
      </c>
      <c r="C95" s="2">
        <v>7</v>
      </c>
      <c r="D95" s="2">
        <v>0</v>
      </c>
      <c r="E95" s="2">
        <v>1.1040000000000001</v>
      </c>
      <c r="F95" s="2">
        <v>2</v>
      </c>
    </row>
    <row r="96" spans="1:6" ht="14.25" customHeight="1">
      <c r="A96" s="2">
        <v>38</v>
      </c>
      <c r="B96" s="2">
        <v>95</v>
      </c>
      <c r="C96" s="2">
        <v>6</v>
      </c>
      <c r="D96" s="2">
        <v>1</v>
      </c>
      <c r="E96" s="2">
        <v>1.3029999999999999</v>
      </c>
      <c r="F96" s="2">
        <v>2</v>
      </c>
    </row>
    <row r="97" spans="1:6" ht="14.25" customHeight="1">
      <c r="A97" s="2">
        <v>38</v>
      </c>
      <c r="B97" s="2">
        <v>96</v>
      </c>
      <c r="C97" s="2">
        <v>4</v>
      </c>
      <c r="D97" s="2">
        <v>1</v>
      </c>
      <c r="E97" s="2">
        <v>1.008</v>
      </c>
      <c r="F97" s="2">
        <v>2</v>
      </c>
    </row>
    <row r="98" spans="1:6" ht="14.25" customHeight="1">
      <c r="A98" s="2">
        <v>38</v>
      </c>
      <c r="B98" s="2">
        <v>97</v>
      </c>
      <c r="C98" s="2">
        <v>6</v>
      </c>
      <c r="D98" s="2">
        <v>1</v>
      </c>
      <c r="E98" s="2">
        <v>1.081</v>
      </c>
      <c r="F98" s="2">
        <v>2</v>
      </c>
    </row>
    <row r="99" spans="1:6" ht="14.25" customHeight="1">
      <c r="A99" s="2">
        <v>38</v>
      </c>
      <c r="B99" s="2">
        <v>98</v>
      </c>
      <c r="C99" s="2">
        <v>5</v>
      </c>
      <c r="D99" s="2">
        <v>1</v>
      </c>
      <c r="E99" s="2">
        <v>0.69299999999999995</v>
      </c>
      <c r="F99" s="2">
        <v>1</v>
      </c>
    </row>
    <row r="100" spans="1:6" ht="14.25" customHeight="1">
      <c r="A100" s="2">
        <v>38</v>
      </c>
      <c r="B100" s="2">
        <v>99</v>
      </c>
      <c r="C100" s="2">
        <v>3</v>
      </c>
      <c r="D100" s="2">
        <v>1</v>
      </c>
      <c r="E100" s="2">
        <v>1.129</v>
      </c>
      <c r="F100" s="2">
        <v>2</v>
      </c>
    </row>
    <row r="101" spans="1:6" ht="14.25" customHeight="1">
      <c r="A101" s="2">
        <v>38</v>
      </c>
      <c r="B101" s="2">
        <v>100</v>
      </c>
      <c r="C101" s="2">
        <v>1</v>
      </c>
      <c r="D101" s="2">
        <v>1</v>
      </c>
      <c r="E101" s="2">
        <v>0.92</v>
      </c>
      <c r="F101" s="2">
        <v>2</v>
      </c>
    </row>
    <row r="102" spans="1:6" ht="14.25" customHeight="1">
      <c r="A102" s="2">
        <v>38</v>
      </c>
      <c r="B102" s="2">
        <v>101</v>
      </c>
      <c r="C102" s="2">
        <v>4</v>
      </c>
      <c r="D102" s="2">
        <v>1</v>
      </c>
      <c r="E102" s="2">
        <v>1.383</v>
      </c>
      <c r="F102" s="2">
        <v>1</v>
      </c>
    </row>
    <row r="103" spans="1:6" ht="14.25" customHeight="1">
      <c r="A103" s="2">
        <v>38</v>
      </c>
      <c r="B103" s="2">
        <v>102</v>
      </c>
      <c r="C103" s="2">
        <v>3</v>
      </c>
      <c r="D103" s="2">
        <v>1</v>
      </c>
      <c r="E103" s="2">
        <v>1.296</v>
      </c>
      <c r="F103" s="2">
        <v>2</v>
      </c>
    </row>
    <row r="104" spans="1:6" ht="14.25" customHeight="1">
      <c r="A104" s="2">
        <v>38</v>
      </c>
      <c r="B104" s="2">
        <v>103</v>
      </c>
      <c r="C104" s="2">
        <v>5</v>
      </c>
      <c r="D104" s="2">
        <v>1</v>
      </c>
      <c r="E104" s="2">
        <v>1.1339999999999999</v>
      </c>
      <c r="F104" s="2">
        <v>1</v>
      </c>
    </row>
    <row r="105" spans="1:6" ht="14.25" customHeight="1">
      <c r="A105" s="2">
        <v>38</v>
      </c>
      <c r="B105" s="2">
        <v>104</v>
      </c>
      <c r="C105" s="2">
        <v>3</v>
      </c>
      <c r="D105" s="2">
        <v>1</v>
      </c>
      <c r="E105" s="2">
        <v>0.83099999999999996</v>
      </c>
      <c r="F105" s="2">
        <v>1</v>
      </c>
    </row>
    <row r="106" spans="1:6" ht="14.25" customHeight="1">
      <c r="A106" s="2">
        <v>38</v>
      </c>
      <c r="B106" s="2">
        <v>105</v>
      </c>
      <c r="C106" s="2">
        <v>5</v>
      </c>
      <c r="D106" s="2">
        <v>1</v>
      </c>
      <c r="E106" s="2">
        <v>0.71599999999999997</v>
      </c>
      <c r="F106" s="2">
        <v>2</v>
      </c>
    </row>
    <row r="107" spans="1:6" ht="14.25" customHeight="1">
      <c r="A107" s="2">
        <v>38</v>
      </c>
      <c r="B107" s="2">
        <v>106</v>
      </c>
      <c r="C107" s="2">
        <v>2</v>
      </c>
      <c r="D107" s="2">
        <v>1</v>
      </c>
      <c r="E107" s="2">
        <v>0.85599999999999998</v>
      </c>
      <c r="F107" s="2">
        <v>1</v>
      </c>
    </row>
    <row r="108" spans="1:6" ht="14.25" customHeight="1">
      <c r="A108" s="2">
        <v>38</v>
      </c>
      <c r="B108" s="2">
        <v>107</v>
      </c>
      <c r="C108" s="2">
        <v>1</v>
      </c>
      <c r="D108" s="2">
        <v>0</v>
      </c>
      <c r="E108" s="2">
        <v>1.0389999999999999</v>
      </c>
      <c r="F108" s="2">
        <v>2</v>
      </c>
    </row>
    <row r="109" spans="1:6" ht="14.25" customHeight="1">
      <c r="A109" s="2">
        <v>38</v>
      </c>
      <c r="B109" s="2">
        <v>108</v>
      </c>
      <c r="C109" s="2">
        <v>3</v>
      </c>
      <c r="D109" s="2">
        <v>0</v>
      </c>
      <c r="E109" s="2">
        <v>1.1970000000000001</v>
      </c>
      <c r="F109" s="2">
        <v>1</v>
      </c>
    </row>
    <row r="110" spans="1:6" ht="14.25" customHeight="1">
      <c r="A110" s="2">
        <v>38</v>
      </c>
      <c r="B110" s="2">
        <v>109</v>
      </c>
      <c r="C110" s="2">
        <v>6</v>
      </c>
      <c r="D110" s="2">
        <v>1</v>
      </c>
      <c r="E110" s="2">
        <v>0.94</v>
      </c>
      <c r="F110" s="2">
        <v>1</v>
      </c>
    </row>
    <row r="111" spans="1:6" ht="14.25" customHeight="1">
      <c r="A111" s="2">
        <v>38</v>
      </c>
      <c r="B111" s="2">
        <v>110</v>
      </c>
      <c r="C111" s="2">
        <v>5</v>
      </c>
      <c r="D111" s="2">
        <v>1</v>
      </c>
      <c r="E111" s="2">
        <v>1.0009999999999999</v>
      </c>
      <c r="F111" s="2">
        <v>1</v>
      </c>
    </row>
    <row r="112" spans="1:6" ht="14.25" customHeight="1">
      <c r="A112" s="2">
        <v>38</v>
      </c>
      <c r="B112" s="2">
        <v>111</v>
      </c>
      <c r="C112" s="2">
        <v>4</v>
      </c>
      <c r="D112" s="2">
        <v>1</v>
      </c>
      <c r="E112" s="2">
        <v>0.94</v>
      </c>
      <c r="F112" s="2">
        <v>2</v>
      </c>
    </row>
    <row r="113" spans="1:6" ht="14.25" customHeight="1">
      <c r="A113" s="2">
        <v>38</v>
      </c>
      <c r="B113" s="2">
        <v>112</v>
      </c>
      <c r="C113" s="2">
        <v>6</v>
      </c>
      <c r="D113" s="2">
        <v>1</v>
      </c>
      <c r="E113" s="2">
        <v>0.97799999999999998</v>
      </c>
      <c r="F113" s="2">
        <v>2</v>
      </c>
    </row>
    <row r="114" spans="1:6" ht="14.25" customHeight="1">
      <c r="A114" s="2">
        <v>38</v>
      </c>
      <c r="B114" s="2">
        <v>113</v>
      </c>
      <c r="C114" s="2">
        <v>7</v>
      </c>
      <c r="D114" s="2">
        <v>1</v>
      </c>
      <c r="E114" s="2">
        <v>0.84199999999999997</v>
      </c>
      <c r="F114" s="2">
        <v>1</v>
      </c>
    </row>
    <row r="115" spans="1:6" ht="14.25" customHeight="1">
      <c r="A115" s="2">
        <v>38</v>
      </c>
      <c r="B115" s="2">
        <v>114</v>
      </c>
      <c r="C115" s="2">
        <v>2</v>
      </c>
      <c r="D115" s="2">
        <v>0</v>
      </c>
      <c r="E115" s="2">
        <v>1.103</v>
      </c>
      <c r="F115" s="2">
        <v>2</v>
      </c>
    </row>
    <row r="116" spans="1:6" ht="14.25" customHeight="1">
      <c r="A116" s="2">
        <v>38</v>
      </c>
      <c r="B116" s="2">
        <v>115</v>
      </c>
      <c r="C116" s="2">
        <v>8</v>
      </c>
      <c r="D116" s="2">
        <v>1</v>
      </c>
      <c r="E116" s="2">
        <v>0.99099999999999999</v>
      </c>
      <c r="F116" s="2">
        <v>2</v>
      </c>
    </row>
    <row r="117" spans="1:6" ht="14.25" customHeight="1">
      <c r="A117" s="2">
        <v>38</v>
      </c>
      <c r="B117" s="2">
        <v>116</v>
      </c>
      <c r="C117" s="2">
        <v>7</v>
      </c>
      <c r="D117" s="2">
        <v>1</v>
      </c>
      <c r="E117" s="2">
        <v>1.169</v>
      </c>
      <c r="F117" s="2">
        <v>2</v>
      </c>
    </row>
    <row r="118" spans="1:6" ht="14.25" customHeight="1">
      <c r="A118" s="2">
        <v>38</v>
      </c>
      <c r="B118" s="2">
        <v>117</v>
      </c>
      <c r="C118" s="2">
        <v>8</v>
      </c>
      <c r="D118" s="2">
        <v>1</v>
      </c>
      <c r="E118" s="2">
        <v>1.222</v>
      </c>
      <c r="F118" s="2">
        <v>1</v>
      </c>
    </row>
    <row r="119" spans="1:6" ht="14.25" customHeight="1">
      <c r="A119" s="2">
        <v>38</v>
      </c>
      <c r="B119" s="2">
        <v>118</v>
      </c>
      <c r="C119" s="2">
        <v>1</v>
      </c>
      <c r="D119" s="2">
        <v>1</v>
      </c>
      <c r="E119" s="2">
        <v>1.2070000000000001</v>
      </c>
      <c r="F119" s="2">
        <v>2</v>
      </c>
    </row>
    <row r="120" spans="1:6" ht="14.25" customHeight="1">
      <c r="A120" s="2">
        <v>38</v>
      </c>
      <c r="B120" s="2">
        <v>119</v>
      </c>
      <c r="C120" s="2">
        <v>3</v>
      </c>
      <c r="D120" s="2">
        <v>1</v>
      </c>
      <c r="E120" s="2">
        <v>1.4970000000000001</v>
      </c>
      <c r="F120" s="2">
        <v>2</v>
      </c>
    </row>
    <row r="121" spans="1:6" ht="14.25" customHeight="1">
      <c r="A121" s="2">
        <v>38</v>
      </c>
      <c r="B121" s="2">
        <v>120</v>
      </c>
      <c r="C121" s="2">
        <v>2</v>
      </c>
      <c r="D121" s="2">
        <v>1</v>
      </c>
      <c r="E121" s="2">
        <v>1.1200000000000001</v>
      </c>
      <c r="F121" s="2">
        <v>2</v>
      </c>
    </row>
    <row r="122" spans="1:6" ht="14.25" customHeight="1">
      <c r="A122" s="2">
        <v>38</v>
      </c>
      <c r="B122" s="2">
        <v>121</v>
      </c>
      <c r="C122" s="2">
        <v>4</v>
      </c>
      <c r="D122" s="2">
        <v>1</v>
      </c>
      <c r="E122" s="2">
        <v>0.86599999999999999</v>
      </c>
      <c r="F122" s="2">
        <v>1</v>
      </c>
    </row>
    <row r="123" spans="1:6" ht="14.25" customHeight="1">
      <c r="A123" s="2">
        <v>38</v>
      </c>
      <c r="B123" s="2">
        <v>122</v>
      </c>
      <c r="C123" s="2">
        <v>2</v>
      </c>
      <c r="D123" s="2">
        <v>1</v>
      </c>
      <c r="E123" s="2">
        <v>1.2250000000000001</v>
      </c>
      <c r="F123" s="2">
        <v>1</v>
      </c>
    </row>
    <row r="124" spans="1:6" ht="14.25" customHeight="1">
      <c r="A124" s="2">
        <v>38</v>
      </c>
      <c r="B124" s="2">
        <v>123</v>
      </c>
      <c r="C124" s="2">
        <v>4</v>
      </c>
      <c r="D124" s="2">
        <v>1</v>
      </c>
      <c r="E124" s="2">
        <v>0.92700000000000005</v>
      </c>
      <c r="F124" s="2">
        <v>1</v>
      </c>
    </row>
    <row r="125" spans="1:6" ht="14.25" customHeight="1">
      <c r="A125" s="2">
        <v>38</v>
      </c>
      <c r="B125" s="2">
        <v>124</v>
      </c>
      <c r="C125" s="2">
        <v>6</v>
      </c>
      <c r="D125" s="2">
        <v>1</v>
      </c>
      <c r="E125" s="2">
        <v>1.147</v>
      </c>
      <c r="F125" s="2">
        <v>2</v>
      </c>
    </row>
    <row r="126" spans="1:6" ht="14.25" customHeight="1">
      <c r="A126" s="2">
        <v>38</v>
      </c>
      <c r="B126" s="2">
        <v>125</v>
      </c>
      <c r="C126" s="2">
        <v>2</v>
      </c>
      <c r="D126" s="2">
        <v>1</v>
      </c>
      <c r="E126" s="2">
        <v>1.139</v>
      </c>
      <c r="F126" s="2">
        <v>1</v>
      </c>
    </row>
    <row r="127" spans="1:6" ht="14.25" customHeight="1">
      <c r="A127" s="2">
        <v>38</v>
      </c>
      <c r="B127" s="2">
        <v>126</v>
      </c>
      <c r="C127" s="2">
        <v>6</v>
      </c>
      <c r="D127" s="2">
        <v>1</v>
      </c>
      <c r="E127" s="2">
        <v>0.754</v>
      </c>
      <c r="F127" s="2">
        <v>1</v>
      </c>
    </row>
    <row r="128" spans="1:6" ht="14.25" customHeight="1">
      <c r="A128" s="2">
        <v>38</v>
      </c>
      <c r="B128" s="2">
        <v>127</v>
      </c>
      <c r="C128" s="2">
        <v>8</v>
      </c>
      <c r="D128" s="2">
        <v>1</v>
      </c>
      <c r="E128" s="2">
        <v>1.488</v>
      </c>
      <c r="F128" s="2">
        <v>2</v>
      </c>
    </row>
    <row r="129" spans="1:6" ht="14.25" customHeight="1">
      <c r="A129" s="2">
        <v>38</v>
      </c>
      <c r="B129" s="2">
        <v>128</v>
      </c>
      <c r="C129" s="2">
        <v>1</v>
      </c>
      <c r="D129" s="2">
        <v>1</v>
      </c>
      <c r="E129" s="2">
        <v>0.83299999999999996</v>
      </c>
      <c r="F129" s="2">
        <v>1</v>
      </c>
    </row>
    <row r="130" spans="1:6" ht="14.25" customHeight="1">
      <c r="A130" s="2">
        <v>38</v>
      </c>
      <c r="B130" s="2">
        <v>129</v>
      </c>
      <c r="C130" s="2">
        <v>2</v>
      </c>
      <c r="D130" s="2">
        <v>1</v>
      </c>
      <c r="E130" s="2">
        <v>1.62</v>
      </c>
      <c r="F130" s="2">
        <v>2</v>
      </c>
    </row>
    <row r="131" spans="1:6" ht="14.25" customHeight="1">
      <c r="A131" s="2">
        <v>38</v>
      </c>
      <c r="B131" s="2">
        <v>130</v>
      </c>
      <c r="C131" s="2">
        <v>1</v>
      </c>
      <c r="D131" s="2">
        <v>1</v>
      </c>
      <c r="E131" s="2">
        <v>1.0149999999999999</v>
      </c>
      <c r="F131" s="2">
        <v>2</v>
      </c>
    </row>
    <row r="132" spans="1:6" ht="14.25" customHeight="1">
      <c r="A132" s="2">
        <v>38</v>
      </c>
      <c r="B132" s="2">
        <v>131</v>
      </c>
      <c r="C132" s="2">
        <v>7</v>
      </c>
      <c r="D132" s="2">
        <v>1</v>
      </c>
      <c r="E132" s="2">
        <v>0.79200000000000004</v>
      </c>
      <c r="F132" s="2">
        <v>1</v>
      </c>
    </row>
    <row r="133" spans="1:6" ht="14.25" customHeight="1">
      <c r="A133" s="2">
        <v>38</v>
      </c>
      <c r="B133" s="2">
        <v>132</v>
      </c>
      <c r="C133" s="2">
        <v>5</v>
      </c>
      <c r="D133" s="2">
        <v>0</v>
      </c>
      <c r="E133" s="2">
        <v>0.84</v>
      </c>
      <c r="F133" s="2">
        <v>2</v>
      </c>
    </row>
    <row r="134" spans="1:6" ht="14.25" customHeight="1">
      <c r="A134" s="2">
        <v>38</v>
      </c>
      <c r="B134" s="2">
        <v>133</v>
      </c>
      <c r="C134" s="2">
        <v>6</v>
      </c>
      <c r="D134" s="2">
        <v>1</v>
      </c>
      <c r="E134" s="2">
        <v>0.83099999999999996</v>
      </c>
      <c r="F134" s="2">
        <v>2</v>
      </c>
    </row>
    <row r="135" spans="1:6" ht="14.25" customHeight="1">
      <c r="A135" s="2">
        <v>38</v>
      </c>
      <c r="B135" s="2">
        <v>134</v>
      </c>
      <c r="C135" s="2">
        <v>4</v>
      </c>
      <c r="D135" s="2">
        <v>1</v>
      </c>
      <c r="E135" s="2">
        <v>1.089</v>
      </c>
      <c r="F135" s="2">
        <v>1</v>
      </c>
    </row>
    <row r="136" spans="1:6" ht="14.25" customHeight="1">
      <c r="A136" s="2">
        <v>38</v>
      </c>
      <c r="B136" s="2">
        <v>135</v>
      </c>
      <c r="C136" s="2">
        <v>1</v>
      </c>
      <c r="D136" s="2">
        <v>1</v>
      </c>
      <c r="E136" s="2">
        <v>1.288</v>
      </c>
      <c r="F136" s="2">
        <v>1</v>
      </c>
    </row>
    <row r="137" spans="1:6" ht="14.25" customHeight="1">
      <c r="A137" s="2">
        <v>38</v>
      </c>
      <c r="B137" s="2">
        <v>136</v>
      </c>
      <c r="C137" s="2">
        <v>8</v>
      </c>
      <c r="D137" s="2">
        <v>1</v>
      </c>
      <c r="E137" s="2">
        <v>0.97499999999999998</v>
      </c>
      <c r="F137" s="2">
        <v>1</v>
      </c>
    </row>
    <row r="138" spans="1:6" ht="14.25" customHeight="1">
      <c r="A138" s="2">
        <v>38</v>
      </c>
      <c r="B138" s="2">
        <v>137</v>
      </c>
      <c r="C138" s="2">
        <v>5</v>
      </c>
      <c r="D138" s="2">
        <v>1</v>
      </c>
      <c r="E138" s="2">
        <v>1.264</v>
      </c>
      <c r="F138" s="2">
        <v>2</v>
      </c>
    </row>
    <row r="139" spans="1:6" ht="14.25" customHeight="1">
      <c r="A139" s="2">
        <v>38</v>
      </c>
      <c r="B139" s="2">
        <v>138</v>
      </c>
      <c r="C139" s="2">
        <v>7</v>
      </c>
      <c r="D139" s="2">
        <v>1</v>
      </c>
      <c r="E139" s="2">
        <v>1.032</v>
      </c>
      <c r="F139" s="2">
        <v>2</v>
      </c>
    </row>
    <row r="140" spans="1:6" ht="14.25" customHeight="1">
      <c r="A140" s="2">
        <v>38</v>
      </c>
      <c r="B140" s="2">
        <v>139</v>
      </c>
      <c r="C140" s="2">
        <v>8</v>
      </c>
      <c r="D140" s="2">
        <v>1</v>
      </c>
      <c r="E140" s="2">
        <v>0.94899999999999995</v>
      </c>
      <c r="F140" s="2">
        <v>2</v>
      </c>
    </row>
    <row r="141" spans="1:6" ht="14.25" customHeight="1">
      <c r="A141" s="2">
        <v>38</v>
      </c>
      <c r="B141" s="2">
        <v>140</v>
      </c>
      <c r="C141" s="2">
        <v>3</v>
      </c>
      <c r="D141" s="2">
        <v>1</v>
      </c>
      <c r="E141" s="2">
        <v>0.78300000000000003</v>
      </c>
      <c r="F141" s="2">
        <v>2</v>
      </c>
    </row>
    <row r="142" spans="1:6" ht="14.25" customHeight="1">
      <c r="A142" s="2">
        <v>38</v>
      </c>
      <c r="B142" s="2">
        <v>141</v>
      </c>
      <c r="C142" s="2">
        <v>8</v>
      </c>
      <c r="D142" s="2">
        <v>1</v>
      </c>
      <c r="E142" s="2">
        <v>0.77300000000000002</v>
      </c>
      <c r="F142" s="2">
        <v>2</v>
      </c>
    </row>
    <row r="143" spans="1:6" ht="14.25" customHeight="1">
      <c r="A143" s="2">
        <v>38</v>
      </c>
      <c r="B143" s="2">
        <v>142</v>
      </c>
      <c r="C143" s="2">
        <v>3</v>
      </c>
      <c r="D143" s="2">
        <v>1</v>
      </c>
      <c r="E143" s="2">
        <v>1.304</v>
      </c>
      <c r="F143" s="2">
        <v>1</v>
      </c>
    </row>
    <row r="144" spans="1:6" ht="14.25" customHeight="1">
      <c r="A144" s="2">
        <v>38</v>
      </c>
      <c r="B144" s="2">
        <v>143</v>
      </c>
      <c r="C144" s="2">
        <v>5</v>
      </c>
      <c r="D144" s="2">
        <v>1</v>
      </c>
      <c r="E144" s="2">
        <v>0.97699999999999998</v>
      </c>
      <c r="F144" s="2">
        <v>1</v>
      </c>
    </row>
    <row r="145" spans="1:6" ht="14.25" customHeight="1">
      <c r="A145" s="2">
        <v>38</v>
      </c>
      <c r="B145" s="2">
        <v>144</v>
      </c>
      <c r="C145" s="2">
        <v>7</v>
      </c>
      <c r="D145" s="2">
        <v>0</v>
      </c>
      <c r="E145" s="2">
        <v>1.1779999999999999</v>
      </c>
      <c r="F145" s="2">
        <v>2</v>
      </c>
    </row>
    <row r="146" spans="1:6" ht="14.25" customHeight="1">
      <c r="A146" s="2">
        <v>38</v>
      </c>
      <c r="B146" s="2">
        <v>145</v>
      </c>
      <c r="C146" s="2">
        <v>6</v>
      </c>
      <c r="D146" s="2">
        <v>1</v>
      </c>
      <c r="E146" s="2">
        <v>1.4139999999999999</v>
      </c>
      <c r="F146" s="2">
        <v>2</v>
      </c>
    </row>
    <row r="147" spans="1:6" ht="14.25" customHeight="1">
      <c r="A147" s="2">
        <v>38</v>
      </c>
      <c r="B147" s="2">
        <v>146</v>
      </c>
      <c r="C147" s="2">
        <v>7</v>
      </c>
      <c r="D147" s="2">
        <v>1</v>
      </c>
      <c r="E147" s="2">
        <v>0.78200000000000003</v>
      </c>
      <c r="F147" s="2">
        <v>2</v>
      </c>
    </row>
    <row r="148" spans="1:6" ht="14.25" customHeight="1">
      <c r="A148" s="2">
        <v>38</v>
      </c>
      <c r="B148" s="2">
        <v>147</v>
      </c>
      <c r="C148" s="2">
        <v>1</v>
      </c>
      <c r="D148" s="2">
        <v>1</v>
      </c>
      <c r="E148" s="2">
        <v>0.97699999999999998</v>
      </c>
      <c r="F148" s="2">
        <v>2</v>
      </c>
    </row>
    <row r="149" spans="1:6" ht="14.25" customHeight="1">
      <c r="A149" s="2">
        <v>38</v>
      </c>
      <c r="B149" s="2">
        <v>148</v>
      </c>
      <c r="C149" s="2">
        <v>5</v>
      </c>
      <c r="D149" s="2">
        <v>1</v>
      </c>
      <c r="E149" s="2">
        <v>0.82899999999999996</v>
      </c>
      <c r="F149" s="2">
        <v>1</v>
      </c>
    </row>
    <row r="150" spans="1:6" ht="14.25" customHeight="1">
      <c r="A150" s="2">
        <v>38</v>
      </c>
      <c r="B150" s="2">
        <v>149</v>
      </c>
      <c r="C150" s="2">
        <v>8</v>
      </c>
      <c r="D150" s="2">
        <v>1</v>
      </c>
      <c r="E150" s="2">
        <v>1.2709999999999999</v>
      </c>
      <c r="F150" s="2">
        <v>2</v>
      </c>
    </row>
    <row r="151" spans="1:6" ht="14.25" customHeight="1">
      <c r="A151" s="2">
        <v>38</v>
      </c>
      <c r="B151" s="2">
        <v>150</v>
      </c>
      <c r="C151" s="2">
        <v>4</v>
      </c>
      <c r="D151" s="2">
        <v>1</v>
      </c>
      <c r="E151" s="2">
        <v>1.234</v>
      </c>
      <c r="F151" s="2">
        <v>2</v>
      </c>
    </row>
    <row r="152" spans="1:6" ht="14.25" customHeight="1">
      <c r="A152" s="2">
        <v>38</v>
      </c>
      <c r="B152" s="2">
        <v>151</v>
      </c>
      <c r="C152" s="2">
        <v>8</v>
      </c>
      <c r="D152" s="2">
        <v>1</v>
      </c>
      <c r="E152" s="2">
        <v>1.101</v>
      </c>
    </row>
    <row r="153" spans="1:6" ht="14.25" customHeight="1">
      <c r="A153" s="2">
        <v>38</v>
      </c>
      <c r="B153" s="2">
        <v>152</v>
      </c>
      <c r="C153" s="2">
        <v>5</v>
      </c>
      <c r="D153" s="2">
        <v>1</v>
      </c>
      <c r="E153" s="2">
        <v>0.92500000000000004</v>
      </c>
    </row>
    <row r="154" spans="1:6" ht="14.25" customHeight="1">
      <c r="A154" s="2">
        <v>38</v>
      </c>
      <c r="B154" s="2">
        <v>153</v>
      </c>
      <c r="C154" s="2">
        <v>4</v>
      </c>
      <c r="D154" s="2">
        <v>1</v>
      </c>
      <c r="E154" s="2">
        <v>0.86599999999999999</v>
      </c>
    </row>
    <row r="155" spans="1:6" ht="14.25" customHeight="1">
      <c r="A155" s="2">
        <v>38</v>
      </c>
      <c r="B155" s="2">
        <v>154</v>
      </c>
      <c r="C155" s="2">
        <v>7</v>
      </c>
      <c r="D155" s="2">
        <v>1</v>
      </c>
      <c r="E155" s="2">
        <v>0.67100000000000004</v>
      </c>
    </row>
    <row r="156" spans="1:6" ht="14.25" customHeight="1">
      <c r="A156" s="2">
        <v>38</v>
      </c>
      <c r="B156" s="2">
        <v>155</v>
      </c>
      <c r="C156" s="2">
        <v>8</v>
      </c>
      <c r="D156" s="2">
        <v>1</v>
      </c>
      <c r="E156" s="2">
        <v>0.70899999999999996</v>
      </c>
    </row>
    <row r="157" spans="1:6" ht="14.25" customHeight="1">
      <c r="A157" s="2">
        <v>38</v>
      </c>
      <c r="B157" s="2">
        <v>156</v>
      </c>
      <c r="C157" s="2">
        <v>2</v>
      </c>
      <c r="D157" s="2">
        <v>1</v>
      </c>
      <c r="E157" s="2">
        <v>0.85199999999999998</v>
      </c>
    </row>
    <row r="158" spans="1:6" ht="14.25" customHeight="1">
      <c r="A158" s="2">
        <v>38</v>
      </c>
      <c r="B158" s="2">
        <v>157</v>
      </c>
      <c r="C158" s="2">
        <v>3</v>
      </c>
      <c r="D158" s="2">
        <v>1</v>
      </c>
      <c r="E158" s="2">
        <v>1.0369999999999999</v>
      </c>
    </row>
    <row r="159" spans="1:6" ht="14.25" customHeight="1">
      <c r="A159" s="2">
        <v>38</v>
      </c>
      <c r="B159" s="2">
        <v>158</v>
      </c>
      <c r="C159" s="2">
        <v>1</v>
      </c>
      <c r="D159" s="2">
        <v>1</v>
      </c>
      <c r="E159" s="2">
        <v>0.98399999999999999</v>
      </c>
    </row>
    <row r="160" spans="1:6" ht="14.25" customHeight="1">
      <c r="A160" s="2">
        <v>38</v>
      </c>
      <c r="B160" s="2">
        <v>159</v>
      </c>
      <c r="C160" s="2">
        <v>4</v>
      </c>
      <c r="D160" s="2">
        <v>1</v>
      </c>
      <c r="E160" s="2">
        <v>1.454</v>
      </c>
    </row>
    <row r="161" spans="1:5" ht="14.25" customHeight="1">
      <c r="A161" s="2">
        <v>38</v>
      </c>
      <c r="B161" s="2">
        <v>160</v>
      </c>
      <c r="C161" s="2">
        <v>5</v>
      </c>
      <c r="D161" s="2">
        <v>1</v>
      </c>
      <c r="E161" s="2">
        <v>0.67200000000000004</v>
      </c>
    </row>
    <row r="162" spans="1:5" ht="14.25" customHeight="1">
      <c r="A162" s="2">
        <v>38</v>
      </c>
      <c r="B162" s="2">
        <v>161</v>
      </c>
      <c r="C162" s="2">
        <v>8</v>
      </c>
      <c r="D162" s="2">
        <v>1</v>
      </c>
      <c r="E162" s="2">
        <v>0.76800000000000002</v>
      </c>
    </row>
    <row r="163" spans="1:5" ht="14.25" customHeight="1">
      <c r="A163" s="2">
        <v>38</v>
      </c>
      <c r="B163" s="2">
        <v>162</v>
      </c>
      <c r="C163" s="2">
        <v>7</v>
      </c>
      <c r="D163" s="2">
        <v>1</v>
      </c>
      <c r="E163" s="2">
        <v>1.056</v>
      </c>
    </row>
    <row r="164" spans="1:5" ht="14.25" customHeight="1">
      <c r="A164" s="2">
        <v>38</v>
      </c>
      <c r="B164" s="2">
        <v>163</v>
      </c>
      <c r="C164" s="2">
        <v>5</v>
      </c>
      <c r="D164" s="2">
        <v>1</v>
      </c>
      <c r="E164" s="2">
        <v>1.32</v>
      </c>
    </row>
    <row r="165" spans="1:5" ht="14.25" customHeight="1">
      <c r="A165" s="2">
        <v>38</v>
      </c>
      <c r="B165" s="2">
        <v>164</v>
      </c>
      <c r="C165" s="2">
        <v>2</v>
      </c>
      <c r="D165" s="2">
        <v>1</v>
      </c>
      <c r="E165" s="2">
        <v>0.79700000000000004</v>
      </c>
    </row>
    <row r="166" spans="1:5" ht="14.25" customHeight="1">
      <c r="A166" s="2">
        <v>38</v>
      </c>
      <c r="B166" s="2">
        <v>165</v>
      </c>
      <c r="C166" s="2">
        <v>1</v>
      </c>
      <c r="D166" s="2">
        <v>1</v>
      </c>
      <c r="E166" s="2">
        <v>0.94399999999999995</v>
      </c>
    </row>
    <row r="167" spans="1:5" ht="14.25" customHeight="1">
      <c r="A167" s="2">
        <v>38</v>
      </c>
      <c r="B167" s="2">
        <v>166</v>
      </c>
      <c r="C167" s="2">
        <v>7</v>
      </c>
      <c r="D167" s="2">
        <v>1</v>
      </c>
      <c r="E167" s="2">
        <v>1.1859999999999999</v>
      </c>
    </row>
    <row r="168" spans="1:5" ht="14.25" customHeight="1">
      <c r="A168" s="2">
        <v>38</v>
      </c>
      <c r="B168" s="2">
        <v>167</v>
      </c>
      <c r="C168" s="2">
        <v>2</v>
      </c>
      <c r="D168" s="2">
        <v>1</v>
      </c>
      <c r="E168" s="2">
        <v>0.68799999999999994</v>
      </c>
    </row>
    <row r="169" spans="1:5" ht="14.25" customHeight="1">
      <c r="A169" s="2">
        <v>38</v>
      </c>
      <c r="B169" s="2">
        <v>168</v>
      </c>
      <c r="C169" s="2">
        <v>3</v>
      </c>
      <c r="D169" s="2">
        <v>1</v>
      </c>
      <c r="E169" s="2">
        <v>0.82399999999999995</v>
      </c>
    </row>
    <row r="170" spans="1:5" ht="14.25" customHeight="1">
      <c r="A170" s="2">
        <v>38</v>
      </c>
      <c r="B170" s="2">
        <v>169</v>
      </c>
      <c r="C170" s="2">
        <v>5</v>
      </c>
      <c r="D170" s="2">
        <v>1</v>
      </c>
      <c r="E170" s="2">
        <v>1.214</v>
      </c>
    </row>
    <row r="171" spans="1:5" ht="14.25" customHeight="1">
      <c r="A171" s="2">
        <v>38</v>
      </c>
      <c r="B171" s="2">
        <v>170</v>
      </c>
      <c r="C171" s="2">
        <v>6</v>
      </c>
      <c r="D171" s="2">
        <v>1</v>
      </c>
      <c r="E171" s="2">
        <v>0.999</v>
      </c>
    </row>
    <row r="172" spans="1:5" ht="14.25" customHeight="1">
      <c r="A172" s="2">
        <v>38</v>
      </c>
      <c r="B172" s="2">
        <v>171</v>
      </c>
      <c r="C172" s="2">
        <v>5</v>
      </c>
      <c r="D172" s="2">
        <v>1</v>
      </c>
      <c r="E172" s="2">
        <v>0.753</v>
      </c>
    </row>
    <row r="173" spans="1:5" ht="14.25" customHeight="1">
      <c r="A173" s="2">
        <v>38</v>
      </c>
      <c r="B173" s="2">
        <v>172</v>
      </c>
      <c r="C173" s="2">
        <v>4</v>
      </c>
      <c r="D173" s="2">
        <v>1</v>
      </c>
      <c r="E173" s="2">
        <v>0.753</v>
      </c>
    </row>
    <row r="174" spans="1:5" ht="14.25" customHeight="1">
      <c r="A174" s="2">
        <v>38</v>
      </c>
      <c r="B174" s="2">
        <v>173</v>
      </c>
      <c r="C174" s="2">
        <v>1</v>
      </c>
      <c r="D174" s="2">
        <v>1</v>
      </c>
      <c r="E174" s="2">
        <v>0.57999999999999996</v>
      </c>
    </row>
    <row r="175" spans="1:5" ht="14.25" customHeight="1">
      <c r="A175" s="2">
        <v>38</v>
      </c>
      <c r="B175" s="2">
        <v>174</v>
      </c>
      <c r="C175" s="2">
        <v>6</v>
      </c>
      <c r="D175" s="2">
        <v>1</v>
      </c>
      <c r="E175" s="2">
        <v>0.80800000000000005</v>
      </c>
    </row>
    <row r="176" spans="1:5" ht="14.25" customHeight="1">
      <c r="A176" s="2">
        <v>38</v>
      </c>
      <c r="B176" s="2">
        <v>175</v>
      </c>
      <c r="C176" s="2">
        <v>2</v>
      </c>
      <c r="D176" s="2">
        <v>1</v>
      </c>
      <c r="E176" s="2">
        <v>0.68700000000000006</v>
      </c>
    </row>
    <row r="177" spans="1:5" ht="14.25" customHeight="1">
      <c r="A177" s="2">
        <v>38</v>
      </c>
      <c r="B177" s="2">
        <v>176</v>
      </c>
      <c r="C177" s="2">
        <v>4</v>
      </c>
      <c r="D177" s="2">
        <v>1</v>
      </c>
      <c r="E177" s="2">
        <v>0.67400000000000004</v>
      </c>
    </row>
    <row r="178" spans="1:5" ht="14.25" customHeight="1">
      <c r="A178" s="2">
        <v>38</v>
      </c>
      <c r="B178" s="2">
        <v>177</v>
      </c>
      <c r="C178" s="2">
        <v>8</v>
      </c>
      <c r="D178" s="2">
        <v>1</v>
      </c>
      <c r="E178" s="2">
        <v>1.0209999999999999</v>
      </c>
    </row>
    <row r="179" spans="1:5" ht="14.25" customHeight="1">
      <c r="A179" s="2">
        <v>38</v>
      </c>
      <c r="B179" s="2">
        <v>178</v>
      </c>
      <c r="C179" s="2">
        <v>7</v>
      </c>
      <c r="D179" s="2">
        <v>1</v>
      </c>
      <c r="E179" s="2">
        <v>0.82</v>
      </c>
    </row>
    <row r="180" spans="1:5" ht="14.25" customHeight="1">
      <c r="A180" s="2">
        <v>38</v>
      </c>
      <c r="B180" s="2">
        <v>179</v>
      </c>
      <c r="C180" s="2">
        <v>6</v>
      </c>
      <c r="D180" s="2">
        <v>1</v>
      </c>
      <c r="E180" s="2">
        <v>0.879</v>
      </c>
    </row>
    <row r="181" spans="1:5" ht="14.25" customHeight="1">
      <c r="A181" s="2">
        <v>38</v>
      </c>
      <c r="B181" s="2">
        <v>180</v>
      </c>
      <c r="C181" s="2">
        <v>5</v>
      </c>
      <c r="D181" s="2">
        <v>1</v>
      </c>
      <c r="E181" s="2">
        <v>0.85399999999999998</v>
      </c>
    </row>
    <row r="182" spans="1:5" ht="14.25" customHeight="1">
      <c r="A182" s="2">
        <v>38</v>
      </c>
      <c r="B182" s="2">
        <v>181</v>
      </c>
      <c r="C182" s="2">
        <v>1</v>
      </c>
      <c r="D182" s="2">
        <v>1</v>
      </c>
      <c r="E182" s="2">
        <v>0.72799999999999998</v>
      </c>
    </row>
    <row r="183" spans="1:5" ht="14.25" customHeight="1">
      <c r="A183" s="2">
        <v>38</v>
      </c>
      <c r="B183" s="2">
        <v>182</v>
      </c>
      <c r="C183" s="2">
        <v>3</v>
      </c>
      <c r="D183" s="2">
        <v>1</v>
      </c>
      <c r="E183" s="2">
        <v>1.1930000000000001</v>
      </c>
    </row>
    <row r="184" spans="1:5" ht="14.25" customHeight="1">
      <c r="A184" s="2">
        <v>38</v>
      </c>
      <c r="B184" s="2">
        <v>183</v>
      </c>
      <c r="C184" s="2">
        <v>8</v>
      </c>
      <c r="D184" s="2">
        <v>1</v>
      </c>
      <c r="E184" s="2">
        <v>0.78300000000000003</v>
      </c>
    </row>
    <row r="185" spans="1:5" ht="14.25" customHeight="1">
      <c r="A185" s="2">
        <v>38</v>
      </c>
      <c r="B185" s="2">
        <v>184</v>
      </c>
      <c r="C185" s="2">
        <v>3</v>
      </c>
      <c r="D185" s="2">
        <v>1</v>
      </c>
      <c r="E185" s="2">
        <v>0.71399999999999997</v>
      </c>
    </row>
    <row r="186" spans="1:5" ht="14.25" customHeight="1">
      <c r="A186" s="2">
        <v>38</v>
      </c>
      <c r="B186" s="2">
        <v>185</v>
      </c>
      <c r="C186" s="2">
        <v>1</v>
      </c>
      <c r="D186" s="2">
        <v>1</v>
      </c>
      <c r="E186" s="2">
        <v>0.873</v>
      </c>
    </row>
    <row r="187" spans="1:5" ht="14.25" customHeight="1">
      <c r="A187" s="2">
        <v>38</v>
      </c>
      <c r="B187" s="2">
        <v>186</v>
      </c>
      <c r="C187" s="2">
        <v>8</v>
      </c>
      <c r="D187" s="2">
        <v>1</v>
      </c>
      <c r="E187" s="2">
        <v>0.65300000000000002</v>
      </c>
    </row>
    <row r="188" spans="1:5" ht="14.25" customHeight="1">
      <c r="A188" s="2">
        <v>38</v>
      </c>
      <c r="B188" s="2">
        <v>187</v>
      </c>
      <c r="C188" s="2">
        <v>6</v>
      </c>
      <c r="D188" s="2">
        <v>1</v>
      </c>
      <c r="E188" s="2">
        <v>1.1619999999999999</v>
      </c>
    </row>
    <row r="189" spans="1:5" ht="14.25" customHeight="1">
      <c r="A189" s="2">
        <v>38</v>
      </c>
      <c r="B189" s="2">
        <v>188</v>
      </c>
      <c r="C189" s="2">
        <v>8</v>
      </c>
      <c r="D189" s="2">
        <v>1</v>
      </c>
      <c r="E189" s="2">
        <v>1.1020000000000001</v>
      </c>
    </row>
    <row r="190" spans="1:5" ht="14.25" customHeight="1">
      <c r="A190" s="2">
        <v>38</v>
      </c>
      <c r="B190" s="2">
        <v>189</v>
      </c>
      <c r="C190" s="2">
        <v>3</v>
      </c>
      <c r="D190" s="2">
        <v>1</v>
      </c>
      <c r="E190" s="2">
        <v>0.95499999999999996</v>
      </c>
    </row>
    <row r="191" spans="1:5" ht="14.25" customHeight="1">
      <c r="A191" s="2">
        <v>38</v>
      </c>
      <c r="B191" s="2">
        <v>190</v>
      </c>
      <c r="C191" s="2">
        <v>6</v>
      </c>
      <c r="D191" s="2">
        <v>1</v>
      </c>
      <c r="E191" s="2">
        <v>1.018</v>
      </c>
    </row>
    <row r="192" spans="1:5" ht="14.25" customHeight="1">
      <c r="A192" s="2">
        <v>38</v>
      </c>
      <c r="B192" s="2">
        <v>191</v>
      </c>
      <c r="C192" s="2">
        <v>3</v>
      </c>
      <c r="D192" s="2">
        <v>1</v>
      </c>
      <c r="E192" s="2">
        <v>0.71199999999999997</v>
      </c>
    </row>
    <row r="193" spans="1:5" ht="14.25" customHeight="1">
      <c r="A193" s="2">
        <v>38</v>
      </c>
      <c r="B193" s="2">
        <v>192</v>
      </c>
      <c r="C193" s="2">
        <v>2</v>
      </c>
      <c r="D193" s="2">
        <v>1</v>
      </c>
      <c r="E193" s="2">
        <v>0.83899999999999997</v>
      </c>
    </row>
    <row r="194" spans="1:5" ht="14.25" customHeight="1">
      <c r="A194" s="2">
        <v>38</v>
      </c>
      <c r="B194" s="2">
        <v>193</v>
      </c>
      <c r="C194" s="2">
        <v>1</v>
      </c>
      <c r="D194" s="2">
        <v>0</v>
      </c>
      <c r="E194" s="2">
        <v>0.66500000000000004</v>
      </c>
    </row>
    <row r="195" spans="1:5" ht="14.25" customHeight="1">
      <c r="A195" s="2">
        <v>38</v>
      </c>
      <c r="B195" s="2">
        <v>194</v>
      </c>
      <c r="C195" s="2">
        <v>7</v>
      </c>
      <c r="D195" s="2">
        <v>1</v>
      </c>
      <c r="E195" s="2">
        <v>0.90900000000000003</v>
      </c>
    </row>
    <row r="196" spans="1:5" ht="14.25" customHeight="1">
      <c r="A196" s="2">
        <v>38</v>
      </c>
      <c r="B196" s="2">
        <v>195</v>
      </c>
      <c r="C196" s="2">
        <v>2</v>
      </c>
      <c r="D196" s="2">
        <v>1</v>
      </c>
      <c r="E196" s="2">
        <v>1.0880000000000001</v>
      </c>
    </row>
    <row r="197" spans="1:5" ht="14.25" customHeight="1">
      <c r="A197" s="2">
        <v>38</v>
      </c>
      <c r="B197" s="2">
        <v>196</v>
      </c>
      <c r="C197" s="2">
        <v>7</v>
      </c>
      <c r="D197" s="2">
        <v>1</v>
      </c>
      <c r="E197" s="2">
        <v>0.83699999999999997</v>
      </c>
    </row>
    <row r="198" spans="1:5" ht="14.25" customHeight="1">
      <c r="A198" s="2">
        <v>38</v>
      </c>
      <c r="B198" s="2">
        <v>197</v>
      </c>
      <c r="C198" s="2">
        <v>6</v>
      </c>
      <c r="D198" s="2">
        <v>1</v>
      </c>
      <c r="E198" s="2">
        <v>0.94599999999999995</v>
      </c>
    </row>
    <row r="199" spans="1:5" ht="14.25" customHeight="1">
      <c r="A199" s="2">
        <v>38</v>
      </c>
      <c r="B199" s="2">
        <v>198</v>
      </c>
      <c r="C199" s="2">
        <v>4</v>
      </c>
      <c r="D199" s="2">
        <v>1</v>
      </c>
      <c r="E199" s="2">
        <v>0.68</v>
      </c>
    </row>
    <row r="200" spans="1:5" ht="14.25" customHeight="1">
      <c r="A200" s="2">
        <v>38</v>
      </c>
      <c r="B200" s="2">
        <v>199</v>
      </c>
      <c r="C200" s="2">
        <v>5</v>
      </c>
      <c r="D200" s="2">
        <v>1</v>
      </c>
      <c r="E200" s="2">
        <v>1.0580000000000001</v>
      </c>
    </row>
    <row r="201" spans="1:5" ht="14.25" customHeight="1">
      <c r="A201" s="2">
        <v>38</v>
      </c>
      <c r="B201" s="2">
        <v>200</v>
      </c>
      <c r="C201" s="2">
        <v>4</v>
      </c>
      <c r="D201" s="2">
        <v>1</v>
      </c>
      <c r="E201" s="2">
        <v>1.2629999999999999</v>
      </c>
    </row>
    <row r="202" spans="1:5" ht="14.25" customHeight="1">
      <c r="A202" s="2">
        <v>38</v>
      </c>
      <c r="B202" s="2">
        <v>201</v>
      </c>
      <c r="C202" s="2">
        <v>1</v>
      </c>
    </row>
    <row r="203" spans="1:5" ht="14.25" customHeight="1">
      <c r="A203" s="2">
        <v>38</v>
      </c>
      <c r="B203" s="2">
        <v>202</v>
      </c>
      <c r="C203" s="2">
        <v>6</v>
      </c>
    </row>
    <row r="204" spans="1:5" ht="14.25" customHeight="1">
      <c r="A204" s="2">
        <v>38</v>
      </c>
      <c r="B204" s="2">
        <v>203</v>
      </c>
      <c r="C204" s="2">
        <v>4</v>
      </c>
    </row>
    <row r="205" spans="1:5" ht="14.25" customHeight="1">
      <c r="A205" s="2">
        <v>38</v>
      </c>
      <c r="B205" s="2">
        <v>204</v>
      </c>
      <c r="C205" s="2">
        <v>3</v>
      </c>
    </row>
    <row r="206" spans="1:5" ht="14.25" customHeight="1">
      <c r="A206" s="2">
        <v>38</v>
      </c>
      <c r="B206" s="2">
        <v>205</v>
      </c>
      <c r="C206" s="2">
        <v>2</v>
      </c>
    </row>
    <row r="207" spans="1:5" ht="14.25" customHeight="1">
      <c r="A207" s="2">
        <v>38</v>
      </c>
      <c r="B207" s="2">
        <v>206</v>
      </c>
      <c r="C207" s="2">
        <v>1</v>
      </c>
    </row>
    <row r="208" spans="1:5" ht="14.25" customHeight="1">
      <c r="A208" s="2">
        <v>38</v>
      </c>
      <c r="B208" s="2">
        <v>207</v>
      </c>
      <c r="C208" s="2">
        <v>7</v>
      </c>
    </row>
    <row r="209" spans="1:3" ht="14.25" customHeight="1">
      <c r="A209" s="2">
        <v>38</v>
      </c>
      <c r="B209" s="2">
        <v>208</v>
      </c>
      <c r="C209" s="2">
        <v>2</v>
      </c>
    </row>
    <row r="210" spans="1:3" ht="14.25" customHeight="1">
      <c r="A210" s="2">
        <v>38</v>
      </c>
      <c r="B210" s="2">
        <v>209</v>
      </c>
      <c r="C210" s="2">
        <v>6</v>
      </c>
    </row>
    <row r="211" spans="1:3" ht="14.25" customHeight="1">
      <c r="A211" s="2">
        <v>38</v>
      </c>
      <c r="B211" s="2">
        <v>210</v>
      </c>
      <c r="C211" s="2">
        <v>3</v>
      </c>
    </row>
    <row r="212" spans="1:3" ht="14.25" customHeight="1">
      <c r="A212" s="2">
        <v>38</v>
      </c>
      <c r="B212" s="2">
        <v>211</v>
      </c>
      <c r="C212" s="2">
        <v>5</v>
      </c>
    </row>
    <row r="213" spans="1:3" ht="14.25" customHeight="1">
      <c r="A213" s="2">
        <v>38</v>
      </c>
      <c r="B213" s="2">
        <v>212</v>
      </c>
      <c r="C213" s="2">
        <v>2</v>
      </c>
    </row>
    <row r="214" spans="1:3" ht="14.25" customHeight="1">
      <c r="A214" s="2">
        <v>38</v>
      </c>
      <c r="B214" s="2">
        <v>213</v>
      </c>
      <c r="C214" s="2">
        <v>7</v>
      </c>
    </row>
    <row r="215" spans="1:3" ht="14.25" customHeight="1">
      <c r="A215" s="2">
        <v>38</v>
      </c>
      <c r="B215" s="2">
        <v>214</v>
      </c>
      <c r="C215" s="2">
        <v>8</v>
      </c>
    </row>
    <row r="216" spans="1:3" ht="14.25" customHeight="1">
      <c r="A216" s="2">
        <v>38</v>
      </c>
      <c r="B216" s="2">
        <v>215</v>
      </c>
      <c r="C216" s="2">
        <v>7</v>
      </c>
    </row>
    <row r="217" spans="1:3" ht="14.25" customHeight="1">
      <c r="A217" s="2">
        <v>38</v>
      </c>
      <c r="B217" s="2">
        <v>216</v>
      </c>
      <c r="C217" s="2">
        <v>1</v>
      </c>
    </row>
    <row r="218" spans="1:3" ht="14.25" customHeight="1">
      <c r="A218" s="2">
        <v>38</v>
      </c>
      <c r="B218" s="2">
        <v>217</v>
      </c>
      <c r="C218" s="2">
        <v>7</v>
      </c>
    </row>
    <row r="219" spans="1:3" ht="14.25" customHeight="1">
      <c r="A219" s="2">
        <v>38</v>
      </c>
      <c r="B219" s="2">
        <v>218</v>
      </c>
      <c r="C219" s="2">
        <v>8</v>
      </c>
    </row>
    <row r="220" spans="1:3" ht="14.25" customHeight="1">
      <c r="A220" s="2">
        <v>38</v>
      </c>
      <c r="B220" s="2">
        <v>219</v>
      </c>
      <c r="C220" s="2">
        <v>7</v>
      </c>
    </row>
    <row r="221" spans="1:3" ht="14.25" customHeight="1">
      <c r="A221" s="2">
        <v>38</v>
      </c>
      <c r="B221" s="2">
        <v>220</v>
      </c>
      <c r="C221" s="2">
        <v>8</v>
      </c>
    </row>
    <row r="222" spans="1:3" ht="14.25" customHeight="1">
      <c r="A222" s="2">
        <v>38</v>
      </c>
      <c r="B222" s="2">
        <v>221</v>
      </c>
      <c r="C222" s="2">
        <v>6</v>
      </c>
    </row>
    <row r="223" spans="1:3" ht="14.25" customHeight="1">
      <c r="A223" s="2">
        <v>38</v>
      </c>
      <c r="B223" s="2">
        <v>222</v>
      </c>
      <c r="C223" s="2">
        <v>4</v>
      </c>
    </row>
    <row r="224" spans="1:3" ht="14.25" customHeight="1">
      <c r="A224" s="2">
        <v>38</v>
      </c>
      <c r="B224" s="2">
        <v>223</v>
      </c>
      <c r="C224" s="2">
        <v>5</v>
      </c>
    </row>
    <row r="225" spans="1:3" ht="14.25" customHeight="1">
      <c r="A225" s="2">
        <v>38</v>
      </c>
      <c r="B225" s="2">
        <v>224</v>
      </c>
      <c r="C225" s="2">
        <v>8</v>
      </c>
    </row>
    <row r="226" spans="1:3" ht="14.25" customHeight="1">
      <c r="A226" s="2">
        <v>38</v>
      </c>
      <c r="B226" s="2">
        <v>225</v>
      </c>
      <c r="C226" s="2">
        <v>3</v>
      </c>
    </row>
    <row r="227" spans="1:3" ht="14.25" customHeight="1">
      <c r="A227" s="2">
        <v>38</v>
      </c>
      <c r="B227" s="2">
        <v>226</v>
      </c>
      <c r="C227" s="2">
        <v>6</v>
      </c>
    </row>
    <row r="228" spans="1:3" ht="14.25" customHeight="1">
      <c r="A228" s="2">
        <v>38</v>
      </c>
      <c r="B228" s="2">
        <v>227</v>
      </c>
      <c r="C228" s="2">
        <v>1</v>
      </c>
    </row>
    <row r="229" spans="1:3" ht="14.25" customHeight="1">
      <c r="A229" s="2">
        <v>38</v>
      </c>
      <c r="B229" s="2">
        <v>228</v>
      </c>
      <c r="C229" s="2">
        <v>3</v>
      </c>
    </row>
    <row r="230" spans="1:3" ht="14.25" customHeight="1">
      <c r="A230" s="2">
        <v>38</v>
      </c>
      <c r="B230" s="2">
        <v>229</v>
      </c>
      <c r="C230" s="2">
        <v>5</v>
      </c>
    </row>
    <row r="231" spans="1:3" ht="14.25" customHeight="1">
      <c r="A231" s="2">
        <v>38</v>
      </c>
      <c r="B231" s="2">
        <v>230</v>
      </c>
      <c r="C231" s="2">
        <v>1</v>
      </c>
    </row>
    <row r="232" spans="1:3" ht="14.25" customHeight="1">
      <c r="A232" s="2">
        <v>38</v>
      </c>
      <c r="B232" s="2">
        <v>231</v>
      </c>
      <c r="C232" s="2">
        <v>2</v>
      </c>
    </row>
    <row r="233" spans="1:3" ht="14.25" customHeight="1">
      <c r="A233" s="2">
        <v>38</v>
      </c>
      <c r="B233" s="2">
        <v>232</v>
      </c>
      <c r="C233" s="2">
        <v>1</v>
      </c>
    </row>
    <row r="234" spans="1:3" ht="14.25" customHeight="1">
      <c r="A234" s="2">
        <v>38</v>
      </c>
      <c r="B234" s="2">
        <v>233</v>
      </c>
      <c r="C234" s="2">
        <v>4</v>
      </c>
    </row>
    <row r="235" spans="1:3" ht="14.25" customHeight="1">
      <c r="A235" s="2">
        <v>38</v>
      </c>
      <c r="B235" s="2">
        <v>234</v>
      </c>
      <c r="C235" s="2">
        <v>7</v>
      </c>
    </row>
    <row r="236" spans="1:3" ht="14.25" customHeight="1">
      <c r="A236" s="2">
        <v>38</v>
      </c>
      <c r="B236" s="2">
        <v>235</v>
      </c>
      <c r="C236" s="2">
        <v>8</v>
      </c>
    </row>
    <row r="237" spans="1:3" ht="14.25" customHeight="1">
      <c r="A237" s="2">
        <v>38</v>
      </c>
      <c r="B237" s="2">
        <v>236</v>
      </c>
      <c r="C237" s="2">
        <v>6</v>
      </c>
    </row>
    <row r="238" spans="1:3" ht="14.25" customHeight="1">
      <c r="A238" s="2">
        <v>38</v>
      </c>
      <c r="B238" s="2">
        <v>237</v>
      </c>
      <c r="C238" s="2">
        <v>4</v>
      </c>
    </row>
    <row r="239" spans="1:3" ht="14.25" customHeight="1">
      <c r="A239" s="2">
        <v>38</v>
      </c>
      <c r="B239" s="2">
        <v>238</v>
      </c>
      <c r="C239" s="2">
        <v>5</v>
      </c>
    </row>
    <row r="240" spans="1:3" ht="14.25" customHeight="1">
      <c r="A240" s="2">
        <v>38</v>
      </c>
      <c r="B240" s="2">
        <v>239</v>
      </c>
      <c r="C240" s="2">
        <v>6</v>
      </c>
    </row>
    <row r="241" spans="1:3" ht="14.25" customHeight="1">
      <c r="A241" s="2">
        <v>38</v>
      </c>
      <c r="B241" s="2">
        <v>240</v>
      </c>
      <c r="C241" s="2">
        <v>3</v>
      </c>
    </row>
    <row r="242" spans="1:3" ht="14.25" customHeight="1">
      <c r="A242" s="2">
        <v>38</v>
      </c>
      <c r="B242" s="2">
        <v>241</v>
      </c>
      <c r="C242" s="2">
        <v>5</v>
      </c>
    </row>
    <row r="243" spans="1:3" ht="14.25" customHeight="1">
      <c r="A243" s="2">
        <v>38</v>
      </c>
      <c r="B243" s="2">
        <v>242</v>
      </c>
      <c r="C243" s="2">
        <v>8</v>
      </c>
    </row>
    <row r="244" spans="1:3" ht="14.25" customHeight="1">
      <c r="A244" s="2">
        <v>38</v>
      </c>
      <c r="B244" s="2">
        <v>243</v>
      </c>
      <c r="C244" s="2">
        <v>5</v>
      </c>
    </row>
    <row r="245" spans="1:3" ht="14.25" customHeight="1">
      <c r="A245" s="2">
        <v>38</v>
      </c>
      <c r="B245" s="2">
        <v>244</v>
      </c>
      <c r="C245" s="2">
        <v>8</v>
      </c>
    </row>
    <row r="246" spans="1:3" ht="14.25" customHeight="1">
      <c r="A246" s="2">
        <v>38</v>
      </c>
      <c r="B246" s="2">
        <v>245</v>
      </c>
      <c r="C246" s="2">
        <v>4</v>
      </c>
    </row>
    <row r="247" spans="1:3" ht="14.25" customHeight="1">
      <c r="A247" s="2">
        <v>38</v>
      </c>
      <c r="B247" s="2">
        <v>246</v>
      </c>
      <c r="C247" s="2">
        <v>2</v>
      </c>
    </row>
    <row r="248" spans="1:3" ht="14.25" customHeight="1">
      <c r="A248" s="2">
        <v>38</v>
      </c>
      <c r="B248" s="2">
        <v>247</v>
      </c>
      <c r="C248" s="2">
        <v>5</v>
      </c>
    </row>
    <row r="249" spans="1:3" ht="14.25" customHeight="1">
      <c r="A249" s="2">
        <v>38</v>
      </c>
      <c r="B249" s="2">
        <v>248</v>
      </c>
      <c r="C249" s="2">
        <v>2</v>
      </c>
    </row>
    <row r="250" spans="1:3" ht="14.25" customHeight="1">
      <c r="A250" s="2">
        <v>38</v>
      </c>
      <c r="B250" s="2">
        <v>249</v>
      </c>
      <c r="C250" s="2">
        <v>4</v>
      </c>
    </row>
    <row r="251" spans="1:3" ht="14.25" customHeight="1">
      <c r="A251" s="2">
        <v>38</v>
      </c>
      <c r="B251" s="2">
        <v>250</v>
      </c>
      <c r="C251" s="2">
        <v>3</v>
      </c>
    </row>
    <row r="252" spans="1:3" ht="14.25" customHeight="1">
      <c r="A252" s="2">
        <v>38</v>
      </c>
      <c r="B252" s="2">
        <v>251</v>
      </c>
      <c r="C252" s="2">
        <v>2</v>
      </c>
    </row>
    <row r="253" spans="1:3" ht="14.25" customHeight="1">
      <c r="A253" s="2">
        <v>38</v>
      </c>
      <c r="B253" s="2">
        <v>252</v>
      </c>
      <c r="C253" s="2">
        <v>6</v>
      </c>
    </row>
    <row r="254" spans="1:3" ht="14.25" customHeight="1">
      <c r="A254" s="2">
        <v>38</v>
      </c>
      <c r="B254" s="2">
        <v>253</v>
      </c>
      <c r="C254" s="2">
        <v>4</v>
      </c>
    </row>
    <row r="255" spans="1:3" ht="14.25" customHeight="1">
      <c r="A255" s="2">
        <v>38</v>
      </c>
      <c r="B255" s="2">
        <v>254</v>
      </c>
      <c r="C255" s="2">
        <v>1</v>
      </c>
    </row>
    <row r="256" spans="1:3" ht="14.25" customHeight="1">
      <c r="A256" s="2">
        <v>38</v>
      </c>
      <c r="B256" s="2">
        <v>255</v>
      </c>
      <c r="C256" s="2">
        <v>5</v>
      </c>
    </row>
    <row r="257" spans="1:3" ht="14.25" customHeight="1">
      <c r="A257" s="2">
        <v>38</v>
      </c>
      <c r="B257" s="2">
        <v>256</v>
      </c>
      <c r="C257" s="2">
        <v>7</v>
      </c>
    </row>
    <row r="258" spans="1:3" ht="14.25" customHeight="1">
      <c r="A258" s="2">
        <v>38</v>
      </c>
      <c r="B258" s="2">
        <v>257</v>
      </c>
      <c r="C258" s="2">
        <v>4</v>
      </c>
    </row>
    <row r="259" spans="1:3" ht="14.25" customHeight="1">
      <c r="A259" s="2">
        <v>38</v>
      </c>
      <c r="B259" s="2">
        <v>258</v>
      </c>
      <c r="C259" s="2">
        <v>3</v>
      </c>
    </row>
    <row r="260" spans="1:3" ht="14.25" customHeight="1">
      <c r="A260" s="2">
        <v>38</v>
      </c>
      <c r="B260" s="2">
        <v>259</v>
      </c>
      <c r="C260" s="2">
        <v>2</v>
      </c>
    </row>
    <row r="261" spans="1:3" ht="14.25" customHeight="1">
      <c r="A261" s="2">
        <v>38</v>
      </c>
      <c r="B261" s="2">
        <v>260</v>
      </c>
      <c r="C261" s="2">
        <v>5</v>
      </c>
    </row>
    <row r="262" spans="1:3" ht="14.25" customHeight="1">
      <c r="A262" s="2">
        <v>38</v>
      </c>
      <c r="B262" s="2">
        <v>261</v>
      </c>
      <c r="C262" s="2">
        <v>8</v>
      </c>
    </row>
    <row r="263" spans="1:3" ht="14.25" customHeight="1">
      <c r="A263" s="2">
        <v>38</v>
      </c>
      <c r="B263" s="2">
        <v>262</v>
      </c>
      <c r="C263" s="2">
        <v>6</v>
      </c>
    </row>
    <row r="264" spans="1:3" ht="14.25" customHeight="1">
      <c r="A264" s="2">
        <v>38</v>
      </c>
      <c r="B264" s="2">
        <v>263</v>
      </c>
      <c r="C264" s="2">
        <v>3</v>
      </c>
    </row>
    <row r="265" spans="1:3" ht="14.25" customHeight="1">
      <c r="A265" s="2">
        <v>38</v>
      </c>
      <c r="B265" s="2">
        <v>264</v>
      </c>
      <c r="C265" s="2">
        <v>4</v>
      </c>
    </row>
    <row r="266" spans="1:3" ht="14.25" customHeight="1">
      <c r="A266" s="2">
        <v>38</v>
      </c>
      <c r="B266" s="2">
        <v>265</v>
      </c>
      <c r="C266" s="2">
        <v>1</v>
      </c>
    </row>
    <row r="267" spans="1:3" ht="14.25" customHeight="1">
      <c r="A267" s="2">
        <v>38</v>
      </c>
      <c r="B267" s="2">
        <v>266</v>
      </c>
      <c r="C267" s="2">
        <v>8</v>
      </c>
    </row>
    <row r="268" spans="1:3" ht="14.25" customHeight="1">
      <c r="A268" s="2">
        <v>38</v>
      </c>
      <c r="B268" s="2">
        <v>267</v>
      </c>
      <c r="C268" s="2">
        <v>1</v>
      </c>
    </row>
    <row r="269" spans="1:3" ht="14.25" customHeight="1">
      <c r="A269" s="2">
        <v>38</v>
      </c>
      <c r="B269" s="2">
        <v>268</v>
      </c>
      <c r="C269" s="2">
        <v>3</v>
      </c>
    </row>
    <row r="270" spans="1:3" ht="14.25" customHeight="1">
      <c r="A270" s="2">
        <v>38</v>
      </c>
      <c r="B270" s="2">
        <v>269</v>
      </c>
      <c r="C270" s="2">
        <v>7</v>
      </c>
    </row>
    <row r="271" spans="1:3" ht="14.25" customHeight="1">
      <c r="A271" s="2">
        <v>38</v>
      </c>
      <c r="B271" s="2">
        <v>270</v>
      </c>
      <c r="C271" s="2">
        <v>5</v>
      </c>
    </row>
    <row r="272" spans="1:3" ht="14.25" customHeight="1">
      <c r="A272" s="2">
        <v>38</v>
      </c>
      <c r="B272" s="2">
        <v>271</v>
      </c>
      <c r="C272" s="2">
        <v>7</v>
      </c>
    </row>
    <row r="273" spans="1:3" ht="14.25" customHeight="1">
      <c r="A273" s="2">
        <v>38</v>
      </c>
      <c r="B273" s="2">
        <v>272</v>
      </c>
      <c r="C273" s="2">
        <v>4</v>
      </c>
    </row>
    <row r="274" spans="1:3" ht="14.25" customHeight="1">
      <c r="A274" s="2">
        <v>38</v>
      </c>
      <c r="B274" s="2">
        <v>273</v>
      </c>
      <c r="C274" s="2">
        <v>2</v>
      </c>
    </row>
    <row r="275" spans="1:3" ht="14.25" customHeight="1">
      <c r="A275" s="2">
        <v>38</v>
      </c>
      <c r="B275" s="2">
        <v>274</v>
      </c>
      <c r="C275" s="2">
        <v>3</v>
      </c>
    </row>
    <row r="276" spans="1:3" ht="14.25" customHeight="1">
      <c r="A276" s="2">
        <v>38</v>
      </c>
      <c r="B276" s="2">
        <v>275</v>
      </c>
      <c r="C276" s="2">
        <v>8</v>
      </c>
    </row>
    <row r="277" spans="1:3" ht="14.25" customHeight="1">
      <c r="A277" s="2">
        <v>38</v>
      </c>
      <c r="B277" s="2">
        <v>276</v>
      </c>
      <c r="C277" s="2">
        <v>3</v>
      </c>
    </row>
    <row r="278" spans="1:3" ht="14.25" customHeight="1">
      <c r="A278" s="2">
        <v>38</v>
      </c>
      <c r="B278" s="2">
        <v>277</v>
      </c>
      <c r="C278" s="2">
        <v>1</v>
      </c>
    </row>
    <row r="279" spans="1:3" ht="14.25" customHeight="1">
      <c r="A279" s="2">
        <v>38</v>
      </c>
      <c r="B279" s="2">
        <v>278</v>
      </c>
      <c r="C279" s="2">
        <v>7</v>
      </c>
    </row>
    <row r="280" spans="1:3" ht="14.25" customHeight="1">
      <c r="A280" s="2">
        <v>38</v>
      </c>
      <c r="B280" s="2">
        <v>279</v>
      </c>
      <c r="C280" s="2">
        <v>8</v>
      </c>
    </row>
    <row r="281" spans="1:3" ht="14.25" customHeight="1">
      <c r="A281" s="2">
        <v>38</v>
      </c>
      <c r="B281" s="2">
        <v>280</v>
      </c>
      <c r="C281" s="2">
        <v>6</v>
      </c>
    </row>
    <row r="282" spans="1:3" ht="14.25" customHeight="1">
      <c r="A282" s="2">
        <v>38</v>
      </c>
      <c r="B282" s="2">
        <v>281</v>
      </c>
      <c r="C282" s="2">
        <v>7</v>
      </c>
    </row>
    <row r="283" spans="1:3" ht="14.25" customHeight="1">
      <c r="A283" s="2">
        <v>38</v>
      </c>
      <c r="B283" s="2">
        <v>282</v>
      </c>
      <c r="C283" s="2">
        <v>8</v>
      </c>
    </row>
    <row r="284" spans="1:3" ht="14.25" customHeight="1">
      <c r="A284" s="2">
        <v>38</v>
      </c>
      <c r="B284" s="2">
        <v>283</v>
      </c>
      <c r="C284" s="2">
        <v>5</v>
      </c>
    </row>
    <row r="285" spans="1:3" ht="14.25" customHeight="1">
      <c r="A285" s="2">
        <v>38</v>
      </c>
      <c r="B285" s="2">
        <v>284</v>
      </c>
      <c r="C285" s="2">
        <v>2</v>
      </c>
    </row>
    <row r="286" spans="1:3" ht="14.25" customHeight="1">
      <c r="A286" s="2">
        <v>38</v>
      </c>
      <c r="B286" s="2">
        <v>285</v>
      </c>
      <c r="C286" s="2">
        <v>6</v>
      </c>
    </row>
    <row r="287" spans="1:3" ht="14.25" customHeight="1">
      <c r="A287" s="2">
        <v>38</v>
      </c>
      <c r="B287" s="2">
        <v>286</v>
      </c>
      <c r="C287" s="2">
        <v>2</v>
      </c>
    </row>
    <row r="288" spans="1:3" ht="14.25" customHeight="1">
      <c r="A288" s="2">
        <v>38</v>
      </c>
      <c r="B288" s="2">
        <v>287</v>
      </c>
      <c r="C288" s="2">
        <v>3</v>
      </c>
    </row>
    <row r="289" spans="1:4" ht="14.25" customHeight="1">
      <c r="A289" s="2">
        <v>38</v>
      </c>
      <c r="B289" s="2">
        <v>288</v>
      </c>
      <c r="C289" s="2">
        <v>5</v>
      </c>
    </row>
    <row r="290" spans="1:4" ht="14.25" customHeight="1">
      <c r="A290" s="2">
        <v>38</v>
      </c>
      <c r="B290" s="2">
        <v>289</v>
      </c>
      <c r="C290" s="2">
        <v>6</v>
      </c>
    </row>
    <row r="291" spans="1:4" ht="14.25" customHeight="1">
      <c r="A291" s="2">
        <v>38</v>
      </c>
      <c r="B291" s="2">
        <v>290</v>
      </c>
      <c r="C291" s="2">
        <v>5</v>
      </c>
    </row>
    <row r="292" spans="1:4" ht="14.25" customHeight="1">
      <c r="A292" s="2">
        <v>38</v>
      </c>
      <c r="B292" s="2">
        <v>291</v>
      </c>
      <c r="C292" s="2">
        <v>6</v>
      </c>
    </row>
    <row r="293" spans="1:4" ht="14.25" customHeight="1">
      <c r="A293" s="2">
        <v>38</v>
      </c>
      <c r="B293" s="2">
        <v>292</v>
      </c>
      <c r="C293" s="2">
        <v>2</v>
      </c>
    </row>
    <row r="294" spans="1:4" ht="14.25" customHeight="1">
      <c r="A294" s="2">
        <v>38</v>
      </c>
      <c r="B294" s="2">
        <v>293</v>
      </c>
      <c r="C294" s="2">
        <v>1</v>
      </c>
    </row>
    <row r="295" spans="1:4" ht="14.25" customHeight="1">
      <c r="A295" s="2">
        <v>38</v>
      </c>
      <c r="B295" s="2">
        <v>294</v>
      </c>
      <c r="C295" s="2">
        <v>4</v>
      </c>
    </row>
    <row r="296" spans="1:4" ht="14.25" customHeight="1">
      <c r="A296" s="2">
        <v>38</v>
      </c>
      <c r="B296" s="2">
        <v>295</v>
      </c>
      <c r="C296" s="2">
        <v>7</v>
      </c>
    </row>
    <row r="297" spans="1:4" ht="14.25" customHeight="1">
      <c r="A297" s="2">
        <v>38</v>
      </c>
      <c r="B297" s="2">
        <v>296</v>
      </c>
      <c r="C297" s="2">
        <v>4</v>
      </c>
    </row>
    <row r="298" spans="1:4" ht="14.25" customHeight="1">
      <c r="A298" s="2">
        <v>38</v>
      </c>
      <c r="B298" s="2">
        <v>297</v>
      </c>
      <c r="C298" s="2">
        <v>8</v>
      </c>
    </row>
    <row r="299" spans="1:4" ht="14.25" customHeight="1">
      <c r="A299" s="2">
        <v>38</v>
      </c>
      <c r="B299" s="2">
        <v>298</v>
      </c>
      <c r="C299" s="2">
        <v>1</v>
      </c>
    </row>
    <row r="300" spans="1:4" ht="14.25" customHeight="1">
      <c r="A300" s="2">
        <v>38</v>
      </c>
      <c r="B300" s="2">
        <v>299</v>
      </c>
      <c r="C300" s="2">
        <v>8</v>
      </c>
    </row>
    <row r="301" spans="1:4" ht="14.25" customHeight="1">
      <c r="A301" s="2">
        <v>38</v>
      </c>
      <c r="B301" s="2">
        <v>300</v>
      </c>
      <c r="C301" s="2">
        <v>5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39</v>
      </c>
      <c r="I1" s="2">
        <v>1</v>
      </c>
      <c r="J1" s="2">
        <v>4</v>
      </c>
      <c r="L1" s="2">
        <v>2.0009999999999999</v>
      </c>
    </row>
    <row r="2" spans="1:22" ht="14.25" customHeight="1">
      <c r="A2" s="2">
        <v>39</v>
      </c>
      <c r="B2" s="2">
        <v>1</v>
      </c>
      <c r="C2" s="2">
        <v>4</v>
      </c>
      <c r="E2" s="2">
        <v>2.0009999999999999</v>
      </c>
      <c r="H2" s="2">
        <v>39</v>
      </c>
      <c r="I2" s="2">
        <v>2</v>
      </c>
      <c r="J2" s="2">
        <v>2</v>
      </c>
      <c r="L2" s="2">
        <v>2</v>
      </c>
    </row>
    <row r="3" spans="1:22" ht="14.25" customHeight="1">
      <c r="A3" s="2">
        <v>39</v>
      </c>
      <c r="B3" s="2">
        <v>2</v>
      </c>
      <c r="C3" s="2">
        <v>2</v>
      </c>
      <c r="E3" s="2">
        <v>2</v>
      </c>
      <c r="H3" s="2">
        <v>39</v>
      </c>
      <c r="I3" s="2">
        <v>3</v>
      </c>
      <c r="J3" s="2">
        <v>7</v>
      </c>
      <c r="L3" s="2">
        <v>2</v>
      </c>
    </row>
    <row r="4" spans="1:22" ht="14.25" customHeight="1">
      <c r="A4" s="2">
        <v>39</v>
      </c>
      <c r="B4" s="2">
        <v>3</v>
      </c>
      <c r="C4" s="2">
        <v>7</v>
      </c>
      <c r="E4" s="2">
        <v>2</v>
      </c>
      <c r="H4" s="2">
        <v>39</v>
      </c>
      <c r="I4" s="2">
        <v>4</v>
      </c>
      <c r="J4" s="2">
        <v>2</v>
      </c>
      <c r="K4" s="2">
        <v>0</v>
      </c>
      <c r="L4" s="2">
        <v>1.01</v>
      </c>
      <c r="M4" s="2">
        <v>2</v>
      </c>
      <c r="O4" s="2" t="s">
        <v>6</v>
      </c>
    </row>
    <row r="5" spans="1:22" ht="14.25" customHeight="1">
      <c r="A5" s="2">
        <v>39</v>
      </c>
      <c r="B5" s="2">
        <v>4</v>
      </c>
      <c r="C5" s="2">
        <v>2</v>
      </c>
      <c r="D5" s="2">
        <v>0</v>
      </c>
      <c r="E5" s="2">
        <v>1.01</v>
      </c>
      <c r="F5" s="2">
        <v>2</v>
      </c>
      <c r="H5" s="2">
        <v>39</v>
      </c>
      <c r="I5" s="2">
        <v>5</v>
      </c>
      <c r="J5" s="2">
        <v>4</v>
      </c>
      <c r="K5" s="2">
        <v>0</v>
      </c>
      <c r="L5" s="2">
        <v>0.99399999999999999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39</v>
      </c>
      <c r="B6" s="2">
        <v>5</v>
      </c>
      <c r="C6" s="2">
        <v>4</v>
      </c>
      <c r="D6" s="2">
        <v>0</v>
      </c>
      <c r="E6" s="2">
        <v>0.99399999999999999</v>
      </c>
      <c r="F6" s="2">
        <v>2</v>
      </c>
      <c r="H6" s="2">
        <v>39</v>
      </c>
      <c r="I6" s="2">
        <v>6</v>
      </c>
      <c r="J6" s="2">
        <v>6</v>
      </c>
      <c r="K6" s="2">
        <v>0</v>
      </c>
      <c r="L6" s="2">
        <v>1.3049999999999999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39</v>
      </c>
      <c r="B7" s="2">
        <v>6</v>
      </c>
      <c r="C7" s="2">
        <v>6</v>
      </c>
      <c r="D7" s="2">
        <v>0</v>
      </c>
      <c r="E7" s="2">
        <v>1.3049999999999999</v>
      </c>
      <c r="F7" s="2">
        <v>1</v>
      </c>
      <c r="H7" s="2">
        <v>39</v>
      </c>
      <c r="I7" s="2">
        <v>7</v>
      </c>
      <c r="J7" s="2">
        <v>8</v>
      </c>
      <c r="K7" s="2">
        <v>0</v>
      </c>
      <c r="L7" s="2">
        <v>0.97399999999999998</v>
      </c>
      <c r="M7" s="2">
        <v>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39</v>
      </c>
      <c r="B8" s="2">
        <v>7</v>
      </c>
      <c r="C8" s="2">
        <v>8</v>
      </c>
      <c r="D8" s="2">
        <v>0</v>
      </c>
      <c r="E8" s="2">
        <v>0.97399999999999998</v>
      </c>
      <c r="F8" s="2">
        <v>2</v>
      </c>
      <c r="H8" s="2">
        <v>39</v>
      </c>
      <c r="I8" s="2">
        <v>8</v>
      </c>
      <c r="J8" s="2">
        <v>7</v>
      </c>
      <c r="K8" s="2">
        <v>0</v>
      </c>
      <c r="L8" s="2">
        <v>1.08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39</v>
      </c>
      <c r="B9" s="2">
        <v>8</v>
      </c>
      <c r="C9" s="2">
        <v>7</v>
      </c>
      <c r="D9" s="2">
        <v>0</v>
      </c>
      <c r="E9" s="2">
        <v>1.08</v>
      </c>
      <c r="F9" s="2">
        <v>2</v>
      </c>
      <c r="H9" s="2">
        <v>39</v>
      </c>
      <c r="I9" s="2">
        <v>9</v>
      </c>
      <c r="J9" s="2">
        <v>2</v>
      </c>
      <c r="K9" s="2">
        <v>0</v>
      </c>
      <c r="L9" s="2">
        <v>1.002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39</v>
      </c>
      <c r="B10" s="2">
        <v>9</v>
      </c>
      <c r="C10" s="2">
        <v>2</v>
      </c>
      <c r="D10" s="2">
        <v>0</v>
      </c>
      <c r="E10" s="2">
        <v>1.002</v>
      </c>
      <c r="F10" s="2">
        <v>2</v>
      </c>
      <c r="H10" s="2">
        <v>39</v>
      </c>
      <c r="I10" s="2">
        <v>10</v>
      </c>
      <c r="J10" s="2">
        <v>8</v>
      </c>
      <c r="K10" s="2">
        <v>1</v>
      </c>
      <c r="L10" s="2">
        <v>0.89700000000000002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39</v>
      </c>
      <c r="B11" s="2">
        <v>10</v>
      </c>
      <c r="C11" s="2">
        <v>8</v>
      </c>
      <c r="D11" s="2">
        <v>1</v>
      </c>
      <c r="E11" s="2">
        <v>0.89700000000000002</v>
      </c>
      <c r="F11" s="2">
        <v>1</v>
      </c>
      <c r="H11" s="2">
        <v>39</v>
      </c>
      <c r="I11" s="2">
        <v>11</v>
      </c>
      <c r="J11" s="2">
        <v>1</v>
      </c>
      <c r="K11" s="2">
        <v>0</v>
      </c>
      <c r="L11" s="2">
        <v>1.06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39</v>
      </c>
      <c r="B12" s="2">
        <v>11</v>
      </c>
      <c r="C12" s="2">
        <v>1</v>
      </c>
      <c r="D12" s="2">
        <v>0</v>
      </c>
      <c r="E12" s="2">
        <v>1.06</v>
      </c>
      <c r="F12" s="2">
        <v>1</v>
      </c>
      <c r="H12" s="2">
        <v>39</v>
      </c>
      <c r="I12" s="2">
        <v>12</v>
      </c>
      <c r="J12" s="2">
        <v>3</v>
      </c>
      <c r="K12" s="2">
        <v>0</v>
      </c>
      <c r="L12" s="2">
        <v>1.1120000000000001</v>
      </c>
      <c r="M12" s="2">
        <v>1</v>
      </c>
    </row>
    <row r="13" spans="1:22" ht="14.25" customHeight="1">
      <c r="A13" s="2">
        <v>39</v>
      </c>
      <c r="B13" s="2">
        <v>12</v>
      </c>
      <c r="C13" s="2">
        <v>3</v>
      </c>
      <c r="D13" s="2">
        <v>0</v>
      </c>
      <c r="E13" s="2">
        <v>1.1120000000000001</v>
      </c>
      <c r="F13" s="2">
        <v>1</v>
      </c>
      <c r="H13" s="2">
        <v>39</v>
      </c>
      <c r="I13" s="2">
        <v>13</v>
      </c>
      <c r="J13" s="2">
        <v>1</v>
      </c>
      <c r="K13" s="2">
        <v>0</v>
      </c>
      <c r="L13" s="2">
        <v>0.88100000000000001</v>
      </c>
      <c r="M13" s="2">
        <v>1</v>
      </c>
    </row>
    <row r="14" spans="1:22" ht="14.25" customHeight="1">
      <c r="A14" s="2">
        <v>39</v>
      </c>
      <c r="B14" s="2">
        <v>13</v>
      </c>
      <c r="C14" s="2">
        <v>1</v>
      </c>
      <c r="D14" s="2">
        <v>0</v>
      </c>
      <c r="E14" s="2">
        <v>0.88100000000000001</v>
      </c>
      <c r="F14" s="2">
        <v>1</v>
      </c>
      <c r="H14" s="2">
        <v>39</v>
      </c>
      <c r="I14" s="2">
        <v>14</v>
      </c>
      <c r="J14" s="2">
        <v>4</v>
      </c>
      <c r="K14" s="2">
        <v>0</v>
      </c>
      <c r="L14" s="2">
        <v>1.04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39</v>
      </c>
      <c r="B15" s="2">
        <v>14</v>
      </c>
      <c r="C15" s="2">
        <v>4</v>
      </c>
      <c r="D15" s="2">
        <v>0</v>
      </c>
      <c r="E15" s="2">
        <v>1.04</v>
      </c>
      <c r="F15" s="2">
        <v>2</v>
      </c>
      <c r="H15" s="2">
        <v>39</v>
      </c>
      <c r="I15" s="2">
        <v>15</v>
      </c>
      <c r="J15" s="2">
        <v>6</v>
      </c>
      <c r="K15" s="2">
        <v>1</v>
      </c>
      <c r="L15" s="2">
        <v>0.85399999999999998</v>
      </c>
      <c r="M15" s="2">
        <v>2</v>
      </c>
      <c r="O15" s="2" t="s">
        <v>9</v>
      </c>
    </row>
    <row r="16" spans="1:22" ht="14.25" customHeight="1">
      <c r="A16" s="2">
        <v>39</v>
      </c>
      <c r="B16" s="2">
        <v>15</v>
      </c>
      <c r="C16" s="2">
        <v>6</v>
      </c>
      <c r="D16" s="2">
        <v>1</v>
      </c>
      <c r="E16" s="2">
        <v>0.85399999999999998</v>
      </c>
      <c r="F16" s="2">
        <v>2</v>
      </c>
      <c r="H16" s="2">
        <v>39</v>
      </c>
      <c r="I16" s="2">
        <v>16</v>
      </c>
      <c r="J16" s="2">
        <v>3</v>
      </c>
      <c r="K16" s="2">
        <v>0</v>
      </c>
      <c r="L16" s="2">
        <v>1.534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39</v>
      </c>
      <c r="B17" s="2">
        <v>16</v>
      </c>
      <c r="C17" s="2">
        <v>3</v>
      </c>
      <c r="D17" s="2">
        <v>0</v>
      </c>
      <c r="E17" s="2">
        <v>1.534</v>
      </c>
      <c r="F17" s="2">
        <v>1</v>
      </c>
      <c r="H17" s="2">
        <v>39</v>
      </c>
      <c r="I17" s="2">
        <v>17</v>
      </c>
      <c r="J17" s="2">
        <v>1</v>
      </c>
      <c r="K17" s="2">
        <v>1</v>
      </c>
      <c r="L17" s="2">
        <v>1.2869999999999999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19.359999999999989</v>
      </c>
      <c r="P17" s="2">
        <f t="shared" ref="P17:P22" si="1">(P6*COUNTIF($J$1:$J$100,P$16) - COUNTIFS($J$1:$J$100,P$16,$K$1:$K$100,"=0"))^2</f>
        <v>5.76</v>
      </c>
      <c r="Q17" s="2">
        <f t="shared" ref="Q17:Q22" si="2">(Q6*COUNTIF($J$1:$J$100,Q$16) - COUNTIFS($J$1:$J$100,Q$16,$K$1:$K$100,"=1"))^2</f>
        <v>29.159999999999986</v>
      </c>
      <c r="R17" s="2">
        <f t="shared" ref="R17:R22" si="3">(R6*COUNTIF($J$1:$J$100,R$16) - COUNTIFS($J$1:$J$100,R$16,$K$1:$K$100,"=0"))^2</f>
        <v>10.889999999999999</v>
      </c>
      <c r="S17" s="2">
        <f t="shared" ref="S17:T17" si="4">(S6*COUNTIF($J$1:$J$100,S$16) - COUNTIFS($J$1:$J$100,S$16,$K$1:$K$100,"=1"))^2</f>
        <v>19.359999999999989</v>
      </c>
      <c r="T17" s="2">
        <f t="shared" si="4"/>
        <v>29.159999999999986</v>
      </c>
      <c r="U17" s="2">
        <f t="shared" ref="U17:V17" si="5">(U6*COUNTIF($J$1:$J$100,U$16) - COUNTIFS($J$1:$J$100,U$16,$K$1:$K$100,"=0"))^2</f>
        <v>29.160000000000004</v>
      </c>
      <c r="V17" s="2">
        <f t="shared" si="5"/>
        <v>5.2899999999999991</v>
      </c>
    </row>
    <row r="18" spans="1:22" ht="14.25" customHeight="1">
      <c r="A18" s="2">
        <v>39</v>
      </c>
      <c r="B18" s="2">
        <v>17</v>
      </c>
      <c r="C18" s="2">
        <v>1</v>
      </c>
      <c r="D18" s="2">
        <v>1</v>
      </c>
      <c r="E18" s="2">
        <v>1.2869999999999999</v>
      </c>
      <c r="F18" s="2">
        <v>2</v>
      </c>
      <c r="H18" s="2">
        <v>39</v>
      </c>
      <c r="I18" s="2">
        <v>18</v>
      </c>
      <c r="J18" s="2">
        <v>5</v>
      </c>
      <c r="K18" s="2">
        <v>0</v>
      </c>
      <c r="L18" s="2">
        <v>1.4430000000000001</v>
      </c>
      <c r="M18" s="2">
        <v>1</v>
      </c>
      <c r="N18" s="2">
        <v>2</v>
      </c>
      <c r="O18" s="2">
        <f t="shared" si="0"/>
        <v>19.359999999999989</v>
      </c>
      <c r="P18" s="2">
        <f t="shared" si="1"/>
        <v>70.559999999999974</v>
      </c>
      <c r="Q18" s="2">
        <f t="shared" si="2"/>
        <v>29.160000000000004</v>
      </c>
      <c r="R18" s="2">
        <f t="shared" si="3"/>
        <v>10.889999999999999</v>
      </c>
      <c r="S18" s="2">
        <f t="shared" ref="S18:T18" si="6">(S7*COUNTIF($J$1:$J$100,S$16) - COUNTIFS($J$1:$J$100,S$16,$K$1:$K$100,"=1"))^2</f>
        <v>19.359999999999989</v>
      </c>
      <c r="T18" s="2">
        <f t="shared" si="6"/>
        <v>29.159999999999986</v>
      </c>
      <c r="U18" s="2">
        <f t="shared" ref="U18:V18" si="7">(U7*COUNTIF($J$1:$J$100,U$16) - COUNTIFS($J$1:$J$100,U$16,$K$1:$K$100,"=0"))^2</f>
        <v>29.160000000000004</v>
      </c>
      <c r="V18" s="2">
        <f t="shared" si="7"/>
        <v>5.2899999999999991</v>
      </c>
    </row>
    <row r="19" spans="1:22" ht="14.25" customHeight="1">
      <c r="A19" s="2">
        <v>39</v>
      </c>
      <c r="B19" s="2">
        <v>18</v>
      </c>
      <c r="C19" s="2">
        <v>5</v>
      </c>
      <c r="D19" s="2">
        <v>0</v>
      </c>
      <c r="E19" s="2">
        <v>1.4430000000000001</v>
      </c>
      <c r="F19" s="2">
        <v>1</v>
      </c>
      <c r="H19" s="2">
        <v>39</v>
      </c>
      <c r="I19" s="2">
        <v>19</v>
      </c>
      <c r="J19" s="2">
        <v>2</v>
      </c>
      <c r="K19" s="2">
        <v>1</v>
      </c>
      <c r="L19" s="2">
        <v>1.4570000000000001</v>
      </c>
      <c r="M19" s="2">
        <v>1</v>
      </c>
      <c r="N19" s="2">
        <v>3</v>
      </c>
      <c r="O19" s="2">
        <f t="shared" si="0"/>
        <v>19.359999999999989</v>
      </c>
      <c r="P19" s="2">
        <f t="shared" si="1"/>
        <v>5.76</v>
      </c>
      <c r="Q19" s="2">
        <f t="shared" si="2"/>
        <v>29.159999999999986</v>
      </c>
      <c r="R19" s="2">
        <f t="shared" si="3"/>
        <v>10.889999999999999</v>
      </c>
      <c r="S19" s="2">
        <f t="shared" ref="S19:T19" si="8">(S8*COUNTIF($J$1:$J$100,S$16) - COUNTIFS($J$1:$J$100,S$16,$K$1:$K$100,"=1"))^2</f>
        <v>19.359999999999989</v>
      </c>
      <c r="T19" s="2">
        <f t="shared" si="8"/>
        <v>29.160000000000004</v>
      </c>
      <c r="U19" s="2">
        <f t="shared" ref="U19:V19" si="9">(U8*COUNTIF($J$1:$J$100,U$16) - COUNTIFS($J$1:$J$100,U$16,$K$1:$K$100,"=0"))^2</f>
        <v>29.159999999999986</v>
      </c>
      <c r="V19" s="2">
        <f t="shared" si="9"/>
        <v>5.2899999999999991</v>
      </c>
    </row>
    <row r="20" spans="1:22" ht="14.25" customHeight="1">
      <c r="A20" s="2">
        <v>39</v>
      </c>
      <c r="B20" s="2">
        <v>19</v>
      </c>
      <c r="C20" s="2">
        <v>2</v>
      </c>
      <c r="D20" s="2">
        <v>1</v>
      </c>
      <c r="E20" s="2">
        <v>1.4570000000000001</v>
      </c>
      <c r="F20" s="2">
        <v>1</v>
      </c>
      <c r="H20" s="2">
        <v>39</v>
      </c>
      <c r="I20" s="2">
        <v>20</v>
      </c>
      <c r="J20" s="2">
        <v>8</v>
      </c>
      <c r="K20" s="2">
        <v>0</v>
      </c>
      <c r="L20" s="2">
        <v>0.90400000000000003</v>
      </c>
      <c r="M20" s="2">
        <v>2</v>
      </c>
      <c r="N20" s="2">
        <v>4</v>
      </c>
      <c r="O20" s="2">
        <f t="shared" si="0"/>
        <v>1</v>
      </c>
      <c r="P20" s="2">
        <f t="shared" si="1"/>
        <v>9</v>
      </c>
      <c r="Q20" s="2">
        <f t="shared" si="2"/>
        <v>0</v>
      </c>
      <c r="R20" s="2">
        <f t="shared" si="3"/>
        <v>9</v>
      </c>
      <c r="S20" s="2">
        <f t="shared" ref="S20:T20" si="10">(S9*COUNTIF($J$1:$J$100,S$16) - COUNTIFS($J$1:$J$100,S$16,$K$1:$K$100,"=1"))^2</f>
        <v>19.359999999999989</v>
      </c>
      <c r="T20" s="2">
        <f t="shared" si="10"/>
        <v>29.159999999999986</v>
      </c>
      <c r="U20" s="2">
        <f t="shared" ref="U20:V20" si="11">(U9*COUNTIF($J$1:$J$100,U$16) - COUNTIFS($J$1:$J$100,U$16,$K$1:$K$100,"=0"))^2</f>
        <v>29.160000000000004</v>
      </c>
      <c r="V20" s="2">
        <f t="shared" si="11"/>
        <v>5.2899999999999991</v>
      </c>
    </row>
    <row r="21" spans="1:22" ht="14.25" customHeight="1">
      <c r="A21" s="2">
        <v>39</v>
      </c>
      <c r="B21" s="2">
        <v>20</v>
      </c>
      <c r="C21" s="2">
        <v>8</v>
      </c>
      <c r="D21" s="2">
        <v>0</v>
      </c>
      <c r="E21" s="2">
        <v>0.90400000000000003</v>
      </c>
      <c r="F21" s="2">
        <v>2</v>
      </c>
      <c r="H21" s="2">
        <v>39</v>
      </c>
      <c r="I21" s="2">
        <v>21</v>
      </c>
      <c r="J21" s="2">
        <v>1</v>
      </c>
      <c r="K21" s="2">
        <v>0</v>
      </c>
      <c r="L21" s="2">
        <v>1.5129999999999999</v>
      </c>
      <c r="M21" s="2">
        <v>1</v>
      </c>
      <c r="N21" s="2">
        <v>5</v>
      </c>
      <c r="O21" s="2">
        <f t="shared" si="0"/>
        <v>19.359999999999989</v>
      </c>
      <c r="P21" s="2">
        <f t="shared" si="1"/>
        <v>5.76</v>
      </c>
      <c r="Q21" s="2">
        <f t="shared" si="2"/>
        <v>29.159999999999986</v>
      </c>
      <c r="R21" s="2">
        <f t="shared" si="3"/>
        <v>10.889999999999999</v>
      </c>
      <c r="S21" s="2">
        <f t="shared" ref="S21:T21" si="12">(S10*COUNTIF($J$1:$J$100,S$16) - COUNTIFS($J$1:$J$100,S$16,$K$1:$K$100,"=1"))^2</f>
        <v>1</v>
      </c>
      <c r="T21" s="2">
        <f t="shared" si="12"/>
        <v>0</v>
      </c>
      <c r="U21" s="2">
        <f t="shared" ref="U21:V21" si="13">(U10*COUNTIF($J$1:$J$100,U$16) - COUNTIFS($J$1:$J$100,U$16,$K$1:$K$100,"=0"))^2</f>
        <v>0</v>
      </c>
      <c r="V21" s="2">
        <f t="shared" si="13"/>
        <v>16</v>
      </c>
    </row>
    <row r="22" spans="1:22" ht="14.25" customHeight="1">
      <c r="A22" s="2">
        <v>39</v>
      </c>
      <c r="B22" s="2">
        <v>21</v>
      </c>
      <c r="C22" s="2">
        <v>1</v>
      </c>
      <c r="D22" s="2">
        <v>0</v>
      </c>
      <c r="E22" s="2">
        <v>1.5129999999999999</v>
      </c>
      <c r="F22" s="2">
        <v>1</v>
      </c>
      <c r="H22" s="2">
        <v>39</v>
      </c>
      <c r="I22" s="2">
        <v>22</v>
      </c>
      <c r="J22" s="2">
        <v>8</v>
      </c>
      <c r="K22" s="2">
        <v>1</v>
      </c>
      <c r="L22" s="2">
        <v>1.865</v>
      </c>
      <c r="M22" s="2">
        <v>1</v>
      </c>
      <c r="N22" s="2">
        <v>6</v>
      </c>
      <c r="O22" s="2">
        <f t="shared" si="0"/>
        <v>1</v>
      </c>
      <c r="P22" s="2">
        <f t="shared" si="1"/>
        <v>9</v>
      </c>
      <c r="Q22" s="2">
        <f t="shared" si="2"/>
        <v>0</v>
      </c>
      <c r="R22" s="2">
        <f t="shared" si="3"/>
        <v>9</v>
      </c>
      <c r="S22" s="2">
        <f t="shared" ref="S22:T22" si="14">(S11*COUNTIF($J$1:$J$100,S$16) - COUNTIFS($J$1:$J$100,S$16,$K$1:$K$100,"=1"))^2</f>
        <v>1</v>
      </c>
      <c r="T22" s="2">
        <f t="shared" si="14"/>
        <v>0</v>
      </c>
      <c r="U22" s="2">
        <f t="shared" ref="U22:V22" si="15">(U11*COUNTIF($J$1:$J$100,U$16) - COUNTIFS($J$1:$J$100,U$16,$K$1:$K$100,"=0"))^2</f>
        <v>0</v>
      </c>
      <c r="V22" s="2">
        <f t="shared" si="15"/>
        <v>16</v>
      </c>
    </row>
    <row r="23" spans="1:22" ht="14.25" customHeight="1">
      <c r="A23" s="2">
        <v>39</v>
      </c>
      <c r="B23" s="2">
        <v>22</v>
      </c>
      <c r="C23" s="2">
        <v>8</v>
      </c>
      <c r="D23" s="2">
        <v>1</v>
      </c>
      <c r="E23" s="2">
        <v>1.865</v>
      </c>
      <c r="F23" s="2">
        <v>1</v>
      </c>
      <c r="H23" s="2">
        <v>39</v>
      </c>
      <c r="I23" s="2">
        <v>23</v>
      </c>
      <c r="J23" s="2">
        <v>5</v>
      </c>
      <c r="K23" s="2">
        <v>1</v>
      </c>
      <c r="L23" s="2">
        <v>0.94099999999999995</v>
      </c>
      <c r="M23" s="2">
        <v>2</v>
      </c>
    </row>
    <row r="24" spans="1:22" ht="14.25" customHeight="1">
      <c r="A24" s="2">
        <v>39</v>
      </c>
      <c r="B24" s="2">
        <v>23</v>
      </c>
      <c r="C24" s="2">
        <v>5</v>
      </c>
      <c r="D24" s="2">
        <v>1</v>
      </c>
      <c r="E24" s="2">
        <v>0.94099999999999995</v>
      </c>
      <c r="F24" s="2">
        <v>2</v>
      </c>
      <c r="H24" s="2">
        <v>39</v>
      </c>
      <c r="I24" s="2">
        <v>24</v>
      </c>
      <c r="J24" s="2">
        <v>6</v>
      </c>
      <c r="K24" s="2">
        <v>1</v>
      </c>
      <c r="L24" s="2">
        <v>1.272</v>
      </c>
      <c r="M24" s="2">
        <v>2</v>
      </c>
    </row>
    <row r="25" spans="1:22" ht="14.25" customHeight="1">
      <c r="A25" s="2">
        <v>39</v>
      </c>
      <c r="B25" s="2">
        <v>24</v>
      </c>
      <c r="C25" s="2">
        <v>6</v>
      </c>
      <c r="D25" s="2">
        <v>1</v>
      </c>
      <c r="E25" s="2">
        <v>1.272</v>
      </c>
      <c r="F25" s="2">
        <v>2</v>
      </c>
      <c r="H25" s="2">
        <v>39</v>
      </c>
      <c r="I25" s="2">
        <v>25</v>
      </c>
      <c r="J25" s="2">
        <v>3</v>
      </c>
      <c r="K25" s="2">
        <v>0</v>
      </c>
      <c r="L25" s="2">
        <v>1.7789999999999999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39</v>
      </c>
      <c r="B26" s="2">
        <v>25</v>
      </c>
      <c r="C26" s="2">
        <v>3</v>
      </c>
      <c r="D26" s="2">
        <v>0</v>
      </c>
      <c r="E26" s="2">
        <v>1.7789999999999999</v>
      </c>
      <c r="F26" s="2">
        <v>1</v>
      </c>
      <c r="H26" s="2">
        <v>39</v>
      </c>
      <c r="I26" s="2">
        <v>26</v>
      </c>
      <c r="J26" s="2">
        <v>1</v>
      </c>
      <c r="K26" s="2">
        <v>1</v>
      </c>
      <c r="L26" s="2">
        <v>1.1060000000000001</v>
      </c>
      <c r="M26" s="2">
        <v>2</v>
      </c>
      <c r="O26" s="2">
        <f t="shared" ref="O26:V26" si="16">COUNTIF($J$1:$J$100,O$16)^2</f>
        <v>144</v>
      </c>
      <c r="P26" s="2">
        <f t="shared" si="16"/>
        <v>144</v>
      </c>
      <c r="Q26" s="2">
        <f t="shared" si="16"/>
        <v>144</v>
      </c>
      <c r="R26" s="2">
        <f t="shared" si="16"/>
        <v>196</v>
      </c>
      <c r="S26" s="2">
        <f t="shared" si="16"/>
        <v>144</v>
      </c>
      <c r="T26" s="2">
        <f t="shared" si="16"/>
        <v>144</v>
      </c>
      <c r="U26" s="2">
        <f t="shared" si="16"/>
        <v>144</v>
      </c>
      <c r="V26" s="2">
        <f t="shared" si="16"/>
        <v>196</v>
      </c>
    </row>
    <row r="27" spans="1:22" ht="14.25" customHeight="1">
      <c r="A27" s="2">
        <v>39</v>
      </c>
      <c r="B27" s="2">
        <v>26</v>
      </c>
      <c r="C27" s="2">
        <v>1</v>
      </c>
      <c r="D27" s="2">
        <v>1</v>
      </c>
      <c r="E27" s="2">
        <v>1.1060000000000001</v>
      </c>
      <c r="F27" s="2">
        <v>2</v>
      </c>
      <c r="H27" s="2">
        <v>39</v>
      </c>
      <c r="I27" s="2">
        <v>27</v>
      </c>
      <c r="J27" s="2">
        <v>7</v>
      </c>
      <c r="K27" s="2">
        <v>0</v>
      </c>
      <c r="L27" s="2">
        <v>1.6759999999999999</v>
      </c>
      <c r="M27" s="2">
        <v>2</v>
      </c>
    </row>
    <row r="28" spans="1:22" ht="14.25" customHeight="1">
      <c r="A28" s="2">
        <v>39</v>
      </c>
      <c r="B28" s="2">
        <v>27</v>
      </c>
      <c r="C28" s="2">
        <v>7</v>
      </c>
      <c r="D28" s="2">
        <v>0</v>
      </c>
      <c r="E28" s="2">
        <v>1.6759999999999999</v>
      </c>
      <c r="F28" s="2">
        <v>2</v>
      </c>
      <c r="H28" s="2">
        <v>39</v>
      </c>
      <c r="I28" s="2">
        <v>28</v>
      </c>
      <c r="J28" s="2">
        <v>4</v>
      </c>
      <c r="K28" s="2">
        <v>1</v>
      </c>
      <c r="L28" s="2">
        <v>1.5029999999999999</v>
      </c>
      <c r="M28" s="2">
        <v>1</v>
      </c>
    </row>
    <row r="29" spans="1:22" ht="14.25" customHeight="1">
      <c r="A29" s="2">
        <v>39</v>
      </c>
      <c r="B29" s="2">
        <v>28</v>
      </c>
      <c r="C29" s="2">
        <v>4</v>
      </c>
      <c r="D29" s="2">
        <v>1</v>
      </c>
      <c r="E29" s="2">
        <v>1.5029999999999999</v>
      </c>
      <c r="F29" s="2">
        <v>1</v>
      </c>
      <c r="H29" s="2">
        <v>39</v>
      </c>
      <c r="I29" s="2">
        <v>29</v>
      </c>
      <c r="J29" s="2">
        <v>3</v>
      </c>
      <c r="L29" s="2">
        <v>2</v>
      </c>
    </row>
    <row r="30" spans="1:22" ht="14.25" customHeight="1">
      <c r="A30" s="2">
        <v>39</v>
      </c>
      <c r="B30" s="2">
        <v>29</v>
      </c>
      <c r="C30" s="2">
        <v>3</v>
      </c>
      <c r="E30" s="2">
        <v>2</v>
      </c>
      <c r="H30" s="2">
        <v>39</v>
      </c>
      <c r="I30" s="2">
        <v>30</v>
      </c>
      <c r="J30" s="2">
        <v>6</v>
      </c>
      <c r="K30" s="2">
        <v>0</v>
      </c>
      <c r="L30" s="2">
        <v>1.7030000000000001</v>
      </c>
      <c r="M30" s="2">
        <v>1</v>
      </c>
    </row>
    <row r="31" spans="1:22" ht="14.25" customHeight="1">
      <c r="A31" s="2">
        <v>39</v>
      </c>
      <c r="B31" s="2">
        <v>30</v>
      </c>
      <c r="C31" s="2">
        <v>6</v>
      </c>
      <c r="D31" s="2">
        <v>0</v>
      </c>
      <c r="E31" s="2">
        <v>1.7030000000000001</v>
      </c>
      <c r="F31" s="2">
        <v>1</v>
      </c>
      <c r="H31" s="2">
        <v>39</v>
      </c>
      <c r="I31" s="2">
        <v>31</v>
      </c>
      <c r="J31" s="2">
        <v>3</v>
      </c>
      <c r="K31" s="2">
        <v>1</v>
      </c>
      <c r="L31" s="2">
        <v>1.25</v>
      </c>
      <c r="M31" s="2">
        <v>2</v>
      </c>
      <c r="N31" s="2">
        <v>1</v>
      </c>
      <c r="O31" s="2">
        <f t="shared" ref="O31:O36" si="17">SUM(O17:V17)/(SUM($O$26:$V$26))</f>
        <v>0.11794585987261141</v>
      </c>
    </row>
    <row r="32" spans="1:22" ht="14.25" customHeight="1">
      <c r="A32" s="2">
        <v>39</v>
      </c>
      <c r="B32" s="2">
        <v>31</v>
      </c>
      <c r="C32" s="2">
        <v>3</v>
      </c>
      <c r="D32" s="2">
        <v>1</v>
      </c>
      <c r="E32" s="2">
        <v>1.25</v>
      </c>
      <c r="F32" s="2">
        <v>2</v>
      </c>
      <c r="H32" s="2">
        <v>39</v>
      </c>
      <c r="I32" s="2">
        <v>32</v>
      </c>
      <c r="J32" s="2">
        <v>5</v>
      </c>
      <c r="K32" s="2">
        <v>1</v>
      </c>
      <c r="L32" s="2">
        <v>1.395</v>
      </c>
      <c r="M32" s="2">
        <v>2</v>
      </c>
      <c r="N32" s="2">
        <v>2</v>
      </c>
      <c r="O32" s="2">
        <f t="shared" si="17"/>
        <v>0.16953821656050949</v>
      </c>
    </row>
    <row r="33" spans="1:15" ht="14.25" customHeight="1">
      <c r="A33" s="2">
        <v>39</v>
      </c>
      <c r="B33" s="2">
        <v>32</v>
      </c>
      <c r="C33" s="2">
        <v>5</v>
      </c>
      <c r="D33" s="2">
        <v>1</v>
      </c>
      <c r="E33" s="2">
        <v>1.395</v>
      </c>
      <c r="F33" s="2">
        <v>2</v>
      </c>
      <c r="H33" s="2">
        <v>39</v>
      </c>
      <c r="I33" s="2">
        <v>33</v>
      </c>
      <c r="J33" s="2">
        <v>8</v>
      </c>
      <c r="K33" s="2">
        <v>1</v>
      </c>
      <c r="L33" s="2">
        <v>0.9</v>
      </c>
      <c r="M33" s="2">
        <v>1</v>
      </c>
      <c r="N33" s="2">
        <v>3</v>
      </c>
      <c r="O33" s="2">
        <f t="shared" si="17"/>
        <v>0.11794585987261143</v>
      </c>
    </row>
    <row r="34" spans="1:15" ht="14.25" customHeight="1">
      <c r="A34" s="2">
        <v>39</v>
      </c>
      <c r="B34" s="2">
        <v>33</v>
      </c>
      <c r="C34" s="2">
        <v>8</v>
      </c>
      <c r="D34" s="2">
        <v>1</v>
      </c>
      <c r="E34" s="2">
        <v>0.9</v>
      </c>
      <c r="F34" s="2">
        <v>1</v>
      </c>
      <c r="H34" s="2">
        <v>39</v>
      </c>
      <c r="I34" s="2">
        <v>34</v>
      </c>
      <c r="J34" s="2">
        <v>6</v>
      </c>
      <c r="K34" s="2">
        <v>1</v>
      </c>
      <c r="L34" s="2">
        <v>0.88900000000000001</v>
      </c>
      <c r="M34" s="2">
        <v>2</v>
      </c>
      <c r="N34" s="2">
        <v>4</v>
      </c>
      <c r="O34" s="2">
        <f t="shared" si="17"/>
        <v>8.118630573248406E-2</v>
      </c>
    </row>
    <row r="35" spans="1:15" ht="14.25" customHeight="1">
      <c r="A35" s="2">
        <v>39</v>
      </c>
      <c r="B35" s="2">
        <v>34</v>
      </c>
      <c r="C35" s="2">
        <v>6</v>
      </c>
      <c r="D35" s="2">
        <v>1</v>
      </c>
      <c r="E35" s="2">
        <v>0.88900000000000001</v>
      </c>
      <c r="F35" s="2">
        <v>2</v>
      </c>
      <c r="H35" s="2">
        <v>39</v>
      </c>
      <c r="I35" s="2">
        <v>35</v>
      </c>
      <c r="J35" s="2">
        <v>5</v>
      </c>
      <c r="K35" s="2">
        <v>0</v>
      </c>
      <c r="L35" s="2">
        <v>1.337</v>
      </c>
      <c r="M35" s="2">
        <v>1</v>
      </c>
      <c r="N35" s="2">
        <v>5</v>
      </c>
      <c r="O35" s="2">
        <f t="shared" si="17"/>
        <v>6.5421974522292967E-2</v>
      </c>
    </row>
    <row r="36" spans="1:15" ht="14.25" customHeight="1">
      <c r="A36" s="2">
        <v>39</v>
      </c>
      <c r="B36" s="2">
        <v>35</v>
      </c>
      <c r="C36" s="2">
        <v>5</v>
      </c>
      <c r="D36" s="2">
        <v>0</v>
      </c>
      <c r="E36" s="2">
        <v>1.337</v>
      </c>
      <c r="F36" s="2">
        <v>1</v>
      </c>
      <c r="H36" s="2">
        <v>39</v>
      </c>
      <c r="I36" s="2">
        <v>36</v>
      </c>
      <c r="J36" s="2">
        <v>2</v>
      </c>
      <c r="K36" s="2">
        <v>1</v>
      </c>
      <c r="L36" s="2">
        <v>1.23</v>
      </c>
      <c r="M36" s="2">
        <v>1</v>
      </c>
      <c r="N36" s="2">
        <v>6</v>
      </c>
      <c r="O36" s="2">
        <f t="shared" si="17"/>
        <v>2.8662420382165606E-2</v>
      </c>
    </row>
    <row r="37" spans="1:15" ht="14.25" customHeight="1">
      <c r="A37" s="2">
        <v>39</v>
      </c>
      <c r="B37" s="2">
        <v>36</v>
      </c>
      <c r="C37" s="2">
        <v>2</v>
      </c>
      <c r="D37" s="2">
        <v>1</v>
      </c>
      <c r="E37" s="2">
        <v>1.23</v>
      </c>
      <c r="F37" s="2">
        <v>1</v>
      </c>
      <c r="H37" s="2">
        <v>39</v>
      </c>
      <c r="I37" s="2">
        <v>37</v>
      </c>
      <c r="J37" s="2">
        <v>7</v>
      </c>
      <c r="K37" s="2">
        <v>0</v>
      </c>
      <c r="L37" s="2">
        <v>1.2170000000000001</v>
      </c>
      <c r="M37" s="2">
        <v>2</v>
      </c>
    </row>
    <row r="38" spans="1:15" ht="14.25" customHeight="1">
      <c r="A38" s="2">
        <v>39</v>
      </c>
      <c r="B38" s="2">
        <v>37</v>
      </c>
      <c r="C38" s="2">
        <v>7</v>
      </c>
      <c r="D38" s="2">
        <v>0</v>
      </c>
      <c r="E38" s="2">
        <v>1.2170000000000001</v>
      </c>
      <c r="F38" s="2">
        <v>2</v>
      </c>
      <c r="H38" s="2">
        <v>39</v>
      </c>
      <c r="I38" s="2">
        <v>38</v>
      </c>
      <c r="J38" s="2">
        <v>2</v>
      </c>
      <c r="K38" s="2">
        <v>1</v>
      </c>
      <c r="L38" s="2">
        <v>0.73099999999999998</v>
      </c>
      <c r="M38" s="2">
        <v>1</v>
      </c>
    </row>
    <row r="39" spans="1:15" ht="14.25" customHeight="1">
      <c r="A39" s="2">
        <v>39</v>
      </c>
      <c r="B39" s="2">
        <v>38</v>
      </c>
      <c r="C39" s="2">
        <v>2</v>
      </c>
      <c r="D39" s="2">
        <v>1</v>
      </c>
      <c r="E39" s="2">
        <v>0.73099999999999998</v>
      </c>
      <c r="F39" s="2">
        <v>1</v>
      </c>
      <c r="H39" s="2">
        <v>39</v>
      </c>
      <c r="I39" s="2">
        <v>39</v>
      </c>
      <c r="J39" s="2">
        <v>4</v>
      </c>
      <c r="K39" s="2">
        <v>1</v>
      </c>
      <c r="L39" s="2">
        <v>1.335</v>
      </c>
      <c r="M39" s="2">
        <v>1</v>
      </c>
    </row>
    <row r="40" spans="1:15" ht="14.25" customHeight="1">
      <c r="A40" s="2">
        <v>39</v>
      </c>
      <c r="B40" s="2">
        <v>39</v>
      </c>
      <c r="C40" s="2">
        <v>4</v>
      </c>
      <c r="D40" s="2">
        <v>1</v>
      </c>
      <c r="E40" s="2">
        <v>1.335</v>
      </c>
      <c r="F40" s="2">
        <v>1</v>
      </c>
      <c r="H40" s="2">
        <v>39</v>
      </c>
      <c r="I40" s="2">
        <v>40</v>
      </c>
      <c r="J40" s="2">
        <v>7</v>
      </c>
      <c r="K40" s="2">
        <v>0</v>
      </c>
      <c r="L40" s="2">
        <v>1.1439999999999999</v>
      </c>
      <c r="M40" s="2">
        <v>2</v>
      </c>
    </row>
    <row r="41" spans="1:15" ht="14.25" customHeight="1">
      <c r="A41" s="2">
        <v>39</v>
      </c>
      <c r="B41" s="2">
        <v>40</v>
      </c>
      <c r="C41" s="2">
        <v>7</v>
      </c>
      <c r="D41" s="2">
        <v>0</v>
      </c>
      <c r="E41" s="2">
        <v>1.1439999999999999</v>
      </c>
      <c r="F41" s="2">
        <v>2</v>
      </c>
      <c r="H41" s="2">
        <v>39</v>
      </c>
      <c r="I41" s="2">
        <v>41</v>
      </c>
      <c r="J41" s="2">
        <v>5</v>
      </c>
      <c r="K41" s="2">
        <v>0</v>
      </c>
      <c r="L41" s="2">
        <v>1.25</v>
      </c>
      <c r="M41" s="2">
        <v>1</v>
      </c>
    </row>
    <row r="42" spans="1:15" ht="14.25" customHeight="1">
      <c r="A42" s="2">
        <v>39</v>
      </c>
      <c r="B42" s="2">
        <v>41</v>
      </c>
      <c r="C42" s="2">
        <v>5</v>
      </c>
      <c r="D42" s="2">
        <v>0</v>
      </c>
      <c r="E42" s="2">
        <v>1.25</v>
      </c>
      <c r="F42" s="2">
        <v>1</v>
      </c>
      <c r="H42" s="2">
        <v>39</v>
      </c>
      <c r="I42" s="2">
        <v>42</v>
      </c>
      <c r="J42" s="2">
        <v>4</v>
      </c>
      <c r="K42" s="2">
        <v>1</v>
      </c>
      <c r="L42" s="2">
        <v>0.86399999999999999</v>
      </c>
      <c r="M42" s="2">
        <v>1</v>
      </c>
    </row>
    <row r="43" spans="1:15" ht="14.25" customHeight="1">
      <c r="A43" s="2">
        <v>39</v>
      </c>
      <c r="B43" s="2">
        <v>42</v>
      </c>
      <c r="C43" s="2">
        <v>4</v>
      </c>
      <c r="D43" s="2">
        <v>1</v>
      </c>
      <c r="E43" s="2">
        <v>0.86399999999999999</v>
      </c>
      <c r="F43" s="2">
        <v>1</v>
      </c>
      <c r="H43" s="2">
        <v>39</v>
      </c>
      <c r="I43" s="2">
        <v>43</v>
      </c>
      <c r="J43" s="2">
        <v>8</v>
      </c>
      <c r="K43" s="2">
        <v>1</v>
      </c>
      <c r="L43" s="2">
        <v>0.752</v>
      </c>
      <c r="M43" s="2">
        <v>1</v>
      </c>
    </row>
    <row r="44" spans="1:15" ht="14.25" customHeight="1">
      <c r="A44" s="2">
        <v>39</v>
      </c>
      <c r="B44" s="2">
        <v>43</v>
      </c>
      <c r="C44" s="2">
        <v>8</v>
      </c>
      <c r="D44" s="2">
        <v>1</v>
      </c>
      <c r="E44" s="2">
        <v>0.752</v>
      </c>
      <c r="F44" s="2">
        <v>1</v>
      </c>
      <c r="H44" s="2">
        <v>39</v>
      </c>
      <c r="I44" s="2">
        <v>44</v>
      </c>
      <c r="J44" s="2">
        <v>7</v>
      </c>
      <c r="K44" s="2">
        <v>0</v>
      </c>
      <c r="L44" s="2">
        <v>0.55400000000000005</v>
      </c>
      <c r="M44" s="2">
        <v>2</v>
      </c>
    </row>
    <row r="45" spans="1:15" ht="14.25" customHeight="1">
      <c r="A45" s="2">
        <v>39</v>
      </c>
      <c r="B45" s="2">
        <v>44</v>
      </c>
      <c r="C45" s="2">
        <v>7</v>
      </c>
      <c r="D45" s="2">
        <v>0</v>
      </c>
      <c r="E45" s="2">
        <v>0.55400000000000005</v>
      </c>
      <c r="F45" s="2">
        <v>2</v>
      </c>
      <c r="H45" s="2">
        <v>39</v>
      </c>
      <c r="I45" s="2">
        <v>45</v>
      </c>
      <c r="J45" s="2">
        <v>3</v>
      </c>
      <c r="K45" s="2">
        <v>0</v>
      </c>
      <c r="L45" s="2">
        <v>1.337</v>
      </c>
      <c r="M45" s="2">
        <v>1</v>
      </c>
    </row>
    <row r="46" spans="1:15" ht="14.25" customHeight="1">
      <c r="A46" s="2">
        <v>39</v>
      </c>
      <c r="B46" s="2">
        <v>45</v>
      </c>
      <c r="C46" s="2">
        <v>3</v>
      </c>
      <c r="D46" s="2">
        <v>0</v>
      </c>
      <c r="E46" s="2">
        <v>1.337</v>
      </c>
      <c r="F46" s="2">
        <v>1</v>
      </c>
      <c r="H46" s="2">
        <v>39</v>
      </c>
      <c r="I46" s="2">
        <v>46</v>
      </c>
      <c r="J46" s="2">
        <v>5</v>
      </c>
      <c r="K46" s="2">
        <v>1</v>
      </c>
      <c r="L46" s="2">
        <v>0.93600000000000005</v>
      </c>
      <c r="M46" s="2">
        <v>2</v>
      </c>
    </row>
    <row r="47" spans="1:15" ht="14.25" customHeight="1">
      <c r="A47" s="2">
        <v>39</v>
      </c>
      <c r="B47" s="2">
        <v>46</v>
      </c>
      <c r="C47" s="2">
        <v>5</v>
      </c>
      <c r="D47" s="2">
        <v>1</v>
      </c>
      <c r="E47" s="2">
        <v>0.93600000000000005</v>
      </c>
      <c r="F47" s="2">
        <v>2</v>
      </c>
      <c r="H47" s="2">
        <v>39</v>
      </c>
      <c r="I47" s="2">
        <v>47</v>
      </c>
      <c r="J47" s="2">
        <v>1</v>
      </c>
      <c r="K47" s="2">
        <v>1</v>
      </c>
      <c r="L47" s="2">
        <v>1.649</v>
      </c>
      <c r="M47" s="2">
        <v>2</v>
      </c>
    </row>
    <row r="48" spans="1:15" ht="14.25" customHeight="1">
      <c r="A48" s="2">
        <v>39</v>
      </c>
      <c r="B48" s="2">
        <v>47</v>
      </c>
      <c r="C48" s="2">
        <v>1</v>
      </c>
      <c r="D48" s="2">
        <v>1</v>
      </c>
      <c r="E48" s="2">
        <v>1.649</v>
      </c>
      <c r="F48" s="2">
        <v>2</v>
      </c>
      <c r="H48" s="2">
        <v>39</v>
      </c>
      <c r="I48" s="2">
        <v>48</v>
      </c>
      <c r="J48" s="2">
        <v>4</v>
      </c>
      <c r="K48" s="2">
        <v>1</v>
      </c>
      <c r="L48" s="2">
        <v>1.224</v>
      </c>
      <c r="M48" s="2">
        <v>1</v>
      </c>
    </row>
    <row r="49" spans="1:13" ht="14.25" customHeight="1">
      <c r="A49" s="2">
        <v>39</v>
      </c>
      <c r="B49" s="2">
        <v>48</v>
      </c>
      <c r="C49" s="2">
        <v>4</v>
      </c>
      <c r="D49" s="2">
        <v>1</v>
      </c>
      <c r="E49" s="2">
        <v>1.224</v>
      </c>
      <c r="F49" s="2">
        <v>1</v>
      </c>
      <c r="H49" s="2">
        <v>39</v>
      </c>
      <c r="I49" s="2">
        <v>49</v>
      </c>
      <c r="J49" s="2">
        <v>6</v>
      </c>
      <c r="K49" s="2">
        <v>1</v>
      </c>
      <c r="L49" s="2">
        <v>0.74399999999999999</v>
      </c>
      <c r="M49" s="2">
        <v>2</v>
      </c>
    </row>
    <row r="50" spans="1:13" ht="14.25" customHeight="1">
      <c r="A50" s="2">
        <v>39</v>
      </c>
      <c r="B50" s="2">
        <v>49</v>
      </c>
      <c r="C50" s="2">
        <v>6</v>
      </c>
      <c r="D50" s="2">
        <v>1</v>
      </c>
      <c r="E50" s="2">
        <v>0.74399999999999999</v>
      </c>
      <c r="F50" s="2">
        <v>2</v>
      </c>
      <c r="H50" s="2">
        <v>39</v>
      </c>
      <c r="I50" s="2">
        <v>50</v>
      </c>
      <c r="J50" s="2">
        <v>8</v>
      </c>
      <c r="K50" s="2">
        <v>1</v>
      </c>
      <c r="L50" s="2">
        <v>0.92100000000000004</v>
      </c>
      <c r="M50" s="2">
        <v>1</v>
      </c>
    </row>
    <row r="51" spans="1:13" ht="14.25" customHeight="1">
      <c r="A51" s="2">
        <v>39</v>
      </c>
      <c r="B51" s="2">
        <v>50</v>
      </c>
      <c r="C51" s="2">
        <v>8</v>
      </c>
      <c r="D51" s="2">
        <v>1</v>
      </c>
      <c r="E51" s="2">
        <v>0.92100000000000004</v>
      </c>
      <c r="F51" s="2">
        <v>1</v>
      </c>
      <c r="H51" s="2">
        <v>39</v>
      </c>
      <c r="I51" s="2">
        <v>51</v>
      </c>
      <c r="J51" s="2">
        <v>2</v>
      </c>
      <c r="K51" s="2">
        <v>1</v>
      </c>
      <c r="L51" s="2">
        <v>0.98399999999999999</v>
      </c>
      <c r="M51" s="2">
        <v>1</v>
      </c>
    </row>
    <row r="52" spans="1:13" ht="14.25" customHeight="1">
      <c r="A52" s="2">
        <v>39</v>
      </c>
      <c r="B52" s="2">
        <v>51</v>
      </c>
      <c r="C52" s="2">
        <v>2</v>
      </c>
      <c r="D52" s="2">
        <v>1</v>
      </c>
      <c r="E52" s="2">
        <v>0.98399999999999999</v>
      </c>
      <c r="F52" s="2">
        <v>1</v>
      </c>
      <c r="H52" s="2">
        <v>39</v>
      </c>
      <c r="I52" s="2">
        <v>52</v>
      </c>
      <c r="J52" s="2">
        <v>4</v>
      </c>
      <c r="K52" s="2">
        <v>1</v>
      </c>
      <c r="L52" s="2">
        <v>1.369</v>
      </c>
      <c r="M52" s="2">
        <v>1</v>
      </c>
    </row>
    <row r="53" spans="1:13" ht="14.25" customHeight="1">
      <c r="A53" s="2">
        <v>39</v>
      </c>
      <c r="B53" s="2">
        <v>52</v>
      </c>
      <c r="C53" s="2">
        <v>4</v>
      </c>
      <c r="D53" s="2">
        <v>1</v>
      </c>
      <c r="E53" s="2">
        <v>1.369</v>
      </c>
      <c r="F53" s="2">
        <v>1</v>
      </c>
      <c r="H53" s="2">
        <v>39</v>
      </c>
      <c r="I53" s="2">
        <v>53</v>
      </c>
      <c r="J53" s="2">
        <v>6</v>
      </c>
      <c r="K53" s="2">
        <v>0</v>
      </c>
      <c r="L53" s="2">
        <v>0.74099999999999999</v>
      </c>
      <c r="M53" s="2">
        <v>2</v>
      </c>
    </row>
    <row r="54" spans="1:13" ht="14.25" customHeight="1">
      <c r="A54" s="2">
        <v>39</v>
      </c>
      <c r="B54" s="2">
        <v>53</v>
      </c>
      <c r="C54" s="2">
        <v>6</v>
      </c>
      <c r="D54" s="2">
        <v>0</v>
      </c>
      <c r="E54" s="2">
        <v>0.74099999999999999</v>
      </c>
      <c r="F54" s="2">
        <v>2</v>
      </c>
      <c r="H54" s="2">
        <v>39</v>
      </c>
      <c r="I54" s="2">
        <v>54</v>
      </c>
      <c r="J54" s="2">
        <v>1</v>
      </c>
      <c r="K54" s="2">
        <v>1</v>
      </c>
      <c r="L54" s="2">
        <v>0.89</v>
      </c>
      <c r="M54" s="2">
        <v>1</v>
      </c>
    </row>
    <row r="55" spans="1:13" ht="14.25" customHeight="1">
      <c r="A55" s="2">
        <v>39</v>
      </c>
      <c r="B55" s="2">
        <v>54</v>
      </c>
      <c r="C55" s="2">
        <v>1</v>
      </c>
      <c r="D55" s="2">
        <v>1</v>
      </c>
      <c r="E55" s="2">
        <v>0.89</v>
      </c>
      <c r="F55" s="2">
        <v>1</v>
      </c>
      <c r="H55" s="2">
        <v>39</v>
      </c>
      <c r="I55" s="2">
        <v>55</v>
      </c>
      <c r="J55" s="2">
        <v>7</v>
      </c>
      <c r="K55" s="2">
        <v>1</v>
      </c>
      <c r="L55" s="2">
        <v>1.4179999999999999</v>
      </c>
      <c r="M55" s="2">
        <v>1</v>
      </c>
    </row>
    <row r="56" spans="1:13" ht="14.25" customHeight="1">
      <c r="A56" s="2">
        <v>39</v>
      </c>
      <c r="B56" s="2">
        <v>55</v>
      </c>
      <c r="C56" s="2">
        <v>7</v>
      </c>
      <c r="D56" s="2">
        <v>1</v>
      </c>
      <c r="E56" s="2">
        <v>1.4179999999999999</v>
      </c>
      <c r="F56" s="2">
        <v>1</v>
      </c>
      <c r="H56" s="2">
        <v>39</v>
      </c>
      <c r="I56" s="2">
        <v>56</v>
      </c>
      <c r="J56" s="2">
        <v>2</v>
      </c>
      <c r="K56" s="2">
        <v>1</v>
      </c>
      <c r="L56" s="2">
        <v>1.274</v>
      </c>
      <c r="M56" s="2">
        <v>2</v>
      </c>
    </row>
    <row r="57" spans="1:13" ht="14.25" customHeight="1">
      <c r="A57" s="2">
        <v>39</v>
      </c>
      <c r="B57" s="2">
        <v>56</v>
      </c>
      <c r="C57" s="2">
        <v>2</v>
      </c>
      <c r="D57" s="2">
        <v>1</v>
      </c>
      <c r="E57" s="2">
        <v>1.274</v>
      </c>
      <c r="F57" s="2">
        <v>2</v>
      </c>
      <c r="H57" s="2">
        <v>39</v>
      </c>
      <c r="I57" s="2">
        <v>57</v>
      </c>
      <c r="J57" s="2">
        <v>8</v>
      </c>
      <c r="K57" s="2">
        <v>0</v>
      </c>
      <c r="L57" s="2">
        <v>1.0409999999999999</v>
      </c>
      <c r="M57" s="2">
        <v>2</v>
      </c>
    </row>
    <row r="58" spans="1:13" ht="14.25" customHeight="1">
      <c r="A58" s="2">
        <v>39</v>
      </c>
      <c r="B58" s="2">
        <v>57</v>
      </c>
      <c r="C58" s="2">
        <v>8</v>
      </c>
      <c r="D58" s="2">
        <v>0</v>
      </c>
      <c r="E58" s="2">
        <v>1.0409999999999999</v>
      </c>
      <c r="F58" s="2">
        <v>2</v>
      </c>
      <c r="H58" s="2">
        <v>39</v>
      </c>
      <c r="I58" s="2">
        <v>58</v>
      </c>
      <c r="J58" s="2">
        <v>1</v>
      </c>
      <c r="K58" s="2">
        <v>1</v>
      </c>
      <c r="L58" s="2">
        <v>1.6180000000000001</v>
      </c>
      <c r="M58" s="2">
        <v>1</v>
      </c>
    </row>
    <row r="59" spans="1:13" ht="14.25" customHeight="1">
      <c r="A59" s="2">
        <v>39</v>
      </c>
      <c r="B59" s="2">
        <v>58</v>
      </c>
      <c r="C59" s="2">
        <v>1</v>
      </c>
      <c r="D59" s="2">
        <v>1</v>
      </c>
      <c r="E59" s="2">
        <v>1.6180000000000001</v>
      </c>
      <c r="F59" s="2">
        <v>1</v>
      </c>
      <c r="H59" s="2">
        <v>39</v>
      </c>
      <c r="I59" s="2">
        <v>59</v>
      </c>
      <c r="J59" s="2">
        <v>4</v>
      </c>
      <c r="K59" s="2">
        <v>1</v>
      </c>
      <c r="L59" s="2">
        <v>1.119</v>
      </c>
      <c r="M59" s="2">
        <v>1</v>
      </c>
    </row>
    <row r="60" spans="1:13" ht="14.25" customHeight="1">
      <c r="A60" s="2">
        <v>39</v>
      </c>
      <c r="B60" s="2">
        <v>59</v>
      </c>
      <c r="C60" s="2">
        <v>4</v>
      </c>
      <c r="D60" s="2">
        <v>1</v>
      </c>
      <c r="E60" s="2">
        <v>1.119</v>
      </c>
      <c r="F60" s="2">
        <v>1</v>
      </c>
      <c r="H60" s="2">
        <v>39</v>
      </c>
      <c r="I60" s="2">
        <v>60</v>
      </c>
      <c r="J60" s="2">
        <v>6</v>
      </c>
      <c r="K60" s="2">
        <v>0</v>
      </c>
      <c r="L60" s="2">
        <v>1.7569999999999999</v>
      </c>
      <c r="M60" s="2">
        <v>2</v>
      </c>
    </row>
    <row r="61" spans="1:13" ht="14.25" customHeight="1">
      <c r="A61" s="2">
        <v>39</v>
      </c>
      <c r="B61" s="2">
        <v>60</v>
      </c>
      <c r="C61" s="2">
        <v>6</v>
      </c>
      <c r="D61" s="2">
        <v>0</v>
      </c>
      <c r="E61" s="2">
        <v>1.7569999999999999</v>
      </c>
      <c r="F61" s="2">
        <v>2</v>
      </c>
      <c r="H61" s="2">
        <v>39</v>
      </c>
      <c r="I61" s="2">
        <v>61</v>
      </c>
      <c r="J61" s="2">
        <v>3</v>
      </c>
      <c r="K61" s="2">
        <v>1</v>
      </c>
      <c r="L61" s="2">
        <v>1.573</v>
      </c>
      <c r="M61" s="2">
        <v>2</v>
      </c>
    </row>
    <row r="62" spans="1:13" ht="14.25" customHeight="1">
      <c r="A62" s="2">
        <v>39</v>
      </c>
      <c r="B62" s="2">
        <v>61</v>
      </c>
      <c r="C62" s="2">
        <v>3</v>
      </c>
      <c r="D62" s="2">
        <v>1</v>
      </c>
      <c r="E62" s="2">
        <v>1.573</v>
      </c>
      <c r="F62" s="2">
        <v>2</v>
      </c>
      <c r="H62" s="2">
        <v>39</v>
      </c>
      <c r="I62" s="2">
        <v>62</v>
      </c>
      <c r="J62" s="2">
        <v>6</v>
      </c>
      <c r="K62" s="2">
        <v>1</v>
      </c>
      <c r="L62" s="2">
        <v>1.337</v>
      </c>
      <c r="M62" s="2">
        <v>2</v>
      </c>
    </row>
    <row r="63" spans="1:13" ht="14.25" customHeight="1">
      <c r="A63" s="2">
        <v>39</v>
      </c>
      <c r="B63" s="2">
        <v>62</v>
      </c>
      <c r="C63" s="2">
        <v>6</v>
      </c>
      <c r="D63" s="2">
        <v>1</v>
      </c>
      <c r="E63" s="2">
        <v>1.337</v>
      </c>
      <c r="F63" s="2">
        <v>2</v>
      </c>
      <c r="H63" s="2">
        <v>39</v>
      </c>
      <c r="I63" s="2">
        <v>63</v>
      </c>
      <c r="J63" s="2">
        <v>2</v>
      </c>
      <c r="K63" s="2">
        <v>1</v>
      </c>
      <c r="L63" s="2">
        <v>1.4730000000000001</v>
      </c>
      <c r="M63" s="2">
        <v>2</v>
      </c>
    </row>
    <row r="64" spans="1:13" ht="14.25" customHeight="1">
      <c r="A64" s="2">
        <v>39</v>
      </c>
      <c r="B64" s="2">
        <v>63</v>
      </c>
      <c r="C64" s="2">
        <v>2</v>
      </c>
      <c r="D64" s="2">
        <v>1</v>
      </c>
      <c r="E64" s="2">
        <v>1.4730000000000001</v>
      </c>
      <c r="F64" s="2">
        <v>2</v>
      </c>
      <c r="H64" s="2">
        <v>39</v>
      </c>
      <c r="I64" s="2">
        <v>64</v>
      </c>
      <c r="J64" s="2">
        <v>4</v>
      </c>
      <c r="K64" s="2">
        <v>0</v>
      </c>
      <c r="L64" s="2">
        <v>1.5309999999999999</v>
      </c>
      <c r="M64" s="2">
        <v>2</v>
      </c>
    </row>
    <row r="65" spans="1:13" ht="14.25" customHeight="1">
      <c r="A65" s="2">
        <v>39</v>
      </c>
      <c r="B65" s="2">
        <v>64</v>
      </c>
      <c r="C65" s="2">
        <v>4</v>
      </c>
      <c r="D65" s="2">
        <v>0</v>
      </c>
      <c r="E65" s="2">
        <v>1.5309999999999999</v>
      </c>
      <c r="F65" s="2">
        <v>2</v>
      </c>
      <c r="H65" s="2">
        <v>39</v>
      </c>
      <c r="I65" s="2">
        <v>65</v>
      </c>
      <c r="J65" s="2">
        <v>5</v>
      </c>
      <c r="K65" s="2">
        <v>1</v>
      </c>
      <c r="L65" s="2">
        <v>1.3129999999999999</v>
      </c>
      <c r="M65" s="2">
        <v>2</v>
      </c>
    </row>
    <row r="66" spans="1:13" ht="14.25" customHeight="1">
      <c r="A66" s="2">
        <v>39</v>
      </c>
      <c r="B66" s="2">
        <v>65</v>
      </c>
      <c r="C66" s="2">
        <v>5</v>
      </c>
      <c r="D66" s="2">
        <v>1</v>
      </c>
      <c r="E66" s="2">
        <v>1.3129999999999999</v>
      </c>
      <c r="F66" s="2">
        <v>2</v>
      </c>
      <c r="H66" s="2">
        <v>39</v>
      </c>
      <c r="I66" s="2">
        <v>66</v>
      </c>
      <c r="J66" s="2">
        <v>8</v>
      </c>
      <c r="K66" s="2">
        <v>1</v>
      </c>
      <c r="L66" s="2">
        <v>1.577</v>
      </c>
      <c r="M66" s="2">
        <v>2</v>
      </c>
    </row>
    <row r="67" spans="1:13" ht="14.25" customHeight="1">
      <c r="A67" s="2">
        <v>39</v>
      </c>
      <c r="B67" s="2">
        <v>66</v>
      </c>
      <c r="C67" s="2">
        <v>8</v>
      </c>
      <c r="D67" s="2">
        <v>1</v>
      </c>
      <c r="E67" s="2">
        <v>1.577</v>
      </c>
      <c r="F67" s="2">
        <v>2</v>
      </c>
      <c r="H67" s="2">
        <v>39</v>
      </c>
      <c r="I67" s="2">
        <v>67</v>
      </c>
      <c r="J67" s="2">
        <v>7</v>
      </c>
      <c r="K67" s="2">
        <v>1</v>
      </c>
      <c r="L67" s="2">
        <v>1.2729999999999999</v>
      </c>
      <c r="M67" s="2">
        <v>2</v>
      </c>
    </row>
    <row r="68" spans="1:13" ht="14.25" customHeight="1">
      <c r="A68" s="2">
        <v>39</v>
      </c>
      <c r="B68" s="2">
        <v>67</v>
      </c>
      <c r="C68" s="2">
        <v>7</v>
      </c>
      <c r="D68" s="2">
        <v>1</v>
      </c>
      <c r="E68" s="2">
        <v>1.2729999999999999</v>
      </c>
      <c r="F68" s="2">
        <v>2</v>
      </c>
      <c r="H68" s="2">
        <v>39</v>
      </c>
      <c r="I68" s="2">
        <v>68</v>
      </c>
      <c r="J68" s="2">
        <v>4</v>
      </c>
      <c r="K68" s="2">
        <v>1</v>
      </c>
      <c r="L68" s="2">
        <v>1.4319999999999999</v>
      </c>
      <c r="M68" s="2">
        <v>2</v>
      </c>
    </row>
    <row r="69" spans="1:13" ht="14.25" customHeight="1">
      <c r="A69" s="2">
        <v>39</v>
      </c>
      <c r="B69" s="2">
        <v>68</v>
      </c>
      <c r="C69" s="2">
        <v>4</v>
      </c>
      <c r="D69" s="2">
        <v>1</v>
      </c>
      <c r="E69" s="2">
        <v>1.4319999999999999</v>
      </c>
      <c r="F69" s="2">
        <v>2</v>
      </c>
      <c r="H69" s="2">
        <v>39</v>
      </c>
      <c r="I69" s="2">
        <v>69</v>
      </c>
      <c r="J69" s="2">
        <v>7</v>
      </c>
      <c r="K69" s="2">
        <v>1</v>
      </c>
      <c r="L69" s="2">
        <v>1.333</v>
      </c>
      <c r="M69" s="2">
        <v>1</v>
      </c>
    </row>
    <row r="70" spans="1:13" ht="14.25" customHeight="1">
      <c r="A70" s="2">
        <v>39</v>
      </c>
      <c r="B70" s="2">
        <v>69</v>
      </c>
      <c r="C70" s="2">
        <v>7</v>
      </c>
      <c r="D70" s="2">
        <v>1</v>
      </c>
      <c r="E70" s="2">
        <v>1.333</v>
      </c>
      <c r="F70" s="2">
        <v>1</v>
      </c>
      <c r="H70" s="2">
        <v>39</v>
      </c>
      <c r="I70" s="2">
        <v>70</v>
      </c>
      <c r="J70" s="2">
        <v>3</v>
      </c>
      <c r="K70" s="2">
        <v>0</v>
      </c>
      <c r="L70" s="2">
        <v>1.2270000000000001</v>
      </c>
      <c r="M70" s="2">
        <v>2</v>
      </c>
    </row>
    <row r="71" spans="1:13" ht="14.25" customHeight="1">
      <c r="A71" s="2">
        <v>39</v>
      </c>
      <c r="B71" s="2">
        <v>70</v>
      </c>
      <c r="C71" s="2">
        <v>3</v>
      </c>
      <c r="D71" s="2">
        <v>0</v>
      </c>
      <c r="E71" s="2">
        <v>1.2270000000000001</v>
      </c>
      <c r="F71" s="2">
        <v>2</v>
      </c>
      <c r="H71" s="2">
        <v>39</v>
      </c>
      <c r="I71" s="2">
        <v>71</v>
      </c>
      <c r="J71" s="2">
        <v>8</v>
      </c>
      <c r="K71" s="2">
        <v>1</v>
      </c>
      <c r="L71" s="2">
        <v>1.296</v>
      </c>
      <c r="M71" s="2">
        <v>2</v>
      </c>
    </row>
    <row r="72" spans="1:13" ht="14.25" customHeight="1">
      <c r="A72" s="2">
        <v>39</v>
      </c>
      <c r="B72" s="2">
        <v>71</v>
      </c>
      <c r="C72" s="2">
        <v>8</v>
      </c>
      <c r="D72" s="2">
        <v>1</v>
      </c>
      <c r="E72" s="2">
        <v>1.296</v>
      </c>
      <c r="F72" s="2">
        <v>2</v>
      </c>
      <c r="H72" s="2">
        <v>39</v>
      </c>
      <c r="I72" s="2">
        <v>72</v>
      </c>
      <c r="J72" s="2">
        <v>7</v>
      </c>
      <c r="K72" s="2">
        <v>1</v>
      </c>
      <c r="L72" s="2">
        <v>1.496</v>
      </c>
      <c r="M72" s="2">
        <v>1</v>
      </c>
    </row>
    <row r="73" spans="1:13" ht="14.25" customHeight="1">
      <c r="A73" s="2">
        <v>39</v>
      </c>
      <c r="B73" s="2">
        <v>72</v>
      </c>
      <c r="C73" s="2">
        <v>7</v>
      </c>
      <c r="D73" s="2">
        <v>1</v>
      </c>
      <c r="E73" s="2">
        <v>1.496</v>
      </c>
      <c r="F73" s="2">
        <v>1</v>
      </c>
      <c r="H73" s="2">
        <v>39</v>
      </c>
      <c r="I73" s="2">
        <v>73</v>
      </c>
      <c r="J73" s="2">
        <v>5</v>
      </c>
      <c r="K73" s="2">
        <v>1</v>
      </c>
      <c r="L73" s="2">
        <v>1.18</v>
      </c>
      <c r="M73" s="2">
        <v>2</v>
      </c>
    </row>
    <row r="74" spans="1:13" ht="14.25" customHeight="1">
      <c r="A74" s="2">
        <v>39</v>
      </c>
      <c r="B74" s="2">
        <v>73</v>
      </c>
      <c r="C74" s="2">
        <v>5</v>
      </c>
      <c r="D74" s="2">
        <v>1</v>
      </c>
      <c r="E74" s="2">
        <v>1.18</v>
      </c>
      <c r="F74" s="2">
        <v>2</v>
      </c>
      <c r="H74" s="2">
        <v>39</v>
      </c>
      <c r="I74" s="2">
        <v>74</v>
      </c>
      <c r="J74" s="2">
        <v>6</v>
      </c>
      <c r="K74" s="2">
        <v>0</v>
      </c>
      <c r="L74" s="2">
        <v>1.5649999999999999</v>
      </c>
      <c r="M74" s="2">
        <v>1</v>
      </c>
    </row>
    <row r="75" spans="1:13" ht="14.25" customHeight="1">
      <c r="A75" s="2">
        <v>39</v>
      </c>
      <c r="B75" s="2">
        <v>74</v>
      </c>
      <c r="C75" s="2">
        <v>6</v>
      </c>
      <c r="D75" s="2">
        <v>0</v>
      </c>
      <c r="E75" s="2">
        <v>1.5649999999999999</v>
      </c>
      <c r="F75" s="2">
        <v>1</v>
      </c>
      <c r="H75" s="2">
        <v>39</v>
      </c>
      <c r="I75" s="2">
        <v>75</v>
      </c>
      <c r="J75" s="2">
        <v>8</v>
      </c>
      <c r="K75" s="2">
        <v>1</v>
      </c>
      <c r="L75" s="2">
        <v>0.96399999999999997</v>
      </c>
      <c r="M75" s="2">
        <v>2</v>
      </c>
    </row>
    <row r="76" spans="1:13" ht="14.25" customHeight="1">
      <c r="A76" s="2">
        <v>39</v>
      </c>
      <c r="B76" s="2">
        <v>75</v>
      </c>
      <c r="C76" s="2">
        <v>8</v>
      </c>
      <c r="D76" s="2">
        <v>1</v>
      </c>
      <c r="E76" s="2">
        <v>0.96399999999999997</v>
      </c>
      <c r="F76" s="2">
        <v>2</v>
      </c>
      <c r="H76" s="2">
        <v>39</v>
      </c>
      <c r="I76" s="2">
        <v>76</v>
      </c>
      <c r="J76" s="2">
        <v>5</v>
      </c>
      <c r="K76" s="2">
        <v>1</v>
      </c>
      <c r="L76" s="2">
        <v>1.0089999999999999</v>
      </c>
      <c r="M76" s="2">
        <v>2</v>
      </c>
    </row>
    <row r="77" spans="1:13" ht="14.25" customHeight="1">
      <c r="A77" s="2">
        <v>39</v>
      </c>
      <c r="B77" s="2">
        <v>76</v>
      </c>
      <c r="C77" s="2">
        <v>5</v>
      </c>
      <c r="D77" s="2">
        <v>1</v>
      </c>
      <c r="E77" s="2">
        <v>1.0089999999999999</v>
      </c>
      <c r="F77" s="2">
        <v>2</v>
      </c>
      <c r="H77" s="2">
        <v>39</v>
      </c>
      <c r="I77" s="2">
        <v>77</v>
      </c>
      <c r="J77" s="2">
        <v>4</v>
      </c>
      <c r="K77" s="2">
        <v>0</v>
      </c>
      <c r="L77" s="2">
        <v>1.4730000000000001</v>
      </c>
      <c r="M77" s="2">
        <v>2</v>
      </c>
    </row>
    <row r="78" spans="1:13" ht="14.25" customHeight="1">
      <c r="A78" s="2">
        <v>39</v>
      </c>
      <c r="B78" s="2">
        <v>77</v>
      </c>
      <c r="C78" s="2">
        <v>4</v>
      </c>
      <c r="D78" s="2">
        <v>0</v>
      </c>
      <c r="E78" s="2">
        <v>1.4730000000000001</v>
      </c>
      <c r="F78" s="2">
        <v>2</v>
      </c>
      <c r="H78" s="2">
        <v>39</v>
      </c>
      <c r="I78" s="2">
        <v>78</v>
      </c>
      <c r="J78" s="2">
        <v>1</v>
      </c>
      <c r="K78" s="2">
        <v>1</v>
      </c>
      <c r="L78" s="2">
        <v>1.363</v>
      </c>
      <c r="M78" s="2">
        <v>1</v>
      </c>
    </row>
    <row r="79" spans="1:13" ht="14.25" customHeight="1">
      <c r="A79" s="2">
        <v>39</v>
      </c>
      <c r="B79" s="2">
        <v>78</v>
      </c>
      <c r="C79" s="2">
        <v>1</v>
      </c>
      <c r="D79" s="2">
        <v>1</v>
      </c>
      <c r="E79" s="2">
        <v>1.363</v>
      </c>
      <c r="F79" s="2">
        <v>1</v>
      </c>
      <c r="H79" s="2">
        <v>39</v>
      </c>
      <c r="I79" s="2">
        <v>79</v>
      </c>
      <c r="J79" s="2">
        <v>2</v>
      </c>
      <c r="K79" s="2">
        <v>0</v>
      </c>
      <c r="L79" s="2">
        <v>1.6220000000000001</v>
      </c>
      <c r="M79" s="2">
        <v>1</v>
      </c>
    </row>
    <row r="80" spans="1:13" ht="14.25" customHeight="1">
      <c r="A80" s="2">
        <v>39</v>
      </c>
      <c r="B80" s="2">
        <v>79</v>
      </c>
      <c r="C80" s="2">
        <v>2</v>
      </c>
      <c r="D80" s="2">
        <v>0</v>
      </c>
      <c r="E80" s="2">
        <v>1.6220000000000001</v>
      </c>
      <c r="F80" s="2">
        <v>1</v>
      </c>
      <c r="H80" s="2">
        <v>39</v>
      </c>
      <c r="I80" s="2">
        <v>80</v>
      </c>
      <c r="J80" s="2">
        <v>7</v>
      </c>
      <c r="K80" s="2">
        <v>0</v>
      </c>
      <c r="L80" s="2">
        <v>1.266</v>
      </c>
      <c r="M80" s="2">
        <v>1</v>
      </c>
    </row>
    <row r="81" spans="1:13" ht="14.25" customHeight="1">
      <c r="A81" s="2">
        <v>39</v>
      </c>
      <c r="B81" s="2">
        <v>80</v>
      </c>
      <c r="C81" s="2">
        <v>7</v>
      </c>
      <c r="D81" s="2">
        <v>0</v>
      </c>
      <c r="E81" s="2">
        <v>1.266</v>
      </c>
      <c r="F81" s="2">
        <v>1</v>
      </c>
      <c r="H81" s="2">
        <v>39</v>
      </c>
      <c r="I81" s="2">
        <v>81</v>
      </c>
      <c r="J81" s="2">
        <v>8</v>
      </c>
      <c r="K81" s="2">
        <v>1</v>
      </c>
      <c r="L81" s="2">
        <v>1.4059999999999999</v>
      </c>
      <c r="M81" s="2">
        <v>2</v>
      </c>
    </row>
    <row r="82" spans="1:13" ht="14.25" customHeight="1">
      <c r="A82" s="2">
        <v>39</v>
      </c>
      <c r="B82" s="2">
        <v>81</v>
      </c>
      <c r="C82" s="2">
        <v>8</v>
      </c>
      <c r="D82" s="2">
        <v>1</v>
      </c>
      <c r="E82" s="2">
        <v>1.4059999999999999</v>
      </c>
      <c r="F82" s="2">
        <v>2</v>
      </c>
      <c r="H82" s="2">
        <v>39</v>
      </c>
      <c r="I82" s="2">
        <v>82</v>
      </c>
      <c r="J82" s="2">
        <v>4</v>
      </c>
      <c r="K82" s="2">
        <v>1</v>
      </c>
      <c r="L82" s="2">
        <v>1.0089999999999999</v>
      </c>
      <c r="M82" s="2">
        <v>2</v>
      </c>
    </row>
    <row r="83" spans="1:13" ht="14.25" customHeight="1">
      <c r="A83" s="2">
        <v>39</v>
      </c>
      <c r="B83" s="2">
        <v>82</v>
      </c>
      <c r="C83" s="2">
        <v>4</v>
      </c>
      <c r="D83" s="2">
        <v>1</v>
      </c>
      <c r="E83" s="2">
        <v>1.0089999999999999</v>
      </c>
      <c r="F83" s="2">
        <v>2</v>
      </c>
      <c r="H83" s="2">
        <v>39</v>
      </c>
      <c r="I83" s="2">
        <v>83</v>
      </c>
      <c r="J83" s="2">
        <v>3</v>
      </c>
      <c r="K83" s="2">
        <v>1</v>
      </c>
      <c r="L83" s="2">
        <v>1.7350000000000001</v>
      </c>
      <c r="M83" s="2">
        <v>1</v>
      </c>
    </row>
    <row r="84" spans="1:13" ht="14.25" customHeight="1">
      <c r="A84" s="2">
        <v>39</v>
      </c>
      <c r="B84" s="2">
        <v>83</v>
      </c>
      <c r="C84" s="2">
        <v>3</v>
      </c>
      <c r="D84" s="2">
        <v>1</v>
      </c>
      <c r="E84" s="2">
        <v>1.7350000000000001</v>
      </c>
      <c r="F84" s="2">
        <v>1</v>
      </c>
      <c r="H84" s="2">
        <v>39</v>
      </c>
      <c r="I84" s="2">
        <v>84</v>
      </c>
      <c r="J84" s="2">
        <v>4</v>
      </c>
      <c r="L84" s="2">
        <v>2.0009999999999999</v>
      </c>
    </row>
    <row r="85" spans="1:13" ht="14.25" customHeight="1">
      <c r="A85" s="2">
        <v>39</v>
      </c>
      <c r="B85" s="2">
        <v>84</v>
      </c>
      <c r="C85" s="2">
        <v>4</v>
      </c>
      <c r="E85" s="2">
        <v>2.0009999999999999</v>
      </c>
      <c r="H85" s="2">
        <v>39</v>
      </c>
      <c r="I85" s="2">
        <v>85</v>
      </c>
      <c r="J85" s="2">
        <v>6</v>
      </c>
      <c r="K85" s="2">
        <v>1</v>
      </c>
      <c r="L85" s="2">
        <v>0.91200000000000003</v>
      </c>
      <c r="M85" s="2">
        <v>2</v>
      </c>
    </row>
    <row r="86" spans="1:13" ht="14.25" customHeight="1">
      <c r="A86" s="2">
        <v>39</v>
      </c>
      <c r="B86" s="2">
        <v>85</v>
      </c>
      <c r="C86" s="2">
        <v>6</v>
      </c>
      <c r="D86" s="2">
        <v>1</v>
      </c>
      <c r="E86" s="2">
        <v>0.91200000000000003</v>
      </c>
      <c r="F86" s="2">
        <v>2</v>
      </c>
      <c r="H86" s="2">
        <v>39</v>
      </c>
      <c r="I86" s="2">
        <v>86</v>
      </c>
      <c r="J86" s="2">
        <v>5</v>
      </c>
      <c r="K86" s="2">
        <v>1</v>
      </c>
      <c r="L86" s="2">
        <v>0.89500000000000002</v>
      </c>
      <c r="M86" s="2">
        <v>1</v>
      </c>
    </row>
    <row r="87" spans="1:13" ht="14.25" customHeight="1">
      <c r="A87" s="2">
        <v>39</v>
      </c>
      <c r="B87" s="2">
        <v>86</v>
      </c>
      <c r="C87" s="2">
        <v>5</v>
      </c>
      <c r="D87" s="2">
        <v>1</v>
      </c>
      <c r="E87" s="2">
        <v>0.89500000000000002</v>
      </c>
      <c r="F87" s="2">
        <v>1</v>
      </c>
      <c r="H87" s="2">
        <v>39</v>
      </c>
      <c r="I87" s="2">
        <v>87</v>
      </c>
      <c r="J87" s="2">
        <v>1</v>
      </c>
      <c r="K87" s="2">
        <v>0</v>
      </c>
      <c r="L87" s="2">
        <v>1.071</v>
      </c>
      <c r="M87" s="2">
        <v>2</v>
      </c>
    </row>
    <row r="88" spans="1:13" ht="14.25" customHeight="1">
      <c r="A88" s="2">
        <v>39</v>
      </c>
      <c r="B88" s="2">
        <v>87</v>
      </c>
      <c r="C88" s="2">
        <v>1</v>
      </c>
      <c r="D88" s="2">
        <v>0</v>
      </c>
      <c r="E88" s="2">
        <v>1.071</v>
      </c>
      <c r="F88" s="2">
        <v>2</v>
      </c>
      <c r="H88" s="2">
        <v>39</v>
      </c>
      <c r="I88" s="2">
        <v>88</v>
      </c>
      <c r="J88" s="2">
        <v>3</v>
      </c>
      <c r="K88" s="2">
        <v>1</v>
      </c>
      <c r="L88" s="2">
        <v>0.80800000000000005</v>
      </c>
      <c r="M88" s="2">
        <v>1</v>
      </c>
    </row>
    <row r="89" spans="1:13" ht="14.25" customHeight="1">
      <c r="A89" s="2">
        <v>39</v>
      </c>
      <c r="B89" s="2">
        <v>88</v>
      </c>
      <c r="C89" s="2">
        <v>3</v>
      </c>
      <c r="D89" s="2">
        <v>1</v>
      </c>
      <c r="E89" s="2">
        <v>0.80800000000000005</v>
      </c>
      <c r="F89" s="2">
        <v>1</v>
      </c>
      <c r="H89" s="2">
        <v>39</v>
      </c>
      <c r="I89" s="2">
        <v>89</v>
      </c>
      <c r="J89" s="2">
        <v>8</v>
      </c>
      <c r="K89" s="2">
        <v>1</v>
      </c>
      <c r="L89" s="2">
        <v>0.89600000000000002</v>
      </c>
      <c r="M89" s="2">
        <v>1</v>
      </c>
    </row>
    <row r="90" spans="1:13" ht="14.25" customHeight="1">
      <c r="A90" s="2">
        <v>39</v>
      </c>
      <c r="B90" s="2">
        <v>89</v>
      </c>
      <c r="C90" s="2">
        <v>8</v>
      </c>
      <c r="D90" s="2">
        <v>1</v>
      </c>
      <c r="E90" s="2">
        <v>0.89600000000000002</v>
      </c>
      <c r="F90" s="2">
        <v>1</v>
      </c>
      <c r="H90" s="2">
        <v>39</v>
      </c>
      <c r="I90" s="2">
        <v>90</v>
      </c>
      <c r="J90" s="2">
        <v>3</v>
      </c>
      <c r="K90" s="2">
        <v>1</v>
      </c>
      <c r="L90" s="2">
        <v>1.593</v>
      </c>
      <c r="M90" s="2">
        <v>1</v>
      </c>
    </row>
    <row r="91" spans="1:13" ht="14.25" customHeight="1">
      <c r="A91" s="2">
        <v>39</v>
      </c>
      <c r="B91" s="2">
        <v>90</v>
      </c>
      <c r="C91" s="2">
        <v>3</v>
      </c>
      <c r="D91" s="2">
        <v>1</v>
      </c>
      <c r="E91" s="2">
        <v>1.593</v>
      </c>
      <c r="F91" s="2">
        <v>1</v>
      </c>
      <c r="H91" s="2">
        <v>39</v>
      </c>
      <c r="I91" s="2">
        <v>91</v>
      </c>
      <c r="J91" s="2">
        <v>7</v>
      </c>
      <c r="K91" s="2">
        <v>1</v>
      </c>
      <c r="L91" s="2">
        <v>1.3240000000000001</v>
      </c>
      <c r="M91" s="2">
        <v>2</v>
      </c>
    </row>
    <row r="92" spans="1:13" ht="14.25" customHeight="1">
      <c r="A92" s="2">
        <v>39</v>
      </c>
      <c r="B92" s="2">
        <v>91</v>
      </c>
      <c r="C92" s="2">
        <v>7</v>
      </c>
      <c r="D92" s="2">
        <v>1</v>
      </c>
      <c r="E92" s="2">
        <v>1.3240000000000001</v>
      </c>
      <c r="F92" s="2">
        <v>2</v>
      </c>
      <c r="H92" s="2">
        <v>39</v>
      </c>
      <c r="I92" s="2">
        <v>92</v>
      </c>
      <c r="J92" s="2">
        <v>1</v>
      </c>
      <c r="K92" s="2">
        <v>1</v>
      </c>
      <c r="L92" s="2">
        <v>1.5680000000000001</v>
      </c>
      <c r="M92" s="2">
        <v>1</v>
      </c>
    </row>
    <row r="93" spans="1:13" ht="14.25" customHeight="1">
      <c r="A93" s="2">
        <v>39</v>
      </c>
      <c r="B93" s="2">
        <v>92</v>
      </c>
      <c r="C93" s="2">
        <v>1</v>
      </c>
      <c r="D93" s="2">
        <v>1</v>
      </c>
      <c r="E93" s="2">
        <v>1.5680000000000001</v>
      </c>
      <c r="F93" s="2">
        <v>1</v>
      </c>
      <c r="H93" s="2">
        <v>39</v>
      </c>
      <c r="I93" s="2">
        <v>93</v>
      </c>
      <c r="J93" s="2">
        <v>5</v>
      </c>
      <c r="K93" s="2">
        <v>0</v>
      </c>
      <c r="L93" s="2">
        <v>1.633</v>
      </c>
      <c r="M93" s="2">
        <v>2</v>
      </c>
    </row>
    <row r="94" spans="1:13" ht="14.25" customHeight="1">
      <c r="A94" s="2">
        <v>39</v>
      </c>
      <c r="B94" s="2">
        <v>93</v>
      </c>
      <c r="C94" s="2">
        <v>5</v>
      </c>
      <c r="D94" s="2">
        <v>0</v>
      </c>
      <c r="E94" s="2">
        <v>1.633</v>
      </c>
      <c r="F94" s="2">
        <v>2</v>
      </c>
      <c r="H94" s="2">
        <v>39</v>
      </c>
      <c r="I94" s="2">
        <v>94</v>
      </c>
      <c r="J94" s="2">
        <v>6</v>
      </c>
      <c r="K94" s="2">
        <v>0</v>
      </c>
      <c r="L94" s="2">
        <v>1.1140000000000001</v>
      </c>
      <c r="M94" s="2">
        <v>2</v>
      </c>
    </row>
    <row r="95" spans="1:13" ht="14.25" customHeight="1">
      <c r="A95" s="2">
        <v>39</v>
      </c>
      <c r="B95" s="2">
        <v>94</v>
      </c>
      <c r="C95" s="2">
        <v>6</v>
      </c>
      <c r="D95" s="2">
        <v>0</v>
      </c>
      <c r="E95" s="2">
        <v>1.1140000000000001</v>
      </c>
      <c r="F95" s="2">
        <v>2</v>
      </c>
      <c r="H95" s="2">
        <v>39</v>
      </c>
      <c r="I95" s="2">
        <v>95</v>
      </c>
      <c r="J95" s="2">
        <v>5</v>
      </c>
      <c r="K95" s="2">
        <v>0</v>
      </c>
      <c r="L95" s="2">
        <v>1.103</v>
      </c>
      <c r="M95" s="2">
        <v>1</v>
      </c>
    </row>
    <row r="96" spans="1:13" ht="14.25" customHeight="1">
      <c r="A96" s="2">
        <v>39</v>
      </c>
      <c r="B96" s="2">
        <v>95</v>
      </c>
      <c r="C96" s="2">
        <v>5</v>
      </c>
      <c r="D96" s="2">
        <v>0</v>
      </c>
      <c r="E96" s="2">
        <v>1.103</v>
      </c>
      <c r="F96" s="2">
        <v>1</v>
      </c>
      <c r="H96" s="2">
        <v>39</v>
      </c>
      <c r="I96" s="2">
        <v>96</v>
      </c>
      <c r="J96" s="2">
        <v>2</v>
      </c>
      <c r="K96" s="2">
        <v>1</v>
      </c>
      <c r="L96" s="2">
        <v>1.806</v>
      </c>
      <c r="M96" s="2">
        <v>2</v>
      </c>
    </row>
    <row r="97" spans="1:13" ht="14.25" customHeight="1">
      <c r="A97" s="2">
        <v>39</v>
      </c>
      <c r="B97" s="2">
        <v>96</v>
      </c>
      <c r="C97" s="2">
        <v>2</v>
      </c>
      <c r="D97" s="2">
        <v>1</v>
      </c>
      <c r="E97" s="2">
        <v>1.806</v>
      </c>
      <c r="F97" s="2">
        <v>2</v>
      </c>
      <c r="H97" s="2">
        <v>39</v>
      </c>
      <c r="I97" s="2">
        <v>97</v>
      </c>
      <c r="J97" s="2">
        <v>3</v>
      </c>
      <c r="K97" s="2">
        <v>1</v>
      </c>
      <c r="L97" s="2">
        <v>1.2989999999999999</v>
      </c>
      <c r="M97" s="2">
        <v>2</v>
      </c>
    </row>
    <row r="98" spans="1:13" ht="14.25" customHeight="1">
      <c r="A98" s="2">
        <v>39</v>
      </c>
      <c r="B98" s="2">
        <v>97</v>
      </c>
      <c r="C98" s="2">
        <v>3</v>
      </c>
      <c r="D98" s="2">
        <v>1</v>
      </c>
      <c r="E98" s="2">
        <v>1.2989999999999999</v>
      </c>
      <c r="F98" s="2">
        <v>2</v>
      </c>
      <c r="H98" s="2">
        <v>39</v>
      </c>
      <c r="I98" s="2">
        <v>98</v>
      </c>
      <c r="J98" s="2">
        <v>8</v>
      </c>
      <c r="K98" s="2">
        <v>1</v>
      </c>
      <c r="L98" s="2">
        <v>1.284</v>
      </c>
      <c r="M98" s="2">
        <v>1</v>
      </c>
    </row>
    <row r="99" spans="1:13" ht="14.25" customHeight="1">
      <c r="A99" s="2">
        <v>39</v>
      </c>
      <c r="B99" s="2">
        <v>98</v>
      </c>
      <c r="C99" s="2">
        <v>8</v>
      </c>
      <c r="D99" s="2">
        <v>1</v>
      </c>
      <c r="E99" s="2">
        <v>1.284</v>
      </c>
      <c r="F99" s="2">
        <v>1</v>
      </c>
      <c r="H99" s="2">
        <v>39</v>
      </c>
      <c r="I99" s="2">
        <v>99</v>
      </c>
      <c r="J99" s="2">
        <v>1</v>
      </c>
      <c r="K99" s="2">
        <v>0</v>
      </c>
      <c r="L99" s="2">
        <v>1.49</v>
      </c>
      <c r="M99" s="2">
        <v>1</v>
      </c>
    </row>
    <row r="100" spans="1:13" ht="14.25" customHeight="1">
      <c r="A100" s="2">
        <v>39</v>
      </c>
      <c r="B100" s="2">
        <v>99</v>
      </c>
      <c r="C100" s="2">
        <v>1</v>
      </c>
      <c r="D100" s="2">
        <v>0</v>
      </c>
      <c r="E100" s="2">
        <v>1.49</v>
      </c>
      <c r="F100" s="2">
        <v>1</v>
      </c>
      <c r="H100" s="2">
        <v>39</v>
      </c>
      <c r="I100" s="2">
        <v>100</v>
      </c>
      <c r="J100" s="2">
        <v>2</v>
      </c>
      <c r="K100" s="2">
        <v>1</v>
      </c>
      <c r="L100" s="2">
        <v>1.4730000000000001</v>
      </c>
      <c r="M100" s="2">
        <v>1</v>
      </c>
    </row>
    <row r="101" spans="1:13" ht="14.25" customHeight="1">
      <c r="A101" s="2">
        <v>39</v>
      </c>
      <c r="B101" s="2">
        <v>100</v>
      </c>
      <c r="C101" s="2">
        <v>2</v>
      </c>
      <c r="D101" s="2">
        <v>1</v>
      </c>
      <c r="E101" s="2">
        <v>1.4730000000000001</v>
      </c>
      <c r="F101" s="2">
        <v>1</v>
      </c>
    </row>
    <row r="102" spans="1:13" ht="14.25" customHeight="1">
      <c r="A102" s="2">
        <v>39</v>
      </c>
      <c r="B102" s="2">
        <v>101</v>
      </c>
      <c r="C102" s="2">
        <v>7</v>
      </c>
      <c r="D102" s="2">
        <v>1</v>
      </c>
      <c r="E102" s="2">
        <v>1.0720000000000001</v>
      </c>
      <c r="F102" s="2">
        <v>1</v>
      </c>
    </row>
    <row r="103" spans="1:13" ht="14.25" customHeight="1">
      <c r="A103" s="2">
        <v>39</v>
      </c>
      <c r="B103" s="2">
        <v>102</v>
      </c>
      <c r="C103" s="2">
        <v>1</v>
      </c>
      <c r="D103" s="2">
        <v>1</v>
      </c>
      <c r="E103" s="2">
        <v>0.63600000000000001</v>
      </c>
      <c r="F103" s="2">
        <v>1</v>
      </c>
    </row>
    <row r="104" spans="1:13" ht="14.25" customHeight="1">
      <c r="A104" s="2">
        <v>39</v>
      </c>
      <c r="B104" s="2">
        <v>103</v>
      </c>
      <c r="C104" s="2">
        <v>4</v>
      </c>
      <c r="D104" s="2">
        <v>0</v>
      </c>
      <c r="E104" s="2">
        <v>0.90300000000000002</v>
      </c>
      <c r="F104" s="2">
        <v>2</v>
      </c>
    </row>
    <row r="105" spans="1:13" ht="14.25" customHeight="1">
      <c r="A105" s="2">
        <v>39</v>
      </c>
      <c r="B105" s="2">
        <v>104</v>
      </c>
      <c r="C105" s="2">
        <v>1</v>
      </c>
      <c r="D105" s="2">
        <v>1</v>
      </c>
      <c r="E105" s="2">
        <v>0.78400000000000003</v>
      </c>
      <c r="F105" s="2">
        <v>1</v>
      </c>
    </row>
    <row r="106" spans="1:13" ht="14.25" customHeight="1">
      <c r="A106" s="2">
        <v>39</v>
      </c>
      <c r="B106" s="2">
        <v>105</v>
      </c>
      <c r="C106" s="2">
        <v>6</v>
      </c>
      <c r="D106" s="2">
        <v>1</v>
      </c>
      <c r="E106" s="2">
        <v>0.63400000000000001</v>
      </c>
      <c r="F106" s="2">
        <v>1</v>
      </c>
    </row>
    <row r="107" spans="1:13" ht="14.25" customHeight="1">
      <c r="A107" s="2">
        <v>39</v>
      </c>
      <c r="B107" s="2">
        <v>106</v>
      </c>
      <c r="C107" s="2">
        <v>7</v>
      </c>
      <c r="D107" s="2">
        <v>1</v>
      </c>
      <c r="E107" s="2">
        <v>1.218</v>
      </c>
      <c r="F107" s="2">
        <v>2</v>
      </c>
    </row>
    <row r="108" spans="1:13" ht="14.25" customHeight="1">
      <c r="A108" s="2">
        <v>39</v>
      </c>
      <c r="B108" s="2">
        <v>107</v>
      </c>
      <c r="C108" s="2">
        <v>4</v>
      </c>
      <c r="D108" s="2">
        <v>0</v>
      </c>
      <c r="E108" s="2">
        <v>1.4179999999999999</v>
      </c>
      <c r="F108" s="2">
        <v>2</v>
      </c>
    </row>
    <row r="109" spans="1:13" ht="14.25" customHeight="1">
      <c r="A109" s="2">
        <v>39</v>
      </c>
      <c r="B109" s="2">
        <v>108</v>
      </c>
      <c r="C109" s="2">
        <v>8</v>
      </c>
      <c r="D109" s="2">
        <v>0</v>
      </c>
      <c r="E109" s="2">
        <v>1.6639999999999999</v>
      </c>
      <c r="F109" s="2">
        <v>2</v>
      </c>
    </row>
    <row r="110" spans="1:13" ht="14.25" customHeight="1">
      <c r="A110" s="2">
        <v>39</v>
      </c>
      <c r="B110" s="2">
        <v>109</v>
      </c>
      <c r="C110" s="2">
        <v>1</v>
      </c>
      <c r="D110" s="2">
        <v>1</v>
      </c>
      <c r="E110" s="2">
        <v>1.026</v>
      </c>
      <c r="F110" s="2">
        <v>1</v>
      </c>
    </row>
    <row r="111" spans="1:13" ht="14.25" customHeight="1">
      <c r="A111" s="2">
        <v>39</v>
      </c>
      <c r="B111" s="2">
        <v>110</v>
      </c>
      <c r="C111" s="2">
        <v>8</v>
      </c>
      <c r="D111" s="2">
        <v>1</v>
      </c>
      <c r="E111" s="2">
        <v>1.7649999999999999</v>
      </c>
      <c r="F111" s="2">
        <v>1</v>
      </c>
    </row>
    <row r="112" spans="1:13" ht="14.25" customHeight="1">
      <c r="A112" s="2">
        <v>39</v>
      </c>
      <c r="B112" s="2">
        <v>111</v>
      </c>
      <c r="C112" s="2">
        <v>3</v>
      </c>
      <c r="D112" s="2">
        <v>1</v>
      </c>
      <c r="E112" s="2">
        <v>1.2170000000000001</v>
      </c>
      <c r="F112" s="2">
        <v>2</v>
      </c>
    </row>
    <row r="113" spans="1:6" ht="14.25" customHeight="1">
      <c r="A113" s="2">
        <v>39</v>
      </c>
      <c r="B113" s="2">
        <v>112</v>
      </c>
      <c r="C113" s="2">
        <v>4</v>
      </c>
      <c r="D113" s="2">
        <v>1</v>
      </c>
      <c r="E113" s="2">
        <v>1.33</v>
      </c>
      <c r="F113" s="2">
        <v>2</v>
      </c>
    </row>
    <row r="114" spans="1:6" ht="14.25" customHeight="1">
      <c r="A114" s="2">
        <v>39</v>
      </c>
      <c r="B114" s="2">
        <v>113</v>
      </c>
      <c r="C114" s="2">
        <v>2</v>
      </c>
      <c r="D114" s="2">
        <v>1</v>
      </c>
      <c r="E114" s="2">
        <v>1.2170000000000001</v>
      </c>
      <c r="F114" s="2">
        <v>2</v>
      </c>
    </row>
    <row r="115" spans="1:6" ht="14.25" customHeight="1">
      <c r="A115" s="2">
        <v>39</v>
      </c>
      <c r="B115" s="2">
        <v>114</v>
      </c>
      <c r="C115" s="2">
        <v>6</v>
      </c>
      <c r="D115" s="2">
        <v>1</v>
      </c>
      <c r="E115" s="2">
        <v>1.1439999999999999</v>
      </c>
      <c r="F115" s="2">
        <v>1</v>
      </c>
    </row>
    <row r="116" spans="1:6" ht="14.25" customHeight="1">
      <c r="A116" s="2">
        <v>39</v>
      </c>
      <c r="B116" s="2">
        <v>115</v>
      </c>
      <c r="C116" s="2">
        <v>3</v>
      </c>
      <c r="D116" s="2">
        <v>0</v>
      </c>
      <c r="E116" s="2">
        <v>0.89800000000000002</v>
      </c>
      <c r="F116" s="2">
        <v>1</v>
      </c>
    </row>
    <row r="117" spans="1:6" ht="14.25" customHeight="1">
      <c r="A117" s="2">
        <v>39</v>
      </c>
      <c r="B117" s="2">
        <v>116</v>
      </c>
      <c r="C117" s="2">
        <v>2</v>
      </c>
      <c r="D117" s="2">
        <v>1</v>
      </c>
      <c r="E117" s="2">
        <v>1.0640000000000001</v>
      </c>
      <c r="F117" s="2">
        <v>2</v>
      </c>
    </row>
    <row r="118" spans="1:6" ht="14.25" customHeight="1">
      <c r="A118" s="2">
        <v>39</v>
      </c>
      <c r="B118" s="2">
        <v>117</v>
      </c>
      <c r="C118" s="2">
        <v>1</v>
      </c>
      <c r="D118" s="2">
        <v>1</v>
      </c>
      <c r="E118" s="2">
        <v>1.0249999999999999</v>
      </c>
      <c r="F118" s="2">
        <v>2</v>
      </c>
    </row>
    <row r="119" spans="1:6" ht="14.25" customHeight="1">
      <c r="A119" s="2">
        <v>39</v>
      </c>
      <c r="B119" s="2">
        <v>118</v>
      </c>
      <c r="C119" s="2">
        <v>5</v>
      </c>
      <c r="D119" s="2">
        <v>1</v>
      </c>
      <c r="E119" s="2">
        <v>1.274</v>
      </c>
      <c r="F119" s="2">
        <v>2</v>
      </c>
    </row>
    <row r="120" spans="1:6" ht="14.25" customHeight="1">
      <c r="A120" s="2">
        <v>39</v>
      </c>
      <c r="B120" s="2">
        <v>119</v>
      </c>
      <c r="C120" s="2">
        <v>4</v>
      </c>
      <c r="D120" s="2">
        <v>1</v>
      </c>
      <c r="E120" s="2">
        <v>0.78700000000000003</v>
      </c>
      <c r="F120" s="2">
        <v>1</v>
      </c>
    </row>
    <row r="121" spans="1:6" ht="14.25" customHeight="1">
      <c r="A121" s="2">
        <v>39</v>
      </c>
      <c r="B121" s="2">
        <v>120</v>
      </c>
      <c r="C121" s="2">
        <v>7</v>
      </c>
      <c r="D121" s="2">
        <v>1</v>
      </c>
      <c r="E121" s="2">
        <v>1.127</v>
      </c>
      <c r="F121" s="2">
        <v>1</v>
      </c>
    </row>
    <row r="122" spans="1:6" ht="14.25" customHeight="1">
      <c r="A122" s="2">
        <v>39</v>
      </c>
      <c r="B122" s="2">
        <v>121</v>
      </c>
      <c r="C122" s="2">
        <v>3</v>
      </c>
      <c r="D122" s="2">
        <v>1</v>
      </c>
      <c r="E122" s="2">
        <v>0.96799999999999997</v>
      </c>
      <c r="F122" s="2">
        <v>2</v>
      </c>
    </row>
    <row r="123" spans="1:6" ht="14.25" customHeight="1">
      <c r="A123" s="2">
        <v>39</v>
      </c>
      <c r="B123" s="2">
        <v>122</v>
      </c>
      <c r="C123" s="2">
        <v>4</v>
      </c>
      <c r="D123" s="2">
        <v>1</v>
      </c>
      <c r="E123" s="2">
        <v>1.1120000000000001</v>
      </c>
      <c r="F123" s="2">
        <v>1</v>
      </c>
    </row>
    <row r="124" spans="1:6" ht="14.25" customHeight="1">
      <c r="A124" s="2">
        <v>39</v>
      </c>
      <c r="B124" s="2">
        <v>123</v>
      </c>
      <c r="C124" s="2">
        <v>5</v>
      </c>
      <c r="D124" s="2">
        <v>1</v>
      </c>
      <c r="E124" s="2">
        <v>1.1519999999999999</v>
      </c>
      <c r="F124" s="2">
        <v>2</v>
      </c>
    </row>
    <row r="125" spans="1:6" ht="14.25" customHeight="1">
      <c r="A125" s="2">
        <v>39</v>
      </c>
      <c r="B125" s="2">
        <v>124</v>
      </c>
      <c r="C125" s="2">
        <v>8</v>
      </c>
      <c r="D125" s="2">
        <v>1</v>
      </c>
      <c r="E125" s="2">
        <v>0.98399999999999999</v>
      </c>
      <c r="F125" s="2">
        <v>2</v>
      </c>
    </row>
    <row r="126" spans="1:6" ht="14.25" customHeight="1">
      <c r="A126" s="2">
        <v>39</v>
      </c>
      <c r="B126" s="2">
        <v>125</v>
      </c>
      <c r="C126" s="2">
        <v>6</v>
      </c>
      <c r="D126" s="2">
        <v>1</v>
      </c>
      <c r="E126" s="2">
        <v>1.1759999999999999</v>
      </c>
      <c r="F126" s="2">
        <v>2</v>
      </c>
    </row>
    <row r="127" spans="1:6" ht="14.25" customHeight="1">
      <c r="A127" s="2">
        <v>39</v>
      </c>
      <c r="B127" s="2">
        <v>126</v>
      </c>
      <c r="C127" s="2">
        <v>8</v>
      </c>
      <c r="D127" s="2">
        <v>1</v>
      </c>
      <c r="E127" s="2">
        <v>1.002</v>
      </c>
      <c r="F127" s="2">
        <v>2</v>
      </c>
    </row>
    <row r="128" spans="1:6" ht="14.25" customHeight="1">
      <c r="A128" s="2">
        <v>39</v>
      </c>
      <c r="B128" s="2">
        <v>127</v>
      </c>
      <c r="C128" s="2">
        <v>2</v>
      </c>
      <c r="D128" s="2">
        <v>1</v>
      </c>
      <c r="E128" s="2">
        <v>1.4159999999999999</v>
      </c>
      <c r="F128" s="2">
        <v>1</v>
      </c>
    </row>
    <row r="129" spans="1:6" ht="14.25" customHeight="1">
      <c r="A129" s="2">
        <v>39</v>
      </c>
      <c r="B129" s="2">
        <v>128</v>
      </c>
      <c r="C129" s="2">
        <v>3</v>
      </c>
      <c r="D129" s="2">
        <v>1</v>
      </c>
      <c r="E129" s="2">
        <v>0.71299999999999997</v>
      </c>
      <c r="F129" s="2">
        <v>1</v>
      </c>
    </row>
    <row r="130" spans="1:6" ht="14.25" customHeight="1">
      <c r="A130" s="2">
        <v>39</v>
      </c>
      <c r="B130" s="2">
        <v>129</v>
      </c>
      <c r="C130" s="2">
        <v>8</v>
      </c>
      <c r="D130" s="2">
        <v>1</v>
      </c>
      <c r="E130" s="2">
        <v>1.244</v>
      </c>
      <c r="F130" s="2">
        <v>2</v>
      </c>
    </row>
    <row r="131" spans="1:6" ht="14.25" customHeight="1">
      <c r="A131" s="2">
        <v>39</v>
      </c>
      <c r="B131" s="2">
        <v>130</v>
      </c>
      <c r="C131" s="2">
        <v>1</v>
      </c>
      <c r="D131" s="2">
        <v>0</v>
      </c>
      <c r="E131" s="2">
        <v>1.591</v>
      </c>
      <c r="F131" s="2">
        <v>1</v>
      </c>
    </row>
    <row r="132" spans="1:6" ht="14.25" customHeight="1">
      <c r="A132" s="2">
        <v>39</v>
      </c>
      <c r="B132" s="2">
        <v>131</v>
      </c>
      <c r="C132" s="2">
        <v>3</v>
      </c>
      <c r="D132" s="2">
        <v>1</v>
      </c>
      <c r="E132" s="2">
        <v>1.0249999999999999</v>
      </c>
      <c r="F132" s="2">
        <v>2</v>
      </c>
    </row>
    <row r="133" spans="1:6" ht="14.25" customHeight="1">
      <c r="A133" s="2">
        <v>39</v>
      </c>
      <c r="B133" s="2">
        <v>132</v>
      </c>
      <c r="C133" s="2">
        <v>2</v>
      </c>
      <c r="D133" s="2">
        <v>1</v>
      </c>
      <c r="E133" s="2">
        <v>1.353</v>
      </c>
      <c r="F133" s="2">
        <v>2</v>
      </c>
    </row>
    <row r="134" spans="1:6" ht="14.25" customHeight="1">
      <c r="A134" s="2">
        <v>39</v>
      </c>
      <c r="B134" s="2">
        <v>133</v>
      </c>
      <c r="C134" s="2">
        <v>7</v>
      </c>
      <c r="D134" s="2">
        <v>0</v>
      </c>
      <c r="E134" s="2">
        <v>1.6759999999999999</v>
      </c>
      <c r="F134" s="2">
        <v>2</v>
      </c>
    </row>
    <row r="135" spans="1:6" ht="14.25" customHeight="1">
      <c r="A135" s="2">
        <v>39</v>
      </c>
      <c r="B135" s="2">
        <v>134</v>
      </c>
      <c r="C135" s="2">
        <v>6</v>
      </c>
      <c r="D135" s="2">
        <v>0</v>
      </c>
      <c r="E135" s="2">
        <v>1.536</v>
      </c>
      <c r="F135" s="2">
        <v>1</v>
      </c>
    </row>
    <row r="136" spans="1:6" ht="14.25" customHeight="1">
      <c r="A136" s="2">
        <v>39</v>
      </c>
      <c r="B136" s="2">
        <v>135</v>
      </c>
      <c r="C136" s="2">
        <v>3</v>
      </c>
      <c r="D136" s="2">
        <v>1</v>
      </c>
      <c r="E136" s="2">
        <v>1.329</v>
      </c>
      <c r="F136" s="2">
        <v>2</v>
      </c>
    </row>
    <row r="137" spans="1:6" ht="14.25" customHeight="1">
      <c r="A137" s="2">
        <v>39</v>
      </c>
      <c r="B137" s="2">
        <v>136</v>
      </c>
      <c r="C137" s="2">
        <v>1</v>
      </c>
      <c r="D137" s="2">
        <v>1</v>
      </c>
      <c r="E137" s="2">
        <v>0.74299999999999999</v>
      </c>
      <c r="F137" s="2">
        <v>1</v>
      </c>
    </row>
    <row r="138" spans="1:6" ht="14.25" customHeight="1">
      <c r="A138" s="2">
        <v>39</v>
      </c>
      <c r="B138" s="2">
        <v>137</v>
      </c>
      <c r="C138" s="2">
        <v>5</v>
      </c>
      <c r="D138" s="2">
        <v>1</v>
      </c>
      <c r="E138" s="2">
        <v>1.607</v>
      </c>
      <c r="F138" s="2">
        <v>1</v>
      </c>
    </row>
    <row r="139" spans="1:6" ht="14.25" customHeight="1">
      <c r="A139" s="2">
        <v>39</v>
      </c>
      <c r="B139" s="2">
        <v>138</v>
      </c>
      <c r="C139" s="2">
        <v>8</v>
      </c>
      <c r="D139" s="2">
        <v>1</v>
      </c>
      <c r="E139" s="2">
        <v>0.79100000000000004</v>
      </c>
      <c r="F139" s="2">
        <v>1</v>
      </c>
    </row>
    <row r="140" spans="1:6" ht="14.25" customHeight="1">
      <c r="A140" s="2">
        <v>39</v>
      </c>
      <c r="B140" s="2">
        <v>139</v>
      </c>
      <c r="C140" s="2">
        <v>2</v>
      </c>
      <c r="D140" s="2">
        <v>1</v>
      </c>
      <c r="E140" s="2">
        <v>0.89500000000000002</v>
      </c>
      <c r="F140" s="2">
        <v>1</v>
      </c>
    </row>
    <row r="141" spans="1:6" ht="14.25" customHeight="1">
      <c r="A141" s="2">
        <v>39</v>
      </c>
      <c r="B141" s="2">
        <v>140</v>
      </c>
      <c r="C141" s="2">
        <v>4</v>
      </c>
      <c r="D141" s="2">
        <v>1</v>
      </c>
      <c r="E141" s="2">
        <v>1.133</v>
      </c>
      <c r="F141" s="2">
        <v>1</v>
      </c>
    </row>
    <row r="142" spans="1:6" ht="14.25" customHeight="1">
      <c r="A142" s="2">
        <v>39</v>
      </c>
      <c r="B142" s="2">
        <v>141</v>
      </c>
      <c r="C142" s="2">
        <v>2</v>
      </c>
      <c r="D142" s="2">
        <v>1</v>
      </c>
      <c r="E142" s="2">
        <v>1.284</v>
      </c>
      <c r="F142" s="2">
        <v>2</v>
      </c>
    </row>
    <row r="143" spans="1:6" ht="14.25" customHeight="1">
      <c r="A143" s="2">
        <v>39</v>
      </c>
      <c r="B143" s="2">
        <v>142</v>
      </c>
      <c r="C143" s="2">
        <v>7</v>
      </c>
      <c r="D143" s="2">
        <v>1</v>
      </c>
      <c r="E143" s="2">
        <v>1.04</v>
      </c>
      <c r="F143" s="2">
        <v>1</v>
      </c>
    </row>
    <row r="144" spans="1:6" ht="14.25" customHeight="1">
      <c r="A144" s="2">
        <v>39</v>
      </c>
      <c r="B144" s="2">
        <v>143</v>
      </c>
      <c r="C144" s="2">
        <v>8</v>
      </c>
      <c r="D144" s="2">
        <v>1</v>
      </c>
      <c r="E144" s="2">
        <v>1.1379999999999999</v>
      </c>
      <c r="F144" s="2">
        <v>1</v>
      </c>
    </row>
    <row r="145" spans="1:6" ht="14.25" customHeight="1">
      <c r="A145" s="2">
        <v>39</v>
      </c>
      <c r="B145" s="2">
        <v>144</v>
      </c>
      <c r="C145" s="2">
        <v>5</v>
      </c>
      <c r="D145" s="2">
        <v>0</v>
      </c>
      <c r="E145" s="2">
        <v>1.294</v>
      </c>
      <c r="F145" s="2">
        <v>2</v>
      </c>
    </row>
    <row r="146" spans="1:6" ht="14.25" customHeight="1">
      <c r="A146" s="2">
        <v>39</v>
      </c>
      <c r="B146" s="2">
        <v>145</v>
      </c>
      <c r="C146" s="2">
        <v>7</v>
      </c>
      <c r="D146" s="2">
        <v>1</v>
      </c>
      <c r="E146" s="2">
        <v>1.573</v>
      </c>
      <c r="F146" s="2">
        <v>2</v>
      </c>
    </row>
    <row r="147" spans="1:6" ht="14.25" customHeight="1">
      <c r="A147" s="2">
        <v>39</v>
      </c>
      <c r="B147" s="2">
        <v>146</v>
      </c>
      <c r="C147" s="2">
        <v>5</v>
      </c>
      <c r="D147" s="2">
        <v>1</v>
      </c>
      <c r="E147" s="2">
        <v>1.2090000000000001</v>
      </c>
      <c r="F147" s="2">
        <v>2</v>
      </c>
    </row>
    <row r="148" spans="1:6" ht="14.25" customHeight="1">
      <c r="A148" s="2">
        <v>39</v>
      </c>
      <c r="B148" s="2">
        <v>147</v>
      </c>
      <c r="C148" s="2">
        <v>4</v>
      </c>
      <c r="D148" s="2">
        <v>1</v>
      </c>
      <c r="E148" s="2">
        <v>0.78400000000000003</v>
      </c>
      <c r="F148" s="2">
        <v>2</v>
      </c>
    </row>
    <row r="149" spans="1:6" ht="14.25" customHeight="1">
      <c r="A149" s="2">
        <v>39</v>
      </c>
      <c r="B149" s="2">
        <v>148</v>
      </c>
      <c r="C149" s="2">
        <v>6</v>
      </c>
      <c r="D149" s="2">
        <v>1</v>
      </c>
      <c r="E149" s="2">
        <v>0.72799999999999998</v>
      </c>
      <c r="F149" s="2">
        <v>1</v>
      </c>
    </row>
    <row r="150" spans="1:6" ht="14.25" customHeight="1">
      <c r="A150" s="2">
        <v>39</v>
      </c>
      <c r="B150" s="2">
        <v>149</v>
      </c>
      <c r="C150" s="2">
        <v>5</v>
      </c>
      <c r="D150" s="2">
        <v>0</v>
      </c>
      <c r="E150" s="2">
        <v>1.177</v>
      </c>
      <c r="F150" s="2">
        <v>1</v>
      </c>
    </row>
    <row r="151" spans="1:6" ht="14.25" customHeight="1">
      <c r="A151" s="2">
        <v>39</v>
      </c>
      <c r="B151" s="2">
        <v>150</v>
      </c>
      <c r="C151" s="2">
        <v>6</v>
      </c>
      <c r="D151" s="2">
        <v>1</v>
      </c>
      <c r="E151" s="2">
        <v>1.129</v>
      </c>
      <c r="F151" s="2">
        <v>1</v>
      </c>
    </row>
    <row r="152" spans="1:6" ht="14.25" customHeight="1">
      <c r="A152" s="2">
        <v>39</v>
      </c>
      <c r="B152" s="2">
        <v>151</v>
      </c>
      <c r="C152" s="2">
        <v>7</v>
      </c>
      <c r="D152" s="2">
        <v>1</v>
      </c>
      <c r="E152" s="2">
        <v>1.1839999999999999</v>
      </c>
      <c r="F152" s="2">
        <v>1</v>
      </c>
    </row>
    <row r="153" spans="1:6" ht="14.25" customHeight="1">
      <c r="A153" s="2">
        <v>39</v>
      </c>
      <c r="B153" s="2">
        <v>152</v>
      </c>
      <c r="C153" s="2">
        <v>1</v>
      </c>
      <c r="D153" s="2">
        <v>1</v>
      </c>
      <c r="E153" s="2">
        <v>0.58899999999999997</v>
      </c>
      <c r="F153" s="2">
        <v>1</v>
      </c>
    </row>
    <row r="154" spans="1:6" ht="14.25" customHeight="1">
      <c r="A154" s="2">
        <v>39</v>
      </c>
      <c r="B154" s="2">
        <v>153</v>
      </c>
      <c r="C154" s="2">
        <v>8</v>
      </c>
      <c r="D154" s="2">
        <v>1</v>
      </c>
      <c r="E154" s="2">
        <v>1.119</v>
      </c>
      <c r="F154" s="2">
        <v>1</v>
      </c>
    </row>
    <row r="155" spans="1:6" ht="14.25" customHeight="1">
      <c r="A155" s="2">
        <v>39</v>
      </c>
      <c r="B155" s="2">
        <v>154</v>
      </c>
      <c r="C155" s="2">
        <v>6</v>
      </c>
      <c r="D155" s="2">
        <v>1</v>
      </c>
      <c r="E155" s="2">
        <v>0.68600000000000005</v>
      </c>
      <c r="F155" s="2">
        <v>1</v>
      </c>
    </row>
    <row r="156" spans="1:6" ht="14.25" customHeight="1">
      <c r="A156" s="2">
        <v>39</v>
      </c>
      <c r="B156" s="2">
        <v>155</v>
      </c>
      <c r="C156" s="2">
        <v>2</v>
      </c>
      <c r="D156" s="2">
        <v>1</v>
      </c>
      <c r="E156" s="2">
        <v>0.67200000000000004</v>
      </c>
      <c r="F156" s="2">
        <v>1</v>
      </c>
    </row>
    <row r="157" spans="1:6" ht="14.25" customHeight="1">
      <c r="A157" s="2">
        <v>39</v>
      </c>
      <c r="B157" s="2">
        <v>156</v>
      </c>
      <c r="C157" s="2">
        <v>4</v>
      </c>
      <c r="D157" s="2">
        <v>0</v>
      </c>
      <c r="E157" s="2">
        <v>1.5620000000000001</v>
      </c>
      <c r="F157" s="2">
        <v>1</v>
      </c>
    </row>
    <row r="158" spans="1:6" ht="14.25" customHeight="1">
      <c r="A158" s="2">
        <v>39</v>
      </c>
      <c r="B158" s="2">
        <v>157</v>
      </c>
      <c r="C158" s="2">
        <v>7</v>
      </c>
      <c r="D158" s="2">
        <v>1</v>
      </c>
      <c r="E158" s="2">
        <v>0.84699999999999998</v>
      </c>
      <c r="F158" s="2">
        <v>1</v>
      </c>
    </row>
    <row r="159" spans="1:6" ht="14.25" customHeight="1">
      <c r="A159" s="2">
        <v>39</v>
      </c>
      <c r="B159" s="2">
        <v>158</v>
      </c>
      <c r="C159" s="2">
        <v>1</v>
      </c>
      <c r="D159" s="2">
        <v>1</v>
      </c>
      <c r="E159" s="2">
        <v>1.17</v>
      </c>
      <c r="F159" s="2">
        <v>1</v>
      </c>
    </row>
    <row r="160" spans="1:6" ht="14.25" customHeight="1">
      <c r="A160" s="2">
        <v>39</v>
      </c>
      <c r="B160" s="2">
        <v>159</v>
      </c>
      <c r="C160" s="2">
        <v>4</v>
      </c>
      <c r="D160" s="2">
        <v>1</v>
      </c>
      <c r="E160" s="2">
        <v>0.78600000000000003</v>
      </c>
      <c r="F160" s="2">
        <v>1</v>
      </c>
    </row>
    <row r="161" spans="1:6" ht="14.25" customHeight="1">
      <c r="A161" s="2">
        <v>39</v>
      </c>
      <c r="B161" s="2">
        <v>160</v>
      </c>
      <c r="C161" s="2">
        <v>3</v>
      </c>
      <c r="D161" s="2">
        <v>1</v>
      </c>
      <c r="E161" s="2">
        <v>1</v>
      </c>
      <c r="F161" s="2">
        <v>1</v>
      </c>
    </row>
    <row r="162" spans="1:6" ht="14.25" customHeight="1">
      <c r="A162" s="2">
        <v>39</v>
      </c>
      <c r="B162" s="2">
        <v>161</v>
      </c>
      <c r="C162" s="2">
        <v>4</v>
      </c>
      <c r="D162" s="2">
        <v>1</v>
      </c>
      <c r="E162" s="2">
        <v>1.2390000000000001</v>
      </c>
      <c r="F162" s="2">
        <v>2</v>
      </c>
    </row>
    <row r="163" spans="1:6" ht="14.25" customHeight="1">
      <c r="A163" s="2">
        <v>39</v>
      </c>
      <c r="B163" s="2">
        <v>162</v>
      </c>
      <c r="C163" s="2">
        <v>3</v>
      </c>
      <c r="D163" s="2">
        <v>1</v>
      </c>
      <c r="E163" s="2">
        <v>1.2809999999999999</v>
      </c>
      <c r="F163" s="2">
        <v>2</v>
      </c>
    </row>
    <row r="164" spans="1:6" ht="14.25" customHeight="1">
      <c r="A164" s="2">
        <v>39</v>
      </c>
      <c r="B164" s="2">
        <v>163</v>
      </c>
      <c r="C164" s="2">
        <v>4</v>
      </c>
      <c r="D164" s="2">
        <v>1</v>
      </c>
      <c r="E164" s="2">
        <v>0.76400000000000001</v>
      </c>
      <c r="F164" s="2">
        <v>2</v>
      </c>
    </row>
    <row r="165" spans="1:6" ht="14.25" customHeight="1">
      <c r="A165" s="2">
        <v>39</v>
      </c>
      <c r="B165" s="2">
        <v>164</v>
      </c>
      <c r="C165" s="2">
        <v>3</v>
      </c>
      <c r="D165" s="2">
        <v>1</v>
      </c>
      <c r="E165" s="2">
        <v>1.137</v>
      </c>
      <c r="F165" s="2">
        <v>1</v>
      </c>
    </row>
    <row r="166" spans="1:6" ht="14.25" customHeight="1">
      <c r="A166" s="2">
        <v>39</v>
      </c>
      <c r="B166" s="2">
        <v>165</v>
      </c>
      <c r="C166" s="2">
        <v>7</v>
      </c>
      <c r="D166" s="2">
        <v>0</v>
      </c>
      <c r="E166" s="2">
        <v>1.6220000000000001</v>
      </c>
      <c r="F166" s="2">
        <v>1</v>
      </c>
    </row>
    <row r="167" spans="1:6" ht="14.25" customHeight="1">
      <c r="A167" s="2">
        <v>39</v>
      </c>
      <c r="B167" s="2">
        <v>166</v>
      </c>
      <c r="C167" s="2">
        <v>6</v>
      </c>
      <c r="D167" s="2">
        <v>0</v>
      </c>
      <c r="E167" s="2">
        <v>1.242</v>
      </c>
      <c r="F167" s="2">
        <v>1</v>
      </c>
    </row>
    <row r="168" spans="1:6" ht="14.25" customHeight="1">
      <c r="A168" s="2">
        <v>39</v>
      </c>
      <c r="B168" s="2">
        <v>167</v>
      </c>
      <c r="C168" s="2">
        <v>5</v>
      </c>
      <c r="D168" s="2">
        <v>1</v>
      </c>
      <c r="E168" s="2">
        <v>1.1359999999999999</v>
      </c>
      <c r="F168" s="2">
        <v>2</v>
      </c>
    </row>
    <row r="169" spans="1:6" ht="14.25" customHeight="1">
      <c r="A169" s="2">
        <v>39</v>
      </c>
      <c r="B169" s="2">
        <v>168</v>
      </c>
      <c r="C169" s="2">
        <v>4</v>
      </c>
      <c r="D169" s="2">
        <v>1</v>
      </c>
      <c r="E169" s="2">
        <v>0.77800000000000002</v>
      </c>
      <c r="F169" s="2">
        <v>2</v>
      </c>
    </row>
    <row r="170" spans="1:6" ht="14.25" customHeight="1">
      <c r="A170" s="2">
        <v>39</v>
      </c>
      <c r="B170" s="2">
        <v>169</v>
      </c>
      <c r="C170" s="2">
        <v>2</v>
      </c>
      <c r="D170" s="2">
        <v>1</v>
      </c>
      <c r="E170" s="2">
        <v>0.66300000000000003</v>
      </c>
      <c r="F170" s="2">
        <v>1</v>
      </c>
    </row>
    <row r="171" spans="1:6" ht="14.25" customHeight="1">
      <c r="A171" s="2">
        <v>39</v>
      </c>
      <c r="B171" s="2">
        <v>170</v>
      </c>
      <c r="C171" s="2">
        <v>7</v>
      </c>
      <c r="D171" s="2">
        <v>1</v>
      </c>
      <c r="E171" s="2">
        <v>1.5589999999999999</v>
      </c>
      <c r="F171" s="2">
        <v>1</v>
      </c>
    </row>
    <row r="172" spans="1:6" ht="14.25" customHeight="1">
      <c r="A172" s="2">
        <v>39</v>
      </c>
      <c r="B172" s="2">
        <v>171</v>
      </c>
      <c r="C172" s="2">
        <v>4</v>
      </c>
      <c r="D172" s="2">
        <v>1</v>
      </c>
      <c r="E172" s="2">
        <v>0.90400000000000003</v>
      </c>
      <c r="F172" s="2">
        <v>2</v>
      </c>
    </row>
    <row r="173" spans="1:6" ht="14.25" customHeight="1">
      <c r="A173" s="2">
        <v>39</v>
      </c>
      <c r="B173" s="2">
        <v>172</v>
      </c>
      <c r="C173" s="2">
        <v>5</v>
      </c>
      <c r="D173" s="2">
        <v>1</v>
      </c>
      <c r="E173" s="2">
        <v>1.823</v>
      </c>
      <c r="F173" s="2">
        <v>1</v>
      </c>
    </row>
    <row r="174" spans="1:6" ht="14.25" customHeight="1">
      <c r="A174" s="2">
        <v>39</v>
      </c>
      <c r="B174" s="2">
        <v>173</v>
      </c>
      <c r="C174" s="2">
        <v>7</v>
      </c>
      <c r="D174" s="2">
        <v>1</v>
      </c>
      <c r="E174" s="2">
        <v>0.99399999999999999</v>
      </c>
      <c r="F174" s="2">
        <v>2</v>
      </c>
    </row>
    <row r="175" spans="1:6" ht="14.25" customHeight="1">
      <c r="A175" s="2">
        <v>39</v>
      </c>
      <c r="B175" s="2">
        <v>174</v>
      </c>
      <c r="C175" s="2">
        <v>6</v>
      </c>
      <c r="D175" s="2">
        <v>1</v>
      </c>
      <c r="E175" s="2">
        <v>1.081</v>
      </c>
      <c r="F175" s="2">
        <v>2</v>
      </c>
    </row>
    <row r="176" spans="1:6" ht="14.25" customHeight="1">
      <c r="A176" s="2">
        <v>39</v>
      </c>
      <c r="B176" s="2">
        <v>175</v>
      </c>
      <c r="C176" s="2">
        <v>1</v>
      </c>
      <c r="D176" s="2">
        <v>1</v>
      </c>
      <c r="E176" s="2">
        <v>1.216</v>
      </c>
      <c r="F176" s="2">
        <v>2</v>
      </c>
    </row>
    <row r="177" spans="1:6" ht="14.25" customHeight="1">
      <c r="A177" s="2">
        <v>39</v>
      </c>
      <c r="B177" s="2">
        <v>176</v>
      </c>
      <c r="C177" s="2">
        <v>5</v>
      </c>
      <c r="D177" s="2">
        <v>1</v>
      </c>
      <c r="E177" s="2">
        <v>0.8</v>
      </c>
      <c r="F177" s="2">
        <v>2</v>
      </c>
    </row>
    <row r="178" spans="1:6" ht="14.25" customHeight="1">
      <c r="A178" s="2">
        <v>39</v>
      </c>
      <c r="B178" s="2">
        <v>177</v>
      </c>
      <c r="C178" s="2">
        <v>8</v>
      </c>
      <c r="D178" s="2">
        <v>0</v>
      </c>
      <c r="E178" s="2">
        <v>1.599</v>
      </c>
      <c r="F178" s="2">
        <v>2</v>
      </c>
    </row>
    <row r="179" spans="1:6" ht="14.25" customHeight="1">
      <c r="A179" s="2">
        <v>39</v>
      </c>
      <c r="B179" s="2">
        <v>178</v>
      </c>
      <c r="C179" s="2">
        <v>3</v>
      </c>
      <c r="D179" s="2">
        <v>1</v>
      </c>
      <c r="E179" s="2">
        <v>1.123</v>
      </c>
      <c r="F179" s="2">
        <v>1</v>
      </c>
    </row>
    <row r="180" spans="1:6" ht="14.25" customHeight="1">
      <c r="A180" s="2">
        <v>39</v>
      </c>
      <c r="B180" s="2">
        <v>179</v>
      </c>
      <c r="C180" s="2">
        <v>6</v>
      </c>
      <c r="D180" s="2">
        <v>1</v>
      </c>
      <c r="E180" s="2">
        <v>1.212</v>
      </c>
      <c r="F180" s="2">
        <v>2</v>
      </c>
    </row>
    <row r="181" spans="1:6" ht="14.25" customHeight="1">
      <c r="A181" s="2">
        <v>39</v>
      </c>
      <c r="B181" s="2">
        <v>180</v>
      </c>
      <c r="C181" s="2">
        <v>2</v>
      </c>
      <c r="D181" s="2">
        <v>1</v>
      </c>
      <c r="E181" s="2">
        <v>1.4990000000000001</v>
      </c>
      <c r="F181" s="2">
        <v>2</v>
      </c>
    </row>
    <row r="182" spans="1:6" ht="14.25" customHeight="1">
      <c r="A182" s="2">
        <v>39</v>
      </c>
      <c r="B182" s="2">
        <v>181</v>
      </c>
      <c r="C182" s="2">
        <v>6</v>
      </c>
      <c r="D182" s="2">
        <v>1</v>
      </c>
      <c r="E182" s="2">
        <v>1.0329999999999999</v>
      </c>
      <c r="F182" s="2">
        <v>2</v>
      </c>
    </row>
    <row r="183" spans="1:6" ht="14.25" customHeight="1">
      <c r="A183" s="2">
        <v>39</v>
      </c>
      <c r="B183" s="2">
        <v>182</v>
      </c>
      <c r="C183" s="2">
        <v>5</v>
      </c>
      <c r="D183" s="2">
        <v>1</v>
      </c>
      <c r="E183" s="2">
        <v>0.83399999999999996</v>
      </c>
      <c r="F183" s="2">
        <v>2</v>
      </c>
    </row>
    <row r="184" spans="1:6" ht="14.25" customHeight="1">
      <c r="A184" s="2">
        <v>39</v>
      </c>
      <c r="B184" s="2">
        <v>183</v>
      </c>
      <c r="C184" s="2">
        <v>1</v>
      </c>
      <c r="D184" s="2">
        <v>1</v>
      </c>
      <c r="E184" s="2">
        <v>0.92</v>
      </c>
      <c r="F184" s="2">
        <v>1</v>
      </c>
    </row>
    <row r="185" spans="1:6" ht="14.25" customHeight="1">
      <c r="A185" s="2">
        <v>39</v>
      </c>
      <c r="B185" s="2">
        <v>184</v>
      </c>
      <c r="C185" s="2">
        <v>8</v>
      </c>
      <c r="D185" s="2">
        <v>1</v>
      </c>
      <c r="E185" s="2">
        <v>1.0580000000000001</v>
      </c>
      <c r="F185" s="2">
        <v>2</v>
      </c>
    </row>
    <row r="186" spans="1:6" ht="14.25" customHeight="1">
      <c r="A186" s="2">
        <v>39</v>
      </c>
      <c r="B186" s="2">
        <v>185</v>
      </c>
      <c r="C186" s="2">
        <v>5</v>
      </c>
      <c r="D186" s="2">
        <v>1</v>
      </c>
      <c r="E186" s="2">
        <v>0.65300000000000002</v>
      </c>
      <c r="F186" s="2">
        <v>2</v>
      </c>
    </row>
    <row r="187" spans="1:6" ht="14.25" customHeight="1">
      <c r="A187" s="2">
        <v>39</v>
      </c>
      <c r="B187" s="2">
        <v>186</v>
      </c>
      <c r="C187" s="2">
        <v>8</v>
      </c>
      <c r="D187" s="2">
        <v>1</v>
      </c>
      <c r="E187" s="2">
        <v>1.024</v>
      </c>
      <c r="F187" s="2">
        <v>1</v>
      </c>
    </row>
    <row r="188" spans="1:6" ht="14.25" customHeight="1">
      <c r="A188" s="2">
        <v>39</v>
      </c>
      <c r="B188" s="2">
        <v>187</v>
      </c>
      <c r="C188" s="2">
        <v>6</v>
      </c>
      <c r="D188" s="2">
        <v>1</v>
      </c>
      <c r="E188" s="2">
        <v>1.1950000000000001</v>
      </c>
      <c r="F188" s="2">
        <v>1</v>
      </c>
    </row>
    <row r="189" spans="1:6" ht="14.25" customHeight="1">
      <c r="A189" s="2">
        <v>39</v>
      </c>
      <c r="B189" s="2">
        <v>188</v>
      </c>
      <c r="C189" s="2">
        <v>2</v>
      </c>
      <c r="D189" s="2">
        <v>1</v>
      </c>
      <c r="E189" s="2">
        <v>0.873</v>
      </c>
      <c r="F189" s="2">
        <v>1</v>
      </c>
    </row>
    <row r="190" spans="1:6" ht="14.25" customHeight="1">
      <c r="A190" s="2">
        <v>39</v>
      </c>
      <c r="B190" s="2">
        <v>189</v>
      </c>
      <c r="C190" s="2">
        <v>8</v>
      </c>
      <c r="D190" s="2">
        <v>1</v>
      </c>
      <c r="E190" s="2">
        <v>0.94299999999999995</v>
      </c>
      <c r="F190" s="2">
        <v>1</v>
      </c>
    </row>
    <row r="191" spans="1:6" ht="14.25" customHeight="1">
      <c r="A191" s="2">
        <v>39</v>
      </c>
      <c r="B191" s="2">
        <v>190</v>
      </c>
      <c r="C191" s="2">
        <v>1</v>
      </c>
      <c r="D191" s="2">
        <v>1</v>
      </c>
      <c r="E191" s="2">
        <v>0.90400000000000003</v>
      </c>
      <c r="F191" s="2">
        <v>1</v>
      </c>
    </row>
    <row r="192" spans="1:6" ht="14.25" customHeight="1">
      <c r="A192" s="2">
        <v>39</v>
      </c>
      <c r="B192" s="2">
        <v>191</v>
      </c>
      <c r="C192" s="2">
        <v>2</v>
      </c>
      <c r="D192" s="2">
        <v>1</v>
      </c>
      <c r="E192" s="2">
        <v>1.0409999999999999</v>
      </c>
      <c r="F192" s="2">
        <v>2</v>
      </c>
    </row>
    <row r="193" spans="1:6" ht="14.25" customHeight="1">
      <c r="A193" s="2">
        <v>39</v>
      </c>
      <c r="B193" s="2">
        <v>192</v>
      </c>
      <c r="C193" s="2">
        <v>1</v>
      </c>
      <c r="D193" s="2">
        <v>1</v>
      </c>
      <c r="E193" s="2">
        <v>0.96</v>
      </c>
      <c r="F193" s="2">
        <v>1</v>
      </c>
    </row>
    <row r="194" spans="1:6" ht="14.25" customHeight="1">
      <c r="A194" s="2">
        <v>39</v>
      </c>
      <c r="B194" s="2">
        <v>193</v>
      </c>
      <c r="C194" s="2">
        <v>3</v>
      </c>
      <c r="D194" s="2">
        <v>1</v>
      </c>
      <c r="E194" s="2">
        <v>1.0880000000000001</v>
      </c>
      <c r="F194" s="2">
        <v>1</v>
      </c>
    </row>
    <row r="195" spans="1:6" ht="14.25" customHeight="1">
      <c r="A195" s="2">
        <v>39</v>
      </c>
      <c r="B195" s="2">
        <v>194</v>
      </c>
      <c r="C195" s="2">
        <v>2</v>
      </c>
      <c r="D195" s="2">
        <v>1</v>
      </c>
      <c r="E195" s="2">
        <v>0.93300000000000005</v>
      </c>
      <c r="F195" s="2">
        <v>1</v>
      </c>
    </row>
    <row r="196" spans="1:6" ht="14.25" customHeight="1">
      <c r="A196" s="2">
        <v>39</v>
      </c>
      <c r="B196" s="2">
        <v>195</v>
      </c>
      <c r="C196" s="2">
        <v>8</v>
      </c>
      <c r="D196" s="2">
        <v>1</v>
      </c>
      <c r="E196" s="2">
        <v>1.0940000000000001</v>
      </c>
      <c r="F196" s="2">
        <v>2</v>
      </c>
    </row>
    <row r="197" spans="1:6" ht="14.25" customHeight="1">
      <c r="A197" s="2">
        <v>39</v>
      </c>
      <c r="B197" s="2">
        <v>196</v>
      </c>
      <c r="C197" s="2">
        <v>3</v>
      </c>
      <c r="D197" s="2">
        <v>1</v>
      </c>
      <c r="E197" s="2">
        <v>1.302</v>
      </c>
      <c r="F197" s="2">
        <v>2</v>
      </c>
    </row>
    <row r="198" spans="1:6" ht="14.25" customHeight="1">
      <c r="A198" s="2">
        <v>39</v>
      </c>
      <c r="B198" s="2">
        <v>197</v>
      </c>
      <c r="C198" s="2">
        <v>8</v>
      </c>
      <c r="D198" s="2">
        <v>1</v>
      </c>
      <c r="E198" s="2">
        <v>0.69099999999999995</v>
      </c>
      <c r="F198" s="2">
        <v>2</v>
      </c>
    </row>
    <row r="199" spans="1:6" ht="14.25" customHeight="1">
      <c r="A199" s="2">
        <v>39</v>
      </c>
      <c r="B199" s="2">
        <v>198</v>
      </c>
      <c r="C199" s="2">
        <v>5</v>
      </c>
      <c r="D199" s="2">
        <v>1</v>
      </c>
      <c r="E199" s="2">
        <v>0.86299999999999999</v>
      </c>
      <c r="F199" s="2">
        <v>1</v>
      </c>
    </row>
    <row r="200" spans="1:6" ht="14.25" customHeight="1">
      <c r="A200" s="2">
        <v>39</v>
      </c>
      <c r="B200" s="2">
        <v>199</v>
      </c>
      <c r="C200" s="2">
        <v>7</v>
      </c>
      <c r="D200" s="2">
        <v>1</v>
      </c>
      <c r="E200" s="2">
        <v>1.24</v>
      </c>
      <c r="F200" s="2">
        <v>2</v>
      </c>
    </row>
    <row r="201" spans="1:6" ht="14.25" customHeight="1">
      <c r="A201" s="2">
        <v>39</v>
      </c>
      <c r="B201" s="2">
        <v>200</v>
      </c>
      <c r="C201" s="2">
        <v>4</v>
      </c>
      <c r="D201" s="2">
        <v>1</v>
      </c>
      <c r="E201" s="2">
        <v>1.052</v>
      </c>
      <c r="F201" s="2">
        <v>1</v>
      </c>
    </row>
    <row r="202" spans="1:6" ht="14.25" customHeight="1">
      <c r="A202" s="2">
        <v>39</v>
      </c>
      <c r="B202" s="2">
        <v>201</v>
      </c>
      <c r="C202" s="2">
        <v>7</v>
      </c>
      <c r="D202" s="2">
        <v>1</v>
      </c>
      <c r="E202" s="2">
        <v>0.82</v>
      </c>
    </row>
    <row r="203" spans="1:6" ht="14.25" customHeight="1">
      <c r="A203" s="2">
        <v>39</v>
      </c>
      <c r="B203" s="2">
        <v>202</v>
      </c>
      <c r="C203" s="2">
        <v>2</v>
      </c>
      <c r="D203" s="2">
        <v>1</v>
      </c>
      <c r="E203" s="2">
        <v>0.78600000000000003</v>
      </c>
    </row>
    <row r="204" spans="1:6" ht="14.25" customHeight="1">
      <c r="A204" s="2">
        <v>39</v>
      </c>
      <c r="B204" s="2">
        <v>203</v>
      </c>
      <c r="C204" s="2">
        <v>3</v>
      </c>
      <c r="D204" s="2">
        <v>1</v>
      </c>
      <c r="E204" s="2">
        <v>1.3660000000000001</v>
      </c>
    </row>
    <row r="205" spans="1:6" ht="14.25" customHeight="1">
      <c r="A205" s="2">
        <v>39</v>
      </c>
      <c r="B205" s="2">
        <v>204</v>
      </c>
      <c r="C205" s="2">
        <v>1</v>
      </c>
      <c r="D205" s="2">
        <v>1</v>
      </c>
      <c r="E205" s="2">
        <v>0.98299999999999998</v>
      </c>
    </row>
    <row r="206" spans="1:6" ht="14.25" customHeight="1">
      <c r="A206" s="2">
        <v>39</v>
      </c>
      <c r="B206" s="2">
        <v>205</v>
      </c>
      <c r="C206" s="2">
        <v>6</v>
      </c>
      <c r="D206" s="2">
        <v>1</v>
      </c>
      <c r="E206" s="2">
        <v>0.61899999999999999</v>
      </c>
    </row>
    <row r="207" spans="1:6" ht="14.25" customHeight="1">
      <c r="A207" s="2">
        <v>39</v>
      </c>
      <c r="B207" s="2">
        <v>206</v>
      </c>
      <c r="C207" s="2">
        <v>3</v>
      </c>
      <c r="D207" s="2">
        <v>1</v>
      </c>
      <c r="E207" s="2">
        <v>1.276</v>
      </c>
    </row>
    <row r="208" spans="1:6" ht="14.25" customHeight="1">
      <c r="A208" s="2">
        <v>39</v>
      </c>
      <c r="B208" s="2">
        <v>207</v>
      </c>
      <c r="C208" s="2">
        <v>4</v>
      </c>
      <c r="D208" s="2">
        <v>1</v>
      </c>
      <c r="E208" s="2">
        <v>0.91200000000000003</v>
      </c>
    </row>
    <row r="209" spans="1:5" ht="14.25" customHeight="1">
      <c r="A209" s="2">
        <v>39</v>
      </c>
      <c r="B209" s="2">
        <v>208</v>
      </c>
      <c r="C209" s="2">
        <v>8</v>
      </c>
      <c r="D209" s="2">
        <v>1</v>
      </c>
      <c r="E209" s="2">
        <v>0.82599999999999996</v>
      </c>
    </row>
    <row r="210" spans="1:5" ht="14.25" customHeight="1">
      <c r="A210" s="2">
        <v>39</v>
      </c>
      <c r="B210" s="2">
        <v>209</v>
      </c>
      <c r="C210" s="2">
        <v>5</v>
      </c>
      <c r="D210" s="2">
        <v>1</v>
      </c>
      <c r="E210" s="2">
        <v>0.77</v>
      </c>
    </row>
    <row r="211" spans="1:5" ht="14.25" customHeight="1">
      <c r="A211" s="2">
        <v>39</v>
      </c>
      <c r="B211" s="2">
        <v>210</v>
      </c>
      <c r="C211" s="2">
        <v>6</v>
      </c>
      <c r="D211" s="2">
        <v>1</v>
      </c>
      <c r="E211" s="2">
        <v>0.66900000000000004</v>
      </c>
    </row>
    <row r="212" spans="1:5" ht="14.25" customHeight="1">
      <c r="A212" s="2">
        <v>39</v>
      </c>
      <c r="B212" s="2">
        <v>211</v>
      </c>
      <c r="C212" s="2">
        <v>7</v>
      </c>
      <c r="D212" s="2">
        <v>1</v>
      </c>
      <c r="E212" s="2">
        <v>0.90900000000000003</v>
      </c>
    </row>
    <row r="213" spans="1:5" ht="14.25" customHeight="1">
      <c r="A213" s="2">
        <v>39</v>
      </c>
      <c r="B213" s="2">
        <v>212</v>
      </c>
      <c r="C213" s="2">
        <v>4</v>
      </c>
      <c r="D213" s="2">
        <v>1</v>
      </c>
      <c r="E213" s="2">
        <v>1.018</v>
      </c>
    </row>
    <row r="214" spans="1:5" ht="14.25" customHeight="1">
      <c r="A214" s="2">
        <v>39</v>
      </c>
      <c r="B214" s="2">
        <v>213</v>
      </c>
      <c r="C214" s="2">
        <v>8</v>
      </c>
      <c r="D214" s="2">
        <v>1</v>
      </c>
      <c r="E214" s="2">
        <v>0.76900000000000002</v>
      </c>
    </row>
    <row r="215" spans="1:5" ht="14.25" customHeight="1">
      <c r="A215" s="2">
        <v>39</v>
      </c>
      <c r="B215" s="2">
        <v>214</v>
      </c>
      <c r="C215" s="2">
        <v>5</v>
      </c>
      <c r="D215" s="2">
        <v>1</v>
      </c>
      <c r="E215" s="2">
        <v>0.71099999999999997</v>
      </c>
    </row>
    <row r="216" spans="1:5" ht="14.25" customHeight="1">
      <c r="A216" s="2">
        <v>39</v>
      </c>
      <c r="B216" s="2">
        <v>215</v>
      </c>
      <c r="C216" s="2">
        <v>8</v>
      </c>
      <c r="D216" s="2">
        <v>1</v>
      </c>
      <c r="E216" s="2">
        <v>1.714</v>
      </c>
    </row>
    <row r="217" spans="1:5" ht="14.25" customHeight="1">
      <c r="A217" s="2">
        <v>39</v>
      </c>
      <c r="B217" s="2">
        <v>216</v>
      </c>
      <c r="C217" s="2">
        <v>6</v>
      </c>
      <c r="D217" s="2">
        <v>1</v>
      </c>
      <c r="E217" s="2">
        <v>1.1279999999999999</v>
      </c>
    </row>
    <row r="218" spans="1:5" ht="14.25" customHeight="1">
      <c r="A218" s="2">
        <v>39</v>
      </c>
      <c r="B218" s="2">
        <v>217</v>
      </c>
      <c r="C218" s="2">
        <v>3</v>
      </c>
      <c r="D218" s="2">
        <v>1</v>
      </c>
      <c r="E218" s="2">
        <v>0.78</v>
      </c>
    </row>
    <row r="219" spans="1:5" ht="14.25" customHeight="1">
      <c r="A219" s="2">
        <v>39</v>
      </c>
      <c r="B219" s="2">
        <v>218</v>
      </c>
      <c r="C219" s="2">
        <v>6</v>
      </c>
      <c r="D219" s="2">
        <v>1</v>
      </c>
      <c r="E219" s="2">
        <v>1.01</v>
      </c>
    </row>
    <row r="220" spans="1:5" ht="14.25" customHeight="1">
      <c r="A220" s="2">
        <v>39</v>
      </c>
      <c r="B220" s="2">
        <v>219</v>
      </c>
      <c r="C220" s="2">
        <v>8</v>
      </c>
      <c r="D220" s="2">
        <v>1</v>
      </c>
      <c r="E220" s="2">
        <v>1.7150000000000001</v>
      </c>
    </row>
    <row r="221" spans="1:5" ht="14.25" customHeight="1">
      <c r="A221" s="2">
        <v>39</v>
      </c>
      <c r="B221" s="2">
        <v>220</v>
      </c>
      <c r="C221" s="2">
        <v>4</v>
      </c>
      <c r="D221" s="2">
        <v>1</v>
      </c>
      <c r="E221" s="2">
        <v>1.2869999999999999</v>
      </c>
    </row>
    <row r="222" spans="1:5" ht="14.25" customHeight="1">
      <c r="A222" s="2">
        <v>39</v>
      </c>
      <c r="B222" s="2">
        <v>221</v>
      </c>
      <c r="C222" s="2">
        <v>7</v>
      </c>
      <c r="D222" s="2">
        <v>1</v>
      </c>
      <c r="E222" s="2">
        <v>1.0569999999999999</v>
      </c>
    </row>
    <row r="223" spans="1:5" ht="14.25" customHeight="1">
      <c r="A223" s="2">
        <v>39</v>
      </c>
      <c r="B223" s="2">
        <v>222</v>
      </c>
      <c r="C223" s="2">
        <v>1</v>
      </c>
      <c r="D223" s="2">
        <v>1</v>
      </c>
      <c r="E223" s="2">
        <v>0.59599999999999997</v>
      </c>
    </row>
    <row r="224" spans="1:5" ht="14.25" customHeight="1">
      <c r="A224" s="2">
        <v>39</v>
      </c>
      <c r="B224" s="2">
        <v>223</v>
      </c>
      <c r="C224" s="2">
        <v>5</v>
      </c>
      <c r="D224" s="2">
        <v>1</v>
      </c>
      <c r="E224" s="2">
        <v>1.4510000000000001</v>
      </c>
    </row>
    <row r="225" spans="1:5" ht="14.25" customHeight="1">
      <c r="A225" s="2">
        <v>39</v>
      </c>
      <c r="B225" s="2">
        <v>224</v>
      </c>
      <c r="C225" s="2">
        <v>3</v>
      </c>
      <c r="D225" s="2">
        <v>1</v>
      </c>
      <c r="E225" s="2">
        <v>1.208</v>
      </c>
    </row>
    <row r="226" spans="1:5" ht="14.25" customHeight="1">
      <c r="A226" s="2">
        <v>39</v>
      </c>
      <c r="B226" s="2">
        <v>225</v>
      </c>
      <c r="C226" s="2">
        <v>6</v>
      </c>
      <c r="D226" s="2">
        <v>1</v>
      </c>
      <c r="E226" s="2">
        <v>1.091</v>
      </c>
    </row>
    <row r="227" spans="1:5" ht="14.25" customHeight="1">
      <c r="A227" s="2">
        <v>39</v>
      </c>
      <c r="B227" s="2">
        <v>226</v>
      </c>
      <c r="C227" s="2">
        <v>8</v>
      </c>
      <c r="D227" s="2">
        <v>1</v>
      </c>
      <c r="E227" s="2">
        <v>0.79200000000000004</v>
      </c>
    </row>
    <row r="228" spans="1:5" ht="14.25" customHeight="1">
      <c r="A228" s="2">
        <v>39</v>
      </c>
      <c r="B228" s="2">
        <v>227</v>
      </c>
      <c r="C228" s="2">
        <v>2</v>
      </c>
      <c r="D228" s="2">
        <v>1</v>
      </c>
      <c r="E228" s="2">
        <v>1.0780000000000001</v>
      </c>
    </row>
    <row r="229" spans="1:5" ht="14.25" customHeight="1">
      <c r="A229" s="2">
        <v>39</v>
      </c>
      <c r="B229" s="2">
        <v>228</v>
      </c>
      <c r="C229" s="2">
        <v>3</v>
      </c>
      <c r="D229" s="2">
        <v>1</v>
      </c>
      <c r="E229" s="2">
        <v>1.137</v>
      </c>
    </row>
    <row r="230" spans="1:5" ht="14.25" customHeight="1">
      <c r="A230" s="2">
        <v>39</v>
      </c>
      <c r="B230" s="2">
        <v>229</v>
      </c>
      <c r="C230" s="2">
        <v>2</v>
      </c>
      <c r="D230" s="2">
        <v>1</v>
      </c>
      <c r="E230" s="2">
        <v>1.0029999999999999</v>
      </c>
    </row>
    <row r="231" spans="1:5" ht="14.25" customHeight="1">
      <c r="A231" s="2">
        <v>39</v>
      </c>
      <c r="B231" s="2">
        <v>230</v>
      </c>
      <c r="C231" s="2">
        <v>4</v>
      </c>
      <c r="D231" s="2">
        <v>1</v>
      </c>
      <c r="E231" s="2">
        <v>1.2170000000000001</v>
      </c>
    </row>
    <row r="232" spans="1:5" ht="14.25" customHeight="1">
      <c r="A232" s="2">
        <v>39</v>
      </c>
      <c r="B232" s="2">
        <v>231</v>
      </c>
      <c r="C232" s="2">
        <v>2</v>
      </c>
      <c r="D232" s="2">
        <v>1</v>
      </c>
      <c r="E232" s="2">
        <v>0.84799999999999998</v>
      </c>
    </row>
    <row r="233" spans="1:5" ht="14.25" customHeight="1">
      <c r="A233" s="2">
        <v>39</v>
      </c>
      <c r="B233" s="2">
        <v>232</v>
      </c>
      <c r="C233" s="2">
        <v>4</v>
      </c>
      <c r="D233" s="2">
        <v>1</v>
      </c>
      <c r="E233" s="2">
        <v>1.232</v>
      </c>
    </row>
    <row r="234" spans="1:5" ht="14.25" customHeight="1">
      <c r="A234" s="2">
        <v>39</v>
      </c>
      <c r="B234" s="2">
        <v>233</v>
      </c>
      <c r="C234" s="2">
        <v>6</v>
      </c>
      <c r="D234" s="2">
        <v>1</v>
      </c>
      <c r="E234" s="2">
        <v>0.90600000000000003</v>
      </c>
    </row>
    <row r="235" spans="1:5" ht="14.25" customHeight="1">
      <c r="A235" s="2">
        <v>39</v>
      </c>
      <c r="B235" s="2">
        <v>234</v>
      </c>
      <c r="C235" s="2">
        <v>8</v>
      </c>
      <c r="D235" s="2">
        <v>1</v>
      </c>
      <c r="E235" s="2">
        <v>1.0009999999999999</v>
      </c>
    </row>
    <row r="236" spans="1:5" ht="14.25" customHeight="1">
      <c r="A236" s="2">
        <v>39</v>
      </c>
      <c r="B236" s="2">
        <v>235</v>
      </c>
      <c r="C236" s="2">
        <v>2</v>
      </c>
      <c r="D236" s="2">
        <v>1</v>
      </c>
      <c r="E236" s="2">
        <v>0.88800000000000001</v>
      </c>
    </row>
    <row r="237" spans="1:5" ht="14.25" customHeight="1">
      <c r="A237" s="2">
        <v>39</v>
      </c>
      <c r="B237" s="2">
        <v>236</v>
      </c>
      <c r="C237" s="2">
        <v>1</v>
      </c>
      <c r="D237" s="2">
        <v>1</v>
      </c>
      <c r="E237" s="2">
        <v>1.1140000000000001</v>
      </c>
    </row>
    <row r="238" spans="1:5" ht="14.25" customHeight="1">
      <c r="A238" s="2">
        <v>39</v>
      </c>
      <c r="B238" s="2">
        <v>237</v>
      </c>
      <c r="C238" s="2">
        <v>7</v>
      </c>
      <c r="D238" s="2">
        <v>1</v>
      </c>
      <c r="E238" s="2">
        <v>1.071</v>
      </c>
    </row>
    <row r="239" spans="1:5" ht="14.25" customHeight="1">
      <c r="A239" s="2">
        <v>39</v>
      </c>
      <c r="B239" s="2">
        <v>238</v>
      </c>
      <c r="C239" s="2">
        <v>4</v>
      </c>
      <c r="D239" s="2">
        <v>1</v>
      </c>
      <c r="E239" s="2">
        <v>0.99299999999999999</v>
      </c>
    </row>
    <row r="240" spans="1:5" ht="14.25" customHeight="1">
      <c r="A240" s="2">
        <v>39</v>
      </c>
      <c r="B240" s="2">
        <v>239</v>
      </c>
      <c r="C240" s="2">
        <v>5</v>
      </c>
      <c r="D240" s="2">
        <v>1</v>
      </c>
      <c r="E240" s="2">
        <v>0.94399999999999995</v>
      </c>
    </row>
    <row r="241" spans="1:5" ht="14.25" customHeight="1">
      <c r="A241" s="2">
        <v>39</v>
      </c>
      <c r="B241" s="2">
        <v>240</v>
      </c>
      <c r="C241" s="2">
        <v>7</v>
      </c>
      <c r="D241" s="2">
        <v>1</v>
      </c>
      <c r="E241" s="2">
        <v>0.96199999999999997</v>
      </c>
    </row>
    <row r="242" spans="1:5" ht="14.25" customHeight="1">
      <c r="A242" s="2">
        <v>39</v>
      </c>
      <c r="B242" s="2">
        <v>241</v>
      </c>
      <c r="C242" s="2">
        <v>5</v>
      </c>
      <c r="D242" s="2">
        <v>1</v>
      </c>
      <c r="E242" s="2">
        <v>0.90500000000000003</v>
      </c>
    </row>
    <row r="243" spans="1:5" ht="14.25" customHeight="1">
      <c r="A243" s="2">
        <v>39</v>
      </c>
      <c r="B243" s="2">
        <v>242</v>
      </c>
      <c r="C243" s="2">
        <v>8</v>
      </c>
      <c r="D243" s="2">
        <v>1</v>
      </c>
      <c r="E243" s="2">
        <v>0.83299999999999996</v>
      </c>
    </row>
    <row r="244" spans="1:5" ht="14.25" customHeight="1">
      <c r="A244" s="2">
        <v>39</v>
      </c>
      <c r="B244" s="2">
        <v>243</v>
      </c>
      <c r="C244" s="2">
        <v>5</v>
      </c>
      <c r="D244" s="2">
        <v>1</v>
      </c>
      <c r="E244" s="2">
        <v>1.0169999999999999</v>
      </c>
    </row>
    <row r="245" spans="1:5" ht="14.25" customHeight="1">
      <c r="A245" s="2">
        <v>39</v>
      </c>
      <c r="B245" s="2">
        <v>244</v>
      </c>
      <c r="C245" s="2">
        <v>3</v>
      </c>
      <c r="D245" s="2">
        <v>1</v>
      </c>
      <c r="E245" s="2">
        <v>0.753</v>
      </c>
    </row>
    <row r="246" spans="1:5" ht="14.25" customHeight="1">
      <c r="A246" s="2">
        <v>39</v>
      </c>
      <c r="B246" s="2">
        <v>245</v>
      </c>
      <c r="C246" s="2">
        <v>1</v>
      </c>
      <c r="D246" s="2">
        <v>1</v>
      </c>
      <c r="E246" s="2">
        <v>1.107</v>
      </c>
    </row>
    <row r="247" spans="1:5" ht="14.25" customHeight="1">
      <c r="A247" s="2">
        <v>39</v>
      </c>
      <c r="B247" s="2">
        <v>246</v>
      </c>
      <c r="C247" s="2">
        <v>4</v>
      </c>
      <c r="D247" s="2">
        <v>1</v>
      </c>
      <c r="E247" s="2">
        <v>0.995</v>
      </c>
    </row>
    <row r="248" spans="1:5" ht="14.25" customHeight="1">
      <c r="A248" s="2">
        <v>39</v>
      </c>
      <c r="B248" s="2">
        <v>247</v>
      </c>
      <c r="C248" s="2">
        <v>1</v>
      </c>
      <c r="D248" s="2">
        <v>1</v>
      </c>
      <c r="E248" s="2">
        <v>0.84499999999999997</v>
      </c>
    </row>
    <row r="249" spans="1:5" ht="14.25" customHeight="1">
      <c r="A249" s="2">
        <v>39</v>
      </c>
      <c r="B249" s="2">
        <v>248</v>
      </c>
      <c r="C249" s="2">
        <v>7</v>
      </c>
      <c r="D249" s="2">
        <v>1</v>
      </c>
      <c r="E249" s="2">
        <v>0.82299999999999995</v>
      </c>
    </row>
    <row r="250" spans="1:5" ht="14.25" customHeight="1">
      <c r="A250" s="2">
        <v>39</v>
      </c>
      <c r="B250" s="2">
        <v>249</v>
      </c>
      <c r="C250" s="2">
        <v>1</v>
      </c>
      <c r="D250" s="2">
        <v>1</v>
      </c>
      <c r="E250" s="2">
        <v>1.2270000000000001</v>
      </c>
    </row>
    <row r="251" spans="1:5" ht="14.25" customHeight="1">
      <c r="A251" s="2">
        <v>39</v>
      </c>
      <c r="B251" s="2">
        <v>250</v>
      </c>
      <c r="C251" s="2">
        <v>2</v>
      </c>
      <c r="D251" s="2">
        <v>1</v>
      </c>
      <c r="E251" s="2">
        <v>0.72399999999999998</v>
      </c>
    </row>
    <row r="252" spans="1:5" ht="14.25" customHeight="1">
      <c r="A252" s="2">
        <v>39</v>
      </c>
      <c r="B252" s="2">
        <v>251</v>
      </c>
      <c r="C252" s="2">
        <v>4</v>
      </c>
    </row>
    <row r="253" spans="1:5" ht="14.25" customHeight="1">
      <c r="A253" s="2">
        <v>39</v>
      </c>
      <c r="B253" s="2">
        <v>252</v>
      </c>
      <c r="C253" s="2">
        <v>8</v>
      </c>
    </row>
    <row r="254" spans="1:5" ht="14.25" customHeight="1">
      <c r="A254" s="2">
        <v>39</v>
      </c>
      <c r="B254" s="2">
        <v>253</v>
      </c>
      <c r="C254" s="2">
        <v>5</v>
      </c>
    </row>
    <row r="255" spans="1:5" ht="14.25" customHeight="1">
      <c r="A255" s="2">
        <v>39</v>
      </c>
      <c r="B255" s="2">
        <v>254</v>
      </c>
      <c r="C255" s="2">
        <v>2</v>
      </c>
    </row>
    <row r="256" spans="1:5" ht="14.25" customHeight="1">
      <c r="A256" s="2">
        <v>39</v>
      </c>
      <c r="B256" s="2">
        <v>255</v>
      </c>
      <c r="C256" s="2">
        <v>8</v>
      </c>
    </row>
    <row r="257" spans="1:3" ht="14.25" customHeight="1">
      <c r="A257" s="2">
        <v>39</v>
      </c>
      <c r="B257" s="2">
        <v>256</v>
      </c>
      <c r="C257" s="2">
        <v>7</v>
      </c>
    </row>
    <row r="258" spans="1:3" ht="14.25" customHeight="1">
      <c r="A258" s="2">
        <v>39</v>
      </c>
      <c r="B258" s="2">
        <v>257</v>
      </c>
      <c r="C258" s="2">
        <v>4</v>
      </c>
    </row>
    <row r="259" spans="1:3" ht="14.25" customHeight="1">
      <c r="A259" s="2">
        <v>39</v>
      </c>
      <c r="B259" s="2">
        <v>258</v>
      </c>
      <c r="C259" s="2">
        <v>3</v>
      </c>
    </row>
    <row r="260" spans="1:3" ht="14.25" customHeight="1">
      <c r="A260" s="2">
        <v>39</v>
      </c>
      <c r="B260" s="2">
        <v>259</v>
      </c>
      <c r="C260" s="2">
        <v>4</v>
      </c>
    </row>
    <row r="261" spans="1:3" ht="14.25" customHeight="1">
      <c r="A261" s="2">
        <v>39</v>
      </c>
      <c r="B261" s="2">
        <v>260</v>
      </c>
      <c r="C261" s="2">
        <v>7</v>
      </c>
    </row>
    <row r="262" spans="1:3" ht="14.25" customHeight="1">
      <c r="A262" s="2">
        <v>39</v>
      </c>
      <c r="B262" s="2">
        <v>261</v>
      </c>
      <c r="C262" s="2">
        <v>5</v>
      </c>
    </row>
    <row r="263" spans="1:3" ht="14.25" customHeight="1">
      <c r="A263" s="2">
        <v>39</v>
      </c>
      <c r="B263" s="2">
        <v>262</v>
      </c>
      <c r="C263" s="2">
        <v>1</v>
      </c>
    </row>
    <row r="264" spans="1:3" ht="14.25" customHeight="1">
      <c r="A264" s="2">
        <v>39</v>
      </c>
      <c r="B264" s="2">
        <v>263</v>
      </c>
      <c r="C264" s="2">
        <v>4</v>
      </c>
    </row>
    <row r="265" spans="1:3" ht="14.25" customHeight="1">
      <c r="A265" s="2">
        <v>39</v>
      </c>
      <c r="B265" s="2">
        <v>264</v>
      </c>
      <c r="C265" s="2">
        <v>3</v>
      </c>
    </row>
    <row r="266" spans="1:3" ht="14.25" customHeight="1">
      <c r="A266" s="2">
        <v>39</v>
      </c>
      <c r="B266" s="2">
        <v>265</v>
      </c>
      <c r="C266" s="2">
        <v>4</v>
      </c>
    </row>
    <row r="267" spans="1:3" ht="14.25" customHeight="1">
      <c r="A267" s="2">
        <v>39</v>
      </c>
      <c r="B267" s="2">
        <v>266</v>
      </c>
      <c r="C267" s="2">
        <v>8</v>
      </c>
    </row>
    <row r="268" spans="1:3" ht="14.25" customHeight="1">
      <c r="A268" s="2">
        <v>39</v>
      </c>
      <c r="B268" s="2">
        <v>267</v>
      </c>
      <c r="C268" s="2">
        <v>2</v>
      </c>
    </row>
    <row r="269" spans="1:3" ht="14.25" customHeight="1">
      <c r="A269" s="2">
        <v>39</v>
      </c>
      <c r="B269" s="2">
        <v>268</v>
      </c>
      <c r="C269" s="2">
        <v>8</v>
      </c>
    </row>
    <row r="270" spans="1:3" ht="14.25" customHeight="1">
      <c r="A270" s="2">
        <v>39</v>
      </c>
      <c r="B270" s="2">
        <v>269</v>
      </c>
      <c r="C270" s="2">
        <v>6</v>
      </c>
    </row>
    <row r="271" spans="1:3" ht="14.25" customHeight="1">
      <c r="A271" s="2">
        <v>39</v>
      </c>
      <c r="B271" s="2">
        <v>270</v>
      </c>
      <c r="C271" s="2">
        <v>7</v>
      </c>
    </row>
    <row r="272" spans="1:3" ht="14.25" customHeight="1">
      <c r="A272" s="2">
        <v>39</v>
      </c>
      <c r="B272" s="2">
        <v>271</v>
      </c>
      <c r="C272" s="2">
        <v>5</v>
      </c>
    </row>
    <row r="273" spans="1:3" ht="14.25" customHeight="1">
      <c r="A273" s="2">
        <v>39</v>
      </c>
      <c r="B273" s="2">
        <v>272</v>
      </c>
      <c r="C273" s="2">
        <v>2</v>
      </c>
    </row>
    <row r="274" spans="1:3" ht="14.25" customHeight="1">
      <c r="A274" s="2">
        <v>39</v>
      </c>
      <c r="B274" s="2">
        <v>273</v>
      </c>
      <c r="C274" s="2">
        <v>8</v>
      </c>
    </row>
    <row r="275" spans="1:3" ht="14.25" customHeight="1">
      <c r="A275" s="2">
        <v>39</v>
      </c>
      <c r="B275" s="2">
        <v>274</v>
      </c>
      <c r="C275" s="2">
        <v>3</v>
      </c>
    </row>
    <row r="276" spans="1:3" ht="14.25" customHeight="1">
      <c r="A276" s="2">
        <v>39</v>
      </c>
      <c r="B276" s="2">
        <v>275</v>
      </c>
      <c r="C276" s="2">
        <v>5</v>
      </c>
    </row>
    <row r="277" spans="1:3" ht="14.25" customHeight="1">
      <c r="A277" s="2">
        <v>39</v>
      </c>
      <c r="B277" s="2">
        <v>276</v>
      </c>
      <c r="C277" s="2">
        <v>6</v>
      </c>
    </row>
    <row r="278" spans="1:3" ht="14.25" customHeight="1">
      <c r="A278" s="2">
        <v>39</v>
      </c>
      <c r="B278" s="2">
        <v>277</v>
      </c>
      <c r="C278" s="2">
        <v>7</v>
      </c>
    </row>
    <row r="279" spans="1:3" ht="14.25" customHeight="1">
      <c r="A279" s="2">
        <v>39</v>
      </c>
      <c r="B279" s="2">
        <v>278</v>
      </c>
      <c r="C279" s="2">
        <v>1</v>
      </c>
    </row>
    <row r="280" spans="1:3" ht="14.25" customHeight="1">
      <c r="A280" s="2">
        <v>39</v>
      </c>
      <c r="B280" s="2">
        <v>279</v>
      </c>
      <c r="C280" s="2">
        <v>8</v>
      </c>
    </row>
    <row r="281" spans="1:3" ht="14.25" customHeight="1">
      <c r="A281" s="2">
        <v>39</v>
      </c>
      <c r="B281" s="2">
        <v>280</v>
      </c>
      <c r="C281" s="2">
        <v>6</v>
      </c>
    </row>
    <row r="282" spans="1:3" ht="14.25" customHeight="1">
      <c r="A282" s="2">
        <v>39</v>
      </c>
      <c r="B282" s="2">
        <v>281</v>
      </c>
      <c r="C282" s="2">
        <v>7</v>
      </c>
    </row>
    <row r="283" spans="1:3" ht="14.25" customHeight="1">
      <c r="A283" s="2">
        <v>39</v>
      </c>
      <c r="B283" s="2">
        <v>282</v>
      </c>
      <c r="C283" s="2">
        <v>1</v>
      </c>
    </row>
    <row r="284" spans="1:3" ht="14.25" customHeight="1">
      <c r="A284" s="2">
        <v>39</v>
      </c>
      <c r="B284" s="2">
        <v>283</v>
      </c>
      <c r="C284" s="2">
        <v>6</v>
      </c>
    </row>
    <row r="285" spans="1:3" ht="14.25" customHeight="1">
      <c r="A285" s="2">
        <v>39</v>
      </c>
      <c r="B285" s="2">
        <v>284</v>
      </c>
      <c r="C285" s="2">
        <v>2</v>
      </c>
    </row>
    <row r="286" spans="1:3" ht="14.25" customHeight="1">
      <c r="A286" s="2">
        <v>39</v>
      </c>
      <c r="B286" s="2">
        <v>285</v>
      </c>
      <c r="C286" s="2">
        <v>1</v>
      </c>
    </row>
    <row r="287" spans="1:3" ht="14.25" customHeight="1">
      <c r="A287" s="2">
        <v>39</v>
      </c>
      <c r="B287" s="2">
        <v>286</v>
      </c>
      <c r="C287" s="2">
        <v>6</v>
      </c>
    </row>
    <row r="288" spans="1:3" ht="14.25" customHeight="1">
      <c r="A288" s="2">
        <v>39</v>
      </c>
      <c r="B288" s="2">
        <v>287</v>
      </c>
      <c r="C288" s="2">
        <v>4</v>
      </c>
    </row>
    <row r="289" spans="1:4" ht="14.25" customHeight="1">
      <c r="A289" s="2">
        <v>39</v>
      </c>
      <c r="B289" s="2">
        <v>288</v>
      </c>
      <c r="C289" s="2">
        <v>8</v>
      </c>
    </row>
    <row r="290" spans="1:4" ht="14.25" customHeight="1">
      <c r="A290" s="2">
        <v>39</v>
      </c>
      <c r="B290" s="2">
        <v>289</v>
      </c>
      <c r="C290" s="2">
        <v>7</v>
      </c>
    </row>
    <row r="291" spans="1:4" ht="14.25" customHeight="1">
      <c r="A291" s="2">
        <v>39</v>
      </c>
      <c r="B291" s="2">
        <v>290</v>
      </c>
      <c r="C291" s="2">
        <v>5</v>
      </c>
    </row>
    <row r="292" spans="1:4" ht="14.25" customHeight="1">
      <c r="A292" s="2">
        <v>39</v>
      </c>
      <c r="B292" s="2">
        <v>291</v>
      </c>
      <c r="C292" s="2">
        <v>3</v>
      </c>
    </row>
    <row r="293" spans="1:4" ht="14.25" customHeight="1">
      <c r="A293" s="2">
        <v>39</v>
      </c>
      <c r="B293" s="2">
        <v>292</v>
      </c>
      <c r="C293" s="2">
        <v>1</v>
      </c>
    </row>
    <row r="294" spans="1:4" ht="14.25" customHeight="1">
      <c r="A294" s="2">
        <v>39</v>
      </c>
      <c r="B294" s="2">
        <v>293</v>
      </c>
      <c r="C294" s="2">
        <v>3</v>
      </c>
    </row>
    <row r="295" spans="1:4" ht="14.25" customHeight="1">
      <c r="A295" s="2">
        <v>39</v>
      </c>
      <c r="B295" s="2">
        <v>294</v>
      </c>
      <c r="C295" s="2">
        <v>2</v>
      </c>
    </row>
    <row r="296" spans="1:4" ht="14.25" customHeight="1">
      <c r="A296" s="2">
        <v>39</v>
      </c>
      <c r="B296" s="2">
        <v>295</v>
      </c>
      <c r="C296" s="2">
        <v>1</v>
      </c>
    </row>
    <row r="297" spans="1:4" ht="14.25" customHeight="1">
      <c r="A297" s="2">
        <v>39</v>
      </c>
      <c r="B297" s="2">
        <v>296</v>
      </c>
      <c r="C297" s="2">
        <v>4</v>
      </c>
    </row>
    <row r="298" spans="1:4" ht="14.25" customHeight="1">
      <c r="A298" s="2">
        <v>39</v>
      </c>
      <c r="B298" s="2">
        <v>297</v>
      </c>
      <c r="C298" s="2">
        <v>5</v>
      </c>
    </row>
    <row r="299" spans="1:4" ht="14.25" customHeight="1">
      <c r="A299" s="2">
        <v>39</v>
      </c>
      <c r="B299" s="2">
        <v>298</v>
      </c>
      <c r="C299" s="2">
        <v>3</v>
      </c>
    </row>
    <row r="300" spans="1:4" ht="14.25" customHeight="1">
      <c r="A300" s="2">
        <v>39</v>
      </c>
      <c r="B300" s="2">
        <v>299</v>
      </c>
      <c r="C300" s="2">
        <v>2</v>
      </c>
    </row>
    <row r="301" spans="1:4" ht="14.25" customHeight="1">
      <c r="A301" s="2">
        <v>39</v>
      </c>
      <c r="B301" s="2">
        <v>300</v>
      </c>
      <c r="C301" s="2">
        <v>6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40</v>
      </c>
      <c r="I1" s="2">
        <v>101</v>
      </c>
      <c r="J1" s="2">
        <v>4</v>
      </c>
      <c r="K1" s="2">
        <v>1</v>
      </c>
      <c r="L1" s="2">
        <v>1.3859999999999999</v>
      </c>
      <c r="M1" s="2">
        <v>1</v>
      </c>
    </row>
    <row r="2" spans="1:25" ht="14.25" customHeight="1">
      <c r="A2" s="2">
        <v>40</v>
      </c>
      <c r="B2" s="2">
        <v>1</v>
      </c>
      <c r="C2" s="2">
        <v>5</v>
      </c>
      <c r="D2" s="2">
        <v>0</v>
      </c>
      <c r="E2" s="2">
        <v>1.907</v>
      </c>
      <c r="F2" s="2">
        <v>2</v>
      </c>
      <c r="H2" s="2">
        <v>40</v>
      </c>
      <c r="I2" s="2">
        <v>102</v>
      </c>
      <c r="J2" s="2">
        <v>7</v>
      </c>
      <c r="K2" s="2">
        <v>0</v>
      </c>
      <c r="L2" s="2">
        <v>0.84599999999999997</v>
      </c>
      <c r="M2" s="2">
        <v>1</v>
      </c>
    </row>
    <row r="3" spans="1:25" ht="14.25" customHeight="1">
      <c r="A3" s="2">
        <v>40</v>
      </c>
      <c r="B3" s="2">
        <v>2</v>
      </c>
      <c r="C3" s="2">
        <v>2</v>
      </c>
      <c r="D3" s="2">
        <v>0</v>
      </c>
      <c r="E3" s="2">
        <v>1.714</v>
      </c>
      <c r="F3" s="2">
        <v>1</v>
      </c>
      <c r="H3" s="2">
        <v>40</v>
      </c>
      <c r="I3" s="2">
        <v>103</v>
      </c>
      <c r="J3" s="2">
        <v>2</v>
      </c>
      <c r="K3" s="2">
        <v>1</v>
      </c>
      <c r="L3" s="2">
        <v>0.65400000000000003</v>
      </c>
      <c r="M3" s="2">
        <v>2</v>
      </c>
    </row>
    <row r="4" spans="1:25" ht="14.25" customHeight="1">
      <c r="A4" s="2">
        <v>40</v>
      </c>
      <c r="B4" s="2">
        <v>3</v>
      </c>
      <c r="C4" s="2">
        <v>7</v>
      </c>
      <c r="D4" s="2">
        <v>0</v>
      </c>
      <c r="E4" s="2">
        <v>0.97399999999999998</v>
      </c>
      <c r="F4" s="2">
        <v>1</v>
      </c>
      <c r="H4" s="2">
        <v>40</v>
      </c>
      <c r="I4" s="2">
        <v>104</v>
      </c>
      <c r="J4" s="2">
        <v>3</v>
      </c>
      <c r="K4" s="2">
        <v>1</v>
      </c>
      <c r="L4" s="2">
        <v>0.7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40</v>
      </c>
      <c r="B5" s="2">
        <v>4</v>
      </c>
      <c r="C5" s="2">
        <v>8</v>
      </c>
      <c r="D5" s="2">
        <v>1</v>
      </c>
      <c r="E5" s="2">
        <v>1.6419999999999999</v>
      </c>
      <c r="F5" s="2">
        <v>2</v>
      </c>
      <c r="H5" s="2">
        <v>40</v>
      </c>
      <c r="I5" s="2">
        <v>105</v>
      </c>
      <c r="J5" s="2">
        <v>8</v>
      </c>
      <c r="K5" s="2">
        <v>1</v>
      </c>
      <c r="L5" s="2">
        <v>0.76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40</v>
      </c>
      <c r="B6" s="2">
        <v>5</v>
      </c>
      <c r="C6" s="2">
        <v>1</v>
      </c>
      <c r="D6" s="2">
        <v>1</v>
      </c>
      <c r="E6" s="2">
        <v>0.67600000000000005</v>
      </c>
      <c r="F6" s="2">
        <v>1</v>
      </c>
      <c r="H6" s="2">
        <v>40</v>
      </c>
      <c r="I6" s="2">
        <v>106</v>
      </c>
      <c r="J6" s="2">
        <v>6</v>
      </c>
      <c r="K6" s="2">
        <v>0</v>
      </c>
      <c r="L6" s="2">
        <v>0.85099999999999998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40</v>
      </c>
      <c r="B7" s="2">
        <v>6</v>
      </c>
      <c r="C7" s="2">
        <v>5</v>
      </c>
      <c r="D7" s="2">
        <v>0</v>
      </c>
      <c r="E7" s="2">
        <v>0.98</v>
      </c>
      <c r="F7" s="2">
        <v>2</v>
      </c>
      <c r="H7" s="2">
        <v>40</v>
      </c>
      <c r="I7" s="2">
        <v>107</v>
      </c>
      <c r="J7" s="2">
        <v>4</v>
      </c>
      <c r="K7" s="2">
        <v>1</v>
      </c>
      <c r="L7" s="2">
        <v>0.77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40</v>
      </c>
      <c r="B8" s="2">
        <v>7</v>
      </c>
      <c r="C8" s="2">
        <v>1</v>
      </c>
      <c r="E8" s="2">
        <v>2</v>
      </c>
      <c r="H8" s="2">
        <v>40</v>
      </c>
      <c r="I8" s="2">
        <v>108</v>
      </c>
      <c r="J8" s="2">
        <v>7</v>
      </c>
      <c r="K8" s="2">
        <v>1</v>
      </c>
      <c r="L8" s="2">
        <v>1.7609999999999999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40</v>
      </c>
      <c r="B9" s="2">
        <v>8</v>
      </c>
      <c r="C9" s="2">
        <v>3</v>
      </c>
      <c r="D9" s="2">
        <v>1</v>
      </c>
      <c r="E9" s="2">
        <v>0.77500000000000002</v>
      </c>
      <c r="F9" s="2">
        <v>1</v>
      </c>
      <c r="H9" s="2">
        <v>40</v>
      </c>
      <c r="I9" s="2">
        <v>109</v>
      </c>
      <c r="J9" s="2">
        <v>5</v>
      </c>
      <c r="K9" s="2">
        <v>1</v>
      </c>
      <c r="L9" s="2">
        <v>1.181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40</v>
      </c>
      <c r="B10" s="2">
        <v>9</v>
      </c>
      <c r="C10" s="2">
        <v>2</v>
      </c>
      <c r="D10" s="2">
        <v>0</v>
      </c>
      <c r="E10" s="2">
        <v>0.78700000000000003</v>
      </c>
      <c r="F10" s="2">
        <v>1</v>
      </c>
      <c r="H10" s="2">
        <v>40</v>
      </c>
      <c r="I10" s="2">
        <v>110</v>
      </c>
      <c r="J10" s="2">
        <v>4</v>
      </c>
      <c r="K10" s="2">
        <v>0</v>
      </c>
      <c r="L10" s="2">
        <v>1.2190000000000001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40</v>
      </c>
      <c r="B11" s="2">
        <v>10</v>
      </c>
      <c r="C11" s="2">
        <v>6</v>
      </c>
      <c r="D11" s="2">
        <v>0</v>
      </c>
      <c r="E11" s="2">
        <v>1.2669999999999999</v>
      </c>
      <c r="F11" s="2">
        <v>2</v>
      </c>
      <c r="H11" s="2">
        <v>40</v>
      </c>
      <c r="I11" s="2">
        <v>111</v>
      </c>
      <c r="J11" s="2">
        <v>1</v>
      </c>
      <c r="K11" s="2">
        <v>1</v>
      </c>
      <c r="L11" s="2">
        <v>0.67300000000000004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40</v>
      </c>
      <c r="B12" s="2">
        <v>11</v>
      </c>
      <c r="C12" s="2">
        <v>8</v>
      </c>
      <c r="D12" s="2">
        <v>1</v>
      </c>
      <c r="E12" s="2">
        <v>0.73699999999999999</v>
      </c>
      <c r="F12" s="2">
        <v>2</v>
      </c>
      <c r="H12" s="2">
        <v>40</v>
      </c>
      <c r="I12" s="2">
        <v>112</v>
      </c>
      <c r="J12" s="2">
        <v>7</v>
      </c>
      <c r="K12" s="2">
        <v>1</v>
      </c>
      <c r="L12" s="2">
        <v>1.889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40</v>
      </c>
      <c r="B13" s="2">
        <v>12</v>
      </c>
      <c r="C13" s="2">
        <v>5</v>
      </c>
      <c r="D13" s="2">
        <v>0</v>
      </c>
      <c r="E13" s="2">
        <v>1.05</v>
      </c>
      <c r="F13" s="2">
        <v>2</v>
      </c>
      <c r="H13" s="2">
        <v>40</v>
      </c>
      <c r="I13" s="2">
        <v>113</v>
      </c>
      <c r="J13" s="2">
        <v>3</v>
      </c>
      <c r="K13" s="2">
        <v>0</v>
      </c>
      <c r="L13" s="2">
        <v>1.625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40</v>
      </c>
      <c r="B14" s="2">
        <v>13</v>
      </c>
      <c r="C14" s="2">
        <v>6</v>
      </c>
      <c r="D14" s="2">
        <v>0</v>
      </c>
      <c r="E14" s="2">
        <v>0.79500000000000004</v>
      </c>
      <c r="F14" s="2">
        <v>2</v>
      </c>
      <c r="H14" s="2">
        <v>40</v>
      </c>
      <c r="I14" s="2">
        <v>114</v>
      </c>
      <c r="J14" s="2">
        <v>6</v>
      </c>
      <c r="K14" s="2">
        <v>0</v>
      </c>
      <c r="L14" s="2">
        <v>0.68600000000000005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40</v>
      </c>
      <c r="B15" s="2">
        <v>14</v>
      </c>
      <c r="C15" s="2">
        <v>3</v>
      </c>
      <c r="D15" s="2">
        <v>1</v>
      </c>
      <c r="E15" s="2">
        <v>0.91300000000000003</v>
      </c>
      <c r="F15" s="2">
        <v>1</v>
      </c>
      <c r="H15" s="2">
        <v>40</v>
      </c>
      <c r="I15" s="2">
        <v>115</v>
      </c>
      <c r="J15" s="2">
        <v>5</v>
      </c>
      <c r="K15" s="2">
        <v>0</v>
      </c>
      <c r="L15" s="2">
        <v>0.96899999999999997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40</v>
      </c>
      <c r="B16" s="2">
        <v>15</v>
      </c>
      <c r="C16" s="2">
        <v>1</v>
      </c>
      <c r="D16" s="2">
        <v>1</v>
      </c>
      <c r="E16" s="2">
        <v>1.022</v>
      </c>
      <c r="F16" s="2">
        <v>1</v>
      </c>
      <c r="H16" s="2">
        <v>40</v>
      </c>
      <c r="I16" s="2">
        <v>116</v>
      </c>
      <c r="J16" s="2">
        <v>1</v>
      </c>
      <c r="K16" s="2">
        <v>1</v>
      </c>
      <c r="L16" s="2">
        <v>1.716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40</v>
      </c>
      <c r="B17" s="2">
        <v>16</v>
      </c>
      <c r="C17" s="2">
        <v>6</v>
      </c>
      <c r="D17" s="2">
        <v>0</v>
      </c>
      <c r="E17" s="2">
        <v>0.72099999999999997</v>
      </c>
      <c r="F17" s="2">
        <v>2</v>
      </c>
      <c r="H17" s="2">
        <v>40</v>
      </c>
      <c r="I17" s="2">
        <v>117</v>
      </c>
      <c r="J17" s="2">
        <v>6</v>
      </c>
      <c r="K17" s="2">
        <v>1</v>
      </c>
      <c r="L17" s="2">
        <v>0.874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9.0000000000000024E-2</v>
      </c>
      <c r="P17" s="3">
        <f t="shared" ref="P17:P22" si="1">(P6*COUNTIF($J$1:$J$101,P$16) - COUNTIFS($J$1:$J$101,P$16,$K$1:$K$101,"=1"))^2</f>
        <v>2.8899999999999975</v>
      </c>
      <c r="Q17" s="3">
        <f t="shared" ref="Q17:Q22" si="2">(Q6*COUNTIF($J$1:$J$101,Q$16) - COUNTIFS($J$1:$J$101,Q$16,$K$1:$K$101,"=0"))^2</f>
        <v>1.6899999999999995</v>
      </c>
      <c r="R17" s="3">
        <f t="shared" ref="R17:R22" si="3">(R6*COUNTIF($J$1:$J$101,R$16) - COUNTIFS($J$1:$J$101,R$16,$K$1:$K$101,"=1"))^2</f>
        <v>13.689999999999994</v>
      </c>
      <c r="S17" s="3">
        <f t="shared" ref="S17:T17" si="4">(S6*COUNTIF($J$1:$J$101,S$16) - COUNTIFS($J$1:$J$101,S$16,$K$1:$K$101,"=0"))^2</f>
        <v>7.2900000000000009</v>
      </c>
      <c r="T17" s="3">
        <f t="shared" si="4"/>
        <v>13.690000000000001</v>
      </c>
      <c r="U17" s="3">
        <f t="shared" ref="U17:V17" si="5">(U6*COUNTIF($J$1:$J$101,U$16) - COUNTIFS($J$1:$J$101,U$16,$K$1:$K$101,"=1"))^2</f>
        <v>2.7224999999999984</v>
      </c>
      <c r="V17" s="3">
        <f t="shared" si="5"/>
        <v>2.8899999999999975</v>
      </c>
      <c r="W17" s="4"/>
      <c r="X17" s="4"/>
      <c r="Y17" s="4"/>
    </row>
    <row r="18" spans="1:25" ht="14.25" customHeight="1">
      <c r="A18" s="2">
        <v>40</v>
      </c>
      <c r="B18" s="2">
        <v>17</v>
      </c>
      <c r="C18" s="2">
        <v>8</v>
      </c>
      <c r="D18" s="2">
        <v>1</v>
      </c>
      <c r="E18" s="2">
        <v>0.91400000000000003</v>
      </c>
      <c r="F18" s="2">
        <v>2</v>
      </c>
      <c r="H18" s="2">
        <v>40</v>
      </c>
      <c r="I18" s="2">
        <v>118</v>
      </c>
      <c r="J18" s="2">
        <v>7</v>
      </c>
      <c r="K18" s="2">
        <v>1</v>
      </c>
      <c r="L18" s="2">
        <v>1.3640000000000001</v>
      </c>
      <c r="M18" s="2">
        <v>2</v>
      </c>
      <c r="N18" s="3">
        <v>2</v>
      </c>
      <c r="O18" s="3">
        <f t="shared" si="0"/>
        <v>9.0000000000000024E-2</v>
      </c>
      <c r="P18" s="3">
        <f t="shared" si="1"/>
        <v>13.690000000000001</v>
      </c>
      <c r="Q18" s="6">
        <f t="shared" si="2"/>
        <v>25</v>
      </c>
      <c r="R18" s="3">
        <f t="shared" si="3"/>
        <v>13.689999999999994</v>
      </c>
      <c r="S18" s="6">
        <f t="shared" ref="S18:T18" si="6">(S7*COUNTIF($J$1:$J$101,S$16) - COUNTIFS($J$1:$J$101,S$16,$K$1:$K$101,"=0"))^2</f>
        <v>7.2900000000000009</v>
      </c>
      <c r="T18" s="6">
        <f t="shared" si="6"/>
        <v>13.690000000000001</v>
      </c>
      <c r="U18" s="6">
        <f t="shared" ref="U18:V18" si="7">(U7*COUNTIF($J$1:$J$101,U$16) - COUNTIFS($J$1:$J$101,U$16,$K$1:$K$101,"=1"))^2</f>
        <v>2.7224999999999984</v>
      </c>
      <c r="V18" s="6">
        <f t="shared" si="7"/>
        <v>2.8899999999999975</v>
      </c>
      <c r="W18" s="4"/>
      <c r="X18" s="4"/>
      <c r="Y18" s="4"/>
    </row>
    <row r="19" spans="1:25" ht="14.25" customHeight="1">
      <c r="A19" s="2">
        <v>40</v>
      </c>
      <c r="B19" s="2">
        <v>18</v>
      </c>
      <c r="C19" s="2">
        <v>4</v>
      </c>
      <c r="D19" s="2">
        <v>1</v>
      </c>
      <c r="E19" s="2">
        <v>0.79900000000000004</v>
      </c>
      <c r="F19" s="2">
        <v>2</v>
      </c>
      <c r="H19" s="2">
        <v>40</v>
      </c>
      <c r="I19" s="2">
        <v>119</v>
      </c>
      <c r="J19" s="2">
        <v>8</v>
      </c>
      <c r="K19" s="2">
        <v>1</v>
      </c>
      <c r="L19" s="2">
        <v>0.91400000000000003</v>
      </c>
      <c r="M19" s="2">
        <v>2</v>
      </c>
      <c r="N19" s="3">
        <v>3</v>
      </c>
      <c r="O19" s="3">
        <f t="shared" si="0"/>
        <v>9.0000000000000024E-2</v>
      </c>
      <c r="P19" s="3">
        <f t="shared" si="1"/>
        <v>2.8899999999999975</v>
      </c>
      <c r="Q19" s="3">
        <f t="shared" si="2"/>
        <v>1.6899999999999995</v>
      </c>
      <c r="R19" s="3">
        <f t="shared" si="3"/>
        <v>13.689999999999994</v>
      </c>
      <c r="S19" s="6">
        <f t="shared" ref="S19:T19" si="8">(S8*COUNTIF($J$1:$J$101,S$16) - COUNTIFS($J$1:$J$101,S$16,$K$1:$K$101,"=0"))^2</f>
        <v>7.2900000000000009</v>
      </c>
      <c r="T19" s="6">
        <f t="shared" si="8"/>
        <v>2.8899999999999975</v>
      </c>
      <c r="U19" s="3">
        <f t="shared" ref="U19:V19" si="9">(U8*COUNTIF($J$1:$J$101,U$16) - COUNTIFS($J$1:$J$101,U$16,$K$1:$K$101,"=1"))^2</f>
        <v>21.622500000000002</v>
      </c>
      <c r="V19" s="6">
        <f t="shared" si="9"/>
        <v>2.8899999999999975</v>
      </c>
      <c r="W19" s="4"/>
      <c r="X19" s="4"/>
      <c r="Y19" s="4"/>
    </row>
    <row r="20" spans="1:25" ht="14.25" customHeight="1">
      <c r="A20" s="2">
        <v>40</v>
      </c>
      <c r="B20" s="2">
        <v>19</v>
      </c>
      <c r="C20" s="2">
        <v>7</v>
      </c>
      <c r="D20" s="2">
        <v>0</v>
      </c>
      <c r="E20" s="2">
        <v>1.0429999999999999</v>
      </c>
      <c r="F20" s="2">
        <v>1</v>
      </c>
      <c r="H20" s="2">
        <v>40</v>
      </c>
      <c r="I20" s="2">
        <v>120</v>
      </c>
      <c r="J20" s="2">
        <v>7</v>
      </c>
      <c r="K20" s="2">
        <v>1</v>
      </c>
      <c r="L20" s="2">
        <v>0.97799999999999998</v>
      </c>
      <c r="M20" s="2">
        <v>1</v>
      </c>
      <c r="N20" s="3">
        <v>4</v>
      </c>
      <c r="O20" s="3">
        <f t="shared" si="0"/>
        <v>9</v>
      </c>
      <c r="P20" s="3">
        <f t="shared" si="1"/>
        <v>1</v>
      </c>
      <c r="Q20" s="3">
        <f t="shared" si="2"/>
        <v>2.25</v>
      </c>
      <c r="R20" s="3">
        <f t="shared" si="3"/>
        <v>1</v>
      </c>
      <c r="S20" s="6">
        <f t="shared" ref="S20:T20" si="10">(S9*COUNTIF($J$1:$J$101,S$16) - COUNTIFS($J$1:$J$101,S$16,$K$1:$K$101,"=0"))^2</f>
        <v>7.2900000000000009</v>
      </c>
      <c r="T20" s="6">
        <f t="shared" si="10"/>
        <v>13.690000000000001</v>
      </c>
      <c r="U20" s="6">
        <f t="shared" ref="U20:V20" si="11">(U9*COUNTIF($J$1:$J$101,U$16) - COUNTIFS($J$1:$J$101,U$16,$K$1:$K$101,"=1"))^2</f>
        <v>2.7224999999999984</v>
      </c>
      <c r="V20" s="6">
        <f t="shared" si="11"/>
        <v>2.8899999999999975</v>
      </c>
      <c r="W20" s="4"/>
      <c r="X20" s="4"/>
      <c r="Y20" s="4"/>
    </row>
    <row r="21" spans="1:25" ht="14.25" customHeight="1">
      <c r="A21" s="2">
        <v>40</v>
      </c>
      <c r="B21" s="2">
        <v>20</v>
      </c>
      <c r="C21" s="2">
        <v>6</v>
      </c>
      <c r="D21" s="2">
        <v>1</v>
      </c>
      <c r="E21" s="2">
        <v>1.375</v>
      </c>
      <c r="F21" s="2">
        <v>1</v>
      </c>
      <c r="H21" s="2">
        <v>40</v>
      </c>
      <c r="I21" s="2">
        <v>121</v>
      </c>
      <c r="J21" s="2">
        <v>1</v>
      </c>
      <c r="K21" s="2">
        <v>1</v>
      </c>
      <c r="L21" s="2">
        <v>1.3069999999999999</v>
      </c>
      <c r="M21" s="2">
        <v>2</v>
      </c>
      <c r="N21" s="3">
        <v>5</v>
      </c>
      <c r="O21" s="3">
        <f t="shared" si="0"/>
        <v>9.0000000000000024E-2</v>
      </c>
      <c r="P21" s="3">
        <f t="shared" si="1"/>
        <v>2.8899999999999975</v>
      </c>
      <c r="Q21" s="3">
        <f t="shared" si="2"/>
        <v>1.6899999999999995</v>
      </c>
      <c r="R21" s="3">
        <f t="shared" si="3"/>
        <v>13.689999999999994</v>
      </c>
      <c r="S21" s="6">
        <f t="shared" ref="S21:T21" si="12">(S10*COUNTIF($J$1:$J$101,S$16) - COUNTIFS($J$1:$J$101,S$16,$K$1:$K$101,"=0"))^2</f>
        <v>0</v>
      </c>
      <c r="T21" s="6">
        <f t="shared" si="12"/>
        <v>1</v>
      </c>
      <c r="U21" s="6">
        <f t="shared" ref="U21:V21" si="13">(U10*COUNTIF($J$1:$J$101,U$16) - COUNTIFS($J$1:$J$101,U$16,$K$1:$K$101,"=1"))^2</f>
        <v>2.25</v>
      </c>
      <c r="V21" s="6">
        <f t="shared" si="13"/>
        <v>1</v>
      </c>
      <c r="W21" s="4"/>
      <c r="X21" s="4"/>
      <c r="Y21" s="4"/>
    </row>
    <row r="22" spans="1:25" ht="14.25" customHeight="1">
      <c r="A22" s="2">
        <v>40</v>
      </c>
      <c r="B22" s="2">
        <v>21</v>
      </c>
      <c r="C22" s="2">
        <v>4</v>
      </c>
      <c r="D22" s="2">
        <v>0</v>
      </c>
      <c r="E22" s="2">
        <v>1.581</v>
      </c>
      <c r="F22" s="2">
        <v>1</v>
      </c>
      <c r="H22" s="2">
        <v>40</v>
      </c>
      <c r="I22" s="2">
        <v>122</v>
      </c>
      <c r="J22" s="2">
        <v>7</v>
      </c>
      <c r="L22" s="2">
        <v>2</v>
      </c>
      <c r="N22" s="3">
        <v>6</v>
      </c>
      <c r="O22" s="3">
        <f t="shared" si="0"/>
        <v>9</v>
      </c>
      <c r="P22" s="3">
        <f t="shared" si="1"/>
        <v>1</v>
      </c>
      <c r="Q22" s="3">
        <f t="shared" si="2"/>
        <v>2.25</v>
      </c>
      <c r="R22" s="3">
        <f t="shared" si="3"/>
        <v>1</v>
      </c>
      <c r="S22" s="6">
        <f t="shared" ref="S22:T22" si="14">(S11*COUNTIF($J$1:$J$101,S$16) - COUNTIFS($J$1:$J$101,S$16,$K$1:$K$101,"=0"))^2</f>
        <v>0</v>
      </c>
      <c r="T22" s="6">
        <f t="shared" si="14"/>
        <v>1</v>
      </c>
      <c r="U22" s="6">
        <f t="shared" ref="U22:V22" si="15">(U11*COUNTIF($J$1:$J$101,U$16) - COUNTIFS($J$1:$J$101,U$16,$K$1:$K$101,"=1"))^2</f>
        <v>2.25</v>
      </c>
      <c r="V22" s="6">
        <f t="shared" si="15"/>
        <v>1</v>
      </c>
      <c r="W22" s="4"/>
      <c r="X22" s="4"/>
      <c r="Y22" s="4"/>
    </row>
    <row r="23" spans="1:25" ht="14.25" customHeight="1">
      <c r="A23" s="2">
        <v>40</v>
      </c>
      <c r="B23" s="2">
        <v>22</v>
      </c>
      <c r="C23" s="2">
        <v>3</v>
      </c>
      <c r="D23" s="2">
        <v>1</v>
      </c>
      <c r="E23" s="2">
        <v>1.329</v>
      </c>
      <c r="F23" s="2">
        <v>1</v>
      </c>
      <c r="H23" s="2">
        <v>40</v>
      </c>
      <c r="I23" s="2">
        <v>123</v>
      </c>
      <c r="J23" s="2">
        <v>5</v>
      </c>
      <c r="K23" s="2">
        <v>1</v>
      </c>
      <c r="L23" s="2">
        <v>0.61199999999999999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40</v>
      </c>
      <c r="B24" s="2">
        <v>23</v>
      </c>
      <c r="C24" s="2">
        <v>7</v>
      </c>
      <c r="D24" s="2">
        <v>1</v>
      </c>
      <c r="E24" s="2">
        <v>1.1579999999999999</v>
      </c>
      <c r="F24" s="2">
        <v>2</v>
      </c>
      <c r="H24" s="2">
        <v>40</v>
      </c>
      <c r="I24" s="2">
        <v>124</v>
      </c>
      <c r="J24" s="2">
        <v>4</v>
      </c>
      <c r="K24" s="2">
        <v>0</v>
      </c>
      <c r="L24" s="2">
        <v>0.91200000000000003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40</v>
      </c>
      <c r="B25" s="2">
        <v>24</v>
      </c>
      <c r="C25" s="2">
        <v>2</v>
      </c>
      <c r="D25" s="2">
        <v>1</v>
      </c>
      <c r="E25" s="2">
        <v>1.345</v>
      </c>
      <c r="F25" s="2">
        <v>2</v>
      </c>
      <c r="H25" s="2">
        <v>40</v>
      </c>
      <c r="I25" s="2">
        <v>125</v>
      </c>
      <c r="J25" s="2">
        <v>2</v>
      </c>
      <c r="K25" s="2">
        <v>1</v>
      </c>
      <c r="L25" s="2">
        <v>1.4850000000000001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40</v>
      </c>
      <c r="B26" s="2">
        <v>25</v>
      </c>
      <c r="C26" s="2">
        <v>1</v>
      </c>
      <c r="D26" s="2">
        <v>1</v>
      </c>
      <c r="E26" s="2">
        <v>0.88800000000000001</v>
      </c>
      <c r="F26" s="2">
        <v>1</v>
      </c>
      <c r="H26" s="2">
        <v>40</v>
      </c>
      <c r="I26" s="2">
        <v>126</v>
      </c>
      <c r="J26" s="2">
        <v>8</v>
      </c>
      <c r="K26" s="2">
        <v>0</v>
      </c>
      <c r="L26" s="2">
        <v>0.94699999999999995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49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49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40</v>
      </c>
      <c r="B27" s="2">
        <v>26</v>
      </c>
      <c r="C27" s="2">
        <v>3</v>
      </c>
      <c r="D27" s="2">
        <v>0</v>
      </c>
      <c r="E27" s="2">
        <v>1.147</v>
      </c>
      <c r="F27" s="2">
        <v>2</v>
      </c>
      <c r="H27" s="2">
        <v>40</v>
      </c>
      <c r="I27" s="2">
        <v>127</v>
      </c>
      <c r="J27" s="2">
        <v>5</v>
      </c>
      <c r="K27" s="2">
        <v>1</v>
      </c>
      <c r="L27" s="2">
        <v>1.371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40</v>
      </c>
      <c r="B28" s="2">
        <v>27</v>
      </c>
      <c r="C28" s="2">
        <v>4</v>
      </c>
      <c r="D28" s="2">
        <v>1</v>
      </c>
      <c r="E28" s="2">
        <v>1.173</v>
      </c>
      <c r="F28" s="2">
        <v>2</v>
      </c>
      <c r="H28" s="2">
        <v>40</v>
      </c>
      <c r="I28" s="2">
        <v>128</v>
      </c>
      <c r="J28" s="2">
        <v>1</v>
      </c>
      <c r="K28" s="2">
        <v>1</v>
      </c>
      <c r="L28" s="2">
        <v>0.82499999999999996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40</v>
      </c>
      <c r="B29" s="2">
        <v>28</v>
      </c>
      <c r="C29" s="2">
        <v>7</v>
      </c>
      <c r="D29" s="2">
        <v>0</v>
      </c>
      <c r="E29" s="2">
        <v>0.92100000000000004</v>
      </c>
      <c r="F29" s="2">
        <v>1</v>
      </c>
      <c r="H29" s="2">
        <v>40</v>
      </c>
      <c r="I29" s="2">
        <v>129</v>
      </c>
      <c r="J29" s="2">
        <v>3</v>
      </c>
      <c r="L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40</v>
      </c>
      <c r="B30" s="2">
        <v>29</v>
      </c>
      <c r="C30" s="2">
        <v>4</v>
      </c>
      <c r="D30" s="2">
        <v>0</v>
      </c>
      <c r="E30" s="2">
        <v>0.88200000000000001</v>
      </c>
      <c r="F30" s="2">
        <v>1</v>
      </c>
      <c r="H30" s="2">
        <v>40</v>
      </c>
      <c r="I30" s="2">
        <v>130</v>
      </c>
      <c r="J30" s="2">
        <v>2</v>
      </c>
      <c r="K30" s="2">
        <v>0</v>
      </c>
      <c r="L30" s="2">
        <v>0.999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40</v>
      </c>
      <c r="B31" s="2">
        <v>30</v>
      </c>
      <c r="C31" s="2">
        <v>3</v>
      </c>
      <c r="D31" s="2">
        <v>1</v>
      </c>
      <c r="E31" s="2">
        <v>1.3029999999999999</v>
      </c>
      <c r="F31" s="2">
        <v>1</v>
      </c>
      <c r="H31" s="2">
        <v>40</v>
      </c>
      <c r="I31" s="2">
        <v>131</v>
      </c>
      <c r="J31" s="2">
        <v>8</v>
      </c>
      <c r="K31" s="2">
        <v>0</v>
      </c>
      <c r="L31" s="2">
        <v>1.101</v>
      </c>
      <c r="M31" s="2">
        <v>2</v>
      </c>
      <c r="N31" s="3">
        <v>1</v>
      </c>
      <c r="O31" s="3">
        <f t="shared" ref="O31:O36" si="17">SUM(O17:V17)/SUM(O$26:V$26)</f>
        <v>0.14316082802547767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40</v>
      </c>
      <c r="B32" s="2">
        <v>31</v>
      </c>
      <c r="C32" s="2">
        <v>5</v>
      </c>
      <c r="D32" s="2">
        <v>0</v>
      </c>
      <c r="E32" s="2">
        <v>1.036</v>
      </c>
      <c r="F32" s="2">
        <v>2</v>
      </c>
      <c r="H32" s="2">
        <v>40</v>
      </c>
      <c r="I32" s="2">
        <v>132</v>
      </c>
      <c r="J32" s="2">
        <v>3</v>
      </c>
      <c r="K32" s="2">
        <v>0</v>
      </c>
      <c r="L32" s="2">
        <v>0.76</v>
      </c>
      <c r="M32" s="2">
        <v>1</v>
      </c>
      <c r="N32" s="3">
        <v>2</v>
      </c>
      <c r="O32" s="3">
        <f t="shared" si="17"/>
        <v>0.25179140127388533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40</v>
      </c>
      <c r="B33" s="2">
        <v>32</v>
      </c>
      <c r="C33" s="2">
        <v>2</v>
      </c>
      <c r="D33" s="2">
        <v>1</v>
      </c>
      <c r="E33" s="2">
        <v>1.032</v>
      </c>
      <c r="F33" s="2">
        <v>2</v>
      </c>
      <c r="H33" s="2">
        <v>40</v>
      </c>
      <c r="I33" s="2">
        <v>133</v>
      </c>
      <c r="J33" s="2">
        <v>6</v>
      </c>
      <c r="K33" s="2">
        <v>1</v>
      </c>
      <c r="L33" s="2">
        <v>0.67600000000000005</v>
      </c>
      <c r="M33" s="2">
        <v>2</v>
      </c>
      <c r="N33" s="3">
        <v>3</v>
      </c>
      <c r="O33" s="3">
        <f t="shared" si="17"/>
        <v>0.16895700636942673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40</v>
      </c>
      <c r="B34" s="2">
        <v>33</v>
      </c>
      <c r="C34" s="2">
        <v>7</v>
      </c>
      <c r="D34" s="2">
        <v>1</v>
      </c>
      <c r="E34" s="2">
        <v>0.88900000000000001</v>
      </c>
      <c r="F34" s="2">
        <v>2</v>
      </c>
      <c r="H34" s="2">
        <v>40</v>
      </c>
      <c r="I34" s="2">
        <v>134</v>
      </c>
      <c r="J34" s="2">
        <v>1</v>
      </c>
      <c r="K34" s="2">
        <v>1</v>
      </c>
      <c r="L34" s="2">
        <v>0.69699999999999995</v>
      </c>
      <c r="M34" s="2">
        <v>2</v>
      </c>
      <c r="N34" s="3">
        <v>4</v>
      </c>
      <c r="O34" s="3">
        <f t="shared" si="17"/>
        <v>0.12688694267515924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40</v>
      </c>
      <c r="B35" s="2">
        <v>34</v>
      </c>
      <c r="C35" s="2">
        <v>8</v>
      </c>
      <c r="D35" s="2">
        <v>0</v>
      </c>
      <c r="E35" s="2">
        <v>0.97199999999999998</v>
      </c>
      <c r="F35" s="2">
        <v>1</v>
      </c>
      <c r="H35" s="2">
        <v>40</v>
      </c>
      <c r="I35" s="2">
        <v>135</v>
      </c>
      <c r="J35" s="2">
        <v>4</v>
      </c>
      <c r="K35" s="2">
        <v>0</v>
      </c>
      <c r="L35" s="2">
        <v>0.755</v>
      </c>
      <c r="M35" s="2">
        <v>1</v>
      </c>
      <c r="N35" s="3">
        <v>5</v>
      </c>
      <c r="O35" s="3">
        <f t="shared" si="17"/>
        <v>7.2006369426751565E-2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40</v>
      </c>
      <c r="B36" s="2">
        <v>35</v>
      </c>
      <c r="C36" s="2">
        <v>2</v>
      </c>
      <c r="D36" s="2">
        <v>0</v>
      </c>
      <c r="E36" s="2">
        <v>1.06</v>
      </c>
      <c r="F36" s="2">
        <v>1</v>
      </c>
      <c r="H36" s="2">
        <v>40</v>
      </c>
      <c r="I36" s="2">
        <v>136</v>
      </c>
      <c r="J36" s="2">
        <v>6</v>
      </c>
      <c r="K36" s="2">
        <v>0</v>
      </c>
      <c r="L36" s="2">
        <v>0.77600000000000002</v>
      </c>
      <c r="M36" s="2">
        <v>2</v>
      </c>
      <c r="N36" s="3">
        <v>6</v>
      </c>
      <c r="O36" s="3">
        <f t="shared" si="17"/>
        <v>5.5732484076433123E-2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40</v>
      </c>
      <c r="B37" s="2">
        <v>36</v>
      </c>
      <c r="C37" s="2">
        <v>1</v>
      </c>
      <c r="D37" s="2">
        <v>1</v>
      </c>
      <c r="E37" s="2">
        <v>0.93</v>
      </c>
      <c r="F37" s="2">
        <v>1</v>
      </c>
      <c r="H37" s="2">
        <v>40</v>
      </c>
      <c r="I37" s="2">
        <v>137</v>
      </c>
      <c r="J37" s="2">
        <v>5</v>
      </c>
      <c r="K37" s="2">
        <v>0</v>
      </c>
      <c r="L37" s="2">
        <v>1.448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40</v>
      </c>
      <c r="B38" s="2">
        <v>37</v>
      </c>
      <c r="C38" s="2">
        <v>2</v>
      </c>
      <c r="D38" s="2">
        <v>1</v>
      </c>
      <c r="E38" s="2">
        <v>0.86399999999999999</v>
      </c>
      <c r="F38" s="2">
        <v>2</v>
      </c>
      <c r="H38" s="2">
        <v>40</v>
      </c>
      <c r="I38" s="2">
        <v>138</v>
      </c>
      <c r="J38" s="2">
        <v>7</v>
      </c>
      <c r="K38" s="2">
        <v>1</v>
      </c>
      <c r="L38" s="2">
        <v>0.69599999999999995</v>
      </c>
      <c r="M38" s="2">
        <v>2</v>
      </c>
    </row>
    <row r="39" spans="1:25" ht="14.25" customHeight="1">
      <c r="A39" s="2">
        <v>40</v>
      </c>
      <c r="B39" s="2">
        <v>38</v>
      </c>
      <c r="C39" s="2">
        <v>7</v>
      </c>
      <c r="D39" s="2">
        <v>0</v>
      </c>
      <c r="E39" s="2">
        <v>0.96299999999999997</v>
      </c>
      <c r="F39" s="2">
        <v>1</v>
      </c>
      <c r="H39" s="2">
        <v>40</v>
      </c>
      <c r="I39" s="2">
        <v>139</v>
      </c>
      <c r="J39" s="2">
        <v>3</v>
      </c>
      <c r="K39" s="2">
        <v>1</v>
      </c>
      <c r="L39" s="2">
        <v>0.878</v>
      </c>
      <c r="M39" s="2">
        <v>2</v>
      </c>
    </row>
    <row r="40" spans="1:25" ht="14.25" customHeight="1">
      <c r="A40" s="2">
        <v>40</v>
      </c>
      <c r="B40" s="2">
        <v>39</v>
      </c>
      <c r="C40" s="2">
        <v>4</v>
      </c>
      <c r="D40" s="2">
        <v>0</v>
      </c>
      <c r="E40" s="2">
        <v>1.8740000000000001</v>
      </c>
      <c r="F40" s="2">
        <v>1</v>
      </c>
      <c r="H40" s="2">
        <v>40</v>
      </c>
      <c r="I40" s="2">
        <v>140</v>
      </c>
      <c r="J40" s="2">
        <v>5</v>
      </c>
      <c r="K40" s="2">
        <v>0</v>
      </c>
      <c r="L40" s="2">
        <v>0.80400000000000005</v>
      </c>
      <c r="M40" s="2">
        <v>2</v>
      </c>
    </row>
    <row r="41" spans="1:25" ht="14.25" customHeight="1">
      <c r="A41" s="2">
        <v>40</v>
      </c>
      <c r="B41" s="2">
        <v>40</v>
      </c>
      <c r="C41" s="2">
        <v>3</v>
      </c>
      <c r="D41" s="2">
        <v>0</v>
      </c>
      <c r="E41" s="2">
        <v>0.96499999999999997</v>
      </c>
      <c r="F41" s="2">
        <v>2</v>
      </c>
      <c r="H41" s="2">
        <v>40</v>
      </c>
      <c r="I41" s="2">
        <v>141</v>
      </c>
      <c r="J41" s="2">
        <v>2</v>
      </c>
      <c r="K41" s="2">
        <v>1</v>
      </c>
      <c r="L41" s="2">
        <v>1.276</v>
      </c>
      <c r="M41" s="2">
        <v>1</v>
      </c>
    </row>
    <row r="42" spans="1:25" ht="14.25" customHeight="1">
      <c r="A42" s="2">
        <v>40</v>
      </c>
      <c r="B42" s="2">
        <v>41</v>
      </c>
      <c r="C42" s="2">
        <v>5</v>
      </c>
      <c r="D42" s="2">
        <v>1</v>
      </c>
      <c r="E42" s="2">
        <v>1.204</v>
      </c>
      <c r="F42" s="2">
        <v>1</v>
      </c>
      <c r="H42" s="2">
        <v>40</v>
      </c>
      <c r="I42" s="2">
        <v>142</v>
      </c>
      <c r="J42" s="2">
        <v>4</v>
      </c>
      <c r="K42" s="2">
        <v>0</v>
      </c>
      <c r="L42" s="2">
        <v>1.2929999999999999</v>
      </c>
      <c r="M42" s="2">
        <v>2</v>
      </c>
    </row>
    <row r="43" spans="1:25" ht="14.25" customHeight="1">
      <c r="A43" s="2">
        <v>40</v>
      </c>
      <c r="B43" s="2">
        <v>42</v>
      </c>
      <c r="C43" s="2">
        <v>6</v>
      </c>
      <c r="D43" s="2">
        <v>0</v>
      </c>
      <c r="E43" s="2">
        <v>0.9</v>
      </c>
      <c r="F43" s="2">
        <v>2</v>
      </c>
      <c r="H43" s="2">
        <v>40</v>
      </c>
      <c r="I43" s="2">
        <v>143</v>
      </c>
      <c r="J43" s="2">
        <v>8</v>
      </c>
      <c r="K43" s="2">
        <v>1</v>
      </c>
      <c r="L43" s="2">
        <v>0.65800000000000003</v>
      </c>
      <c r="M43" s="2">
        <v>2</v>
      </c>
    </row>
    <row r="44" spans="1:25" ht="14.25" customHeight="1">
      <c r="A44" s="2">
        <v>40</v>
      </c>
      <c r="B44" s="2">
        <v>43</v>
      </c>
      <c r="C44" s="2">
        <v>8</v>
      </c>
      <c r="D44" s="2">
        <v>1</v>
      </c>
      <c r="E44" s="2">
        <v>0.88200000000000001</v>
      </c>
      <c r="F44" s="2">
        <v>2</v>
      </c>
      <c r="H44" s="2">
        <v>40</v>
      </c>
      <c r="I44" s="2">
        <v>144</v>
      </c>
      <c r="J44" s="2">
        <v>2</v>
      </c>
      <c r="K44" s="2">
        <v>0</v>
      </c>
      <c r="L44" s="2">
        <v>1.169</v>
      </c>
      <c r="M44" s="2">
        <v>2</v>
      </c>
    </row>
    <row r="45" spans="1:25" ht="14.25" customHeight="1">
      <c r="A45" s="2">
        <v>40</v>
      </c>
      <c r="B45" s="2">
        <v>44</v>
      </c>
      <c r="C45" s="2">
        <v>3</v>
      </c>
      <c r="D45" s="2">
        <v>1</v>
      </c>
      <c r="E45" s="2">
        <v>0.58699999999999997</v>
      </c>
      <c r="F45" s="2">
        <v>1</v>
      </c>
      <c r="H45" s="2">
        <v>40</v>
      </c>
      <c r="I45" s="2">
        <v>145</v>
      </c>
      <c r="J45" s="2">
        <v>6</v>
      </c>
      <c r="K45" s="2">
        <v>0</v>
      </c>
      <c r="L45" s="2">
        <v>0.68100000000000005</v>
      </c>
      <c r="M45" s="2">
        <v>2</v>
      </c>
    </row>
    <row r="46" spans="1:25" ht="14.25" customHeight="1">
      <c r="A46" s="2">
        <v>40</v>
      </c>
      <c r="B46" s="2">
        <v>45</v>
      </c>
      <c r="C46" s="2">
        <v>5</v>
      </c>
      <c r="D46" s="2">
        <v>1</v>
      </c>
      <c r="E46" s="2">
        <v>1.419</v>
      </c>
      <c r="F46" s="2">
        <v>1</v>
      </c>
      <c r="H46" s="2">
        <v>40</v>
      </c>
      <c r="I46" s="2">
        <v>146</v>
      </c>
      <c r="J46" s="2">
        <v>8</v>
      </c>
      <c r="K46" s="2">
        <v>1</v>
      </c>
      <c r="L46" s="2">
        <v>1.0169999999999999</v>
      </c>
      <c r="M46" s="2">
        <v>1</v>
      </c>
    </row>
    <row r="47" spans="1:25" ht="14.25" customHeight="1">
      <c r="A47" s="2">
        <v>40</v>
      </c>
      <c r="B47" s="2">
        <v>46</v>
      </c>
      <c r="C47" s="2">
        <v>1</v>
      </c>
      <c r="D47" s="2">
        <v>1</v>
      </c>
      <c r="E47" s="2">
        <v>0.82399999999999995</v>
      </c>
      <c r="F47" s="2">
        <v>1</v>
      </c>
      <c r="H47" s="2">
        <v>40</v>
      </c>
      <c r="I47" s="2">
        <v>147</v>
      </c>
      <c r="J47" s="2">
        <v>3</v>
      </c>
      <c r="K47" s="2">
        <v>1</v>
      </c>
      <c r="L47" s="2">
        <v>0.80400000000000005</v>
      </c>
      <c r="M47" s="2">
        <v>2</v>
      </c>
    </row>
    <row r="48" spans="1:25" ht="14.25" customHeight="1">
      <c r="A48" s="2">
        <v>40</v>
      </c>
      <c r="B48" s="2">
        <v>47</v>
      </c>
      <c r="C48" s="2">
        <v>7</v>
      </c>
      <c r="D48" s="2">
        <v>1</v>
      </c>
      <c r="E48" s="2">
        <v>0.75800000000000001</v>
      </c>
      <c r="F48" s="2">
        <v>2</v>
      </c>
      <c r="H48" s="2">
        <v>40</v>
      </c>
      <c r="I48" s="2">
        <v>148</v>
      </c>
      <c r="J48" s="2">
        <v>2</v>
      </c>
      <c r="K48" s="2">
        <v>1</v>
      </c>
      <c r="L48" s="2">
        <v>0.72899999999999998</v>
      </c>
      <c r="M48" s="2">
        <v>2</v>
      </c>
    </row>
    <row r="49" spans="1:13" ht="14.25" customHeight="1">
      <c r="A49" s="2">
        <v>40</v>
      </c>
      <c r="B49" s="2">
        <v>48</v>
      </c>
      <c r="C49" s="2">
        <v>8</v>
      </c>
      <c r="D49" s="2">
        <v>1</v>
      </c>
      <c r="E49" s="2">
        <v>1.5369999999999999</v>
      </c>
      <c r="F49" s="2">
        <v>2</v>
      </c>
      <c r="H49" s="2">
        <v>40</v>
      </c>
      <c r="I49" s="2">
        <v>149</v>
      </c>
      <c r="J49" s="2">
        <v>1</v>
      </c>
      <c r="K49" s="2">
        <v>1</v>
      </c>
      <c r="L49" s="2">
        <v>1.5529999999999999</v>
      </c>
      <c r="M49" s="2">
        <v>2</v>
      </c>
    </row>
    <row r="50" spans="1:13" ht="14.25" customHeight="1">
      <c r="A50" s="2">
        <v>40</v>
      </c>
      <c r="B50" s="2">
        <v>49</v>
      </c>
      <c r="C50" s="2">
        <v>4</v>
      </c>
      <c r="D50" s="2">
        <v>1</v>
      </c>
      <c r="E50" s="2">
        <v>1.365</v>
      </c>
      <c r="F50" s="2">
        <v>2</v>
      </c>
      <c r="H50" s="2">
        <v>40</v>
      </c>
      <c r="I50" s="2">
        <v>150</v>
      </c>
      <c r="J50" s="2">
        <v>3</v>
      </c>
      <c r="K50" s="2">
        <v>1</v>
      </c>
      <c r="L50" s="2">
        <v>1.31</v>
      </c>
      <c r="M50" s="2">
        <v>1</v>
      </c>
    </row>
    <row r="51" spans="1:13" ht="14.25" customHeight="1">
      <c r="A51" s="2">
        <v>40</v>
      </c>
      <c r="B51" s="2">
        <v>50</v>
      </c>
      <c r="C51" s="2">
        <v>6</v>
      </c>
      <c r="D51" s="2">
        <v>1</v>
      </c>
      <c r="E51" s="2">
        <v>0.97899999999999998</v>
      </c>
      <c r="F51" s="2">
        <v>1</v>
      </c>
    </row>
    <row r="52" spans="1:13" ht="14.25" customHeight="1">
      <c r="A52" s="2">
        <v>40</v>
      </c>
      <c r="B52" s="2">
        <v>51</v>
      </c>
      <c r="C52" s="2">
        <v>7</v>
      </c>
      <c r="D52" s="2">
        <v>0</v>
      </c>
      <c r="E52" s="2">
        <v>1.177</v>
      </c>
      <c r="F52" s="2">
        <v>2</v>
      </c>
    </row>
    <row r="53" spans="1:13" ht="14.25" customHeight="1">
      <c r="A53" s="2">
        <v>40</v>
      </c>
      <c r="B53" s="2">
        <v>52</v>
      </c>
      <c r="C53" s="2">
        <v>4</v>
      </c>
      <c r="D53" s="2">
        <v>0</v>
      </c>
      <c r="E53" s="2">
        <v>0.77800000000000002</v>
      </c>
      <c r="F53" s="2">
        <v>1</v>
      </c>
    </row>
    <row r="54" spans="1:13" ht="14.25" customHeight="1">
      <c r="A54" s="2">
        <v>40</v>
      </c>
      <c r="B54" s="2">
        <v>53</v>
      </c>
      <c r="C54" s="2">
        <v>8</v>
      </c>
      <c r="D54" s="2">
        <v>1</v>
      </c>
      <c r="E54" s="2">
        <v>0.64400000000000002</v>
      </c>
      <c r="F54" s="2">
        <v>2</v>
      </c>
    </row>
    <row r="55" spans="1:13" ht="14.25" customHeight="1">
      <c r="A55" s="2">
        <v>40</v>
      </c>
      <c r="B55" s="2">
        <v>54</v>
      </c>
      <c r="C55" s="2">
        <v>6</v>
      </c>
      <c r="D55" s="2">
        <v>1</v>
      </c>
      <c r="E55" s="2">
        <v>1.07</v>
      </c>
      <c r="F55" s="2">
        <v>2</v>
      </c>
    </row>
    <row r="56" spans="1:13" ht="14.25" customHeight="1">
      <c r="A56" s="2">
        <v>40</v>
      </c>
      <c r="B56" s="2">
        <v>55</v>
      </c>
      <c r="C56" s="2">
        <v>8</v>
      </c>
      <c r="D56" s="2">
        <v>1</v>
      </c>
      <c r="E56" s="2">
        <v>0.88400000000000001</v>
      </c>
      <c r="F56" s="2">
        <v>1</v>
      </c>
    </row>
    <row r="57" spans="1:13" ht="14.25" customHeight="1">
      <c r="A57" s="2">
        <v>40</v>
      </c>
      <c r="B57" s="2">
        <v>56</v>
      </c>
      <c r="C57" s="2">
        <v>2</v>
      </c>
      <c r="D57" s="2">
        <v>0</v>
      </c>
      <c r="E57" s="2">
        <v>0.98899999999999999</v>
      </c>
      <c r="F57" s="2">
        <v>2</v>
      </c>
    </row>
    <row r="58" spans="1:13" ht="14.25" customHeight="1">
      <c r="A58" s="2">
        <v>40</v>
      </c>
      <c r="B58" s="2">
        <v>57</v>
      </c>
      <c r="C58" s="2">
        <v>5</v>
      </c>
      <c r="D58" s="2">
        <v>1</v>
      </c>
      <c r="E58" s="2">
        <v>0.78600000000000003</v>
      </c>
      <c r="F58" s="2">
        <v>1</v>
      </c>
    </row>
    <row r="59" spans="1:13" ht="14.25" customHeight="1">
      <c r="A59" s="2">
        <v>40</v>
      </c>
      <c r="B59" s="2">
        <v>58</v>
      </c>
      <c r="C59" s="2">
        <v>8</v>
      </c>
      <c r="D59" s="2">
        <v>1</v>
      </c>
      <c r="E59" s="2">
        <v>0.82499999999999996</v>
      </c>
      <c r="F59" s="2">
        <v>1</v>
      </c>
    </row>
    <row r="60" spans="1:13" ht="14.25" customHeight="1">
      <c r="A60" s="2">
        <v>40</v>
      </c>
      <c r="B60" s="2">
        <v>59</v>
      </c>
      <c r="C60" s="2">
        <v>4</v>
      </c>
      <c r="D60" s="2">
        <v>0</v>
      </c>
      <c r="E60" s="2">
        <v>0.74199999999999999</v>
      </c>
      <c r="F60" s="2">
        <v>1</v>
      </c>
    </row>
    <row r="61" spans="1:13" ht="14.25" customHeight="1">
      <c r="A61" s="2">
        <v>40</v>
      </c>
      <c r="B61" s="2">
        <v>60</v>
      </c>
      <c r="C61" s="2">
        <v>6</v>
      </c>
      <c r="D61" s="2">
        <v>0</v>
      </c>
      <c r="E61" s="2">
        <v>0.94499999999999995</v>
      </c>
      <c r="F61" s="2">
        <v>2</v>
      </c>
    </row>
    <row r="62" spans="1:13" ht="14.25" customHeight="1">
      <c r="A62" s="2">
        <v>40</v>
      </c>
      <c r="B62" s="2">
        <v>61</v>
      </c>
      <c r="C62" s="2">
        <v>1</v>
      </c>
      <c r="D62" s="2">
        <v>1</v>
      </c>
      <c r="E62" s="2">
        <v>0.76200000000000001</v>
      </c>
      <c r="F62" s="2">
        <v>2</v>
      </c>
    </row>
    <row r="63" spans="1:13" ht="14.25" customHeight="1">
      <c r="A63" s="2">
        <v>40</v>
      </c>
      <c r="B63" s="2">
        <v>62</v>
      </c>
      <c r="C63" s="2">
        <v>5</v>
      </c>
      <c r="D63" s="2">
        <v>0</v>
      </c>
      <c r="E63" s="2">
        <v>0.72</v>
      </c>
      <c r="F63" s="2">
        <v>2</v>
      </c>
    </row>
    <row r="64" spans="1:13" ht="14.25" customHeight="1">
      <c r="A64" s="2">
        <v>40</v>
      </c>
      <c r="B64" s="2">
        <v>63</v>
      </c>
      <c r="C64" s="2">
        <v>6</v>
      </c>
      <c r="D64" s="2">
        <v>0</v>
      </c>
      <c r="E64" s="2">
        <v>0.72899999999999998</v>
      </c>
      <c r="F64" s="2">
        <v>2</v>
      </c>
    </row>
    <row r="65" spans="1:6" ht="14.25" customHeight="1">
      <c r="A65" s="2">
        <v>40</v>
      </c>
      <c r="B65" s="2">
        <v>64</v>
      </c>
      <c r="C65" s="2">
        <v>2</v>
      </c>
      <c r="D65" s="2">
        <v>1</v>
      </c>
      <c r="E65" s="2">
        <v>0.86899999999999999</v>
      </c>
      <c r="F65" s="2">
        <v>1</v>
      </c>
    </row>
    <row r="66" spans="1:6" ht="14.25" customHeight="1">
      <c r="A66" s="2">
        <v>40</v>
      </c>
      <c r="B66" s="2">
        <v>65</v>
      </c>
      <c r="C66" s="2">
        <v>3</v>
      </c>
      <c r="D66" s="2">
        <v>1</v>
      </c>
      <c r="E66" s="2">
        <v>1.1739999999999999</v>
      </c>
      <c r="F66" s="2">
        <v>1</v>
      </c>
    </row>
    <row r="67" spans="1:6" ht="14.25" customHeight="1">
      <c r="A67" s="2">
        <v>40</v>
      </c>
      <c r="B67" s="2">
        <v>66</v>
      </c>
      <c r="C67" s="2">
        <v>1</v>
      </c>
      <c r="D67" s="2">
        <v>1</v>
      </c>
      <c r="E67" s="2">
        <v>1.488</v>
      </c>
      <c r="F67" s="2">
        <v>1</v>
      </c>
    </row>
    <row r="68" spans="1:6" ht="14.25" customHeight="1">
      <c r="A68" s="2">
        <v>40</v>
      </c>
      <c r="B68" s="2">
        <v>67</v>
      </c>
      <c r="C68" s="2">
        <v>6</v>
      </c>
      <c r="D68" s="2">
        <v>1</v>
      </c>
      <c r="E68" s="2">
        <v>0.93300000000000005</v>
      </c>
      <c r="F68" s="2">
        <v>2</v>
      </c>
    </row>
    <row r="69" spans="1:6" ht="14.25" customHeight="1">
      <c r="A69" s="2">
        <v>40</v>
      </c>
      <c r="B69" s="2">
        <v>68</v>
      </c>
      <c r="C69" s="2">
        <v>5</v>
      </c>
      <c r="D69" s="2">
        <v>1</v>
      </c>
      <c r="E69" s="2">
        <v>1.53</v>
      </c>
      <c r="F69" s="2">
        <v>2</v>
      </c>
    </row>
    <row r="70" spans="1:6" ht="14.25" customHeight="1">
      <c r="A70" s="2">
        <v>40</v>
      </c>
      <c r="B70" s="2">
        <v>69</v>
      </c>
      <c r="C70" s="2">
        <v>2</v>
      </c>
      <c r="D70" s="2">
        <v>1</v>
      </c>
      <c r="E70" s="2">
        <v>1.0449999999999999</v>
      </c>
      <c r="F70" s="2">
        <v>2</v>
      </c>
    </row>
    <row r="71" spans="1:6" ht="14.25" customHeight="1">
      <c r="A71" s="2">
        <v>40</v>
      </c>
      <c r="B71" s="2">
        <v>70</v>
      </c>
      <c r="C71" s="2">
        <v>7</v>
      </c>
      <c r="D71" s="2">
        <v>1</v>
      </c>
      <c r="E71" s="2">
        <v>1.117</v>
      </c>
      <c r="F71" s="2">
        <v>1</v>
      </c>
    </row>
    <row r="72" spans="1:6" ht="14.25" customHeight="1">
      <c r="A72" s="2">
        <v>40</v>
      </c>
      <c r="B72" s="2">
        <v>71</v>
      </c>
      <c r="C72" s="2">
        <v>6</v>
      </c>
      <c r="D72" s="2">
        <v>0</v>
      </c>
      <c r="E72" s="2">
        <v>1.671</v>
      </c>
      <c r="F72" s="2">
        <v>1</v>
      </c>
    </row>
    <row r="73" spans="1:6" ht="14.25" customHeight="1">
      <c r="A73" s="2">
        <v>40</v>
      </c>
      <c r="B73" s="2">
        <v>72</v>
      </c>
      <c r="C73" s="2">
        <v>2</v>
      </c>
      <c r="D73" s="2">
        <v>1</v>
      </c>
      <c r="E73" s="2">
        <v>0.97099999999999997</v>
      </c>
      <c r="F73" s="2">
        <v>1</v>
      </c>
    </row>
    <row r="74" spans="1:6" ht="14.25" customHeight="1">
      <c r="A74" s="2">
        <v>40</v>
      </c>
      <c r="B74" s="2">
        <v>73</v>
      </c>
      <c r="C74" s="2">
        <v>3</v>
      </c>
      <c r="D74" s="2">
        <v>1</v>
      </c>
      <c r="E74" s="2">
        <v>0.84499999999999997</v>
      </c>
      <c r="F74" s="2">
        <v>2</v>
      </c>
    </row>
    <row r="75" spans="1:6" ht="14.25" customHeight="1">
      <c r="A75" s="2">
        <v>40</v>
      </c>
      <c r="B75" s="2">
        <v>74</v>
      </c>
      <c r="C75" s="2">
        <v>7</v>
      </c>
      <c r="D75" s="2">
        <v>0</v>
      </c>
      <c r="E75" s="2">
        <v>1.1080000000000001</v>
      </c>
      <c r="F75" s="2">
        <v>1</v>
      </c>
    </row>
    <row r="76" spans="1:6" ht="14.25" customHeight="1">
      <c r="A76" s="2">
        <v>40</v>
      </c>
      <c r="B76" s="2">
        <v>75</v>
      </c>
      <c r="C76" s="2">
        <v>3</v>
      </c>
      <c r="D76" s="2">
        <v>1</v>
      </c>
      <c r="E76" s="2">
        <v>1.605</v>
      </c>
      <c r="F76" s="2">
        <v>1</v>
      </c>
    </row>
    <row r="77" spans="1:6" ht="14.25" customHeight="1">
      <c r="A77" s="2">
        <v>40</v>
      </c>
      <c r="B77" s="2">
        <v>76</v>
      </c>
      <c r="C77" s="2">
        <v>2</v>
      </c>
      <c r="D77" s="2">
        <v>0</v>
      </c>
      <c r="E77" s="2">
        <v>1.444</v>
      </c>
      <c r="F77" s="2">
        <v>2</v>
      </c>
    </row>
    <row r="78" spans="1:6" ht="14.25" customHeight="1">
      <c r="A78" s="2">
        <v>40</v>
      </c>
      <c r="B78" s="2">
        <v>77</v>
      </c>
      <c r="C78" s="2">
        <v>5</v>
      </c>
      <c r="D78" s="2">
        <v>1</v>
      </c>
      <c r="E78" s="2">
        <v>0.73099999999999998</v>
      </c>
      <c r="F78" s="2">
        <v>2</v>
      </c>
    </row>
    <row r="79" spans="1:6" ht="14.25" customHeight="1">
      <c r="A79" s="2">
        <v>40</v>
      </c>
      <c r="B79" s="2">
        <v>78</v>
      </c>
      <c r="C79" s="2">
        <v>7</v>
      </c>
      <c r="D79" s="2">
        <v>1</v>
      </c>
      <c r="E79" s="2">
        <v>1.0349999999999999</v>
      </c>
      <c r="F79" s="2">
        <v>2</v>
      </c>
    </row>
    <row r="80" spans="1:6" ht="14.25" customHeight="1">
      <c r="A80" s="2">
        <v>40</v>
      </c>
      <c r="B80" s="2">
        <v>79</v>
      </c>
      <c r="C80" s="2">
        <v>1</v>
      </c>
      <c r="D80" s="2">
        <v>0</v>
      </c>
      <c r="E80" s="2">
        <v>1.119</v>
      </c>
      <c r="F80" s="2">
        <v>1</v>
      </c>
    </row>
    <row r="81" spans="1:6" ht="14.25" customHeight="1">
      <c r="A81" s="2">
        <v>40</v>
      </c>
      <c r="B81" s="2">
        <v>80</v>
      </c>
      <c r="C81" s="2">
        <v>4</v>
      </c>
      <c r="D81" s="2">
        <v>1</v>
      </c>
      <c r="E81" s="2">
        <v>1.3440000000000001</v>
      </c>
      <c r="F81" s="2">
        <v>1</v>
      </c>
    </row>
    <row r="82" spans="1:6" ht="14.25" customHeight="1">
      <c r="A82" s="2">
        <v>40</v>
      </c>
      <c r="B82" s="2">
        <v>81</v>
      </c>
      <c r="C82" s="2">
        <v>7</v>
      </c>
      <c r="D82" s="2">
        <v>0</v>
      </c>
      <c r="E82" s="2">
        <v>0.93</v>
      </c>
      <c r="F82" s="2">
        <v>2</v>
      </c>
    </row>
    <row r="83" spans="1:6" ht="14.25" customHeight="1">
      <c r="A83" s="2">
        <v>40</v>
      </c>
      <c r="B83" s="2">
        <v>82</v>
      </c>
      <c r="C83" s="2">
        <v>2</v>
      </c>
      <c r="D83" s="2">
        <v>0</v>
      </c>
      <c r="E83" s="2">
        <v>1.845</v>
      </c>
      <c r="F83" s="2">
        <v>1</v>
      </c>
    </row>
    <row r="84" spans="1:6" ht="14.25" customHeight="1">
      <c r="A84" s="2">
        <v>40</v>
      </c>
      <c r="B84" s="2">
        <v>83</v>
      </c>
      <c r="C84" s="2">
        <v>3</v>
      </c>
      <c r="D84" s="2">
        <v>1</v>
      </c>
      <c r="E84" s="2">
        <v>1.1970000000000001</v>
      </c>
      <c r="F84" s="2">
        <v>2</v>
      </c>
    </row>
    <row r="85" spans="1:6" ht="14.25" customHeight="1">
      <c r="A85" s="2">
        <v>40</v>
      </c>
      <c r="B85" s="2">
        <v>84</v>
      </c>
      <c r="C85" s="2">
        <v>8</v>
      </c>
      <c r="D85" s="2">
        <v>1</v>
      </c>
      <c r="E85" s="2">
        <v>0.94599999999999995</v>
      </c>
      <c r="F85" s="2">
        <v>2</v>
      </c>
    </row>
    <row r="86" spans="1:6" ht="14.25" customHeight="1">
      <c r="A86" s="2">
        <v>40</v>
      </c>
      <c r="B86" s="2">
        <v>85</v>
      </c>
      <c r="C86" s="2">
        <v>4</v>
      </c>
      <c r="D86" s="2">
        <v>0</v>
      </c>
      <c r="E86" s="2">
        <v>0.97</v>
      </c>
      <c r="F86" s="2">
        <v>1</v>
      </c>
    </row>
    <row r="87" spans="1:6" ht="14.25" customHeight="1">
      <c r="A87" s="2">
        <v>40</v>
      </c>
      <c r="B87" s="2">
        <v>86</v>
      </c>
      <c r="C87" s="2">
        <v>7</v>
      </c>
      <c r="D87" s="2">
        <v>1</v>
      </c>
      <c r="E87" s="2">
        <v>0.91700000000000004</v>
      </c>
      <c r="F87" s="2">
        <v>1</v>
      </c>
    </row>
    <row r="88" spans="1:6" ht="14.25" customHeight="1">
      <c r="A88" s="2">
        <v>40</v>
      </c>
      <c r="B88" s="2">
        <v>87</v>
      </c>
      <c r="C88" s="2">
        <v>8</v>
      </c>
      <c r="D88" s="2">
        <v>0</v>
      </c>
      <c r="E88" s="2">
        <v>0.78500000000000003</v>
      </c>
      <c r="F88" s="2">
        <v>1</v>
      </c>
    </row>
    <row r="89" spans="1:6" ht="14.25" customHeight="1">
      <c r="A89" s="2">
        <v>40</v>
      </c>
      <c r="B89" s="2">
        <v>88</v>
      </c>
      <c r="C89" s="2">
        <v>1</v>
      </c>
      <c r="D89" s="2">
        <v>1</v>
      </c>
      <c r="E89" s="2">
        <v>0.57899999999999996</v>
      </c>
      <c r="F89" s="2">
        <v>2</v>
      </c>
    </row>
    <row r="90" spans="1:6" ht="14.25" customHeight="1">
      <c r="A90" s="2">
        <v>40</v>
      </c>
      <c r="B90" s="2">
        <v>89</v>
      </c>
      <c r="C90" s="2">
        <v>5</v>
      </c>
      <c r="D90" s="2">
        <v>1</v>
      </c>
      <c r="E90" s="2">
        <v>1.9670000000000001</v>
      </c>
      <c r="F90" s="2">
        <v>2</v>
      </c>
    </row>
    <row r="91" spans="1:6" ht="14.25" customHeight="1">
      <c r="A91" s="2">
        <v>40</v>
      </c>
      <c r="B91" s="2">
        <v>90</v>
      </c>
      <c r="C91" s="2">
        <v>6</v>
      </c>
      <c r="D91" s="2">
        <v>1</v>
      </c>
      <c r="E91" s="2">
        <v>1.542</v>
      </c>
      <c r="F91" s="2">
        <v>1</v>
      </c>
    </row>
    <row r="92" spans="1:6" ht="14.25" customHeight="1">
      <c r="A92" s="2">
        <v>40</v>
      </c>
      <c r="B92" s="2">
        <v>91</v>
      </c>
      <c r="C92" s="2">
        <v>7</v>
      </c>
      <c r="D92" s="2">
        <v>1</v>
      </c>
      <c r="E92" s="2">
        <v>1.579</v>
      </c>
      <c r="F92" s="2">
        <v>1</v>
      </c>
    </row>
    <row r="93" spans="1:6" ht="14.25" customHeight="1">
      <c r="A93" s="2">
        <v>40</v>
      </c>
      <c r="B93" s="2">
        <v>92</v>
      </c>
      <c r="C93" s="2">
        <v>1</v>
      </c>
      <c r="D93" s="2">
        <v>0</v>
      </c>
      <c r="E93" s="2">
        <v>1.494</v>
      </c>
      <c r="F93" s="2">
        <v>2</v>
      </c>
    </row>
    <row r="94" spans="1:6" ht="14.25" customHeight="1">
      <c r="A94" s="2">
        <v>40</v>
      </c>
      <c r="B94" s="2">
        <v>93</v>
      </c>
      <c r="C94" s="2">
        <v>3</v>
      </c>
      <c r="D94" s="2">
        <v>1</v>
      </c>
      <c r="E94" s="2">
        <v>0.70399999999999996</v>
      </c>
      <c r="F94" s="2">
        <v>2</v>
      </c>
    </row>
    <row r="95" spans="1:6" ht="14.25" customHeight="1">
      <c r="A95" s="2">
        <v>40</v>
      </c>
      <c r="B95" s="2">
        <v>94</v>
      </c>
      <c r="C95" s="2">
        <v>4</v>
      </c>
      <c r="D95" s="2">
        <v>1</v>
      </c>
      <c r="E95" s="2">
        <v>1.536</v>
      </c>
      <c r="F95" s="2">
        <v>1</v>
      </c>
    </row>
    <row r="96" spans="1:6" ht="14.25" customHeight="1">
      <c r="A96" s="2">
        <v>40</v>
      </c>
      <c r="B96" s="2">
        <v>95</v>
      </c>
      <c r="C96" s="2">
        <v>8</v>
      </c>
      <c r="D96" s="2">
        <v>1</v>
      </c>
      <c r="E96" s="2">
        <v>1.1240000000000001</v>
      </c>
      <c r="F96" s="2">
        <v>1</v>
      </c>
    </row>
    <row r="97" spans="1:6" ht="14.25" customHeight="1">
      <c r="A97" s="2">
        <v>40</v>
      </c>
      <c r="B97" s="2">
        <v>96</v>
      </c>
      <c r="C97" s="2">
        <v>3</v>
      </c>
      <c r="D97" s="2">
        <v>1</v>
      </c>
      <c r="E97" s="2">
        <v>1.3939999999999999</v>
      </c>
      <c r="F97" s="2">
        <v>1</v>
      </c>
    </row>
    <row r="98" spans="1:6" ht="14.25" customHeight="1">
      <c r="A98" s="2">
        <v>40</v>
      </c>
      <c r="B98" s="2">
        <v>97</v>
      </c>
      <c r="C98" s="2">
        <v>4</v>
      </c>
      <c r="D98" s="2">
        <v>1</v>
      </c>
      <c r="E98" s="2">
        <v>1.2889999999999999</v>
      </c>
      <c r="F98" s="2">
        <v>2</v>
      </c>
    </row>
    <row r="99" spans="1:6" ht="14.25" customHeight="1">
      <c r="A99" s="2">
        <v>40</v>
      </c>
      <c r="B99" s="2">
        <v>98</v>
      </c>
      <c r="C99" s="2">
        <v>1</v>
      </c>
      <c r="D99" s="2">
        <v>0</v>
      </c>
      <c r="E99" s="2">
        <v>1.9039999999999999</v>
      </c>
      <c r="F99" s="2">
        <v>1</v>
      </c>
    </row>
    <row r="100" spans="1:6" ht="14.25" customHeight="1">
      <c r="A100" s="2">
        <v>40</v>
      </c>
      <c r="B100" s="2">
        <v>99</v>
      </c>
      <c r="C100" s="2">
        <v>3</v>
      </c>
      <c r="D100" s="2">
        <v>1</v>
      </c>
      <c r="E100" s="2">
        <v>1.2749999999999999</v>
      </c>
      <c r="F100" s="2">
        <v>2</v>
      </c>
    </row>
    <row r="101" spans="1:6" ht="14.25" customHeight="1">
      <c r="A101" s="2">
        <v>40</v>
      </c>
      <c r="B101" s="2">
        <v>100</v>
      </c>
      <c r="C101" s="2">
        <v>5</v>
      </c>
      <c r="D101" s="2">
        <v>0</v>
      </c>
      <c r="E101" s="2">
        <v>1.716</v>
      </c>
      <c r="F101" s="2">
        <v>2</v>
      </c>
    </row>
    <row r="102" spans="1:6" ht="14.25" customHeight="1">
      <c r="A102" s="2">
        <v>40</v>
      </c>
      <c r="B102" s="2">
        <v>101</v>
      </c>
      <c r="C102" s="2">
        <v>4</v>
      </c>
      <c r="D102" s="2">
        <v>1</v>
      </c>
      <c r="E102" s="2">
        <v>1.3859999999999999</v>
      </c>
      <c r="F102" s="2">
        <v>1</v>
      </c>
    </row>
    <row r="103" spans="1:6" ht="14.25" customHeight="1">
      <c r="A103" s="2">
        <v>40</v>
      </c>
      <c r="B103" s="2">
        <v>102</v>
      </c>
      <c r="C103" s="2">
        <v>7</v>
      </c>
      <c r="D103" s="2">
        <v>0</v>
      </c>
      <c r="E103" s="2">
        <v>0.84599999999999997</v>
      </c>
      <c r="F103" s="2">
        <v>1</v>
      </c>
    </row>
    <row r="104" spans="1:6" ht="14.25" customHeight="1">
      <c r="A104" s="2">
        <v>40</v>
      </c>
      <c r="B104" s="2">
        <v>103</v>
      </c>
      <c r="C104" s="2">
        <v>2</v>
      </c>
      <c r="D104" s="2">
        <v>1</v>
      </c>
      <c r="E104" s="2">
        <v>0.65400000000000003</v>
      </c>
      <c r="F104" s="2">
        <v>2</v>
      </c>
    </row>
    <row r="105" spans="1:6" ht="14.25" customHeight="1">
      <c r="A105" s="2">
        <v>40</v>
      </c>
      <c r="B105" s="2">
        <v>104</v>
      </c>
      <c r="C105" s="2">
        <v>3</v>
      </c>
      <c r="D105" s="2">
        <v>1</v>
      </c>
      <c r="E105" s="2">
        <v>0.7</v>
      </c>
      <c r="F105" s="2">
        <v>2</v>
      </c>
    </row>
    <row r="106" spans="1:6" ht="14.25" customHeight="1">
      <c r="A106" s="2">
        <v>40</v>
      </c>
      <c r="B106" s="2">
        <v>105</v>
      </c>
      <c r="C106" s="2">
        <v>8</v>
      </c>
      <c r="D106" s="2">
        <v>1</v>
      </c>
      <c r="E106" s="2">
        <v>0.76</v>
      </c>
      <c r="F106" s="2">
        <v>1</v>
      </c>
    </row>
    <row r="107" spans="1:6" ht="14.25" customHeight="1">
      <c r="A107" s="2">
        <v>40</v>
      </c>
      <c r="B107" s="2">
        <v>106</v>
      </c>
      <c r="C107" s="2">
        <v>6</v>
      </c>
      <c r="D107" s="2">
        <v>0</v>
      </c>
      <c r="E107" s="2">
        <v>0.85099999999999998</v>
      </c>
      <c r="F107" s="2">
        <v>2</v>
      </c>
    </row>
    <row r="108" spans="1:6" ht="14.25" customHeight="1">
      <c r="A108" s="2">
        <v>40</v>
      </c>
      <c r="B108" s="2">
        <v>107</v>
      </c>
      <c r="C108" s="2">
        <v>4</v>
      </c>
      <c r="D108" s="2">
        <v>1</v>
      </c>
      <c r="E108" s="2">
        <v>0.77</v>
      </c>
      <c r="F108" s="2">
        <v>1</v>
      </c>
    </row>
    <row r="109" spans="1:6" ht="14.25" customHeight="1">
      <c r="A109" s="2">
        <v>40</v>
      </c>
      <c r="B109" s="2">
        <v>108</v>
      </c>
      <c r="C109" s="2">
        <v>7</v>
      </c>
      <c r="D109" s="2">
        <v>1</v>
      </c>
      <c r="E109" s="2">
        <v>1.7609999999999999</v>
      </c>
      <c r="F109" s="2">
        <v>1</v>
      </c>
    </row>
    <row r="110" spans="1:6" ht="14.25" customHeight="1">
      <c r="A110" s="2">
        <v>40</v>
      </c>
      <c r="B110" s="2">
        <v>109</v>
      </c>
      <c r="C110" s="2">
        <v>5</v>
      </c>
      <c r="D110" s="2">
        <v>1</v>
      </c>
      <c r="E110" s="2">
        <v>1.181</v>
      </c>
      <c r="F110" s="2">
        <v>2</v>
      </c>
    </row>
    <row r="111" spans="1:6" ht="14.25" customHeight="1">
      <c r="A111" s="2">
        <v>40</v>
      </c>
      <c r="B111" s="2">
        <v>110</v>
      </c>
      <c r="C111" s="2">
        <v>4</v>
      </c>
      <c r="D111" s="2">
        <v>0</v>
      </c>
      <c r="E111" s="2">
        <v>1.2190000000000001</v>
      </c>
      <c r="F111" s="2">
        <v>2</v>
      </c>
    </row>
    <row r="112" spans="1:6" ht="14.25" customHeight="1">
      <c r="A112" s="2">
        <v>40</v>
      </c>
      <c r="B112" s="2">
        <v>111</v>
      </c>
      <c r="C112" s="2">
        <v>1</v>
      </c>
      <c r="D112" s="2">
        <v>1</v>
      </c>
      <c r="E112" s="2">
        <v>0.67300000000000004</v>
      </c>
      <c r="F112" s="2">
        <v>2</v>
      </c>
    </row>
    <row r="113" spans="1:6" ht="14.25" customHeight="1">
      <c r="A113" s="2">
        <v>40</v>
      </c>
      <c r="B113" s="2">
        <v>112</v>
      </c>
      <c r="C113" s="2">
        <v>7</v>
      </c>
      <c r="D113" s="2">
        <v>1</v>
      </c>
      <c r="E113" s="2">
        <v>1.889</v>
      </c>
      <c r="F113" s="2">
        <v>1</v>
      </c>
    </row>
    <row r="114" spans="1:6" ht="14.25" customHeight="1">
      <c r="A114" s="2">
        <v>40</v>
      </c>
      <c r="B114" s="2">
        <v>113</v>
      </c>
      <c r="C114" s="2">
        <v>3</v>
      </c>
      <c r="D114" s="2">
        <v>0</v>
      </c>
      <c r="E114" s="2">
        <v>1.625</v>
      </c>
      <c r="F114" s="2">
        <v>2</v>
      </c>
    </row>
    <row r="115" spans="1:6" ht="14.25" customHeight="1">
      <c r="A115" s="2">
        <v>40</v>
      </c>
      <c r="B115" s="2">
        <v>114</v>
      </c>
      <c r="C115" s="2">
        <v>6</v>
      </c>
      <c r="D115" s="2">
        <v>0</v>
      </c>
      <c r="E115" s="2">
        <v>0.68600000000000005</v>
      </c>
      <c r="F115" s="2">
        <v>2</v>
      </c>
    </row>
    <row r="116" spans="1:6" ht="14.25" customHeight="1">
      <c r="A116" s="2">
        <v>40</v>
      </c>
      <c r="B116" s="2">
        <v>115</v>
      </c>
      <c r="C116" s="2">
        <v>5</v>
      </c>
      <c r="D116" s="2">
        <v>0</v>
      </c>
      <c r="E116" s="2">
        <v>0.96899999999999997</v>
      </c>
      <c r="F116" s="2">
        <v>2</v>
      </c>
    </row>
    <row r="117" spans="1:6" ht="14.25" customHeight="1">
      <c r="A117" s="2">
        <v>40</v>
      </c>
      <c r="B117" s="2">
        <v>116</v>
      </c>
      <c r="C117" s="2">
        <v>1</v>
      </c>
      <c r="D117" s="2">
        <v>1</v>
      </c>
      <c r="E117" s="2">
        <v>1.716</v>
      </c>
      <c r="F117" s="2">
        <v>1</v>
      </c>
    </row>
    <row r="118" spans="1:6" ht="14.25" customHeight="1">
      <c r="A118" s="2">
        <v>40</v>
      </c>
      <c r="B118" s="2">
        <v>117</v>
      </c>
      <c r="C118" s="2">
        <v>6</v>
      </c>
      <c r="D118" s="2">
        <v>1</v>
      </c>
      <c r="E118" s="2">
        <v>0.874</v>
      </c>
      <c r="F118" s="2">
        <v>2</v>
      </c>
    </row>
    <row r="119" spans="1:6" ht="14.25" customHeight="1">
      <c r="A119" s="2">
        <v>40</v>
      </c>
      <c r="B119" s="2">
        <v>118</v>
      </c>
      <c r="C119" s="2">
        <v>7</v>
      </c>
      <c r="D119" s="2">
        <v>1</v>
      </c>
      <c r="E119" s="2">
        <v>1.3640000000000001</v>
      </c>
      <c r="F119" s="2">
        <v>2</v>
      </c>
    </row>
    <row r="120" spans="1:6" ht="14.25" customHeight="1">
      <c r="A120" s="2">
        <v>40</v>
      </c>
      <c r="B120" s="2">
        <v>119</v>
      </c>
      <c r="C120" s="2">
        <v>8</v>
      </c>
      <c r="D120" s="2">
        <v>1</v>
      </c>
      <c r="E120" s="2">
        <v>0.91400000000000003</v>
      </c>
      <c r="F120" s="2">
        <v>2</v>
      </c>
    </row>
    <row r="121" spans="1:6" ht="14.25" customHeight="1">
      <c r="A121" s="2">
        <v>40</v>
      </c>
      <c r="B121" s="2">
        <v>120</v>
      </c>
      <c r="C121" s="2">
        <v>7</v>
      </c>
      <c r="D121" s="2">
        <v>1</v>
      </c>
      <c r="E121" s="2">
        <v>0.97799999999999998</v>
      </c>
      <c r="F121" s="2">
        <v>1</v>
      </c>
    </row>
    <row r="122" spans="1:6" ht="14.25" customHeight="1">
      <c r="A122" s="2">
        <v>40</v>
      </c>
      <c r="B122" s="2">
        <v>121</v>
      </c>
      <c r="C122" s="2">
        <v>1</v>
      </c>
      <c r="D122" s="2">
        <v>1</v>
      </c>
      <c r="E122" s="2">
        <v>1.3069999999999999</v>
      </c>
      <c r="F122" s="2">
        <v>2</v>
      </c>
    </row>
    <row r="123" spans="1:6" ht="14.25" customHeight="1">
      <c r="A123" s="2">
        <v>40</v>
      </c>
      <c r="B123" s="2">
        <v>122</v>
      </c>
      <c r="C123" s="2">
        <v>7</v>
      </c>
      <c r="E123" s="2">
        <v>2</v>
      </c>
    </row>
    <row r="124" spans="1:6" ht="14.25" customHeight="1">
      <c r="A124" s="2">
        <v>40</v>
      </c>
      <c r="B124" s="2">
        <v>123</v>
      </c>
      <c r="C124" s="2">
        <v>5</v>
      </c>
      <c r="D124" s="2">
        <v>1</v>
      </c>
      <c r="E124" s="2">
        <v>0.61199999999999999</v>
      </c>
      <c r="F124" s="2">
        <v>2</v>
      </c>
    </row>
    <row r="125" spans="1:6" ht="14.25" customHeight="1">
      <c r="A125" s="2">
        <v>40</v>
      </c>
      <c r="B125" s="2">
        <v>124</v>
      </c>
      <c r="C125" s="2">
        <v>4</v>
      </c>
      <c r="D125" s="2">
        <v>0</v>
      </c>
      <c r="E125" s="2">
        <v>0.91200000000000003</v>
      </c>
      <c r="F125" s="2">
        <v>1</v>
      </c>
    </row>
    <row r="126" spans="1:6" ht="14.25" customHeight="1">
      <c r="A126" s="2">
        <v>40</v>
      </c>
      <c r="B126" s="2">
        <v>125</v>
      </c>
      <c r="C126" s="2">
        <v>2</v>
      </c>
      <c r="D126" s="2">
        <v>1</v>
      </c>
      <c r="E126" s="2">
        <v>1.4850000000000001</v>
      </c>
      <c r="F126" s="2">
        <v>1</v>
      </c>
    </row>
    <row r="127" spans="1:6" ht="14.25" customHeight="1">
      <c r="A127" s="2">
        <v>40</v>
      </c>
      <c r="B127" s="2">
        <v>126</v>
      </c>
      <c r="C127" s="2">
        <v>8</v>
      </c>
      <c r="D127" s="2">
        <v>0</v>
      </c>
      <c r="E127" s="2">
        <v>0.94699999999999995</v>
      </c>
      <c r="F127" s="2">
        <v>2</v>
      </c>
    </row>
    <row r="128" spans="1:6" ht="14.25" customHeight="1">
      <c r="A128" s="2">
        <v>40</v>
      </c>
      <c r="B128" s="2">
        <v>127</v>
      </c>
      <c r="C128" s="2">
        <v>5</v>
      </c>
      <c r="D128" s="2">
        <v>1</v>
      </c>
      <c r="E128" s="2">
        <v>1.371</v>
      </c>
      <c r="F128" s="2">
        <v>2</v>
      </c>
    </row>
    <row r="129" spans="1:6" ht="14.25" customHeight="1">
      <c r="A129" s="2">
        <v>40</v>
      </c>
      <c r="B129" s="2">
        <v>128</v>
      </c>
      <c r="C129" s="2">
        <v>1</v>
      </c>
      <c r="D129" s="2">
        <v>1</v>
      </c>
      <c r="E129" s="2">
        <v>0.82499999999999996</v>
      </c>
      <c r="F129" s="2">
        <v>2</v>
      </c>
    </row>
    <row r="130" spans="1:6" ht="14.25" customHeight="1">
      <c r="A130" s="2">
        <v>40</v>
      </c>
      <c r="B130" s="2">
        <v>129</v>
      </c>
      <c r="C130" s="2">
        <v>3</v>
      </c>
      <c r="E130" s="2">
        <v>2</v>
      </c>
    </row>
    <row r="131" spans="1:6" ht="14.25" customHeight="1">
      <c r="A131" s="2">
        <v>40</v>
      </c>
      <c r="B131" s="2">
        <v>130</v>
      </c>
      <c r="C131" s="2">
        <v>2</v>
      </c>
      <c r="D131" s="2">
        <v>0</v>
      </c>
      <c r="E131" s="2">
        <v>0.999</v>
      </c>
      <c r="F131" s="2">
        <v>2</v>
      </c>
    </row>
    <row r="132" spans="1:6" ht="14.25" customHeight="1">
      <c r="A132" s="2">
        <v>40</v>
      </c>
      <c r="B132" s="2">
        <v>131</v>
      </c>
      <c r="C132" s="2">
        <v>8</v>
      </c>
      <c r="D132" s="2">
        <v>0</v>
      </c>
      <c r="E132" s="2">
        <v>1.101</v>
      </c>
      <c r="F132" s="2">
        <v>2</v>
      </c>
    </row>
    <row r="133" spans="1:6" ht="14.25" customHeight="1">
      <c r="A133" s="2">
        <v>40</v>
      </c>
      <c r="B133" s="2">
        <v>132</v>
      </c>
      <c r="C133" s="2">
        <v>3</v>
      </c>
      <c r="D133" s="2">
        <v>0</v>
      </c>
      <c r="E133" s="2">
        <v>0.76</v>
      </c>
      <c r="F133" s="2">
        <v>1</v>
      </c>
    </row>
    <row r="134" spans="1:6" ht="14.25" customHeight="1">
      <c r="A134" s="2">
        <v>40</v>
      </c>
      <c r="B134" s="2">
        <v>133</v>
      </c>
      <c r="C134" s="2">
        <v>6</v>
      </c>
      <c r="D134" s="2">
        <v>1</v>
      </c>
      <c r="E134" s="2">
        <v>0.67600000000000005</v>
      </c>
      <c r="F134" s="2">
        <v>2</v>
      </c>
    </row>
    <row r="135" spans="1:6" ht="14.25" customHeight="1">
      <c r="A135" s="2">
        <v>40</v>
      </c>
      <c r="B135" s="2">
        <v>134</v>
      </c>
      <c r="C135" s="2">
        <v>1</v>
      </c>
      <c r="D135" s="2">
        <v>1</v>
      </c>
      <c r="E135" s="2">
        <v>0.69699999999999995</v>
      </c>
      <c r="F135" s="2">
        <v>2</v>
      </c>
    </row>
    <row r="136" spans="1:6" ht="14.25" customHeight="1">
      <c r="A136" s="2">
        <v>40</v>
      </c>
      <c r="B136" s="2">
        <v>135</v>
      </c>
      <c r="C136" s="2">
        <v>4</v>
      </c>
      <c r="D136" s="2">
        <v>0</v>
      </c>
      <c r="E136" s="2">
        <v>0.755</v>
      </c>
      <c r="F136" s="2">
        <v>1</v>
      </c>
    </row>
    <row r="137" spans="1:6" ht="14.25" customHeight="1">
      <c r="A137" s="2">
        <v>40</v>
      </c>
      <c r="B137" s="2">
        <v>136</v>
      </c>
      <c r="C137" s="2">
        <v>6</v>
      </c>
      <c r="D137" s="2">
        <v>0</v>
      </c>
      <c r="E137" s="2">
        <v>0.77600000000000002</v>
      </c>
      <c r="F137" s="2">
        <v>2</v>
      </c>
    </row>
    <row r="138" spans="1:6" ht="14.25" customHeight="1">
      <c r="A138" s="2">
        <v>40</v>
      </c>
      <c r="B138" s="2">
        <v>137</v>
      </c>
      <c r="C138" s="2">
        <v>5</v>
      </c>
      <c r="D138" s="2">
        <v>0</v>
      </c>
      <c r="E138" s="2">
        <v>1.448</v>
      </c>
      <c r="F138" s="2">
        <v>1</v>
      </c>
    </row>
    <row r="139" spans="1:6" ht="14.25" customHeight="1">
      <c r="A139" s="2">
        <v>40</v>
      </c>
      <c r="B139" s="2">
        <v>138</v>
      </c>
      <c r="C139" s="2">
        <v>7</v>
      </c>
      <c r="D139" s="2">
        <v>1</v>
      </c>
      <c r="E139" s="2">
        <v>0.69599999999999995</v>
      </c>
      <c r="F139" s="2">
        <v>2</v>
      </c>
    </row>
    <row r="140" spans="1:6" ht="14.25" customHeight="1">
      <c r="A140" s="2">
        <v>40</v>
      </c>
      <c r="B140" s="2">
        <v>139</v>
      </c>
      <c r="C140" s="2">
        <v>3</v>
      </c>
      <c r="D140" s="2">
        <v>1</v>
      </c>
      <c r="E140" s="2">
        <v>0.878</v>
      </c>
      <c r="F140" s="2">
        <v>2</v>
      </c>
    </row>
    <row r="141" spans="1:6" ht="14.25" customHeight="1">
      <c r="A141" s="2">
        <v>40</v>
      </c>
      <c r="B141" s="2">
        <v>140</v>
      </c>
      <c r="C141" s="2">
        <v>5</v>
      </c>
      <c r="D141" s="2">
        <v>0</v>
      </c>
      <c r="E141" s="2">
        <v>0.80400000000000005</v>
      </c>
      <c r="F141" s="2">
        <v>2</v>
      </c>
    </row>
    <row r="142" spans="1:6" ht="14.25" customHeight="1">
      <c r="A142" s="2">
        <v>40</v>
      </c>
      <c r="B142" s="2">
        <v>141</v>
      </c>
      <c r="C142" s="2">
        <v>2</v>
      </c>
      <c r="D142" s="2">
        <v>1</v>
      </c>
      <c r="E142" s="2">
        <v>1.276</v>
      </c>
      <c r="F142" s="2">
        <v>1</v>
      </c>
    </row>
    <row r="143" spans="1:6" ht="14.25" customHeight="1">
      <c r="A143" s="2">
        <v>40</v>
      </c>
      <c r="B143" s="2">
        <v>142</v>
      </c>
      <c r="C143" s="2">
        <v>4</v>
      </c>
      <c r="D143" s="2">
        <v>0</v>
      </c>
      <c r="E143" s="2">
        <v>1.2929999999999999</v>
      </c>
      <c r="F143" s="2">
        <v>2</v>
      </c>
    </row>
    <row r="144" spans="1:6" ht="14.25" customHeight="1">
      <c r="A144" s="2">
        <v>40</v>
      </c>
      <c r="B144" s="2">
        <v>143</v>
      </c>
      <c r="C144" s="2">
        <v>8</v>
      </c>
      <c r="D144" s="2">
        <v>1</v>
      </c>
      <c r="E144" s="2">
        <v>0.65800000000000003</v>
      </c>
      <c r="F144" s="2">
        <v>2</v>
      </c>
    </row>
    <row r="145" spans="1:6" ht="14.25" customHeight="1">
      <c r="A145" s="2">
        <v>40</v>
      </c>
      <c r="B145" s="2">
        <v>144</v>
      </c>
      <c r="C145" s="2">
        <v>2</v>
      </c>
      <c r="D145" s="2">
        <v>0</v>
      </c>
      <c r="E145" s="2">
        <v>1.169</v>
      </c>
      <c r="F145" s="2">
        <v>2</v>
      </c>
    </row>
    <row r="146" spans="1:6" ht="14.25" customHeight="1">
      <c r="A146" s="2">
        <v>40</v>
      </c>
      <c r="B146" s="2">
        <v>145</v>
      </c>
      <c r="C146" s="2">
        <v>6</v>
      </c>
      <c r="D146" s="2">
        <v>0</v>
      </c>
      <c r="E146" s="2">
        <v>0.68100000000000005</v>
      </c>
      <c r="F146" s="2">
        <v>2</v>
      </c>
    </row>
    <row r="147" spans="1:6" ht="14.25" customHeight="1">
      <c r="A147" s="2">
        <v>40</v>
      </c>
      <c r="B147" s="2">
        <v>146</v>
      </c>
      <c r="C147" s="2">
        <v>8</v>
      </c>
      <c r="D147" s="2">
        <v>1</v>
      </c>
      <c r="E147" s="2">
        <v>1.0169999999999999</v>
      </c>
      <c r="F147" s="2">
        <v>1</v>
      </c>
    </row>
    <row r="148" spans="1:6" ht="14.25" customHeight="1">
      <c r="A148" s="2">
        <v>40</v>
      </c>
      <c r="B148" s="2">
        <v>147</v>
      </c>
      <c r="C148" s="2">
        <v>3</v>
      </c>
      <c r="D148" s="2">
        <v>1</v>
      </c>
      <c r="E148" s="2">
        <v>0.80400000000000005</v>
      </c>
      <c r="F148" s="2">
        <v>2</v>
      </c>
    </row>
    <row r="149" spans="1:6" ht="14.25" customHeight="1">
      <c r="A149" s="2">
        <v>40</v>
      </c>
      <c r="B149" s="2">
        <v>148</v>
      </c>
      <c r="C149" s="2">
        <v>2</v>
      </c>
      <c r="D149" s="2">
        <v>1</v>
      </c>
      <c r="E149" s="2">
        <v>0.72899999999999998</v>
      </c>
      <c r="F149" s="2">
        <v>2</v>
      </c>
    </row>
    <row r="150" spans="1:6" ht="14.25" customHeight="1">
      <c r="A150" s="2">
        <v>40</v>
      </c>
      <c r="B150" s="2">
        <v>149</v>
      </c>
      <c r="C150" s="2">
        <v>1</v>
      </c>
      <c r="D150" s="2">
        <v>1</v>
      </c>
      <c r="E150" s="2">
        <v>1.5529999999999999</v>
      </c>
      <c r="F150" s="2">
        <v>2</v>
      </c>
    </row>
    <row r="151" spans="1:6" ht="14.25" customHeight="1">
      <c r="A151" s="2">
        <v>40</v>
      </c>
      <c r="B151" s="2">
        <v>150</v>
      </c>
      <c r="C151" s="2">
        <v>3</v>
      </c>
      <c r="D151" s="2">
        <v>1</v>
      </c>
      <c r="E151" s="2">
        <v>1.31</v>
      </c>
      <c r="F151" s="2">
        <v>1</v>
      </c>
    </row>
    <row r="152" spans="1:6" ht="14.25" customHeight="1">
      <c r="A152" s="2">
        <v>40</v>
      </c>
      <c r="B152" s="2">
        <v>151</v>
      </c>
      <c r="C152" s="2">
        <v>1</v>
      </c>
      <c r="D152" s="2">
        <v>0</v>
      </c>
      <c r="E152" s="2">
        <v>0.99399999999999999</v>
      </c>
      <c r="F152" s="2">
        <v>2</v>
      </c>
    </row>
    <row r="153" spans="1:6" ht="14.25" customHeight="1">
      <c r="A153" s="2">
        <v>40</v>
      </c>
      <c r="B153" s="2">
        <v>152</v>
      </c>
      <c r="C153" s="2">
        <v>4</v>
      </c>
      <c r="D153" s="2">
        <v>0</v>
      </c>
      <c r="E153" s="2">
        <v>1.2110000000000001</v>
      </c>
      <c r="F153" s="2">
        <v>1</v>
      </c>
    </row>
    <row r="154" spans="1:6" ht="14.25" customHeight="1">
      <c r="A154" s="2">
        <v>40</v>
      </c>
      <c r="B154" s="2">
        <v>153</v>
      </c>
      <c r="C154" s="2">
        <v>2</v>
      </c>
      <c r="D154" s="2">
        <v>1</v>
      </c>
      <c r="E154" s="2">
        <v>0.59</v>
      </c>
      <c r="F154" s="2">
        <v>2</v>
      </c>
    </row>
    <row r="155" spans="1:6" ht="14.25" customHeight="1">
      <c r="A155" s="2">
        <v>40</v>
      </c>
      <c r="B155" s="2">
        <v>154</v>
      </c>
      <c r="C155" s="2">
        <v>7</v>
      </c>
      <c r="D155" s="2">
        <v>1</v>
      </c>
      <c r="E155" s="2">
        <v>1.429</v>
      </c>
      <c r="F155" s="2">
        <v>2</v>
      </c>
    </row>
    <row r="156" spans="1:6" ht="14.25" customHeight="1">
      <c r="A156" s="2">
        <v>40</v>
      </c>
      <c r="B156" s="2">
        <v>155</v>
      </c>
      <c r="C156" s="2">
        <v>3</v>
      </c>
      <c r="D156" s="2">
        <v>1</v>
      </c>
      <c r="E156" s="2">
        <v>0.76300000000000001</v>
      </c>
      <c r="F156" s="2">
        <v>1</v>
      </c>
    </row>
    <row r="157" spans="1:6" ht="14.25" customHeight="1">
      <c r="A157" s="2">
        <v>40</v>
      </c>
      <c r="B157" s="2">
        <v>156</v>
      </c>
      <c r="C157" s="2">
        <v>7</v>
      </c>
      <c r="D157" s="2">
        <v>1</v>
      </c>
      <c r="E157" s="2">
        <v>1.131</v>
      </c>
      <c r="F157" s="2">
        <v>1</v>
      </c>
    </row>
    <row r="158" spans="1:6" ht="14.25" customHeight="1">
      <c r="A158" s="2">
        <v>40</v>
      </c>
      <c r="B158" s="2">
        <v>157</v>
      </c>
      <c r="C158" s="2">
        <v>6</v>
      </c>
      <c r="D158" s="2">
        <v>1</v>
      </c>
      <c r="E158" s="2">
        <v>0.94699999999999995</v>
      </c>
      <c r="F158" s="2">
        <v>1</v>
      </c>
    </row>
    <row r="159" spans="1:6" ht="14.25" customHeight="1">
      <c r="A159" s="2">
        <v>40</v>
      </c>
      <c r="B159" s="2">
        <v>158</v>
      </c>
      <c r="C159" s="2">
        <v>1</v>
      </c>
      <c r="D159" s="2">
        <v>0</v>
      </c>
      <c r="E159" s="2">
        <v>1.2769999999999999</v>
      </c>
      <c r="F159" s="2">
        <v>2</v>
      </c>
    </row>
    <row r="160" spans="1:6" ht="14.25" customHeight="1">
      <c r="A160" s="2">
        <v>40</v>
      </c>
      <c r="B160" s="2">
        <v>159</v>
      </c>
      <c r="C160" s="2">
        <v>6</v>
      </c>
      <c r="D160" s="2">
        <v>0</v>
      </c>
      <c r="E160" s="2">
        <v>0.91600000000000004</v>
      </c>
      <c r="F160" s="2">
        <v>1</v>
      </c>
    </row>
    <row r="161" spans="1:6" ht="14.25" customHeight="1">
      <c r="A161" s="2">
        <v>40</v>
      </c>
      <c r="B161" s="2">
        <v>160</v>
      </c>
      <c r="C161" s="2">
        <v>7</v>
      </c>
      <c r="D161" s="2">
        <v>1</v>
      </c>
      <c r="E161" s="2">
        <v>1.0429999999999999</v>
      </c>
      <c r="F161" s="2">
        <v>1</v>
      </c>
    </row>
    <row r="162" spans="1:6" ht="14.25" customHeight="1">
      <c r="A162" s="2">
        <v>40</v>
      </c>
      <c r="B162" s="2">
        <v>161</v>
      </c>
      <c r="C162" s="2">
        <v>3</v>
      </c>
      <c r="D162" s="2">
        <v>1</v>
      </c>
      <c r="E162" s="2">
        <v>1.0609999999999999</v>
      </c>
      <c r="F162" s="2">
        <v>2</v>
      </c>
    </row>
    <row r="163" spans="1:6" ht="14.25" customHeight="1">
      <c r="A163" s="2">
        <v>40</v>
      </c>
      <c r="B163" s="2">
        <v>162</v>
      </c>
      <c r="C163" s="2">
        <v>8</v>
      </c>
      <c r="D163" s="2">
        <v>1</v>
      </c>
      <c r="E163" s="2">
        <v>1.4379999999999999</v>
      </c>
      <c r="F163" s="2">
        <v>1</v>
      </c>
    </row>
    <row r="164" spans="1:6" ht="14.25" customHeight="1">
      <c r="A164" s="2">
        <v>40</v>
      </c>
      <c r="B164" s="2">
        <v>163</v>
      </c>
      <c r="C164" s="2">
        <v>5</v>
      </c>
      <c r="D164" s="2">
        <v>1</v>
      </c>
      <c r="E164" s="2">
        <v>1.2</v>
      </c>
      <c r="F164" s="2">
        <v>1</v>
      </c>
    </row>
    <row r="165" spans="1:6" ht="14.25" customHeight="1">
      <c r="A165" s="2">
        <v>40</v>
      </c>
      <c r="B165" s="2">
        <v>164</v>
      </c>
      <c r="C165" s="2">
        <v>4</v>
      </c>
      <c r="D165" s="2">
        <v>0</v>
      </c>
      <c r="E165" s="2">
        <v>1.1419999999999999</v>
      </c>
      <c r="F165" s="2">
        <v>2</v>
      </c>
    </row>
    <row r="166" spans="1:6" ht="14.25" customHeight="1">
      <c r="A166" s="2">
        <v>40</v>
      </c>
      <c r="B166" s="2">
        <v>165</v>
      </c>
      <c r="C166" s="2">
        <v>7</v>
      </c>
      <c r="D166" s="2">
        <v>1</v>
      </c>
      <c r="E166" s="2">
        <v>0.89</v>
      </c>
      <c r="F166" s="2">
        <v>1</v>
      </c>
    </row>
    <row r="167" spans="1:6" ht="14.25" customHeight="1">
      <c r="A167" s="2">
        <v>40</v>
      </c>
      <c r="B167" s="2">
        <v>166</v>
      </c>
      <c r="C167" s="2">
        <v>8</v>
      </c>
      <c r="D167" s="2">
        <v>1</v>
      </c>
      <c r="E167" s="2">
        <v>1.127</v>
      </c>
      <c r="F167" s="2">
        <v>1</v>
      </c>
    </row>
    <row r="168" spans="1:6" ht="14.25" customHeight="1">
      <c r="A168" s="2">
        <v>40</v>
      </c>
      <c r="B168" s="2">
        <v>167</v>
      </c>
      <c r="C168" s="2">
        <v>1</v>
      </c>
      <c r="D168" s="2">
        <v>1</v>
      </c>
      <c r="E168" s="2">
        <v>0.99399999999999999</v>
      </c>
      <c r="F168" s="2">
        <v>2</v>
      </c>
    </row>
    <row r="169" spans="1:6" ht="14.25" customHeight="1">
      <c r="A169" s="2">
        <v>40</v>
      </c>
      <c r="B169" s="2">
        <v>168</v>
      </c>
      <c r="C169" s="2">
        <v>5</v>
      </c>
      <c r="D169" s="2">
        <v>0</v>
      </c>
      <c r="E169" s="2">
        <v>1.857</v>
      </c>
      <c r="F169" s="2">
        <v>1</v>
      </c>
    </row>
    <row r="170" spans="1:6" ht="14.25" customHeight="1">
      <c r="A170" s="2">
        <v>40</v>
      </c>
      <c r="B170" s="2">
        <v>169</v>
      </c>
      <c r="C170" s="2">
        <v>2</v>
      </c>
      <c r="D170" s="2">
        <v>1</v>
      </c>
      <c r="E170" s="2">
        <v>1.169</v>
      </c>
      <c r="F170" s="2">
        <v>2</v>
      </c>
    </row>
    <row r="171" spans="1:6" ht="14.25" customHeight="1">
      <c r="A171" s="2">
        <v>40</v>
      </c>
      <c r="B171" s="2">
        <v>170</v>
      </c>
      <c r="C171" s="2">
        <v>3</v>
      </c>
      <c r="D171" s="2">
        <v>1</v>
      </c>
      <c r="E171" s="2">
        <v>1.3440000000000001</v>
      </c>
      <c r="F171" s="2">
        <v>1</v>
      </c>
    </row>
    <row r="172" spans="1:6" ht="14.25" customHeight="1">
      <c r="A172" s="2">
        <v>40</v>
      </c>
      <c r="B172" s="2">
        <v>171</v>
      </c>
      <c r="C172" s="2">
        <v>2</v>
      </c>
      <c r="D172" s="2">
        <v>0</v>
      </c>
      <c r="E172" s="2">
        <v>1.849</v>
      </c>
      <c r="F172" s="2">
        <v>1</v>
      </c>
    </row>
    <row r="173" spans="1:6" ht="14.25" customHeight="1">
      <c r="A173" s="2">
        <v>40</v>
      </c>
      <c r="B173" s="2">
        <v>172</v>
      </c>
      <c r="C173" s="2">
        <v>3</v>
      </c>
      <c r="D173" s="2">
        <v>0</v>
      </c>
      <c r="E173" s="2">
        <v>0.96499999999999997</v>
      </c>
      <c r="F173" s="2">
        <v>2</v>
      </c>
    </row>
    <row r="174" spans="1:6" ht="14.25" customHeight="1">
      <c r="A174" s="2">
        <v>40</v>
      </c>
      <c r="B174" s="2">
        <v>173</v>
      </c>
      <c r="C174" s="2">
        <v>2</v>
      </c>
      <c r="D174" s="2">
        <v>1</v>
      </c>
      <c r="E174" s="2">
        <v>0.63600000000000001</v>
      </c>
      <c r="F174" s="2">
        <v>2</v>
      </c>
    </row>
    <row r="175" spans="1:6" ht="14.25" customHeight="1">
      <c r="A175" s="2">
        <v>40</v>
      </c>
      <c r="B175" s="2">
        <v>174</v>
      </c>
      <c r="C175" s="2">
        <v>8</v>
      </c>
      <c r="D175" s="2">
        <v>0</v>
      </c>
      <c r="E175" s="2">
        <v>0.874</v>
      </c>
      <c r="F175" s="2">
        <v>1</v>
      </c>
    </row>
    <row r="176" spans="1:6" ht="14.25" customHeight="1">
      <c r="A176" s="2">
        <v>40</v>
      </c>
      <c r="B176" s="2">
        <v>175</v>
      </c>
      <c r="C176" s="2">
        <v>5</v>
      </c>
      <c r="D176" s="2">
        <v>1</v>
      </c>
      <c r="E176" s="2">
        <v>1.194</v>
      </c>
      <c r="F176" s="2">
        <v>1</v>
      </c>
    </row>
    <row r="177" spans="1:6" ht="14.25" customHeight="1">
      <c r="A177" s="2">
        <v>40</v>
      </c>
      <c r="B177" s="2">
        <v>176</v>
      </c>
      <c r="C177" s="2">
        <v>2</v>
      </c>
      <c r="D177" s="2">
        <v>0</v>
      </c>
      <c r="E177" s="2">
        <v>0.95499999999999996</v>
      </c>
      <c r="F177" s="2">
        <v>2</v>
      </c>
    </row>
    <row r="178" spans="1:6" ht="14.25" customHeight="1">
      <c r="A178" s="2">
        <v>40</v>
      </c>
      <c r="B178" s="2">
        <v>177</v>
      </c>
      <c r="C178" s="2">
        <v>7</v>
      </c>
      <c r="D178" s="2">
        <v>1</v>
      </c>
      <c r="E178" s="2">
        <v>0.86599999999999999</v>
      </c>
      <c r="F178" s="2">
        <v>2</v>
      </c>
    </row>
    <row r="179" spans="1:6" ht="14.25" customHeight="1">
      <c r="A179" s="2">
        <v>40</v>
      </c>
      <c r="B179" s="2">
        <v>178</v>
      </c>
      <c r="C179" s="2">
        <v>6</v>
      </c>
      <c r="D179" s="2">
        <v>1</v>
      </c>
      <c r="E179" s="2">
        <v>0.80200000000000005</v>
      </c>
      <c r="F179" s="2">
        <v>2</v>
      </c>
    </row>
    <row r="180" spans="1:6" ht="14.25" customHeight="1">
      <c r="A180" s="2">
        <v>40</v>
      </c>
      <c r="B180" s="2">
        <v>179</v>
      </c>
      <c r="C180" s="2">
        <v>1</v>
      </c>
      <c r="D180" s="2">
        <v>1</v>
      </c>
      <c r="E180" s="2">
        <v>0.88200000000000001</v>
      </c>
      <c r="F180" s="2">
        <v>2</v>
      </c>
    </row>
    <row r="181" spans="1:6" ht="14.25" customHeight="1">
      <c r="A181" s="2">
        <v>40</v>
      </c>
      <c r="B181" s="2">
        <v>180</v>
      </c>
      <c r="C181" s="2">
        <v>4</v>
      </c>
      <c r="D181" s="2">
        <v>0</v>
      </c>
      <c r="E181" s="2">
        <v>1.139</v>
      </c>
      <c r="F181" s="2">
        <v>2</v>
      </c>
    </row>
    <row r="182" spans="1:6" ht="14.25" customHeight="1">
      <c r="A182" s="2">
        <v>40</v>
      </c>
      <c r="B182" s="2">
        <v>181</v>
      </c>
      <c r="C182" s="2">
        <v>8</v>
      </c>
      <c r="D182" s="2">
        <v>1</v>
      </c>
      <c r="E182" s="2">
        <v>1.27</v>
      </c>
      <c r="F182" s="2">
        <v>1</v>
      </c>
    </row>
    <row r="183" spans="1:6" ht="14.25" customHeight="1">
      <c r="A183" s="2">
        <v>40</v>
      </c>
      <c r="B183" s="2">
        <v>182</v>
      </c>
      <c r="C183" s="2">
        <v>6</v>
      </c>
      <c r="D183" s="2">
        <v>1</v>
      </c>
      <c r="E183" s="2">
        <v>1.329</v>
      </c>
      <c r="F183" s="2">
        <v>2</v>
      </c>
    </row>
    <row r="184" spans="1:6" ht="14.25" customHeight="1">
      <c r="A184" s="2">
        <v>40</v>
      </c>
      <c r="B184" s="2">
        <v>183</v>
      </c>
      <c r="C184" s="2">
        <v>3</v>
      </c>
      <c r="D184" s="2">
        <v>1</v>
      </c>
      <c r="E184" s="2">
        <v>0.95199999999999996</v>
      </c>
      <c r="F184" s="2">
        <v>2</v>
      </c>
    </row>
    <row r="185" spans="1:6" ht="14.25" customHeight="1">
      <c r="A185" s="2">
        <v>40</v>
      </c>
      <c r="B185" s="2">
        <v>184</v>
      </c>
      <c r="C185" s="2">
        <v>5</v>
      </c>
      <c r="D185" s="2">
        <v>1</v>
      </c>
      <c r="E185" s="2">
        <v>1.431</v>
      </c>
      <c r="F185" s="2">
        <v>2</v>
      </c>
    </row>
    <row r="186" spans="1:6" ht="14.25" customHeight="1">
      <c r="A186" s="2">
        <v>40</v>
      </c>
      <c r="B186" s="2">
        <v>185</v>
      </c>
      <c r="C186" s="2">
        <v>8</v>
      </c>
      <c r="D186" s="2">
        <v>1</v>
      </c>
      <c r="E186" s="2">
        <v>1.26</v>
      </c>
      <c r="F186" s="2">
        <v>2</v>
      </c>
    </row>
    <row r="187" spans="1:6" ht="14.25" customHeight="1">
      <c r="A187" s="2">
        <v>40</v>
      </c>
      <c r="B187" s="2">
        <v>186</v>
      </c>
      <c r="C187" s="2">
        <v>3</v>
      </c>
      <c r="D187" s="2">
        <v>0</v>
      </c>
      <c r="E187" s="2">
        <v>1.7370000000000001</v>
      </c>
      <c r="F187" s="2">
        <v>2</v>
      </c>
    </row>
    <row r="188" spans="1:6" ht="14.25" customHeight="1">
      <c r="A188" s="2">
        <v>40</v>
      </c>
      <c r="B188" s="2">
        <v>187</v>
      </c>
      <c r="C188" s="2">
        <v>1</v>
      </c>
      <c r="D188" s="2">
        <v>1</v>
      </c>
      <c r="E188" s="2">
        <v>1.2529999999999999</v>
      </c>
      <c r="F188" s="2">
        <v>2</v>
      </c>
    </row>
    <row r="189" spans="1:6" ht="14.25" customHeight="1">
      <c r="A189" s="2">
        <v>40</v>
      </c>
      <c r="B189" s="2">
        <v>188</v>
      </c>
      <c r="C189" s="2">
        <v>4</v>
      </c>
      <c r="D189" s="2">
        <v>1</v>
      </c>
      <c r="E189" s="2">
        <v>0.82499999999999996</v>
      </c>
      <c r="F189" s="2">
        <v>2</v>
      </c>
    </row>
    <row r="190" spans="1:6" ht="14.25" customHeight="1">
      <c r="A190" s="2">
        <v>40</v>
      </c>
      <c r="B190" s="2">
        <v>189</v>
      </c>
      <c r="C190" s="2">
        <v>6</v>
      </c>
      <c r="D190" s="2">
        <v>1</v>
      </c>
      <c r="E190" s="2">
        <v>1.72</v>
      </c>
      <c r="F190" s="2">
        <v>2</v>
      </c>
    </row>
    <row r="191" spans="1:6" ht="14.25" customHeight="1">
      <c r="A191" s="2">
        <v>40</v>
      </c>
      <c r="B191" s="2">
        <v>190</v>
      </c>
      <c r="C191" s="2">
        <v>4</v>
      </c>
      <c r="D191" s="2">
        <v>0</v>
      </c>
      <c r="E191" s="2">
        <v>0.70099999999999996</v>
      </c>
      <c r="F191" s="2">
        <v>2</v>
      </c>
    </row>
    <row r="192" spans="1:6" ht="14.25" customHeight="1">
      <c r="A192" s="2">
        <v>40</v>
      </c>
      <c r="B192" s="2">
        <v>191</v>
      </c>
      <c r="C192" s="2">
        <v>7</v>
      </c>
      <c r="D192" s="2">
        <v>1</v>
      </c>
      <c r="E192" s="2">
        <v>1.1379999999999999</v>
      </c>
      <c r="F192" s="2">
        <v>1</v>
      </c>
    </row>
    <row r="193" spans="1:6" ht="14.25" customHeight="1">
      <c r="A193" s="2">
        <v>40</v>
      </c>
      <c r="B193" s="2">
        <v>192</v>
      </c>
      <c r="C193" s="2">
        <v>5</v>
      </c>
      <c r="D193" s="2">
        <v>1</v>
      </c>
      <c r="E193" s="2">
        <v>1.522</v>
      </c>
      <c r="F193" s="2">
        <v>1</v>
      </c>
    </row>
    <row r="194" spans="1:6" ht="14.25" customHeight="1">
      <c r="A194" s="2">
        <v>40</v>
      </c>
      <c r="B194" s="2">
        <v>193</v>
      </c>
      <c r="C194" s="2">
        <v>6</v>
      </c>
      <c r="D194" s="2">
        <v>1</v>
      </c>
      <c r="E194" s="2">
        <v>0.73799999999999999</v>
      </c>
      <c r="F194" s="2">
        <v>2</v>
      </c>
    </row>
    <row r="195" spans="1:6" ht="14.25" customHeight="1">
      <c r="A195" s="2">
        <v>40</v>
      </c>
      <c r="B195" s="2">
        <v>194</v>
      </c>
      <c r="C195" s="2">
        <v>2</v>
      </c>
      <c r="D195" s="2">
        <v>0</v>
      </c>
      <c r="E195" s="2">
        <v>1.0289999999999999</v>
      </c>
      <c r="F195" s="2">
        <v>2</v>
      </c>
    </row>
    <row r="196" spans="1:6" ht="14.25" customHeight="1">
      <c r="A196" s="2">
        <v>40</v>
      </c>
      <c r="B196" s="2">
        <v>195</v>
      </c>
      <c r="C196" s="2">
        <v>4</v>
      </c>
      <c r="D196" s="2">
        <v>1</v>
      </c>
      <c r="E196" s="2">
        <v>1.32</v>
      </c>
      <c r="F196" s="2">
        <v>1</v>
      </c>
    </row>
    <row r="197" spans="1:6" ht="14.25" customHeight="1">
      <c r="A197" s="2">
        <v>40</v>
      </c>
      <c r="B197" s="2">
        <v>196</v>
      </c>
      <c r="C197" s="2">
        <v>1</v>
      </c>
      <c r="D197" s="2">
        <v>1</v>
      </c>
      <c r="E197" s="2">
        <v>1.81</v>
      </c>
      <c r="F197" s="2">
        <v>1</v>
      </c>
    </row>
    <row r="198" spans="1:6" ht="14.25" customHeight="1">
      <c r="A198" s="2">
        <v>40</v>
      </c>
      <c r="B198" s="2">
        <v>197</v>
      </c>
      <c r="C198" s="2">
        <v>3</v>
      </c>
      <c r="D198" s="2">
        <v>1</v>
      </c>
      <c r="E198" s="2">
        <v>0.79400000000000004</v>
      </c>
      <c r="F198" s="2">
        <v>2</v>
      </c>
    </row>
    <row r="199" spans="1:6" ht="14.25" customHeight="1">
      <c r="A199" s="2">
        <v>40</v>
      </c>
      <c r="B199" s="2">
        <v>198</v>
      </c>
      <c r="C199" s="2">
        <v>5</v>
      </c>
      <c r="D199" s="2">
        <v>1</v>
      </c>
      <c r="E199" s="2">
        <v>0.94199999999999995</v>
      </c>
      <c r="F199" s="2">
        <v>2</v>
      </c>
    </row>
    <row r="200" spans="1:6" ht="14.25" customHeight="1">
      <c r="A200" s="2">
        <v>40</v>
      </c>
      <c r="B200" s="2">
        <v>199</v>
      </c>
      <c r="C200" s="2">
        <v>7</v>
      </c>
      <c r="D200" s="2">
        <v>1</v>
      </c>
      <c r="E200" s="2">
        <v>1.1240000000000001</v>
      </c>
      <c r="F200" s="2">
        <v>2</v>
      </c>
    </row>
    <row r="201" spans="1:6" ht="14.25" customHeight="1">
      <c r="A201" s="2">
        <v>40</v>
      </c>
      <c r="B201" s="2">
        <v>200</v>
      </c>
      <c r="C201" s="2">
        <v>8</v>
      </c>
      <c r="D201" s="2">
        <v>1</v>
      </c>
      <c r="E201" s="2">
        <v>1.6779999999999999</v>
      </c>
      <c r="F201" s="2">
        <v>1</v>
      </c>
    </row>
    <row r="202" spans="1:6" ht="14.25" customHeight="1">
      <c r="A202" s="2">
        <v>40</v>
      </c>
      <c r="B202" s="2">
        <v>201</v>
      </c>
      <c r="C202" s="2">
        <v>8</v>
      </c>
      <c r="D202" s="2">
        <v>1</v>
      </c>
      <c r="E202" s="2">
        <v>1.107</v>
      </c>
      <c r="F202" s="2">
        <v>1</v>
      </c>
    </row>
    <row r="203" spans="1:6" ht="14.25" customHeight="1">
      <c r="A203" s="2">
        <v>40</v>
      </c>
      <c r="B203" s="2">
        <v>202</v>
      </c>
      <c r="C203" s="2">
        <v>7</v>
      </c>
      <c r="D203" s="2">
        <v>1</v>
      </c>
      <c r="E203" s="2">
        <v>1.4139999999999999</v>
      </c>
      <c r="F203" s="2">
        <v>2</v>
      </c>
    </row>
    <row r="204" spans="1:6" ht="14.25" customHeight="1">
      <c r="A204" s="2">
        <v>40</v>
      </c>
      <c r="B204" s="2">
        <v>203</v>
      </c>
      <c r="C204" s="2">
        <v>4</v>
      </c>
      <c r="D204" s="2">
        <v>1</v>
      </c>
      <c r="E204" s="2">
        <v>1.0820000000000001</v>
      </c>
      <c r="F204" s="2">
        <v>2</v>
      </c>
    </row>
    <row r="205" spans="1:6" ht="14.25" customHeight="1">
      <c r="A205" s="2">
        <v>40</v>
      </c>
      <c r="B205" s="2">
        <v>204</v>
      </c>
      <c r="C205" s="2">
        <v>2</v>
      </c>
      <c r="D205" s="2">
        <v>1</v>
      </c>
      <c r="E205" s="2">
        <v>0.86099999999999999</v>
      </c>
      <c r="F205" s="2">
        <v>2</v>
      </c>
    </row>
    <row r="206" spans="1:6" ht="14.25" customHeight="1">
      <c r="A206" s="2">
        <v>40</v>
      </c>
      <c r="B206" s="2">
        <v>205</v>
      </c>
      <c r="C206" s="2">
        <v>8</v>
      </c>
      <c r="D206" s="2">
        <v>1</v>
      </c>
      <c r="E206" s="2">
        <v>1.304</v>
      </c>
      <c r="F206" s="2">
        <v>1</v>
      </c>
    </row>
    <row r="207" spans="1:6" ht="14.25" customHeight="1">
      <c r="A207" s="2">
        <v>40</v>
      </c>
      <c r="B207" s="2">
        <v>206</v>
      </c>
      <c r="C207" s="2">
        <v>2</v>
      </c>
      <c r="D207" s="2">
        <v>0</v>
      </c>
      <c r="E207" s="2">
        <v>0.65700000000000003</v>
      </c>
      <c r="F207" s="2">
        <v>2</v>
      </c>
    </row>
    <row r="208" spans="1:6" ht="14.25" customHeight="1">
      <c r="A208" s="2">
        <v>40</v>
      </c>
      <c r="B208" s="2">
        <v>207</v>
      </c>
      <c r="C208" s="2">
        <v>6</v>
      </c>
      <c r="D208" s="2">
        <v>1</v>
      </c>
      <c r="E208" s="2">
        <v>1.298</v>
      </c>
      <c r="F208" s="2">
        <v>1</v>
      </c>
    </row>
    <row r="209" spans="1:6" ht="14.25" customHeight="1">
      <c r="A209" s="2">
        <v>40</v>
      </c>
      <c r="B209" s="2">
        <v>208</v>
      </c>
      <c r="C209" s="2">
        <v>7</v>
      </c>
      <c r="D209" s="2">
        <v>0</v>
      </c>
      <c r="E209" s="2">
        <v>0.82199999999999995</v>
      </c>
      <c r="F209" s="2">
        <v>2</v>
      </c>
    </row>
    <row r="210" spans="1:6" ht="14.25" customHeight="1">
      <c r="A210" s="2">
        <v>40</v>
      </c>
      <c r="B210" s="2">
        <v>209</v>
      </c>
      <c r="C210" s="2">
        <v>3</v>
      </c>
      <c r="D210" s="2">
        <v>0</v>
      </c>
      <c r="E210" s="2">
        <v>0.96799999999999997</v>
      </c>
      <c r="F210" s="2">
        <v>1</v>
      </c>
    </row>
    <row r="211" spans="1:6" ht="14.25" customHeight="1">
      <c r="A211" s="2">
        <v>40</v>
      </c>
      <c r="B211" s="2">
        <v>210</v>
      </c>
      <c r="C211" s="2">
        <v>7</v>
      </c>
      <c r="D211" s="2">
        <v>1</v>
      </c>
      <c r="E211" s="2">
        <v>1.3620000000000001</v>
      </c>
      <c r="F211" s="2">
        <v>1</v>
      </c>
    </row>
    <row r="212" spans="1:6" ht="14.25" customHeight="1">
      <c r="A212" s="2">
        <v>40</v>
      </c>
      <c r="B212" s="2">
        <v>211</v>
      </c>
      <c r="C212" s="2">
        <v>6</v>
      </c>
      <c r="D212" s="2">
        <v>1</v>
      </c>
      <c r="E212" s="2">
        <v>1.1319999999999999</v>
      </c>
      <c r="F212" s="2">
        <v>2</v>
      </c>
    </row>
    <row r="213" spans="1:6" ht="14.25" customHeight="1">
      <c r="A213" s="2">
        <v>40</v>
      </c>
      <c r="B213" s="2">
        <v>212</v>
      </c>
      <c r="C213" s="2">
        <v>5</v>
      </c>
      <c r="D213" s="2">
        <v>1</v>
      </c>
      <c r="E213" s="2">
        <v>0.995</v>
      </c>
      <c r="F213" s="2">
        <v>1</v>
      </c>
    </row>
    <row r="214" spans="1:6" ht="14.25" customHeight="1">
      <c r="A214" s="2">
        <v>40</v>
      </c>
      <c r="B214" s="2">
        <v>213</v>
      </c>
      <c r="C214" s="2">
        <v>3</v>
      </c>
      <c r="D214" s="2">
        <v>1</v>
      </c>
      <c r="E214" s="2">
        <v>1.45</v>
      </c>
      <c r="F214" s="2">
        <v>1</v>
      </c>
    </row>
    <row r="215" spans="1:6" ht="14.25" customHeight="1">
      <c r="A215" s="2">
        <v>40</v>
      </c>
      <c r="B215" s="2">
        <v>214</v>
      </c>
      <c r="C215" s="2">
        <v>5</v>
      </c>
      <c r="D215" s="2">
        <v>0</v>
      </c>
      <c r="E215" s="2">
        <v>0.77200000000000002</v>
      </c>
      <c r="F215" s="2">
        <v>2</v>
      </c>
    </row>
    <row r="216" spans="1:6" ht="14.25" customHeight="1">
      <c r="A216" s="2">
        <v>40</v>
      </c>
      <c r="B216" s="2">
        <v>215</v>
      </c>
      <c r="C216" s="2">
        <v>8</v>
      </c>
      <c r="D216" s="2">
        <v>0</v>
      </c>
      <c r="E216" s="2">
        <v>1.607</v>
      </c>
      <c r="F216" s="2">
        <v>2</v>
      </c>
    </row>
    <row r="217" spans="1:6" ht="14.25" customHeight="1">
      <c r="A217" s="2">
        <v>40</v>
      </c>
      <c r="B217" s="2">
        <v>216</v>
      </c>
      <c r="C217" s="2">
        <v>4</v>
      </c>
      <c r="D217" s="2">
        <v>1</v>
      </c>
      <c r="E217" s="2">
        <v>1.2010000000000001</v>
      </c>
      <c r="F217" s="2">
        <v>1</v>
      </c>
    </row>
    <row r="218" spans="1:6" ht="14.25" customHeight="1">
      <c r="A218" s="2">
        <v>40</v>
      </c>
      <c r="B218" s="2">
        <v>217</v>
      </c>
      <c r="C218" s="2">
        <v>2</v>
      </c>
      <c r="D218" s="2">
        <v>1</v>
      </c>
      <c r="E218" s="2">
        <v>0.96799999999999997</v>
      </c>
      <c r="F218" s="2">
        <v>2</v>
      </c>
    </row>
    <row r="219" spans="1:6" ht="14.25" customHeight="1">
      <c r="A219" s="2">
        <v>40</v>
      </c>
      <c r="B219" s="2">
        <v>218</v>
      </c>
      <c r="C219" s="2">
        <v>1</v>
      </c>
      <c r="D219" s="2">
        <v>0</v>
      </c>
      <c r="E219" s="2">
        <v>0.80400000000000005</v>
      </c>
      <c r="F219" s="2">
        <v>1</v>
      </c>
    </row>
    <row r="220" spans="1:6" ht="14.25" customHeight="1">
      <c r="A220" s="2">
        <v>40</v>
      </c>
      <c r="B220" s="2">
        <v>219</v>
      </c>
      <c r="C220" s="2">
        <v>7</v>
      </c>
      <c r="D220" s="2">
        <v>1</v>
      </c>
      <c r="E220" s="2">
        <v>1.1559999999999999</v>
      </c>
      <c r="F220" s="2">
        <v>2</v>
      </c>
    </row>
    <row r="221" spans="1:6" ht="14.25" customHeight="1">
      <c r="A221" s="2">
        <v>40</v>
      </c>
      <c r="B221" s="2">
        <v>220</v>
      </c>
      <c r="C221" s="2">
        <v>5</v>
      </c>
      <c r="D221" s="2">
        <v>1</v>
      </c>
      <c r="E221" s="2">
        <v>0.79100000000000004</v>
      </c>
      <c r="F221" s="2">
        <v>1</v>
      </c>
    </row>
    <row r="222" spans="1:6" ht="14.25" customHeight="1">
      <c r="A222" s="2">
        <v>40</v>
      </c>
      <c r="B222" s="2">
        <v>221</v>
      </c>
      <c r="C222" s="2">
        <v>1</v>
      </c>
      <c r="D222" s="2">
        <v>1</v>
      </c>
      <c r="E222" s="2">
        <v>1.3109999999999999</v>
      </c>
      <c r="F222" s="2">
        <v>2</v>
      </c>
    </row>
    <row r="223" spans="1:6" ht="14.25" customHeight="1">
      <c r="A223" s="2">
        <v>40</v>
      </c>
      <c r="B223" s="2">
        <v>222</v>
      </c>
      <c r="C223" s="2">
        <v>6</v>
      </c>
      <c r="D223" s="2">
        <v>0</v>
      </c>
      <c r="E223" s="2">
        <v>1.0249999999999999</v>
      </c>
      <c r="F223" s="2">
        <v>2</v>
      </c>
    </row>
    <row r="224" spans="1:6" ht="14.25" customHeight="1">
      <c r="A224" s="2">
        <v>40</v>
      </c>
      <c r="B224" s="2">
        <v>223</v>
      </c>
      <c r="C224" s="2">
        <v>7</v>
      </c>
      <c r="D224" s="2">
        <v>1</v>
      </c>
      <c r="E224" s="2">
        <v>0.68300000000000005</v>
      </c>
      <c r="F224" s="2">
        <v>2</v>
      </c>
    </row>
    <row r="225" spans="1:6" ht="14.25" customHeight="1">
      <c r="A225" s="2">
        <v>40</v>
      </c>
      <c r="B225" s="2">
        <v>224</v>
      </c>
      <c r="C225" s="2">
        <v>1</v>
      </c>
      <c r="D225" s="2">
        <v>0</v>
      </c>
      <c r="E225" s="2">
        <v>1.006</v>
      </c>
      <c r="F225" s="2">
        <v>1</v>
      </c>
    </row>
    <row r="226" spans="1:6" ht="14.25" customHeight="1">
      <c r="A226" s="2">
        <v>40</v>
      </c>
      <c r="B226" s="2">
        <v>225</v>
      </c>
      <c r="C226" s="2">
        <v>8</v>
      </c>
      <c r="D226" s="2">
        <v>1</v>
      </c>
      <c r="E226" s="2">
        <v>1.1719999999999999</v>
      </c>
      <c r="F226" s="2">
        <v>1</v>
      </c>
    </row>
    <row r="227" spans="1:6" ht="14.25" customHeight="1">
      <c r="A227" s="2">
        <v>40</v>
      </c>
      <c r="B227" s="2">
        <v>226</v>
      </c>
      <c r="C227" s="2">
        <v>2</v>
      </c>
      <c r="D227" s="2">
        <v>0</v>
      </c>
      <c r="E227" s="2">
        <v>1.4330000000000001</v>
      </c>
      <c r="F227" s="2">
        <v>2</v>
      </c>
    </row>
    <row r="228" spans="1:6" ht="14.25" customHeight="1">
      <c r="A228" s="2">
        <v>40</v>
      </c>
      <c r="B228" s="2">
        <v>227</v>
      </c>
      <c r="C228" s="2">
        <v>7</v>
      </c>
      <c r="D228" s="2">
        <v>1</v>
      </c>
      <c r="E228" s="2">
        <v>1.2110000000000001</v>
      </c>
      <c r="F228" s="2">
        <v>2</v>
      </c>
    </row>
    <row r="229" spans="1:6" ht="14.25" customHeight="1">
      <c r="A229" s="2">
        <v>40</v>
      </c>
      <c r="B229" s="2">
        <v>228</v>
      </c>
      <c r="C229" s="2">
        <v>4</v>
      </c>
      <c r="D229" s="2">
        <v>1</v>
      </c>
      <c r="E229" s="2">
        <v>0.66200000000000003</v>
      </c>
      <c r="F229" s="2">
        <v>2</v>
      </c>
    </row>
    <row r="230" spans="1:6" ht="14.25" customHeight="1">
      <c r="A230" s="2">
        <v>40</v>
      </c>
      <c r="B230" s="2">
        <v>229</v>
      </c>
      <c r="C230" s="2">
        <v>6</v>
      </c>
      <c r="D230" s="2">
        <v>1</v>
      </c>
      <c r="E230" s="2">
        <v>0.82599999999999996</v>
      </c>
      <c r="F230" s="2">
        <v>2</v>
      </c>
    </row>
    <row r="231" spans="1:6" ht="14.25" customHeight="1">
      <c r="A231" s="2">
        <v>40</v>
      </c>
      <c r="B231" s="2">
        <v>230</v>
      </c>
      <c r="C231" s="2">
        <v>2</v>
      </c>
      <c r="D231" s="2">
        <v>0</v>
      </c>
      <c r="E231" s="2">
        <v>0.61099999999999999</v>
      </c>
      <c r="F231" s="2">
        <v>2</v>
      </c>
    </row>
    <row r="232" spans="1:6" ht="14.25" customHeight="1">
      <c r="A232" s="2">
        <v>40</v>
      </c>
      <c r="B232" s="2">
        <v>231</v>
      </c>
      <c r="C232" s="2">
        <v>6</v>
      </c>
      <c r="D232" s="2">
        <v>1</v>
      </c>
      <c r="E232" s="2">
        <v>1.417</v>
      </c>
      <c r="F232" s="2">
        <v>1</v>
      </c>
    </row>
    <row r="233" spans="1:6" ht="14.25" customHeight="1">
      <c r="A233" s="2">
        <v>40</v>
      </c>
      <c r="B233" s="2">
        <v>232</v>
      </c>
      <c r="C233" s="2">
        <v>7</v>
      </c>
      <c r="D233" s="2">
        <v>1</v>
      </c>
      <c r="E233" s="2">
        <v>0.73899999999999999</v>
      </c>
      <c r="F233" s="2">
        <v>2</v>
      </c>
    </row>
    <row r="234" spans="1:6" ht="14.25" customHeight="1">
      <c r="A234" s="2">
        <v>40</v>
      </c>
      <c r="B234" s="2">
        <v>233</v>
      </c>
      <c r="C234" s="2">
        <v>3</v>
      </c>
      <c r="D234" s="2">
        <v>1</v>
      </c>
      <c r="E234" s="2">
        <v>0.45900000000000002</v>
      </c>
      <c r="F234" s="2">
        <v>2</v>
      </c>
    </row>
    <row r="235" spans="1:6" ht="14.25" customHeight="1">
      <c r="A235" s="2">
        <v>40</v>
      </c>
      <c r="B235" s="2">
        <v>234</v>
      </c>
      <c r="C235" s="2">
        <v>5</v>
      </c>
      <c r="D235" s="2">
        <v>1</v>
      </c>
      <c r="E235" s="2">
        <v>0.63600000000000001</v>
      </c>
      <c r="F235" s="2">
        <v>2</v>
      </c>
    </row>
    <row r="236" spans="1:6" ht="14.25" customHeight="1">
      <c r="A236" s="2">
        <v>40</v>
      </c>
      <c r="B236" s="2">
        <v>235</v>
      </c>
      <c r="C236" s="2">
        <v>1</v>
      </c>
      <c r="D236" s="2">
        <v>0</v>
      </c>
      <c r="E236" s="2">
        <v>1.4039999999999999</v>
      </c>
      <c r="F236" s="2">
        <v>1</v>
      </c>
    </row>
    <row r="237" spans="1:6" ht="14.25" customHeight="1">
      <c r="A237" s="2">
        <v>40</v>
      </c>
      <c r="B237" s="2">
        <v>236</v>
      </c>
      <c r="C237" s="2">
        <v>8</v>
      </c>
      <c r="D237" s="2">
        <v>1</v>
      </c>
      <c r="E237" s="2">
        <v>1.706</v>
      </c>
      <c r="F237" s="2">
        <v>1</v>
      </c>
    </row>
    <row r="238" spans="1:6" ht="14.25" customHeight="1">
      <c r="A238" s="2">
        <v>40</v>
      </c>
      <c r="B238" s="2">
        <v>237</v>
      </c>
      <c r="C238" s="2">
        <v>3</v>
      </c>
      <c r="D238" s="2">
        <v>1</v>
      </c>
      <c r="E238" s="2">
        <v>0.99399999999999999</v>
      </c>
      <c r="F238" s="2">
        <v>2</v>
      </c>
    </row>
    <row r="239" spans="1:6" ht="14.25" customHeight="1">
      <c r="A239" s="2">
        <v>40</v>
      </c>
      <c r="B239" s="2">
        <v>238</v>
      </c>
      <c r="C239" s="2">
        <v>4</v>
      </c>
      <c r="D239" s="2">
        <v>1</v>
      </c>
      <c r="E239" s="2">
        <v>0.72399999999999998</v>
      </c>
      <c r="F239" s="2">
        <v>2</v>
      </c>
    </row>
    <row r="240" spans="1:6" ht="14.25" customHeight="1">
      <c r="A240" s="2">
        <v>40</v>
      </c>
      <c r="B240" s="2">
        <v>239</v>
      </c>
      <c r="C240" s="2">
        <v>1</v>
      </c>
      <c r="D240" s="2">
        <v>1</v>
      </c>
      <c r="E240" s="2">
        <v>1.4510000000000001</v>
      </c>
      <c r="F240" s="2">
        <v>2</v>
      </c>
    </row>
    <row r="241" spans="1:6" ht="14.25" customHeight="1">
      <c r="A241" s="2">
        <v>40</v>
      </c>
      <c r="B241" s="2">
        <v>240</v>
      </c>
      <c r="C241" s="2">
        <v>3</v>
      </c>
      <c r="D241" s="2">
        <v>0</v>
      </c>
      <c r="E241" s="2">
        <v>0.64700000000000002</v>
      </c>
      <c r="F241" s="2">
        <v>2</v>
      </c>
    </row>
    <row r="242" spans="1:6" ht="14.25" customHeight="1">
      <c r="A242" s="2">
        <v>40</v>
      </c>
      <c r="B242" s="2">
        <v>241</v>
      </c>
      <c r="C242" s="2">
        <v>1</v>
      </c>
      <c r="E242" s="2">
        <v>2</v>
      </c>
    </row>
    <row r="243" spans="1:6" ht="14.25" customHeight="1">
      <c r="A243" s="2">
        <v>40</v>
      </c>
      <c r="B243" s="2">
        <v>242</v>
      </c>
      <c r="C243" s="2">
        <v>4</v>
      </c>
      <c r="D243" s="2">
        <v>0</v>
      </c>
      <c r="E243" s="2">
        <v>0.76100000000000001</v>
      </c>
      <c r="F243" s="2">
        <v>2</v>
      </c>
    </row>
    <row r="244" spans="1:6" ht="14.25" customHeight="1">
      <c r="A244" s="2">
        <v>40</v>
      </c>
      <c r="B244" s="2">
        <v>243</v>
      </c>
      <c r="C244" s="2">
        <v>5</v>
      </c>
      <c r="D244" s="2">
        <v>1</v>
      </c>
      <c r="E244" s="2">
        <v>0.60099999999999998</v>
      </c>
      <c r="F244" s="2">
        <v>2</v>
      </c>
    </row>
    <row r="245" spans="1:6" ht="14.25" customHeight="1">
      <c r="A245" s="2">
        <v>40</v>
      </c>
      <c r="B245" s="2">
        <v>244</v>
      </c>
      <c r="C245" s="2">
        <v>6</v>
      </c>
      <c r="D245" s="2">
        <v>0</v>
      </c>
      <c r="E245" s="2">
        <v>1.0349999999999999</v>
      </c>
      <c r="F245" s="2">
        <v>2</v>
      </c>
    </row>
    <row r="246" spans="1:6" ht="14.25" customHeight="1">
      <c r="A246" s="2">
        <v>40</v>
      </c>
      <c r="B246" s="2">
        <v>245</v>
      </c>
      <c r="C246" s="2">
        <v>3</v>
      </c>
      <c r="D246" s="2">
        <v>1</v>
      </c>
      <c r="E246" s="2">
        <v>0.97599999999999998</v>
      </c>
      <c r="F246" s="2">
        <v>1</v>
      </c>
    </row>
    <row r="247" spans="1:6" ht="14.25" customHeight="1">
      <c r="A247" s="2">
        <v>40</v>
      </c>
      <c r="B247" s="2">
        <v>246</v>
      </c>
      <c r="C247" s="2">
        <v>2</v>
      </c>
      <c r="D247" s="2">
        <v>1</v>
      </c>
      <c r="E247" s="2">
        <v>1.2869999999999999</v>
      </c>
      <c r="F247" s="2">
        <v>1</v>
      </c>
    </row>
    <row r="248" spans="1:6" ht="14.25" customHeight="1">
      <c r="A248" s="2">
        <v>40</v>
      </c>
      <c r="B248" s="2">
        <v>247</v>
      </c>
      <c r="C248" s="2">
        <v>3</v>
      </c>
      <c r="D248" s="2">
        <v>1</v>
      </c>
      <c r="E248" s="2">
        <v>0.66500000000000004</v>
      </c>
      <c r="F248" s="2">
        <v>2</v>
      </c>
    </row>
    <row r="249" spans="1:6" ht="14.25" customHeight="1">
      <c r="A249" s="2">
        <v>40</v>
      </c>
      <c r="B249" s="2">
        <v>248</v>
      </c>
      <c r="C249" s="2">
        <v>8</v>
      </c>
      <c r="D249" s="2">
        <v>1</v>
      </c>
      <c r="E249" s="2">
        <v>0.57799999999999996</v>
      </c>
      <c r="F249" s="2">
        <v>2</v>
      </c>
    </row>
    <row r="250" spans="1:6" ht="14.25" customHeight="1">
      <c r="A250" s="2">
        <v>40</v>
      </c>
      <c r="B250" s="2">
        <v>249</v>
      </c>
      <c r="C250" s="2">
        <v>4</v>
      </c>
      <c r="D250" s="2">
        <v>1</v>
      </c>
      <c r="E250" s="2">
        <v>0.50700000000000001</v>
      </c>
      <c r="F250" s="2">
        <v>2</v>
      </c>
    </row>
    <row r="251" spans="1:6" ht="14.25" customHeight="1">
      <c r="A251" s="2">
        <v>40</v>
      </c>
      <c r="B251" s="2">
        <v>250</v>
      </c>
      <c r="C251" s="2">
        <v>5</v>
      </c>
      <c r="D251" s="2">
        <v>1</v>
      </c>
      <c r="E251" s="2">
        <v>0.97099999999999997</v>
      </c>
      <c r="F251" s="2">
        <v>1</v>
      </c>
    </row>
    <row r="252" spans="1:6" ht="14.25" customHeight="1">
      <c r="A252" s="2">
        <v>40</v>
      </c>
      <c r="B252" s="2">
        <v>251</v>
      </c>
      <c r="C252" s="2">
        <v>5</v>
      </c>
      <c r="D252" s="2">
        <v>1</v>
      </c>
      <c r="E252" s="2">
        <v>0.94099999999999995</v>
      </c>
      <c r="F252" s="2">
        <v>1</v>
      </c>
    </row>
    <row r="253" spans="1:6" ht="14.25" customHeight="1">
      <c r="A253" s="2">
        <v>40</v>
      </c>
      <c r="B253" s="2">
        <v>252</v>
      </c>
      <c r="C253" s="2">
        <v>6</v>
      </c>
      <c r="D253" s="2">
        <v>0</v>
      </c>
      <c r="E253" s="2">
        <v>1.2689999999999999</v>
      </c>
      <c r="F253" s="2">
        <v>1</v>
      </c>
    </row>
    <row r="254" spans="1:6" ht="14.25" customHeight="1">
      <c r="A254" s="2">
        <v>40</v>
      </c>
      <c r="B254" s="2">
        <v>253</v>
      </c>
      <c r="C254" s="2">
        <v>1</v>
      </c>
      <c r="D254" s="2">
        <v>1</v>
      </c>
      <c r="E254" s="2">
        <v>0.64900000000000002</v>
      </c>
      <c r="F254" s="2">
        <v>2</v>
      </c>
    </row>
    <row r="255" spans="1:6" ht="14.25" customHeight="1">
      <c r="A255" s="2">
        <v>40</v>
      </c>
      <c r="B255" s="2">
        <v>254</v>
      </c>
      <c r="C255" s="2">
        <v>3</v>
      </c>
      <c r="D255" s="2">
        <v>1</v>
      </c>
      <c r="E255" s="2">
        <v>0.67200000000000004</v>
      </c>
      <c r="F255" s="2">
        <v>2</v>
      </c>
    </row>
    <row r="256" spans="1:6" ht="14.25" customHeight="1">
      <c r="A256" s="2">
        <v>40</v>
      </c>
      <c r="B256" s="2">
        <v>255</v>
      </c>
      <c r="C256" s="2">
        <v>8</v>
      </c>
      <c r="D256" s="2">
        <v>1</v>
      </c>
      <c r="E256" s="2">
        <v>1.256</v>
      </c>
      <c r="F256" s="2">
        <v>1</v>
      </c>
    </row>
    <row r="257" spans="1:6" ht="14.25" customHeight="1">
      <c r="A257" s="2">
        <v>40</v>
      </c>
      <c r="B257" s="2">
        <v>256</v>
      </c>
      <c r="C257" s="2">
        <v>7</v>
      </c>
      <c r="D257" s="2">
        <v>1</v>
      </c>
      <c r="E257" s="2">
        <v>1.147</v>
      </c>
      <c r="F257" s="2">
        <v>1</v>
      </c>
    </row>
    <row r="258" spans="1:6" ht="14.25" customHeight="1">
      <c r="A258" s="2">
        <v>40</v>
      </c>
      <c r="B258" s="2">
        <v>257</v>
      </c>
      <c r="C258" s="2">
        <v>2</v>
      </c>
      <c r="D258" s="2">
        <v>1</v>
      </c>
      <c r="E258" s="2">
        <v>1.431</v>
      </c>
      <c r="F258" s="2">
        <v>1</v>
      </c>
    </row>
    <row r="259" spans="1:6" ht="14.25" customHeight="1">
      <c r="A259" s="2">
        <v>40</v>
      </c>
      <c r="B259" s="2">
        <v>258</v>
      </c>
      <c r="C259" s="2">
        <v>4</v>
      </c>
      <c r="D259" s="2">
        <v>0</v>
      </c>
      <c r="E259" s="2">
        <v>0.96799999999999997</v>
      </c>
      <c r="F259" s="2">
        <v>2</v>
      </c>
    </row>
    <row r="260" spans="1:6" ht="14.25" customHeight="1">
      <c r="A260" s="2">
        <v>40</v>
      </c>
      <c r="B260" s="2">
        <v>259</v>
      </c>
      <c r="C260" s="2">
        <v>5</v>
      </c>
      <c r="D260" s="2">
        <v>0</v>
      </c>
      <c r="E260" s="2">
        <v>0.85099999999999998</v>
      </c>
      <c r="F260" s="2">
        <v>1</v>
      </c>
    </row>
    <row r="261" spans="1:6" ht="14.25" customHeight="1">
      <c r="A261" s="2">
        <v>40</v>
      </c>
      <c r="B261" s="2">
        <v>260</v>
      </c>
      <c r="C261" s="2">
        <v>4</v>
      </c>
      <c r="D261" s="2">
        <v>1</v>
      </c>
      <c r="E261" s="2">
        <v>1.0840000000000001</v>
      </c>
      <c r="F261" s="2">
        <v>1</v>
      </c>
    </row>
    <row r="262" spans="1:6" ht="14.25" customHeight="1">
      <c r="A262" s="2">
        <v>40</v>
      </c>
      <c r="B262" s="2">
        <v>261</v>
      </c>
      <c r="C262" s="2">
        <v>1</v>
      </c>
      <c r="D262" s="2">
        <v>1</v>
      </c>
      <c r="E262" s="2">
        <v>0.81100000000000005</v>
      </c>
      <c r="F262" s="2">
        <v>2</v>
      </c>
    </row>
    <row r="263" spans="1:6" ht="14.25" customHeight="1">
      <c r="A263" s="2">
        <v>40</v>
      </c>
      <c r="B263" s="2">
        <v>262</v>
      </c>
      <c r="C263" s="2">
        <v>4</v>
      </c>
      <c r="D263" s="2">
        <v>1</v>
      </c>
      <c r="E263" s="2">
        <v>0.81100000000000005</v>
      </c>
      <c r="F263" s="2">
        <v>1</v>
      </c>
    </row>
    <row r="264" spans="1:6" ht="14.25" customHeight="1">
      <c r="A264" s="2">
        <v>40</v>
      </c>
      <c r="B264" s="2">
        <v>263</v>
      </c>
      <c r="C264" s="2">
        <v>6</v>
      </c>
      <c r="D264" s="2">
        <v>1</v>
      </c>
      <c r="E264" s="2">
        <v>1.1830000000000001</v>
      </c>
      <c r="F264" s="2">
        <v>1</v>
      </c>
    </row>
    <row r="265" spans="1:6" ht="14.25" customHeight="1">
      <c r="A265" s="2">
        <v>40</v>
      </c>
      <c r="B265" s="2">
        <v>264</v>
      </c>
      <c r="C265" s="2">
        <v>8</v>
      </c>
      <c r="D265" s="2">
        <v>0</v>
      </c>
      <c r="E265" s="2">
        <v>0.84099999999999997</v>
      </c>
      <c r="F265" s="2">
        <v>2</v>
      </c>
    </row>
    <row r="266" spans="1:6" ht="14.25" customHeight="1">
      <c r="A266" s="2">
        <v>40</v>
      </c>
      <c r="B266" s="2">
        <v>265</v>
      </c>
      <c r="C266" s="2">
        <v>2</v>
      </c>
      <c r="D266" s="2">
        <v>0</v>
      </c>
      <c r="E266" s="2">
        <v>1.4410000000000001</v>
      </c>
      <c r="F266" s="2">
        <v>2</v>
      </c>
    </row>
    <row r="267" spans="1:6" ht="14.25" customHeight="1">
      <c r="A267" s="2">
        <v>40</v>
      </c>
      <c r="B267" s="2">
        <v>266</v>
      </c>
      <c r="C267" s="2">
        <v>8</v>
      </c>
      <c r="D267" s="2">
        <v>1</v>
      </c>
      <c r="E267" s="2">
        <v>1.0129999999999999</v>
      </c>
      <c r="F267" s="2">
        <v>1</v>
      </c>
    </row>
    <row r="268" spans="1:6" ht="14.25" customHeight="1">
      <c r="A268" s="2">
        <v>40</v>
      </c>
      <c r="B268" s="2">
        <v>267</v>
      </c>
      <c r="C268" s="2">
        <v>4</v>
      </c>
      <c r="D268" s="2">
        <v>1</v>
      </c>
      <c r="E268" s="2">
        <v>0.78800000000000003</v>
      </c>
      <c r="F268" s="2">
        <v>2</v>
      </c>
    </row>
    <row r="269" spans="1:6" ht="14.25" customHeight="1">
      <c r="A269" s="2">
        <v>40</v>
      </c>
      <c r="B269" s="2">
        <v>268</v>
      </c>
      <c r="C269" s="2">
        <v>2</v>
      </c>
      <c r="D269" s="2">
        <v>1</v>
      </c>
      <c r="E269" s="2">
        <v>0.94699999999999995</v>
      </c>
      <c r="F269" s="2">
        <v>2</v>
      </c>
    </row>
    <row r="270" spans="1:6" ht="14.25" customHeight="1">
      <c r="A270" s="2">
        <v>40</v>
      </c>
      <c r="B270" s="2">
        <v>269</v>
      </c>
      <c r="C270" s="2">
        <v>4</v>
      </c>
      <c r="D270" s="2">
        <v>1</v>
      </c>
      <c r="E270" s="2">
        <v>0.67200000000000004</v>
      </c>
      <c r="F270" s="2">
        <v>2</v>
      </c>
    </row>
    <row r="271" spans="1:6" ht="14.25" customHeight="1">
      <c r="A271" s="2">
        <v>40</v>
      </c>
      <c r="B271" s="2">
        <v>270</v>
      </c>
      <c r="C271" s="2">
        <v>3</v>
      </c>
      <c r="D271" s="2">
        <v>1</v>
      </c>
      <c r="E271" s="2">
        <v>0.56100000000000005</v>
      </c>
      <c r="F271" s="2">
        <v>1</v>
      </c>
    </row>
    <row r="272" spans="1:6" ht="14.25" customHeight="1">
      <c r="A272" s="2">
        <v>40</v>
      </c>
      <c r="B272" s="2">
        <v>271</v>
      </c>
      <c r="C272" s="2">
        <v>7</v>
      </c>
      <c r="D272" s="2">
        <v>1</v>
      </c>
      <c r="E272" s="2">
        <v>0.45100000000000001</v>
      </c>
      <c r="F272" s="2">
        <v>2</v>
      </c>
    </row>
    <row r="273" spans="1:6" ht="14.25" customHeight="1">
      <c r="A273" s="2">
        <v>40</v>
      </c>
      <c r="B273" s="2">
        <v>272</v>
      </c>
      <c r="C273" s="2">
        <v>6</v>
      </c>
      <c r="D273" s="2">
        <v>0</v>
      </c>
      <c r="E273" s="2">
        <v>0.85199999999999998</v>
      </c>
      <c r="F273" s="2">
        <v>2</v>
      </c>
    </row>
    <row r="274" spans="1:6" ht="14.25" customHeight="1">
      <c r="A274" s="2">
        <v>40</v>
      </c>
      <c r="B274" s="2">
        <v>273</v>
      </c>
      <c r="C274" s="2">
        <v>5</v>
      </c>
      <c r="D274" s="2">
        <v>1</v>
      </c>
      <c r="E274" s="2">
        <v>0.63</v>
      </c>
      <c r="F274" s="2">
        <v>2</v>
      </c>
    </row>
    <row r="275" spans="1:6" ht="14.25" customHeight="1">
      <c r="A275" s="2">
        <v>40</v>
      </c>
      <c r="B275" s="2">
        <v>274</v>
      </c>
      <c r="C275" s="2">
        <v>3</v>
      </c>
      <c r="D275" s="2">
        <v>0</v>
      </c>
      <c r="E275" s="2">
        <v>0.89200000000000002</v>
      </c>
      <c r="F275" s="2">
        <v>1</v>
      </c>
    </row>
    <row r="276" spans="1:6" ht="14.25" customHeight="1">
      <c r="A276" s="2">
        <v>40</v>
      </c>
      <c r="B276" s="2">
        <v>275</v>
      </c>
      <c r="C276" s="2">
        <v>6</v>
      </c>
      <c r="D276" s="2">
        <v>1</v>
      </c>
      <c r="E276" s="2">
        <v>0.99199999999999999</v>
      </c>
      <c r="F276" s="2">
        <v>1</v>
      </c>
    </row>
    <row r="277" spans="1:6" ht="14.25" customHeight="1">
      <c r="A277" s="2">
        <v>40</v>
      </c>
      <c r="B277" s="2">
        <v>276</v>
      </c>
      <c r="C277" s="2">
        <v>7</v>
      </c>
      <c r="E277" s="2">
        <v>2</v>
      </c>
    </row>
    <row r="278" spans="1:6" ht="14.25" customHeight="1">
      <c r="A278" s="2">
        <v>40</v>
      </c>
      <c r="B278" s="2">
        <v>277</v>
      </c>
      <c r="C278" s="2">
        <v>3</v>
      </c>
      <c r="D278" s="2">
        <v>1</v>
      </c>
      <c r="E278" s="2">
        <v>1.0369999999999999</v>
      </c>
      <c r="F278" s="2">
        <v>2</v>
      </c>
    </row>
    <row r="279" spans="1:6" ht="14.25" customHeight="1">
      <c r="A279" s="2">
        <v>40</v>
      </c>
      <c r="B279" s="2">
        <v>278</v>
      </c>
      <c r="C279" s="2">
        <v>7</v>
      </c>
      <c r="D279" s="2">
        <v>1</v>
      </c>
      <c r="E279" s="2">
        <v>0.67</v>
      </c>
      <c r="F279" s="2">
        <v>2</v>
      </c>
    </row>
    <row r="280" spans="1:6" ht="14.25" customHeight="1">
      <c r="A280" s="2">
        <v>40</v>
      </c>
      <c r="B280" s="2">
        <v>279</v>
      </c>
      <c r="C280" s="2">
        <v>4</v>
      </c>
      <c r="D280" s="2">
        <v>1</v>
      </c>
      <c r="E280" s="2">
        <v>0.82099999999999995</v>
      </c>
      <c r="F280" s="2">
        <v>2</v>
      </c>
    </row>
    <row r="281" spans="1:6" ht="14.25" customHeight="1">
      <c r="A281" s="2">
        <v>40</v>
      </c>
      <c r="B281" s="2">
        <v>280</v>
      </c>
      <c r="C281" s="2">
        <v>1</v>
      </c>
      <c r="D281" s="2">
        <v>1</v>
      </c>
      <c r="E281" s="2">
        <v>0.69199999999999995</v>
      </c>
      <c r="F281" s="2">
        <v>1</v>
      </c>
    </row>
    <row r="282" spans="1:6" ht="14.25" customHeight="1">
      <c r="A282" s="2">
        <v>40</v>
      </c>
      <c r="B282" s="2">
        <v>281</v>
      </c>
      <c r="C282" s="2">
        <v>7</v>
      </c>
      <c r="D282" s="2">
        <v>1</v>
      </c>
      <c r="E282" s="2">
        <v>0.96799999999999997</v>
      </c>
      <c r="F282" s="2">
        <v>1</v>
      </c>
    </row>
    <row r="283" spans="1:6" ht="14.25" customHeight="1">
      <c r="A283" s="2">
        <v>40</v>
      </c>
      <c r="B283" s="2">
        <v>282</v>
      </c>
      <c r="C283" s="2">
        <v>1</v>
      </c>
      <c r="D283" s="2">
        <v>0</v>
      </c>
      <c r="E283" s="2">
        <v>0.92100000000000004</v>
      </c>
      <c r="F283" s="2">
        <v>1</v>
      </c>
    </row>
    <row r="284" spans="1:6" ht="14.25" customHeight="1">
      <c r="A284" s="2">
        <v>40</v>
      </c>
      <c r="B284" s="2">
        <v>283</v>
      </c>
      <c r="C284" s="2">
        <v>2</v>
      </c>
      <c r="D284" s="2">
        <v>1</v>
      </c>
      <c r="E284" s="2">
        <v>0.60499999999999998</v>
      </c>
      <c r="F284" s="2">
        <v>2</v>
      </c>
    </row>
    <row r="285" spans="1:6" ht="14.25" customHeight="1">
      <c r="A285" s="2">
        <v>40</v>
      </c>
      <c r="B285" s="2">
        <v>284</v>
      </c>
      <c r="C285" s="2">
        <v>3</v>
      </c>
      <c r="D285" s="2">
        <v>1</v>
      </c>
      <c r="E285" s="2">
        <v>1.0489999999999999</v>
      </c>
      <c r="F285" s="2">
        <v>2</v>
      </c>
    </row>
    <row r="286" spans="1:6" ht="14.25" customHeight="1">
      <c r="A286" s="2">
        <v>40</v>
      </c>
      <c r="B286" s="2">
        <v>285</v>
      </c>
      <c r="C286" s="2">
        <v>1</v>
      </c>
      <c r="D286" s="2">
        <v>0</v>
      </c>
      <c r="E286" s="2">
        <v>0.629</v>
      </c>
      <c r="F286" s="2">
        <v>1</v>
      </c>
    </row>
    <row r="287" spans="1:6" ht="14.25" customHeight="1">
      <c r="A287" s="2">
        <v>40</v>
      </c>
      <c r="B287" s="2">
        <v>286</v>
      </c>
      <c r="C287" s="2">
        <v>2</v>
      </c>
      <c r="D287" s="2">
        <v>1</v>
      </c>
      <c r="E287" s="2">
        <v>0.72899999999999998</v>
      </c>
      <c r="F287" s="2">
        <v>1</v>
      </c>
    </row>
    <row r="288" spans="1:6" ht="14.25" customHeight="1">
      <c r="A288" s="2">
        <v>40</v>
      </c>
      <c r="B288" s="2">
        <v>287</v>
      </c>
      <c r="C288" s="2">
        <v>8</v>
      </c>
      <c r="D288" s="2">
        <v>0</v>
      </c>
      <c r="E288" s="2">
        <v>0.82699999999999996</v>
      </c>
      <c r="F288" s="2">
        <v>1</v>
      </c>
    </row>
    <row r="289" spans="1:6" ht="14.25" customHeight="1">
      <c r="A289" s="2">
        <v>40</v>
      </c>
      <c r="B289" s="2">
        <v>288</v>
      </c>
      <c r="C289" s="2">
        <v>6</v>
      </c>
      <c r="D289" s="2">
        <v>1</v>
      </c>
      <c r="E289" s="2">
        <v>0.78900000000000003</v>
      </c>
      <c r="F289" s="2">
        <v>2</v>
      </c>
    </row>
    <row r="290" spans="1:6" ht="14.25" customHeight="1">
      <c r="A290" s="2">
        <v>40</v>
      </c>
      <c r="B290" s="2">
        <v>289</v>
      </c>
      <c r="C290" s="2">
        <v>7</v>
      </c>
      <c r="D290" s="2">
        <v>1</v>
      </c>
      <c r="E290" s="2">
        <v>1.5529999999999999</v>
      </c>
      <c r="F290" s="2">
        <v>2</v>
      </c>
    </row>
    <row r="291" spans="1:6" ht="14.25" customHeight="1">
      <c r="A291" s="2">
        <v>40</v>
      </c>
      <c r="B291" s="2">
        <v>290</v>
      </c>
      <c r="C291" s="2">
        <v>3</v>
      </c>
      <c r="D291" s="2">
        <v>0</v>
      </c>
      <c r="E291" s="2">
        <v>0.999</v>
      </c>
      <c r="F291" s="2">
        <v>2</v>
      </c>
    </row>
    <row r="292" spans="1:6" ht="14.25" customHeight="1">
      <c r="A292" s="2">
        <v>40</v>
      </c>
      <c r="B292" s="2">
        <v>291</v>
      </c>
      <c r="C292" s="2">
        <v>1</v>
      </c>
      <c r="D292" s="2">
        <v>1</v>
      </c>
      <c r="E292" s="2">
        <v>0.72</v>
      </c>
      <c r="F292" s="2">
        <v>1</v>
      </c>
    </row>
    <row r="293" spans="1:6" ht="14.25" customHeight="1">
      <c r="A293" s="2">
        <v>40</v>
      </c>
      <c r="B293" s="2">
        <v>292</v>
      </c>
      <c r="C293" s="2">
        <v>5</v>
      </c>
      <c r="D293" s="2">
        <v>1</v>
      </c>
      <c r="E293" s="2">
        <v>0.79700000000000004</v>
      </c>
      <c r="F293" s="2">
        <v>1</v>
      </c>
    </row>
    <row r="294" spans="1:6" ht="14.25" customHeight="1">
      <c r="A294" s="2">
        <v>40</v>
      </c>
      <c r="B294" s="2">
        <v>293</v>
      </c>
      <c r="C294" s="2">
        <v>8</v>
      </c>
      <c r="D294" s="2">
        <v>1</v>
      </c>
      <c r="E294" s="2">
        <v>0.77100000000000002</v>
      </c>
      <c r="F294" s="2">
        <v>2</v>
      </c>
    </row>
    <row r="295" spans="1:6" ht="14.25" customHeight="1">
      <c r="A295" s="2">
        <v>40</v>
      </c>
      <c r="B295" s="2">
        <v>294</v>
      </c>
      <c r="C295" s="2">
        <v>2</v>
      </c>
      <c r="D295" s="2">
        <v>0</v>
      </c>
      <c r="E295" s="2">
        <v>1.173</v>
      </c>
      <c r="F295" s="2">
        <v>2</v>
      </c>
    </row>
    <row r="296" spans="1:6" ht="14.25" customHeight="1">
      <c r="A296" s="2">
        <v>40</v>
      </c>
      <c r="B296" s="2">
        <v>295</v>
      </c>
      <c r="C296" s="2">
        <v>5</v>
      </c>
      <c r="D296" s="2">
        <v>1</v>
      </c>
      <c r="E296" s="2">
        <v>0.93799999999999994</v>
      </c>
      <c r="F296" s="2">
        <v>1</v>
      </c>
    </row>
    <row r="297" spans="1:6" ht="14.25" customHeight="1">
      <c r="A297" s="2">
        <v>40</v>
      </c>
      <c r="B297" s="2">
        <v>296</v>
      </c>
      <c r="C297" s="2">
        <v>8</v>
      </c>
      <c r="D297" s="2">
        <v>1</v>
      </c>
      <c r="E297" s="2">
        <v>0.503</v>
      </c>
      <c r="F297" s="2">
        <v>1</v>
      </c>
    </row>
    <row r="298" spans="1:6" ht="14.25" customHeight="1">
      <c r="A298" s="2">
        <v>40</v>
      </c>
      <c r="B298" s="2">
        <v>297</v>
      </c>
      <c r="C298" s="2">
        <v>7</v>
      </c>
      <c r="D298" s="2">
        <v>1</v>
      </c>
      <c r="E298" s="2">
        <v>0.73</v>
      </c>
      <c r="F298" s="2">
        <v>2</v>
      </c>
    </row>
    <row r="299" spans="1:6" ht="14.25" customHeight="1">
      <c r="A299" s="2">
        <v>40</v>
      </c>
      <c r="B299" s="2">
        <v>298</v>
      </c>
      <c r="C299" s="2">
        <v>3</v>
      </c>
      <c r="D299" s="2">
        <v>1</v>
      </c>
      <c r="E299" s="2">
        <v>0.622</v>
      </c>
      <c r="F299" s="2">
        <v>2</v>
      </c>
    </row>
    <row r="300" spans="1:6" ht="14.25" customHeight="1">
      <c r="A300" s="2">
        <v>40</v>
      </c>
      <c r="B300" s="2">
        <v>299</v>
      </c>
      <c r="C300" s="2">
        <v>5</v>
      </c>
      <c r="D300" s="2">
        <v>1</v>
      </c>
      <c r="E300" s="2">
        <v>1.234</v>
      </c>
      <c r="F300" s="2">
        <v>2</v>
      </c>
    </row>
    <row r="301" spans="1:6" ht="14.25" customHeight="1">
      <c r="A301" s="2">
        <v>40</v>
      </c>
      <c r="B301" s="2">
        <v>300</v>
      </c>
      <c r="C301" s="2">
        <v>6</v>
      </c>
      <c r="D301" s="2">
        <v>1</v>
      </c>
      <c r="E301" s="2">
        <v>1.139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41</v>
      </c>
      <c r="I1" s="2">
        <v>101</v>
      </c>
      <c r="J1" s="2">
        <v>7</v>
      </c>
      <c r="K1" s="2">
        <v>0</v>
      </c>
      <c r="L1" s="2">
        <v>1.617</v>
      </c>
      <c r="M1" s="2">
        <v>2</v>
      </c>
    </row>
    <row r="2" spans="1:25" ht="14.25" customHeight="1">
      <c r="A2" s="2">
        <v>41</v>
      </c>
      <c r="B2" s="2">
        <v>1</v>
      </c>
      <c r="C2" s="2">
        <v>5</v>
      </c>
      <c r="E2" s="2">
        <v>2.0009999999999999</v>
      </c>
      <c r="H2" s="2">
        <v>41</v>
      </c>
      <c r="I2" s="2">
        <v>102</v>
      </c>
      <c r="J2" s="2">
        <v>4</v>
      </c>
      <c r="K2" s="2">
        <v>1</v>
      </c>
      <c r="L2" s="2">
        <v>1.0660000000000001</v>
      </c>
      <c r="M2" s="2">
        <v>1</v>
      </c>
    </row>
    <row r="3" spans="1:25" ht="14.25" customHeight="1">
      <c r="A3" s="2">
        <v>41</v>
      </c>
      <c r="B3" s="2">
        <v>2</v>
      </c>
      <c r="C3" s="2">
        <v>1</v>
      </c>
      <c r="D3" s="2">
        <v>0</v>
      </c>
      <c r="E3" s="2">
        <v>1.139</v>
      </c>
      <c r="F3" s="2">
        <v>2</v>
      </c>
      <c r="H3" s="2">
        <v>41</v>
      </c>
      <c r="I3" s="2">
        <v>103</v>
      </c>
      <c r="J3" s="2">
        <v>5</v>
      </c>
      <c r="K3" s="2">
        <v>1</v>
      </c>
      <c r="L3" s="2">
        <v>0.64500000000000002</v>
      </c>
      <c r="M3" s="2">
        <v>1</v>
      </c>
    </row>
    <row r="4" spans="1:25" ht="14.25" customHeight="1">
      <c r="A4" s="2">
        <v>41</v>
      </c>
      <c r="B4" s="2">
        <v>3</v>
      </c>
      <c r="C4" s="2">
        <v>6</v>
      </c>
      <c r="D4" s="2">
        <v>1</v>
      </c>
      <c r="E4" s="2">
        <v>0.96499999999999997</v>
      </c>
      <c r="F4" s="2">
        <v>1</v>
      </c>
      <c r="H4" s="2">
        <v>41</v>
      </c>
      <c r="I4" s="2">
        <v>104</v>
      </c>
      <c r="J4" s="2">
        <v>6</v>
      </c>
      <c r="K4" s="2">
        <v>1</v>
      </c>
      <c r="L4" s="2">
        <v>0.71099999999999997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41</v>
      </c>
      <c r="B5" s="2">
        <v>4</v>
      </c>
      <c r="C5" s="2">
        <v>7</v>
      </c>
      <c r="D5" s="2">
        <v>1</v>
      </c>
      <c r="E5" s="2">
        <v>0.81399999999999995</v>
      </c>
      <c r="F5" s="2">
        <v>2</v>
      </c>
      <c r="H5" s="2">
        <v>41</v>
      </c>
      <c r="I5" s="2">
        <v>105</v>
      </c>
      <c r="J5" s="2">
        <v>1</v>
      </c>
      <c r="K5" s="2">
        <v>1</v>
      </c>
      <c r="L5" s="2">
        <v>0.6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41</v>
      </c>
      <c r="B6" s="2">
        <v>5</v>
      </c>
      <c r="C6" s="2">
        <v>8</v>
      </c>
      <c r="D6" s="2">
        <v>0</v>
      </c>
      <c r="E6" s="2">
        <v>0.66600000000000004</v>
      </c>
      <c r="F6" s="2">
        <v>1</v>
      </c>
      <c r="H6" s="2">
        <v>41</v>
      </c>
      <c r="I6" s="2">
        <v>106</v>
      </c>
      <c r="J6" s="2">
        <v>3</v>
      </c>
      <c r="K6" s="2">
        <v>1</v>
      </c>
      <c r="L6" s="2">
        <v>1.036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41</v>
      </c>
      <c r="B7" s="2">
        <v>6</v>
      </c>
      <c r="C7" s="2">
        <v>2</v>
      </c>
      <c r="D7" s="2">
        <v>0</v>
      </c>
      <c r="E7" s="2">
        <v>0.77500000000000002</v>
      </c>
      <c r="F7" s="2">
        <v>1</v>
      </c>
      <c r="H7" s="2">
        <v>41</v>
      </c>
      <c r="I7" s="2">
        <v>107</v>
      </c>
      <c r="J7" s="2">
        <v>2</v>
      </c>
      <c r="K7" s="2">
        <v>1</v>
      </c>
      <c r="L7" s="2">
        <v>1.3069999999999999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41</v>
      </c>
      <c r="B8" s="2">
        <v>7</v>
      </c>
      <c r="C8" s="2">
        <v>3</v>
      </c>
      <c r="D8" s="2">
        <v>0</v>
      </c>
      <c r="E8" s="2">
        <v>1.4490000000000001</v>
      </c>
      <c r="F8" s="2">
        <v>2</v>
      </c>
      <c r="H8" s="2">
        <v>41</v>
      </c>
      <c r="I8" s="2">
        <v>108</v>
      </c>
      <c r="J8" s="2">
        <v>6</v>
      </c>
      <c r="K8" s="2">
        <v>1</v>
      </c>
      <c r="L8" s="2">
        <v>0.86499999999999999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41</v>
      </c>
      <c r="B9" s="2">
        <v>8</v>
      </c>
      <c r="C9" s="2">
        <v>8</v>
      </c>
      <c r="E9" s="2">
        <v>2</v>
      </c>
      <c r="H9" s="2">
        <v>41</v>
      </c>
      <c r="I9" s="2">
        <v>109</v>
      </c>
      <c r="J9" s="2">
        <v>7</v>
      </c>
      <c r="K9" s="2">
        <v>1</v>
      </c>
      <c r="L9" s="2">
        <v>1.202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41</v>
      </c>
      <c r="B10" s="2">
        <v>9</v>
      </c>
      <c r="C10" s="2">
        <v>1</v>
      </c>
      <c r="D10" s="2">
        <v>1</v>
      </c>
      <c r="E10" s="2">
        <v>1.351</v>
      </c>
      <c r="F10" s="2">
        <v>1</v>
      </c>
      <c r="H10" s="2">
        <v>41</v>
      </c>
      <c r="I10" s="2">
        <v>110</v>
      </c>
      <c r="J10" s="2">
        <v>6</v>
      </c>
      <c r="K10" s="2">
        <v>0</v>
      </c>
      <c r="L10" s="2">
        <v>0.84199999999999997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41</v>
      </c>
      <c r="B11" s="2">
        <v>10</v>
      </c>
      <c r="C11" s="2">
        <v>6</v>
      </c>
      <c r="D11" s="2">
        <v>1</v>
      </c>
      <c r="E11" s="2">
        <v>1.008</v>
      </c>
      <c r="F11" s="2">
        <v>1</v>
      </c>
      <c r="H11" s="2">
        <v>41</v>
      </c>
      <c r="I11" s="2">
        <v>111</v>
      </c>
      <c r="J11" s="2">
        <v>7</v>
      </c>
      <c r="K11" s="2">
        <v>1</v>
      </c>
      <c r="L11" s="2">
        <v>0.80800000000000005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41</v>
      </c>
      <c r="B12" s="2">
        <v>11</v>
      </c>
      <c r="C12" s="2">
        <v>7</v>
      </c>
      <c r="D12" s="2">
        <v>1</v>
      </c>
      <c r="E12" s="2">
        <v>0.98</v>
      </c>
      <c r="F12" s="2">
        <v>2</v>
      </c>
      <c r="H12" s="2">
        <v>41</v>
      </c>
      <c r="I12" s="2">
        <v>112</v>
      </c>
      <c r="J12" s="2">
        <v>1</v>
      </c>
      <c r="K12" s="2">
        <v>1</v>
      </c>
      <c r="L12" s="2">
        <v>1.9450000000000001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41</v>
      </c>
      <c r="B13" s="2">
        <v>12</v>
      </c>
      <c r="C13" s="2">
        <v>1</v>
      </c>
      <c r="D13" s="2">
        <v>1</v>
      </c>
      <c r="E13" s="2">
        <v>0.84199999999999997</v>
      </c>
      <c r="F13" s="2">
        <v>1</v>
      </c>
      <c r="H13" s="2">
        <v>41</v>
      </c>
      <c r="I13" s="2">
        <v>113</v>
      </c>
      <c r="J13" s="2">
        <v>4</v>
      </c>
      <c r="K13" s="2">
        <v>1</v>
      </c>
      <c r="L13" s="2">
        <v>1.2390000000000001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41</v>
      </c>
      <c r="B14" s="2">
        <v>13</v>
      </c>
      <c r="C14" s="2">
        <v>4</v>
      </c>
      <c r="D14" s="2">
        <v>1</v>
      </c>
      <c r="E14" s="2">
        <v>1.395</v>
      </c>
      <c r="F14" s="2">
        <v>2</v>
      </c>
      <c r="H14" s="2">
        <v>41</v>
      </c>
      <c r="I14" s="2">
        <v>114</v>
      </c>
      <c r="J14" s="2">
        <v>8</v>
      </c>
      <c r="K14" s="2">
        <v>0</v>
      </c>
      <c r="L14" s="2">
        <v>1.7989999999999999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41</v>
      </c>
      <c r="B15" s="2">
        <v>14</v>
      </c>
      <c r="C15" s="2">
        <v>2</v>
      </c>
      <c r="D15" s="2">
        <v>0</v>
      </c>
      <c r="E15" s="2">
        <v>0.64100000000000001</v>
      </c>
      <c r="F15" s="2">
        <v>1</v>
      </c>
      <c r="H15" s="2">
        <v>41</v>
      </c>
      <c r="I15" s="2">
        <v>115</v>
      </c>
      <c r="J15" s="2">
        <v>3</v>
      </c>
      <c r="K15" s="2">
        <v>1</v>
      </c>
      <c r="L15" s="2">
        <v>0.76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41</v>
      </c>
      <c r="B16" s="2">
        <v>15</v>
      </c>
      <c r="C16" s="2">
        <v>7</v>
      </c>
      <c r="D16" s="2">
        <v>1</v>
      </c>
      <c r="E16" s="2">
        <v>1.161</v>
      </c>
      <c r="F16" s="2">
        <v>2</v>
      </c>
      <c r="H16" s="2">
        <v>41</v>
      </c>
      <c r="I16" s="2">
        <v>116</v>
      </c>
      <c r="J16" s="2">
        <v>7</v>
      </c>
      <c r="K16" s="2">
        <v>1</v>
      </c>
      <c r="L16" s="2">
        <v>0.82599999999999996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41</v>
      </c>
      <c r="B17" s="2">
        <v>16</v>
      </c>
      <c r="C17" s="2">
        <v>8</v>
      </c>
      <c r="D17" s="2">
        <v>1</v>
      </c>
      <c r="E17" s="2">
        <v>1.0569999999999999</v>
      </c>
      <c r="F17" s="2">
        <v>2</v>
      </c>
      <c r="H17" s="2">
        <v>41</v>
      </c>
      <c r="I17" s="2">
        <v>117</v>
      </c>
      <c r="J17" s="2">
        <v>5</v>
      </c>
      <c r="K17" s="2">
        <v>0</v>
      </c>
      <c r="L17" s="2">
        <v>1.7290000000000001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0.48999999999999994</v>
      </c>
      <c r="P17" s="3">
        <f t="shared" ref="P17:P22" si="1">(P6*COUNTIF($J$1:$J$101,P$16) - COUNTIFS($J$1:$J$101,P$16,$K$1:$K$101,"=1"))^2</f>
        <v>22.089999999999993</v>
      </c>
      <c r="Q17" s="3">
        <f t="shared" ref="Q17:Q22" si="2">(Q6*COUNTIF($J$1:$J$101,Q$16) - COUNTIFS($J$1:$J$101,Q$16,$K$1:$K$101,"=0"))^2</f>
        <v>1.9599999999999997</v>
      </c>
      <c r="R17" s="3">
        <f t="shared" ref="R17:R22" si="3">(R6*COUNTIF($J$1:$J$101,R$16) - COUNTIFS($J$1:$J$101,R$16,$K$1:$K$101,"=1"))^2</f>
        <v>7.2899999999999965</v>
      </c>
      <c r="S17" s="3">
        <f t="shared" ref="S17:T17" si="4">(S6*COUNTIF($J$1:$J$101,S$16) - COUNTIFS($J$1:$J$101,S$16,$K$1:$K$101,"=0"))^2</f>
        <v>13.3225</v>
      </c>
      <c r="T17" s="3">
        <f t="shared" si="4"/>
        <v>0.48999999999999994</v>
      </c>
      <c r="U17" s="3">
        <f t="shared" ref="U17:V17" si="5">(U6*COUNTIF($J$1:$J$101,U$16) - COUNTIFS($J$1:$J$101,U$16,$K$1:$K$101,"=1"))^2</f>
        <v>2.8899999999999975</v>
      </c>
      <c r="V17" s="3">
        <f t="shared" si="5"/>
        <v>7.0224999999999973</v>
      </c>
      <c r="W17" s="4"/>
      <c r="X17" s="4"/>
      <c r="Y17" s="4"/>
    </row>
    <row r="18" spans="1:25" ht="14.25" customHeight="1">
      <c r="A18" s="2">
        <v>41</v>
      </c>
      <c r="B18" s="2">
        <v>17</v>
      </c>
      <c r="C18" s="2">
        <v>2</v>
      </c>
      <c r="D18" s="2">
        <v>0</v>
      </c>
      <c r="E18" s="2">
        <v>0.66</v>
      </c>
      <c r="F18" s="2">
        <v>1</v>
      </c>
      <c r="H18" s="2">
        <v>41</v>
      </c>
      <c r="I18" s="2">
        <v>118</v>
      </c>
      <c r="J18" s="2">
        <v>2</v>
      </c>
      <c r="K18" s="2">
        <v>0</v>
      </c>
      <c r="L18" s="2">
        <v>0.80100000000000005</v>
      </c>
      <c r="M18" s="2">
        <v>2</v>
      </c>
      <c r="N18" s="3">
        <v>2</v>
      </c>
      <c r="O18" s="3">
        <f t="shared" si="0"/>
        <v>0.48999999999999994</v>
      </c>
      <c r="P18" s="3">
        <f t="shared" si="1"/>
        <v>0.48999999999999994</v>
      </c>
      <c r="Q18" s="6">
        <f t="shared" si="2"/>
        <v>16</v>
      </c>
      <c r="R18" s="3">
        <f t="shared" si="3"/>
        <v>7.2899999999999965</v>
      </c>
      <c r="S18" s="6">
        <f t="shared" ref="S18:T18" si="6">(S7*COUNTIF($J$1:$J$101,S$16) - COUNTIFS($J$1:$J$101,S$16,$K$1:$K$101,"=0"))^2</f>
        <v>13.3225</v>
      </c>
      <c r="T18" s="6">
        <f t="shared" si="6"/>
        <v>0.48999999999999994</v>
      </c>
      <c r="U18" s="6">
        <f t="shared" ref="U18:V18" si="7">(U7*COUNTIF($J$1:$J$101,U$16) - COUNTIFS($J$1:$J$101,U$16,$K$1:$K$101,"=1"))^2</f>
        <v>2.8899999999999975</v>
      </c>
      <c r="V18" s="6">
        <f t="shared" si="7"/>
        <v>7.0224999999999973</v>
      </c>
      <c r="W18" s="4"/>
      <c r="X18" s="4"/>
      <c r="Y18" s="4"/>
    </row>
    <row r="19" spans="1:25" ht="14.25" customHeight="1">
      <c r="A19" s="2">
        <v>41</v>
      </c>
      <c r="B19" s="2">
        <v>18</v>
      </c>
      <c r="C19" s="2">
        <v>3</v>
      </c>
      <c r="D19" s="2">
        <v>1</v>
      </c>
      <c r="E19" s="2">
        <v>1.3759999999999999</v>
      </c>
      <c r="F19" s="2">
        <v>1</v>
      </c>
      <c r="H19" s="2">
        <v>41</v>
      </c>
      <c r="I19" s="2">
        <v>119</v>
      </c>
      <c r="J19" s="2">
        <v>5</v>
      </c>
      <c r="K19" s="2">
        <v>0</v>
      </c>
      <c r="L19" s="2">
        <v>1.345</v>
      </c>
      <c r="M19" s="2">
        <v>2</v>
      </c>
      <c r="N19" s="3">
        <v>3</v>
      </c>
      <c r="O19" s="3">
        <f t="shared" si="0"/>
        <v>0.48999999999999994</v>
      </c>
      <c r="P19" s="3">
        <f t="shared" si="1"/>
        <v>22.089999999999993</v>
      </c>
      <c r="Q19" s="3">
        <f t="shared" si="2"/>
        <v>1.9599999999999997</v>
      </c>
      <c r="R19" s="3">
        <f t="shared" si="3"/>
        <v>7.2899999999999965</v>
      </c>
      <c r="S19" s="6">
        <f t="shared" ref="S19:T19" si="8">(S8*COUNTIF($J$1:$J$101,S$16) - COUNTIFS($J$1:$J$101,S$16,$K$1:$K$101,"=0"))^2</f>
        <v>13.3225</v>
      </c>
      <c r="T19" s="6">
        <f t="shared" si="8"/>
        <v>22.089999999999993</v>
      </c>
      <c r="U19" s="3">
        <f t="shared" ref="U19:V19" si="9">(U8*COUNTIF($J$1:$J$101,U$16) - COUNTIFS($J$1:$J$101,U$16,$K$1:$K$101,"=1"))^2</f>
        <v>13.690000000000001</v>
      </c>
      <c r="V19" s="6">
        <f t="shared" si="9"/>
        <v>7.0224999999999973</v>
      </c>
      <c r="W19" s="4"/>
      <c r="X19" s="4"/>
      <c r="Y19" s="4"/>
    </row>
    <row r="20" spans="1:25" ht="14.25" customHeight="1">
      <c r="A20" s="2">
        <v>41</v>
      </c>
      <c r="B20" s="2">
        <v>19</v>
      </c>
      <c r="C20" s="2">
        <v>6</v>
      </c>
      <c r="D20" s="2">
        <v>1</v>
      </c>
      <c r="E20" s="2">
        <v>0.98199999999999998</v>
      </c>
      <c r="F20" s="2">
        <v>1</v>
      </c>
      <c r="H20" s="2">
        <v>41</v>
      </c>
      <c r="I20" s="2">
        <v>120</v>
      </c>
      <c r="J20" s="2">
        <v>2</v>
      </c>
      <c r="K20" s="2">
        <v>0</v>
      </c>
      <c r="L20" s="2">
        <v>1.339</v>
      </c>
      <c r="M20" s="2">
        <v>2</v>
      </c>
      <c r="N20" s="3">
        <v>4</v>
      </c>
      <c r="O20" s="3">
        <f t="shared" si="0"/>
        <v>4</v>
      </c>
      <c r="P20" s="3">
        <f t="shared" si="1"/>
        <v>4</v>
      </c>
      <c r="Q20" s="3">
        <f t="shared" si="2"/>
        <v>1</v>
      </c>
      <c r="R20" s="3">
        <f t="shared" si="3"/>
        <v>0</v>
      </c>
      <c r="S20" s="6">
        <f t="shared" ref="S20:T20" si="10">(S9*COUNTIF($J$1:$J$101,S$16) - COUNTIFS($J$1:$J$101,S$16,$K$1:$K$101,"=0"))^2</f>
        <v>13.3225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2.8899999999999975</v>
      </c>
      <c r="V20" s="6">
        <f t="shared" si="11"/>
        <v>7.0224999999999973</v>
      </c>
      <c r="W20" s="4"/>
      <c r="X20" s="4"/>
      <c r="Y20" s="4"/>
    </row>
    <row r="21" spans="1:25" ht="14.25" customHeight="1">
      <c r="A21" s="2">
        <v>41</v>
      </c>
      <c r="B21" s="2">
        <v>20</v>
      </c>
      <c r="C21" s="2">
        <v>3</v>
      </c>
      <c r="D21" s="2">
        <v>0</v>
      </c>
      <c r="E21" s="2">
        <v>1.242</v>
      </c>
      <c r="F21" s="2">
        <v>2</v>
      </c>
      <c r="H21" s="2">
        <v>41</v>
      </c>
      <c r="I21" s="2">
        <v>121</v>
      </c>
      <c r="J21" s="2">
        <v>5</v>
      </c>
      <c r="L21" s="2">
        <v>2</v>
      </c>
      <c r="N21" s="3">
        <v>5</v>
      </c>
      <c r="O21" s="3">
        <f t="shared" si="0"/>
        <v>0.48999999999999994</v>
      </c>
      <c r="P21" s="3">
        <f t="shared" si="1"/>
        <v>22.089999999999993</v>
      </c>
      <c r="Q21" s="3">
        <f t="shared" si="2"/>
        <v>1.9599999999999997</v>
      </c>
      <c r="R21" s="3">
        <f t="shared" si="3"/>
        <v>7.2899999999999965</v>
      </c>
      <c r="S21" s="6">
        <f t="shared" ref="S21:T21" si="12">(S10*COUNTIF($J$1:$J$101,S$16) - COUNTIFS($J$1:$J$101,S$16,$K$1:$K$101,"=0"))^2</f>
        <v>0.25</v>
      </c>
      <c r="T21" s="6">
        <f t="shared" si="12"/>
        <v>4</v>
      </c>
      <c r="U21" s="6">
        <f t="shared" ref="U21:V21" si="13">(U10*COUNTIF($J$1:$J$101,U$16) - COUNTIFS($J$1:$J$101,U$16,$K$1:$K$101,"=1"))^2</f>
        <v>1</v>
      </c>
      <c r="V21" s="6">
        <f t="shared" si="13"/>
        <v>0.25</v>
      </c>
      <c r="W21" s="4"/>
      <c r="X21" s="4"/>
      <c r="Y21" s="4"/>
    </row>
    <row r="22" spans="1:25" ht="14.25" customHeight="1">
      <c r="A22" s="2">
        <v>41</v>
      </c>
      <c r="B22" s="2">
        <v>21</v>
      </c>
      <c r="C22" s="2">
        <v>6</v>
      </c>
      <c r="D22" s="2">
        <v>1</v>
      </c>
      <c r="E22" s="2">
        <v>1.0389999999999999</v>
      </c>
      <c r="F22" s="2">
        <v>1</v>
      </c>
      <c r="H22" s="2">
        <v>41</v>
      </c>
      <c r="I22" s="2">
        <v>122</v>
      </c>
      <c r="J22" s="2">
        <v>4</v>
      </c>
      <c r="L22" s="2">
        <v>2.0009999999999999</v>
      </c>
      <c r="N22" s="3">
        <v>6</v>
      </c>
      <c r="O22" s="3">
        <f t="shared" si="0"/>
        <v>4</v>
      </c>
      <c r="P22" s="3">
        <f t="shared" si="1"/>
        <v>4</v>
      </c>
      <c r="Q22" s="3">
        <f t="shared" si="2"/>
        <v>1</v>
      </c>
      <c r="R22" s="3">
        <f t="shared" si="3"/>
        <v>0</v>
      </c>
      <c r="S22" s="6">
        <f t="shared" ref="S22:T22" si="14">(S11*COUNTIF($J$1:$J$101,S$16) - COUNTIFS($J$1:$J$101,S$16,$K$1:$K$101,"=0"))^2</f>
        <v>0.25</v>
      </c>
      <c r="T22" s="6">
        <f t="shared" si="14"/>
        <v>4</v>
      </c>
      <c r="U22" s="6">
        <f t="shared" ref="U22:V22" si="15">(U11*COUNTIF($J$1:$J$101,U$16) - COUNTIFS($J$1:$J$101,U$16,$K$1:$K$101,"=1"))^2</f>
        <v>1</v>
      </c>
      <c r="V22" s="6">
        <f t="shared" si="15"/>
        <v>0.25</v>
      </c>
      <c r="W22" s="4"/>
      <c r="X22" s="4"/>
      <c r="Y22" s="4"/>
    </row>
    <row r="23" spans="1:25" ht="14.25" customHeight="1">
      <c r="A23" s="2">
        <v>41</v>
      </c>
      <c r="B23" s="2">
        <v>22</v>
      </c>
      <c r="C23" s="2">
        <v>4</v>
      </c>
      <c r="D23" s="2">
        <v>1</v>
      </c>
      <c r="E23" s="2">
        <v>1.1200000000000001</v>
      </c>
      <c r="F23" s="2">
        <v>2</v>
      </c>
      <c r="H23" s="2">
        <v>41</v>
      </c>
      <c r="I23" s="2">
        <v>123</v>
      </c>
      <c r="J23" s="2">
        <v>1</v>
      </c>
      <c r="K23" s="2">
        <v>0</v>
      </c>
      <c r="L23" s="2">
        <v>1.5509999999999999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41</v>
      </c>
      <c r="B24" s="2">
        <v>23</v>
      </c>
      <c r="C24" s="2">
        <v>5</v>
      </c>
      <c r="D24" s="2">
        <v>1</v>
      </c>
      <c r="E24" s="2">
        <v>1.268</v>
      </c>
      <c r="F24" s="2">
        <v>1</v>
      </c>
      <c r="H24" s="2">
        <v>41</v>
      </c>
      <c r="I24" s="2">
        <v>124</v>
      </c>
      <c r="J24" s="2">
        <v>3</v>
      </c>
      <c r="K24" s="2">
        <v>0</v>
      </c>
      <c r="L24" s="2">
        <v>1.296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41</v>
      </c>
      <c r="B25" s="2">
        <v>24</v>
      </c>
      <c r="C25" s="2">
        <v>1</v>
      </c>
      <c r="D25" s="2">
        <v>0</v>
      </c>
      <c r="E25" s="2">
        <v>1.2270000000000001</v>
      </c>
      <c r="F25" s="2">
        <v>2</v>
      </c>
      <c r="H25" s="2">
        <v>41</v>
      </c>
      <c r="I25" s="2">
        <v>125</v>
      </c>
      <c r="J25" s="2">
        <v>8</v>
      </c>
      <c r="K25" s="2">
        <v>1</v>
      </c>
      <c r="L25" s="2">
        <v>0.73699999999999999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41</v>
      </c>
      <c r="B26" s="2">
        <v>25</v>
      </c>
      <c r="C26" s="2">
        <v>4</v>
      </c>
      <c r="D26" s="2">
        <v>0</v>
      </c>
      <c r="E26" s="2">
        <v>0.8</v>
      </c>
      <c r="F26" s="2">
        <v>1</v>
      </c>
      <c r="H26" s="2">
        <v>41</v>
      </c>
      <c r="I26" s="2">
        <v>126</v>
      </c>
      <c r="J26" s="2">
        <v>2</v>
      </c>
      <c r="K26" s="2">
        <v>0</v>
      </c>
      <c r="L26" s="2">
        <v>1.1299999999999999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49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41</v>
      </c>
      <c r="B27" s="2">
        <v>26</v>
      </c>
      <c r="C27" s="2">
        <v>5</v>
      </c>
      <c r="D27" s="2">
        <v>1</v>
      </c>
      <c r="E27" s="2">
        <v>0.83099999999999996</v>
      </c>
      <c r="F27" s="2">
        <v>1</v>
      </c>
      <c r="H27" s="2">
        <v>41</v>
      </c>
      <c r="I27" s="2">
        <v>127</v>
      </c>
      <c r="J27" s="2">
        <v>8</v>
      </c>
      <c r="K27" s="2">
        <v>1</v>
      </c>
      <c r="L27" s="2">
        <v>0.86099999999999999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41</v>
      </c>
      <c r="B28" s="2">
        <v>27</v>
      </c>
      <c r="C28" s="2">
        <v>7</v>
      </c>
      <c r="D28" s="2">
        <v>1</v>
      </c>
      <c r="E28" s="2">
        <v>0.56200000000000006</v>
      </c>
      <c r="F28" s="2">
        <v>2</v>
      </c>
      <c r="H28" s="2">
        <v>41</v>
      </c>
      <c r="I28" s="2">
        <v>128</v>
      </c>
      <c r="J28" s="2">
        <v>6</v>
      </c>
      <c r="L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41</v>
      </c>
      <c r="B29" s="2">
        <v>28</v>
      </c>
      <c r="C29" s="2">
        <v>5</v>
      </c>
      <c r="D29" s="2">
        <v>0</v>
      </c>
      <c r="E29" s="2">
        <v>1.194</v>
      </c>
      <c r="F29" s="2">
        <v>2</v>
      </c>
      <c r="H29" s="2">
        <v>41</v>
      </c>
      <c r="I29" s="2">
        <v>129</v>
      </c>
      <c r="J29" s="2">
        <v>3</v>
      </c>
      <c r="K29" s="2">
        <v>1</v>
      </c>
      <c r="L29" s="2">
        <v>1.0089999999999999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41</v>
      </c>
      <c r="B30" s="2">
        <v>29</v>
      </c>
      <c r="C30" s="2">
        <v>4</v>
      </c>
      <c r="D30" s="2">
        <v>0</v>
      </c>
      <c r="E30" s="2">
        <v>0.86399999999999999</v>
      </c>
      <c r="F30" s="2">
        <v>1</v>
      </c>
      <c r="H30" s="2">
        <v>41</v>
      </c>
      <c r="I30" s="2">
        <v>130</v>
      </c>
      <c r="J30" s="2">
        <v>6</v>
      </c>
      <c r="K30" s="2">
        <v>1</v>
      </c>
      <c r="L30" s="2">
        <v>1.296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41</v>
      </c>
      <c r="B31" s="2">
        <v>30</v>
      </c>
      <c r="C31" s="2">
        <v>8</v>
      </c>
      <c r="D31" s="2">
        <v>1</v>
      </c>
      <c r="E31" s="2">
        <v>1.2709999999999999</v>
      </c>
      <c r="F31" s="2">
        <v>2</v>
      </c>
      <c r="H31" s="2">
        <v>41</v>
      </c>
      <c r="I31" s="2">
        <v>131</v>
      </c>
      <c r="J31" s="2">
        <v>1</v>
      </c>
      <c r="L31" s="2">
        <v>2</v>
      </c>
      <c r="N31" s="3">
        <v>1</v>
      </c>
      <c r="O31" s="3">
        <f t="shared" ref="O31:O36" si="17">SUM(O17:V17)/SUM(O$26:V$26)</f>
        <v>0.17692675159235666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41</v>
      </c>
      <c r="B32" s="2">
        <v>31</v>
      </c>
      <c r="C32" s="2">
        <v>5</v>
      </c>
      <c r="D32" s="2">
        <v>0</v>
      </c>
      <c r="E32" s="2">
        <v>1.103</v>
      </c>
      <c r="F32" s="2">
        <v>2</v>
      </c>
      <c r="H32" s="2">
        <v>41</v>
      </c>
      <c r="I32" s="2">
        <v>132</v>
      </c>
      <c r="J32" s="2">
        <v>5</v>
      </c>
      <c r="K32" s="2">
        <v>0</v>
      </c>
      <c r="L32" s="2">
        <v>1.266</v>
      </c>
      <c r="M32" s="2">
        <v>2</v>
      </c>
      <c r="N32" s="3">
        <v>2</v>
      </c>
      <c r="O32" s="3">
        <f t="shared" si="17"/>
        <v>0.15285031847133754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41</v>
      </c>
      <c r="B33" s="2">
        <v>32</v>
      </c>
      <c r="C33" s="2">
        <v>1</v>
      </c>
      <c r="D33" s="2">
        <v>0</v>
      </c>
      <c r="E33" s="2">
        <v>1.29</v>
      </c>
      <c r="F33" s="2">
        <v>2</v>
      </c>
      <c r="H33" s="2">
        <v>41</v>
      </c>
      <c r="I33" s="2">
        <v>133</v>
      </c>
      <c r="J33" s="2">
        <v>3</v>
      </c>
      <c r="K33" s="2">
        <v>0</v>
      </c>
      <c r="L33" s="2">
        <v>0.76400000000000001</v>
      </c>
      <c r="M33" s="2">
        <v>2</v>
      </c>
      <c r="N33" s="3">
        <v>3</v>
      </c>
      <c r="O33" s="3">
        <f t="shared" si="17"/>
        <v>0.28011146496815276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41</v>
      </c>
      <c r="B34" s="2">
        <v>33</v>
      </c>
      <c r="C34" s="2">
        <v>3</v>
      </c>
      <c r="D34" s="2">
        <v>0</v>
      </c>
      <c r="E34" s="2">
        <v>1.0589999999999999</v>
      </c>
      <c r="F34" s="2">
        <v>2</v>
      </c>
      <c r="H34" s="2">
        <v>41</v>
      </c>
      <c r="I34" s="2">
        <v>134</v>
      </c>
      <c r="J34" s="2">
        <v>4</v>
      </c>
      <c r="L34" s="2">
        <v>2</v>
      </c>
      <c r="N34" s="3">
        <v>4</v>
      </c>
      <c r="O34" s="3">
        <f t="shared" si="17"/>
        <v>0.10421974522292991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41</v>
      </c>
      <c r="B35" s="2">
        <v>34</v>
      </c>
      <c r="C35" s="2">
        <v>6</v>
      </c>
      <c r="D35" s="2">
        <v>1</v>
      </c>
      <c r="E35" s="2">
        <v>0.77600000000000002</v>
      </c>
      <c r="F35" s="2">
        <v>1</v>
      </c>
      <c r="H35" s="2">
        <v>41</v>
      </c>
      <c r="I35" s="2">
        <v>135</v>
      </c>
      <c r="J35" s="2">
        <v>7</v>
      </c>
      <c r="K35" s="2">
        <v>0</v>
      </c>
      <c r="L35" s="2">
        <v>1.1439999999999999</v>
      </c>
      <c r="M35" s="2">
        <v>2</v>
      </c>
      <c r="N35" s="3">
        <v>5</v>
      </c>
      <c r="O35" s="3">
        <f t="shared" si="17"/>
        <v>0.11888535031847129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41</v>
      </c>
      <c r="B36" s="2">
        <v>35</v>
      </c>
      <c r="C36" s="2">
        <v>5</v>
      </c>
      <c r="D36" s="2">
        <v>1</v>
      </c>
      <c r="E36" s="2">
        <v>1.224</v>
      </c>
      <c r="F36" s="2">
        <v>1</v>
      </c>
      <c r="H36" s="2">
        <v>41</v>
      </c>
      <c r="I36" s="2">
        <v>136</v>
      </c>
      <c r="J36" s="2">
        <v>8</v>
      </c>
      <c r="K36" s="2">
        <v>0</v>
      </c>
      <c r="L36" s="2">
        <v>0.83599999999999997</v>
      </c>
      <c r="M36" s="2">
        <v>2</v>
      </c>
      <c r="N36" s="3">
        <v>6</v>
      </c>
      <c r="O36" s="3">
        <f t="shared" si="17"/>
        <v>4.6178343949044583E-2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41</v>
      </c>
      <c r="B37" s="2">
        <v>36</v>
      </c>
      <c r="C37" s="2">
        <v>3</v>
      </c>
      <c r="D37" s="2">
        <v>1</v>
      </c>
      <c r="E37" s="2">
        <v>1.0820000000000001</v>
      </c>
      <c r="F37" s="2">
        <v>1</v>
      </c>
      <c r="H37" s="2">
        <v>41</v>
      </c>
      <c r="I37" s="2">
        <v>137</v>
      </c>
      <c r="J37" s="2">
        <v>1</v>
      </c>
      <c r="L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41</v>
      </c>
      <c r="B38" s="2">
        <v>37</v>
      </c>
      <c r="C38" s="2">
        <v>6</v>
      </c>
      <c r="D38" s="2">
        <v>1</v>
      </c>
      <c r="E38" s="2">
        <v>1.0269999999999999</v>
      </c>
      <c r="F38" s="2">
        <v>1</v>
      </c>
      <c r="H38" s="2">
        <v>41</v>
      </c>
      <c r="I38" s="2">
        <v>138</v>
      </c>
      <c r="J38" s="2">
        <v>5</v>
      </c>
      <c r="K38" s="2">
        <v>0</v>
      </c>
      <c r="L38" s="2">
        <v>0.76300000000000001</v>
      </c>
      <c r="M38" s="2">
        <v>2</v>
      </c>
    </row>
    <row r="39" spans="1:25" ht="14.25" customHeight="1">
      <c r="A39" s="2">
        <v>41</v>
      </c>
      <c r="B39" s="2">
        <v>38</v>
      </c>
      <c r="C39" s="2">
        <v>3</v>
      </c>
      <c r="D39" s="2">
        <v>1</v>
      </c>
      <c r="E39" s="2">
        <v>1.1120000000000001</v>
      </c>
      <c r="F39" s="2">
        <v>1</v>
      </c>
      <c r="H39" s="2">
        <v>41</v>
      </c>
      <c r="I39" s="2">
        <v>139</v>
      </c>
      <c r="J39" s="2">
        <v>8</v>
      </c>
      <c r="K39" s="2">
        <v>1</v>
      </c>
      <c r="L39" s="2">
        <v>0.65900000000000003</v>
      </c>
      <c r="M39" s="2">
        <v>2</v>
      </c>
    </row>
    <row r="40" spans="1:25" ht="14.25" customHeight="1">
      <c r="A40" s="2">
        <v>41</v>
      </c>
      <c r="B40" s="2">
        <v>39</v>
      </c>
      <c r="C40" s="2">
        <v>4</v>
      </c>
      <c r="D40" s="2">
        <v>0</v>
      </c>
      <c r="E40" s="2">
        <v>1.167</v>
      </c>
      <c r="F40" s="2">
        <v>1</v>
      </c>
      <c r="H40" s="2">
        <v>41</v>
      </c>
      <c r="I40" s="2">
        <v>140</v>
      </c>
      <c r="J40" s="2">
        <v>5</v>
      </c>
      <c r="K40" s="2">
        <v>1</v>
      </c>
      <c r="L40" s="2">
        <v>0.68400000000000005</v>
      </c>
      <c r="M40" s="2">
        <v>2</v>
      </c>
    </row>
    <row r="41" spans="1:25" ht="14.25" customHeight="1">
      <c r="A41" s="2">
        <v>41</v>
      </c>
      <c r="B41" s="2">
        <v>40</v>
      </c>
      <c r="C41" s="2">
        <v>7</v>
      </c>
      <c r="D41" s="2">
        <v>1</v>
      </c>
      <c r="E41" s="2">
        <v>1.099</v>
      </c>
      <c r="F41" s="2">
        <v>2</v>
      </c>
      <c r="H41" s="2">
        <v>41</v>
      </c>
      <c r="I41" s="2">
        <v>141</v>
      </c>
      <c r="J41" s="2">
        <v>2</v>
      </c>
      <c r="L41" s="2">
        <v>2</v>
      </c>
    </row>
    <row r="42" spans="1:25" ht="14.25" customHeight="1">
      <c r="A42" s="2">
        <v>41</v>
      </c>
      <c r="B42" s="2">
        <v>41</v>
      </c>
      <c r="C42" s="2">
        <v>2</v>
      </c>
      <c r="D42" s="2">
        <v>0</v>
      </c>
      <c r="E42" s="2">
        <v>1.667</v>
      </c>
      <c r="F42" s="2">
        <v>1</v>
      </c>
      <c r="H42" s="2">
        <v>41</v>
      </c>
      <c r="I42" s="2">
        <v>142</v>
      </c>
      <c r="J42" s="2">
        <v>1</v>
      </c>
      <c r="K42" s="2">
        <v>1</v>
      </c>
      <c r="L42" s="2">
        <v>0.623</v>
      </c>
      <c r="M42" s="2">
        <v>2</v>
      </c>
    </row>
    <row r="43" spans="1:25" ht="14.25" customHeight="1">
      <c r="A43" s="2">
        <v>41</v>
      </c>
      <c r="B43" s="2">
        <v>42</v>
      </c>
      <c r="C43" s="2">
        <v>7</v>
      </c>
      <c r="D43" s="2">
        <v>1</v>
      </c>
      <c r="E43" s="2">
        <v>0.90100000000000002</v>
      </c>
      <c r="F43" s="2">
        <v>2</v>
      </c>
      <c r="H43" s="2">
        <v>41</v>
      </c>
      <c r="I43" s="2">
        <v>143</v>
      </c>
      <c r="J43" s="2">
        <v>3</v>
      </c>
      <c r="K43" s="2">
        <v>1</v>
      </c>
      <c r="L43" s="2">
        <v>0.57099999999999995</v>
      </c>
      <c r="M43" s="2">
        <v>2</v>
      </c>
    </row>
    <row r="44" spans="1:25" ht="14.25" customHeight="1">
      <c r="A44" s="2">
        <v>41</v>
      </c>
      <c r="B44" s="2">
        <v>43</v>
      </c>
      <c r="C44" s="2">
        <v>8</v>
      </c>
      <c r="D44" s="2">
        <v>1</v>
      </c>
      <c r="E44" s="2">
        <v>0.79</v>
      </c>
      <c r="F44" s="2">
        <v>2</v>
      </c>
      <c r="H44" s="2">
        <v>41</v>
      </c>
      <c r="I44" s="2">
        <v>144</v>
      </c>
      <c r="J44" s="2">
        <v>4</v>
      </c>
      <c r="K44" s="2">
        <v>0</v>
      </c>
      <c r="L44" s="2">
        <v>0.84099999999999997</v>
      </c>
      <c r="M44" s="2">
        <v>2</v>
      </c>
    </row>
    <row r="45" spans="1:25" ht="14.25" customHeight="1">
      <c r="A45" s="2">
        <v>41</v>
      </c>
      <c r="B45" s="2">
        <v>44</v>
      </c>
      <c r="C45" s="2">
        <v>1</v>
      </c>
      <c r="D45" s="2">
        <v>1</v>
      </c>
      <c r="E45" s="2">
        <v>1.891</v>
      </c>
      <c r="F45" s="2">
        <v>1</v>
      </c>
      <c r="H45" s="2">
        <v>41</v>
      </c>
      <c r="I45" s="2">
        <v>145</v>
      </c>
      <c r="J45" s="2">
        <v>8</v>
      </c>
      <c r="K45" s="2">
        <v>1</v>
      </c>
      <c r="L45" s="2">
        <v>1.262</v>
      </c>
      <c r="M45" s="2">
        <v>2</v>
      </c>
    </row>
    <row r="46" spans="1:25" ht="14.25" customHeight="1">
      <c r="A46" s="2">
        <v>41</v>
      </c>
      <c r="B46" s="2">
        <v>45</v>
      </c>
      <c r="C46" s="2">
        <v>4</v>
      </c>
      <c r="D46" s="2">
        <v>0</v>
      </c>
      <c r="E46" s="2">
        <v>0.86499999999999999</v>
      </c>
      <c r="F46" s="2">
        <v>1</v>
      </c>
      <c r="H46" s="2">
        <v>41</v>
      </c>
      <c r="I46" s="2">
        <v>146</v>
      </c>
      <c r="J46" s="2">
        <v>4</v>
      </c>
      <c r="K46" s="2">
        <v>1</v>
      </c>
      <c r="L46" s="2">
        <v>0.64700000000000002</v>
      </c>
      <c r="M46" s="2">
        <v>2</v>
      </c>
    </row>
    <row r="47" spans="1:25" ht="14.25" customHeight="1">
      <c r="A47" s="2">
        <v>41</v>
      </c>
      <c r="B47" s="2">
        <v>46</v>
      </c>
      <c r="C47" s="2">
        <v>8</v>
      </c>
      <c r="D47" s="2">
        <v>1</v>
      </c>
      <c r="E47" s="2">
        <v>0.95599999999999996</v>
      </c>
      <c r="F47" s="2">
        <v>2</v>
      </c>
      <c r="H47" s="2">
        <v>41</v>
      </c>
      <c r="I47" s="2">
        <v>147</v>
      </c>
      <c r="J47" s="2">
        <v>8</v>
      </c>
      <c r="L47" s="2">
        <v>2</v>
      </c>
    </row>
    <row r="48" spans="1:25" ht="14.25" customHeight="1">
      <c r="A48" s="2">
        <v>41</v>
      </c>
      <c r="B48" s="2">
        <v>47</v>
      </c>
      <c r="C48" s="2">
        <v>5</v>
      </c>
      <c r="D48" s="2">
        <v>1</v>
      </c>
      <c r="E48" s="2">
        <v>1.24</v>
      </c>
      <c r="F48" s="2">
        <v>1</v>
      </c>
      <c r="H48" s="2">
        <v>41</v>
      </c>
      <c r="I48" s="2">
        <v>148</v>
      </c>
      <c r="J48" s="2">
        <v>2</v>
      </c>
      <c r="L48" s="2">
        <v>2</v>
      </c>
    </row>
    <row r="49" spans="1:13" ht="14.25" customHeight="1">
      <c r="A49" s="2">
        <v>41</v>
      </c>
      <c r="B49" s="2">
        <v>48</v>
      </c>
      <c r="C49" s="2">
        <v>2</v>
      </c>
      <c r="D49" s="2">
        <v>0</v>
      </c>
      <c r="E49" s="2">
        <v>0.84899999999999998</v>
      </c>
      <c r="F49" s="2">
        <v>1</v>
      </c>
      <c r="H49" s="2">
        <v>41</v>
      </c>
      <c r="I49" s="2">
        <v>149</v>
      </c>
      <c r="J49" s="2">
        <v>7</v>
      </c>
      <c r="K49" s="2">
        <v>1</v>
      </c>
      <c r="L49" s="2">
        <v>0.55900000000000005</v>
      </c>
      <c r="M49" s="2">
        <v>2</v>
      </c>
    </row>
    <row r="50" spans="1:13" ht="14.25" customHeight="1">
      <c r="A50" s="2">
        <v>41</v>
      </c>
      <c r="B50" s="2">
        <v>49</v>
      </c>
      <c r="C50" s="2">
        <v>8</v>
      </c>
      <c r="D50" s="2">
        <v>0</v>
      </c>
      <c r="E50" s="2">
        <v>1.153</v>
      </c>
      <c r="F50" s="2">
        <v>1</v>
      </c>
      <c r="H50" s="2">
        <v>41</v>
      </c>
      <c r="I50" s="2">
        <v>150</v>
      </c>
      <c r="J50" s="2">
        <v>6</v>
      </c>
      <c r="K50" s="2">
        <v>1</v>
      </c>
      <c r="L50" s="2">
        <v>0.99399999999999999</v>
      </c>
      <c r="M50" s="2">
        <v>2</v>
      </c>
    </row>
    <row r="51" spans="1:13" ht="14.25" customHeight="1">
      <c r="A51" s="2">
        <v>41</v>
      </c>
      <c r="B51" s="2">
        <v>50</v>
      </c>
      <c r="C51" s="2">
        <v>2</v>
      </c>
      <c r="D51" s="2">
        <v>0</v>
      </c>
      <c r="E51" s="2">
        <v>1.712</v>
      </c>
      <c r="F51" s="2">
        <v>1</v>
      </c>
    </row>
    <row r="52" spans="1:13" ht="14.25" customHeight="1">
      <c r="A52" s="2">
        <v>41</v>
      </c>
      <c r="B52" s="2">
        <v>51</v>
      </c>
      <c r="C52" s="2">
        <v>6</v>
      </c>
      <c r="D52" s="2">
        <v>1</v>
      </c>
      <c r="E52" s="2">
        <v>0.96</v>
      </c>
      <c r="F52" s="2">
        <v>1</v>
      </c>
    </row>
    <row r="53" spans="1:13" ht="14.25" customHeight="1">
      <c r="A53" s="2">
        <v>41</v>
      </c>
      <c r="B53" s="2">
        <v>52</v>
      </c>
      <c r="C53" s="2">
        <v>3</v>
      </c>
      <c r="D53" s="2">
        <v>1</v>
      </c>
      <c r="E53" s="2">
        <v>0.999</v>
      </c>
      <c r="F53" s="2">
        <v>1</v>
      </c>
    </row>
    <row r="54" spans="1:13" ht="14.25" customHeight="1">
      <c r="A54" s="2">
        <v>41</v>
      </c>
      <c r="B54" s="2">
        <v>53</v>
      </c>
      <c r="C54" s="2">
        <v>4</v>
      </c>
      <c r="D54" s="2">
        <v>1</v>
      </c>
      <c r="E54" s="2">
        <v>1.998</v>
      </c>
      <c r="F54" s="2">
        <v>1</v>
      </c>
    </row>
    <row r="55" spans="1:13" ht="14.25" customHeight="1">
      <c r="A55" s="2">
        <v>41</v>
      </c>
      <c r="B55" s="2">
        <v>54</v>
      </c>
      <c r="C55" s="2">
        <v>6</v>
      </c>
      <c r="D55" s="2">
        <v>1</v>
      </c>
      <c r="E55" s="2">
        <v>0.80700000000000005</v>
      </c>
      <c r="F55" s="2">
        <v>2</v>
      </c>
    </row>
    <row r="56" spans="1:13" ht="14.25" customHeight="1">
      <c r="A56" s="2">
        <v>41</v>
      </c>
      <c r="B56" s="2">
        <v>55</v>
      </c>
      <c r="C56" s="2">
        <v>3</v>
      </c>
      <c r="D56" s="2">
        <v>1</v>
      </c>
      <c r="E56" s="2">
        <v>1.2370000000000001</v>
      </c>
      <c r="F56" s="2">
        <v>2</v>
      </c>
    </row>
    <row r="57" spans="1:13" ht="14.25" customHeight="1">
      <c r="A57" s="2">
        <v>41</v>
      </c>
      <c r="B57" s="2">
        <v>56</v>
      </c>
      <c r="C57" s="2">
        <v>8</v>
      </c>
      <c r="D57" s="2">
        <v>1</v>
      </c>
      <c r="E57" s="2">
        <v>1.5409999999999999</v>
      </c>
      <c r="F57" s="2">
        <v>2</v>
      </c>
    </row>
    <row r="58" spans="1:13" ht="14.25" customHeight="1">
      <c r="A58" s="2">
        <v>41</v>
      </c>
      <c r="B58" s="2">
        <v>57</v>
      </c>
      <c r="C58" s="2">
        <v>3</v>
      </c>
      <c r="D58" s="2">
        <v>1</v>
      </c>
      <c r="E58" s="2">
        <v>1.3580000000000001</v>
      </c>
      <c r="F58" s="2">
        <v>1</v>
      </c>
    </row>
    <row r="59" spans="1:13" ht="14.25" customHeight="1">
      <c r="A59" s="2">
        <v>41</v>
      </c>
      <c r="B59" s="2">
        <v>58</v>
      </c>
      <c r="C59" s="2">
        <v>8</v>
      </c>
      <c r="D59" s="2">
        <v>1</v>
      </c>
      <c r="E59" s="2">
        <v>1.0860000000000001</v>
      </c>
      <c r="F59" s="2">
        <v>2</v>
      </c>
    </row>
    <row r="60" spans="1:13" ht="14.25" customHeight="1">
      <c r="A60" s="2">
        <v>41</v>
      </c>
      <c r="B60" s="2">
        <v>59</v>
      </c>
      <c r="C60" s="2">
        <v>1</v>
      </c>
      <c r="D60" s="2">
        <v>0</v>
      </c>
      <c r="E60" s="2">
        <v>1.494</v>
      </c>
      <c r="F60" s="2">
        <v>2</v>
      </c>
    </row>
    <row r="61" spans="1:13" ht="14.25" customHeight="1">
      <c r="A61" s="2">
        <v>41</v>
      </c>
      <c r="B61" s="2">
        <v>60</v>
      </c>
      <c r="C61" s="2">
        <v>4</v>
      </c>
      <c r="D61" s="2">
        <v>1</v>
      </c>
      <c r="E61" s="2">
        <v>1.0720000000000001</v>
      </c>
      <c r="F61" s="2">
        <v>1</v>
      </c>
    </row>
    <row r="62" spans="1:13" ht="14.25" customHeight="1">
      <c r="A62" s="2">
        <v>41</v>
      </c>
      <c r="B62" s="2">
        <v>61</v>
      </c>
      <c r="C62" s="2">
        <v>3</v>
      </c>
      <c r="D62" s="2">
        <v>1</v>
      </c>
      <c r="E62" s="2">
        <v>0.78300000000000003</v>
      </c>
      <c r="F62" s="2">
        <v>2</v>
      </c>
    </row>
    <row r="63" spans="1:13" ht="14.25" customHeight="1">
      <c r="A63" s="2">
        <v>41</v>
      </c>
      <c r="B63" s="2">
        <v>62</v>
      </c>
      <c r="C63" s="2">
        <v>8</v>
      </c>
      <c r="D63" s="2">
        <v>1</v>
      </c>
      <c r="E63" s="2">
        <v>1.591</v>
      </c>
      <c r="F63" s="2">
        <v>1</v>
      </c>
    </row>
    <row r="64" spans="1:13" ht="14.25" customHeight="1">
      <c r="A64" s="2">
        <v>41</v>
      </c>
      <c r="B64" s="2">
        <v>63</v>
      </c>
      <c r="C64" s="2">
        <v>6</v>
      </c>
      <c r="D64" s="2">
        <v>0</v>
      </c>
      <c r="E64" s="2">
        <v>1.419</v>
      </c>
      <c r="F64" s="2">
        <v>1</v>
      </c>
    </row>
    <row r="65" spans="1:6" ht="14.25" customHeight="1">
      <c r="A65" s="2">
        <v>41</v>
      </c>
      <c r="B65" s="2">
        <v>64</v>
      </c>
      <c r="C65" s="2">
        <v>1</v>
      </c>
      <c r="D65" s="2">
        <v>0</v>
      </c>
      <c r="E65" s="2">
        <v>1.806</v>
      </c>
      <c r="F65" s="2">
        <v>1</v>
      </c>
    </row>
    <row r="66" spans="1:6" ht="14.25" customHeight="1">
      <c r="A66" s="2">
        <v>41</v>
      </c>
      <c r="B66" s="2">
        <v>65</v>
      </c>
      <c r="C66" s="2">
        <v>4</v>
      </c>
      <c r="D66" s="2">
        <v>1</v>
      </c>
      <c r="E66" s="2">
        <v>0.66800000000000004</v>
      </c>
      <c r="F66" s="2">
        <v>2</v>
      </c>
    </row>
    <row r="67" spans="1:6" ht="14.25" customHeight="1">
      <c r="A67" s="2">
        <v>41</v>
      </c>
      <c r="B67" s="2">
        <v>66</v>
      </c>
      <c r="C67" s="2">
        <v>7</v>
      </c>
      <c r="D67" s="2">
        <v>1</v>
      </c>
      <c r="E67" s="2">
        <v>0.57499999999999996</v>
      </c>
      <c r="F67" s="2">
        <v>2</v>
      </c>
    </row>
    <row r="68" spans="1:6" ht="14.25" customHeight="1">
      <c r="A68" s="2">
        <v>41</v>
      </c>
      <c r="B68" s="2">
        <v>67</v>
      </c>
      <c r="C68" s="2">
        <v>2</v>
      </c>
      <c r="D68" s="2">
        <v>1</v>
      </c>
      <c r="E68" s="2">
        <v>0.99299999999999999</v>
      </c>
      <c r="F68" s="2">
        <v>2</v>
      </c>
    </row>
    <row r="69" spans="1:6" ht="14.25" customHeight="1">
      <c r="A69" s="2">
        <v>41</v>
      </c>
      <c r="B69" s="2">
        <v>68</v>
      </c>
      <c r="C69" s="2">
        <v>5</v>
      </c>
      <c r="D69" s="2">
        <v>1</v>
      </c>
      <c r="E69" s="2">
        <v>1.4890000000000001</v>
      </c>
      <c r="F69" s="2">
        <v>1</v>
      </c>
    </row>
    <row r="70" spans="1:6" ht="14.25" customHeight="1">
      <c r="A70" s="2">
        <v>41</v>
      </c>
      <c r="B70" s="2">
        <v>69</v>
      </c>
      <c r="C70" s="2">
        <v>6</v>
      </c>
      <c r="D70" s="2">
        <v>1</v>
      </c>
      <c r="E70" s="2">
        <v>1.7130000000000001</v>
      </c>
      <c r="F70" s="2">
        <v>1</v>
      </c>
    </row>
    <row r="71" spans="1:6" ht="14.25" customHeight="1">
      <c r="A71" s="2">
        <v>41</v>
      </c>
      <c r="B71" s="2">
        <v>70</v>
      </c>
      <c r="C71" s="2">
        <v>4</v>
      </c>
      <c r="D71" s="2">
        <v>0</v>
      </c>
      <c r="E71" s="2">
        <v>1.1299999999999999</v>
      </c>
      <c r="F71" s="2">
        <v>2</v>
      </c>
    </row>
    <row r="72" spans="1:6" ht="14.25" customHeight="1">
      <c r="A72" s="2">
        <v>41</v>
      </c>
      <c r="B72" s="2">
        <v>71</v>
      </c>
      <c r="C72" s="2">
        <v>1</v>
      </c>
      <c r="D72" s="2">
        <v>0</v>
      </c>
      <c r="E72" s="2">
        <v>1.5309999999999999</v>
      </c>
      <c r="F72" s="2">
        <v>2</v>
      </c>
    </row>
    <row r="73" spans="1:6" ht="14.25" customHeight="1">
      <c r="A73" s="2">
        <v>41</v>
      </c>
      <c r="B73" s="2">
        <v>72</v>
      </c>
      <c r="C73" s="2">
        <v>2</v>
      </c>
      <c r="D73" s="2">
        <v>0</v>
      </c>
      <c r="E73" s="2">
        <v>1.056</v>
      </c>
      <c r="F73" s="2">
        <v>1</v>
      </c>
    </row>
    <row r="74" spans="1:6" ht="14.25" customHeight="1">
      <c r="A74" s="2">
        <v>41</v>
      </c>
      <c r="B74" s="2">
        <v>73</v>
      </c>
      <c r="C74" s="2">
        <v>1</v>
      </c>
      <c r="D74" s="2">
        <v>1</v>
      </c>
      <c r="E74" s="2">
        <v>1.369</v>
      </c>
      <c r="F74" s="2">
        <v>1</v>
      </c>
    </row>
    <row r="75" spans="1:6" ht="14.25" customHeight="1">
      <c r="A75" s="2">
        <v>41</v>
      </c>
      <c r="B75" s="2">
        <v>74</v>
      </c>
      <c r="C75" s="2">
        <v>3</v>
      </c>
      <c r="D75" s="2">
        <v>0</v>
      </c>
      <c r="E75" s="2">
        <v>1.448</v>
      </c>
      <c r="F75" s="2">
        <v>2</v>
      </c>
    </row>
    <row r="76" spans="1:6" ht="14.25" customHeight="1">
      <c r="A76" s="2">
        <v>41</v>
      </c>
      <c r="B76" s="2">
        <v>75</v>
      </c>
      <c r="C76" s="2">
        <v>7</v>
      </c>
      <c r="D76" s="2">
        <v>1</v>
      </c>
      <c r="E76" s="2">
        <v>1.131</v>
      </c>
      <c r="F76" s="2">
        <v>2</v>
      </c>
    </row>
    <row r="77" spans="1:6" ht="14.25" customHeight="1">
      <c r="A77" s="2">
        <v>41</v>
      </c>
      <c r="B77" s="2">
        <v>76</v>
      </c>
      <c r="C77" s="2">
        <v>8</v>
      </c>
      <c r="D77" s="2">
        <v>1</v>
      </c>
      <c r="E77" s="2">
        <v>1.32</v>
      </c>
      <c r="F77" s="2">
        <v>1</v>
      </c>
    </row>
    <row r="78" spans="1:6" ht="14.25" customHeight="1">
      <c r="A78" s="2">
        <v>41</v>
      </c>
      <c r="B78" s="2">
        <v>77</v>
      </c>
      <c r="C78" s="2">
        <v>5</v>
      </c>
      <c r="D78" s="2">
        <v>1</v>
      </c>
      <c r="E78" s="2">
        <v>1.5860000000000001</v>
      </c>
      <c r="F78" s="2">
        <v>2</v>
      </c>
    </row>
    <row r="79" spans="1:6" ht="14.25" customHeight="1">
      <c r="A79" s="2">
        <v>41</v>
      </c>
      <c r="B79" s="2">
        <v>78</v>
      </c>
      <c r="C79" s="2">
        <v>2</v>
      </c>
      <c r="D79" s="2">
        <v>1</v>
      </c>
      <c r="E79" s="2">
        <v>1.113</v>
      </c>
      <c r="F79" s="2">
        <v>1</v>
      </c>
    </row>
    <row r="80" spans="1:6" ht="14.25" customHeight="1">
      <c r="A80" s="2">
        <v>41</v>
      </c>
      <c r="B80" s="2">
        <v>79</v>
      </c>
      <c r="C80" s="2">
        <v>7</v>
      </c>
      <c r="D80" s="2">
        <v>1</v>
      </c>
      <c r="E80" s="2">
        <v>1.288</v>
      </c>
      <c r="F80" s="2">
        <v>2</v>
      </c>
    </row>
    <row r="81" spans="1:6" ht="14.25" customHeight="1">
      <c r="A81" s="2">
        <v>41</v>
      </c>
      <c r="B81" s="2">
        <v>80</v>
      </c>
      <c r="C81" s="2">
        <v>8</v>
      </c>
      <c r="D81" s="2">
        <v>1</v>
      </c>
      <c r="E81" s="2">
        <v>0.79200000000000004</v>
      </c>
      <c r="F81" s="2">
        <v>2</v>
      </c>
    </row>
    <row r="82" spans="1:6" ht="14.25" customHeight="1">
      <c r="A82" s="2">
        <v>41</v>
      </c>
      <c r="B82" s="2">
        <v>81</v>
      </c>
      <c r="C82" s="2">
        <v>5</v>
      </c>
      <c r="D82" s="2">
        <v>1</v>
      </c>
      <c r="E82" s="2">
        <v>1.385</v>
      </c>
      <c r="F82" s="2">
        <v>1</v>
      </c>
    </row>
    <row r="83" spans="1:6" ht="14.25" customHeight="1">
      <c r="A83" s="2">
        <v>41</v>
      </c>
      <c r="B83" s="2">
        <v>82</v>
      </c>
      <c r="C83" s="2">
        <v>7</v>
      </c>
      <c r="D83" s="2">
        <v>1</v>
      </c>
      <c r="E83" s="2">
        <v>0.92</v>
      </c>
      <c r="F83" s="2">
        <v>1</v>
      </c>
    </row>
    <row r="84" spans="1:6" ht="14.25" customHeight="1">
      <c r="A84" s="2">
        <v>41</v>
      </c>
      <c r="B84" s="2">
        <v>83</v>
      </c>
      <c r="C84" s="2">
        <v>2</v>
      </c>
      <c r="E84" s="2">
        <v>2</v>
      </c>
    </row>
    <row r="85" spans="1:6" ht="14.25" customHeight="1">
      <c r="A85" s="2">
        <v>41</v>
      </c>
      <c r="B85" s="2">
        <v>84</v>
      </c>
      <c r="C85" s="2">
        <v>5</v>
      </c>
      <c r="D85" s="2">
        <v>0</v>
      </c>
      <c r="E85" s="2">
        <v>1.5669999999999999</v>
      </c>
      <c r="F85" s="2">
        <v>2</v>
      </c>
    </row>
    <row r="86" spans="1:6" ht="14.25" customHeight="1">
      <c r="A86" s="2">
        <v>41</v>
      </c>
      <c r="B86" s="2">
        <v>85</v>
      </c>
      <c r="C86" s="2">
        <v>8</v>
      </c>
      <c r="D86" s="2">
        <v>1</v>
      </c>
      <c r="E86" s="2">
        <v>0.83399999999999996</v>
      </c>
      <c r="F86" s="2">
        <v>1</v>
      </c>
    </row>
    <row r="87" spans="1:6" ht="14.25" customHeight="1">
      <c r="A87" s="2">
        <v>41</v>
      </c>
      <c r="B87" s="2">
        <v>86</v>
      </c>
      <c r="C87" s="2">
        <v>1</v>
      </c>
      <c r="D87" s="2">
        <v>0</v>
      </c>
      <c r="E87" s="2">
        <v>1.004</v>
      </c>
      <c r="F87" s="2">
        <v>2</v>
      </c>
    </row>
    <row r="88" spans="1:6" ht="14.25" customHeight="1">
      <c r="A88" s="2">
        <v>41</v>
      </c>
      <c r="B88" s="2">
        <v>87</v>
      </c>
      <c r="C88" s="2">
        <v>5</v>
      </c>
      <c r="D88" s="2">
        <v>1</v>
      </c>
      <c r="E88" s="2">
        <v>0.872</v>
      </c>
      <c r="F88" s="2">
        <v>1</v>
      </c>
    </row>
    <row r="89" spans="1:6" ht="14.25" customHeight="1">
      <c r="A89" s="2">
        <v>41</v>
      </c>
      <c r="B89" s="2">
        <v>88</v>
      </c>
      <c r="C89" s="2">
        <v>7</v>
      </c>
      <c r="D89" s="2">
        <v>1</v>
      </c>
      <c r="E89" s="2">
        <v>0.97599999999999998</v>
      </c>
      <c r="F89" s="2">
        <v>1</v>
      </c>
    </row>
    <row r="90" spans="1:6" ht="14.25" customHeight="1">
      <c r="A90" s="2">
        <v>41</v>
      </c>
      <c r="B90" s="2">
        <v>89</v>
      </c>
      <c r="C90" s="2">
        <v>4</v>
      </c>
      <c r="D90" s="2">
        <v>0</v>
      </c>
      <c r="E90" s="2">
        <v>1.2250000000000001</v>
      </c>
      <c r="F90" s="2">
        <v>1</v>
      </c>
    </row>
    <row r="91" spans="1:6" ht="14.25" customHeight="1">
      <c r="A91" s="2">
        <v>41</v>
      </c>
      <c r="B91" s="2">
        <v>90</v>
      </c>
      <c r="C91" s="2">
        <v>8</v>
      </c>
      <c r="D91" s="2">
        <v>1</v>
      </c>
      <c r="E91" s="2">
        <v>0.95599999999999996</v>
      </c>
      <c r="F91" s="2">
        <v>2</v>
      </c>
    </row>
    <row r="92" spans="1:6" ht="14.25" customHeight="1">
      <c r="A92" s="2">
        <v>41</v>
      </c>
      <c r="B92" s="2">
        <v>91</v>
      </c>
      <c r="C92" s="2">
        <v>1</v>
      </c>
      <c r="D92" s="2">
        <v>0</v>
      </c>
      <c r="E92" s="2">
        <v>0.95</v>
      </c>
      <c r="F92" s="2">
        <v>1</v>
      </c>
    </row>
    <row r="93" spans="1:6" ht="14.25" customHeight="1">
      <c r="A93" s="2">
        <v>41</v>
      </c>
      <c r="B93" s="2">
        <v>92</v>
      </c>
      <c r="C93" s="2">
        <v>2</v>
      </c>
      <c r="D93" s="2">
        <v>1</v>
      </c>
      <c r="E93" s="2">
        <v>0.76600000000000001</v>
      </c>
      <c r="F93" s="2">
        <v>2</v>
      </c>
    </row>
    <row r="94" spans="1:6" ht="14.25" customHeight="1">
      <c r="A94" s="2">
        <v>41</v>
      </c>
      <c r="B94" s="2">
        <v>93</v>
      </c>
      <c r="C94" s="2">
        <v>7</v>
      </c>
      <c r="D94" s="2">
        <v>1</v>
      </c>
      <c r="E94" s="2">
        <v>0.73799999999999999</v>
      </c>
      <c r="F94" s="2">
        <v>2</v>
      </c>
    </row>
    <row r="95" spans="1:6" ht="14.25" customHeight="1">
      <c r="A95" s="2">
        <v>41</v>
      </c>
      <c r="B95" s="2">
        <v>94</v>
      </c>
      <c r="C95" s="2">
        <v>5</v>
      </c>
      <c r="D95" s="2">
        <v>0</v>
      </c>
      <c r="E95" s="2">
        <v>1.8640000000000001</v>
      </c>
      <c r="F95" s="2">
        <v>2</v>
      </c>
    </row>
    <row r="96" spans="1:6" ht="14.25" customHeight="1">
      <c r="A96" s="2">
        <v>41</v>
      </c>
      <c r="B96" s="2">
        <v>95</v>
      </c>
      <c r="C96" s="2">
        <v>6</v>
      </c>
      <c r="D96" s="2">
        <v>0</v>
      </c>
      <c r="E96" s="2">
        <v>1.276</v>
      </c>
      <c r="F96" s="2">
        <v>1</v>
      </c>
    </row>
    <row r="97" spans="1:6" ht="14.25" customHeight="1">
      <c r="A97" s="2">
        <v>41</v>
      </c>
      <c r="B97" s="2">
        <v>96</v>
      </c>
      <c r="C97" s="2">
        <v>5</v>
      </c>
      <c r="D97" s="2">
        <v>1</v>
      </c>
      <c r="E97" s="2">
        <v>0.63200000000000001</v>
      </c>
      <c r="F97" s="2">
        <v>2</v>
      </c>
    </row>
    <row r="98" spans="1:6" ht="14.25" customHeight="1">
      <c r="A98" s="2">
        <v>41</v>
      </c>
      <c r="B98" s="2">
        <v>97</v>
      </c>
      <c r="C98" s="2">
        <v>2</v>
      </c>
      <c r="D98" s="2">
        <v>1</v>
      </c>
      <c r="E98" s="2">
        <v>1.056</v>
      </c>
      <c r="F98" s="2">
        <v>1</v>
      </c>
    </row>
    <row r="99" spans="1:6" ht="14.25" customHeight="1">
      <c r="A99" s="2">
        <v>41</v>
      </c>
      <c r="B99" s="2">
        <v>98</v>
      </c>
      <c r="C99" s="2">
        <v>4</v>
      </c>
      <c r="D99" s="2">
        <v>0</v>
      </c>
      <c r="E99" s="2">
        <v>0.88600000000000001</v>
      </c>
      <c r="F99" s="2">
        <v>1</v>
      </c>
    </row>
    <row r="100" spans="1:6" ht="14.25" customHeight="1">
      <c r="A100" s="2">
        <v>41</v>
      </c>
      <c r="B100" s="2">
        <v>99</v>
      </c>
      <c r="C100" s="2">
        <v>6</v>
      </c>
      <c r="D100" s="2">
        <v>1</v>
      </c>
      <c r="E100" s="2">
        <v>0.64200000000000002</v>
      </c>
      <c r="F100" s="2">
        <v>2</v>
      </c>
    </row>
    <row r="101" spans="1:6" ht="14.25" customHeight="1">
      <c r="A101" s="2">
        <v>41</v>
      </c>
      <c r="B101" s="2">
        <v>100</v>
      </c>
      <c r="C101" s="2">
        <v>3</v>
      </c>
      <c r="D101" s="2">
        <v>0</v>
      </c>
      <c r="E101" s="2">
        <v>0.747</v>
      </c>
      <c r="F101" s="2">
        <v>1</v>
      </c>
    </row>
    <row r="102" spans="1:6" ht="14.25" customHeight="1">
      <c r="A102" s="2">
        <v>41</v>
      </c>
      <c r="B102" s="2">
        <v>101</v>
      </c>
      <c r="C102" s="2">
        <v>7</v>
      </c>
      <c r="D102" s="2">
        <v>0</v>
      </c>
      <c r="E102" s="2">
        <v>1.617</v>
      </c>
      <c r="F102" s="2">
        <v>2</v>
      </c>
    </row>
    <row r="103" spans="1:6" ht="14.25" customHeight="1">
      <c r="A103" s="2">
        <v>41</v>
      </c>
      <c r="B103" s="2">
        <v>102</v>
      </c>
      <c r="C103" s="2">
        <v>4</v>
      </c>
      <c r="D103" s="2">
        <v>1</v>
      </c>
      <c r="E103" s="2">
        <v>1.0660000000000001</v>
      </c>
      <c r="F103" s="2">
        <v>1</v>
      </c>
    </row>
    <row r="104" spans="1:6" ht="14.25" customHeight="1">
      <c r="A104" s="2">
        <v>41</v>
      </c>
      <c r="B104" s="2">
        <v>103</v>
      </c>
      <c r="C104" s="2">
        <v>5</v>
      </c>
      <c r="D104" s="2">
        <v>1</v>
      </c>
      <c r="E104" s="2">
        <v>0.64500000000000002</v>
      </c>
      <c r="F104" s="2">
        <v>1</v>
      </c>
    </row>
    <row r="105" spans="1:6" ht="14.25" customHeight="1">
      <c r="A105" s="2">
        <v>41</v>
      </c>
      <c r="B105" s="2">
        <v>104</v>
      </c>
      <c r="C105" s="2">
        <v>6</v>
      </c>
      <c r="D105" s="2">
        <v>1</v>
      </c>
      <c r="E105" s="2">
        <v>0.71099999999999997</v>
      </c>
      <c r="F105" s="2">
        <v>2</v>
      </c>
    </row>
    <row r="106" spans="1:6" ht="14.25" customHeight="1">
      <c r="A106" s="2">
        <v>41</v>
      </c>
      <c r="B106" s="2">
        <v>105</v>
      </c>
      <c r="C106" s="2">
        <v>1</v>
      </c>
      <c r="D106" s="2">
        <v>1</v>
      </c>
      <c r="E106" s="2">
        <v>0.6</v>
      </c>
      <c r="F106" s="2">
        <v>2</v>
      </c>
    </row>
    <row r="107" spans="1:6" ht="14.25" customHeight="1">
      <c r="A107" s="2">
        <v>41</v>
      </c>
      <c r="B107" s="2">
        <v>106</v>
      </c>
      <c r="C107" s="2">
        <v>3</v>
      </c>
      <c r="D107" s="2">
        <v>1</v>
      </c>
      <c r="E107" s="2">
        <v>1.036</v>
      </c>
      <c r="F107" s="2">
        <v>2</v>
      </c>
    </row>
    <row r="108" spans="1:6" ht="14.25" customHeight="1">
      <c r="A108" s="2">
        <v>41</v>
      </c>
      <c r="B108" s="2">
        <v>107</v>
      </c>
      <c r="C108" s="2">
        <v>2</v>
      </c>
      <c r="D108" s="2">
        <v>1</v>
      </c>
      <c r="E108" s="2">
        <v>1.3069999999999999</v>
      </c>
      <c r="F108" s="2">
        <v>1</v>
      </c>
    </row>
    <row r="109" spans="1:6" ht="14.25" customHeight="1">
      <c r="A109" s="2">
        <v>41</v>
      </c>
      <c r="B109" s="2">
        <v>108</v>
      </c>
      <c r="C109" s="2">
        <v>6</v>
      </c>
      <c r="D109" s="2">
        <v>1</v>
      </c>
      <c r="E109" s="2">
        <v>0.86499999999999999</v>
      </c>
      <c r="F109" s="2">
        <v>2</v>
      </c>
    </row>
    <row r="110" spans="1:6" ht="14.25" customHeight="1">
      <c r="A110" s="2">
        <v>41</v>
      </c>
      <c r="B110" s="2">
        <v>109</v>
      </c>
      <c r="C110" s="2">
        <v>7</v>
      </c>
      <c r="D110" s="2">
        <v>1</v>
      </c>
      <c r="E110" s="2">
        <v>1.202</v>
      </c>
      <c r="F110" s="2">
        <v>1</v>
      </c>
    </row>
    <row r="111" spans="1:6" ht="14.25" customHeight="1">
      <c r="A111" s="2">
        <v>41</v>
      </c>
      <c r="B111" s="2">
        <v>110</v>
      </c>
      <c r="C111" s="2">
        <v>6</v>
      </c>
      <c r="D111" s="2">
        <v>0</v>
      </c>
      <c r="E111" s="2">
        <v>0.84199999999999997</v>
      </c>
      <c r="F111" s="2">
        <v>2</v>
      </c>
    </row>
    <row r="112" spans="1:6" ht="14.25" customHeight="1">
      <c r="A112" s="2">
        <v>41</v>
      </c>
      <c r="B112" s="2">
        <v>111</v>
      </c>
      <c r="C112" s="2">
        <v>7</v>
      </c>
      <c r="D112" s="2">
        <v>1</v>
      </c>
      <c r="E112" s="2">
        <v>0.80800000000000005</v>
      </c>
      <c r="F112" s="2">
        <v>2</v>
      </c>
    </row>
    <row r="113" spans="1:6" ht="14.25" customHeight="1">
      <c r="A113" s="2">
        <v>41</v>
      </c>
      <c r="B113" s="2">
        <v>112</v>
      </c>
      <c r="C113" s="2">
        <v>1</v>
      </c>
      <c r="D113" s="2">
        <v>1</v>
      </c>
      <c r="E113" s="2">
        <v>1.9450000000000001</v>
      </c>
      <c r="F113" s="2">
        <v>1</v>
      </c>
    </row>
    <row r="114" spans="1:6" ht="14.25" customHeight="1">
      <c r="A114" s="2">
        <v>41</v>
      </c>
      <c r="B114" s="2">
        <v>113</v>
      </c>
      <c r="C114" s="2">
        <v>4</v>
      </c>
      <c r="D114" s="2">
        <v>1</v>
      </c>
      <c r="E114" s="2">
        <v>1.2390000000000001</v>
      </c>
      <c r="F114" s="2">
        <v>2</v>
      </c>
    </row>
    <row r="115" spans="1:6" ht="14.25" customHeight="1">
      <c r="A115" s="2">
        <v>41</v>
      </c>
      <c r="B115" s="2">
        <v>114</v>
      </c>
      <c r="C115" s="2">
        <v>8</v>
      </c>
      <c r="D115" s="2">
        <v>0</v>
      </c>
      <c r="E115" s="2">
        <v>1.7989999999999999</v>
      </c>
      <c r="F115" s="2">
        <v>1</v>
      </c>
    </row>
    <row r="116" spans="1:6" ht="14.25" customHeight="1">
      <c r="A116" s="2">
        <v>41</v>
      </c>
      <c r="B116" s="2">
        <v>115</v>
      </c>
      <c r="C116" s="2">
        <v>3</v>
      </c>
      <c r="D116" s="2">
        <v>1</v>
      </c>
      <c r="E116" s="2">
        <v>0.76</v>
      </c>
      <c r="F116" s="2">
        <v>2</v>
      </c>
    </row>
    <row r="117" spans="1:6" ht="14.25" customHeight="1">
      <c r="A117" s="2">
        <v>41</v>
      </c>
      <c r="B117" s="2">
        <v>116</v>
      </c>
      <c r="C117" s="2">
        <v>7</v>
      </c>
      <c r="D117" s="2">
        <v>1</v>
      </c>
      <c r="E117" s="2">
        <v>0.82599999999999996</v>
      </c>
      <c r="F117" s="2">
        <v>2</v>
      </c>
    </row>
    <row r="118" spans="1:6" ht="14.25" customHeight="1">
      <c r="A118" s="2">
        <v>41</v>
      </c>
      <c r="B118" s="2">
        <v>117</v>
      </c>
      <c r="C118" s="2">
        <v>5</v>
      </c>
      <c r="D118" s="2">
        <v>0</v>
      </c>
      <c r="E118" s="2">
        <v>1.7290000000000001</v>
      </c>
      <c r="F118" s="2">
        <v>1</v>
      </c>
    </row>
    <row r="119" spans="1:6" ht="14.25" customHeight="1">
      <c r="A119" s="2">
        <v>41</v>
      </c>
      <c r="B119" s="2">
        <v>118</v>
      </c>
      <c r="C119" s="2">
        <v>2</v>
      </c>
      <c r="D119" s="2">
        <v>0</v>
      </c>
      <c r="E119" s="2">
        <v>0.80100000000000005</v>
      </c>
      <c r="F119" s="2">
        <v>2</v>
      </c>
    </row>
    <row r="120" spans="1:6" ht="14.25" customHeight="1">
      <c r="A120" s="2">
        <v>41</v>
      </c>
      <c r="B120" s="2">
        <v>119</v>
      </c>
      <c r="C120" s="2">
        <v>5</v>
      </c>
      <c r="D120" s="2">
        <v>0</v>
      </c>
      <c r="E120" s="2">
        <v>1.345</v>
      </c>
      <c r="F120" s="2">
        <v>2</v>
      </c>
    </row>
    <row r="121" spans="1:6" ht="14.25" customHeight="1">
      <c r="A121" s="2">
        <v>41</v>
      </c>
      <c r="B121" s="2">
        <v>120</v>
      </c>
      <c r="C121" s="2">
        <v>2</v>
      </c>
      <c r="D121" s="2">
        <v>0</v>
      </c>
      <c r="E121" s="2">
        <v>1.339</v>
      </c>
      <c r="F121" s="2">
        <v>2</v>
      </c>
    </row>
    <row r="122" spans="1:6" ht="14.25" customHeight="1">
      <c r="A122" s="2">
        <v>41</v>
      </c>
      <c r="B122" s="2">
        <v>121</v>
      </c>
      <c r="C122" s="2">
        <v>5</v>
      </c>
      <c r="E122" s="2">
        <v>2</v>
      </c>
    </row>
    <row r="123" spans="1:6" ht="14.25" customHeight="1">
      <c r="A123" s="2">
        <v>41</v>
      </c>
      <c r="B123" s="2">
        <v>122</v>
      </c>
      <c r="C123" s="2">
        <v>4</v>
      </c>
      <c r="E123" s="2">
        <v>2.0009999999999999</v>
      </c>
    </row>
    <row r="124" spans="1:6" ht="14.25" customHeight="1">
      <c r="A124" s="2">
        <v>41</v>
      </c>
      <c r="B124" s="2">
        <v>123</v>
      </c>
      <c r="C124" s="2">
        <v>1</v>
      </c>
      <c r="D124" s="2">
        <v>0</v>
      </c>
      <c r="E124" s="2">
        <v>1.5509999999999999</v>
      </c>
      <c r="F124" s="2">
        <v>2</v>
      </c>
    </row>
    <row r="125" spans="1:6" ht="14.25" customHeight="1">
      <c r="A125" s="2">
        <v>41</v>
      </c>
      <c r="B125" s="2">
        <v>124</v>
      </c>
      <c r="C125" s="2">
        <v>3</v>
      </c>
      <c r="D125" s="2">
        <v>0</v>
      </c>
      <c r="E125" s="2">
        <v>1.296</v>
      </c>
      <c r="F125" s="2">
        <v>2</v>
      </c>
    </row>
    <row r="126" spans="1:6" ht="14.25" customHeight="1">
      <c r="A126" s="2">
        <v>41</v>
      </c>
      <c r="B126" s="2">
        <v>125</v>
      </c>
      <c r="C126" s="2">
        <v>8</v>
      </c>
      <c r="D126" s="2">
        <v>1</v>
      </c>
      <c r="E126" s="2">
        <v>0.73699999999999999</v>
      </c>
      <c r="F126" s="2">
        <v>2</v>
      </c>
    </row>
    <row r="127" spans="1:6" ht="14.25" customHeight="1">
      <c r="A127" s="2">
        <v>41</v>
      </c>
      <c r="B127" s="2">
        <v>126</v>
      </c>
      <c r="C127" s="2">
        <v>2</v>
      </c>
      <c r="D127" s="2">
        <v>0</v>
      </c>
      <c r="E127" s="2">
        <v>1.1299999999999999</v>
      </c>
      <c r="F127" s="2">
        <v>2</v>
      </c>
    </row>
    <row r="128" spans="1:6" ht="14.25" customHeight="1">
      <c r="A128" s="2">
        <v>41</v>
      </c>
      <c r="B128" s="2">
        <v>127</v>
      </c>
      <c r="C128" s="2">
        <v>8</v>
      </c>
      <c r="D128" s="2">
        <v>1</v>
      </c>
      <c r="E128" s="2">
        <v>0.86099999999999999</v>
      </c>
      <c r="F128" s="2">
        <v>2</v>
      </c>
    </row>
    <row r="129" spans="1:6" ht="14.25" customHeight="1">
      <c r="A129" s="2">
        <v>41</v>
      </c>
      <c r="B129" s="2">
        <v>128</v>
      </c>
      <c r="C129" s="2">
        <v>6</v>
      </c>
      <c r="E129" s="2">
        <v>2</v>
      </c>
    </row>
    <row r="130" spans="1:6" ht="14.25" customHeight="1">
      <c r="A130" s="2">
        <v>41</v>
      </c>
      <c r="B130" s="2">
        <v>129</v>
      </c>
      <c r="C130" s="2">
        <v>3</v>
      </c>
      <c r="D130" s="2">
        <v>1</v>
      </c>
      <c r="E130" s="2">
        <v>1.0089999999999999</v>
      </c>
      <c r="F130" s="2">
        <v>2</v>
      </c>
    </row>
    <row r="131" spans="1:6" ht="14.25" customHeight="1">
      <c r="A131" s="2">
        <v>41</v>
      </c>
      <c r="B131" s="2">
        <v>130</v>
      </c>
      <c r="C131" s="2">
        <v>6</v>
      </c>
      <c r="D131" s="2">
        <v>1</v>
      </c>
      <c r="E131" s="2">
        <v>1.296</v>
      </c>
      <c r="F131" s="2">
        <v>2</v>
      </c>
    </row>
    <row r="132" spans="1:6" ht="14.25" customHeight="1">
      <c r="A132" s="2">
        <v>41</v>
      </c>
      <c r="B132" s="2">
        <v>131</v>
      </c>
      <c r="C132" s="2">
        <v>1</v>
      </c>
      <c r="E132" s="2">
        <v>2</v>
      </c>
    </row>
    <row r="133" spans="1:6" ht="14.25" customHeight="1">
      <c r="A133" s="2">
        <v>41</v>
      </c>
      <c r="B133" s="2">
        <v>132</v>
      </c>
      <c r="C133" s="2">
        <v>5</v>
      </c>
      <c r="D133" s="2">
        <v>0</v>
      </c>
      <c r="E133" s="2">
        <v>1.266</v>
      </c>
      <c r="F133" s="2">
        <v>2</v>
      </c>
    </row>
    <row r="134" spans="1:6" ht="14.25" customHeight="1">
      <c r="A134" s="2">
        <v>41</v>
      </c>
      <c r="B134" s="2">
        <v>133</v>
      </c>
      <c r="C134" s="2">
        <v>3</v>
      </c>
      <c r="D134" s="2">
        <v>0</v>
      </c>
      <c r="E134" s="2">
        <v>0.76400000000000001</v>
      </c>
      <c r="F134" s="2">
        <v>2</v>
      </c>
    </row>
    <row r="135" spans="1:6" ht="14.25" customHeight="1">
      <c r="A135" s="2">
        <v>41</v>
      </c>
      <c r="B135" s="2">
        <v>134</v>
      </c>
      <c r="C135" s="2">
        <v>4</v>
      </c>
      <c r="E135" s="2">
        <v>2</v>
      </c>
    </row>
    <row r="136" spans="1:6" ht="14.25" customHeight="1">
      <c r="A136" s="2">
        <v>41</v>
      </c>
      <c r="B136" s="2">
        <v>135</v>
      </c>
      <c r="C136" s="2">
        <v>7</v>
      </c>
      <c r="D136" s="2">
        <v>0</v>
      </c>
      <c r="E136" s="2">
        <v>1.1439999999999999</v>
      </c>
      <c r="F136" s="2">
        <v>2</v>
      </c>
    </row>
    <row r="137" spans="1:6" ht="14.25" customHeight="1">
      <c r="A137" s="2">
        <v>41</v>
      </c>
      <c r="B137" s="2">
        <v>136</v>
      </c>
      <c r="C137" s="2">
        <v>8</v>
      </c>
      <c r="D137" s="2">
        <v>0</v>
      </c>
      <c r="E137" s="2">
        <v>0.83599999999999997</v>
      </c>
      <c r="F137" s="2">
        <v>2</v>
      </c>
    </row>
    <row r="138" spans="1:6" ht="14.25" customHeight="1">
      <c r="A138" s="2">
        <v>41</v>
      </c>
      <c r="B138" s="2">
        <v>137</v>
      </c>
      <c r="C138" s="2">
        <v>1</v>
      </c>
      <c r="E138" s="2">
        <v>2</v>
      </c>
    </row>
    <row r="139" spans="1:6" ht="14.25" customHeight="1">
      <c r="A139" s="2">
        <v>41</v>
      </c>
      <c r="B139" s="2">
        <v>138</v>
      </c>
      <c r="C139" s="2">
        <v>5</v>
      </c>
      <c r="D139" s="2">
        <v>0</v>
      </c>
      <c r="E139" s="2">
        <v>0.76300000000000001</v>
      </c>
      <c r="F139" s="2">
        <v>2</v>
      </c>
    </row>
    <row r="140" spans="1:6" ht="14.25" customHeight="1">
      <c r="A140" s="2">
        <v>41</v>
      </c>
      <c r="B140" s="2">
        <v>139</v>
      </c>
      <c r="C140" s="2">
        <v>8</v>
      </c>
      <c r="D140" s="2">
        <v>1</v>
      </c>
      <c r="E140" s="2">
        <v>0.65900000000000003</v>
      </c>
      <c r="F140" s="2">
        <v>2</v>
      </c>
    </row>
    <row r="141" spans="1:6" ht="14.25" customHeight="1">
      <c r="A141" s="2">
        <v>41</v>
      </c>
      <c r="B141" s="2">
        <v>140</v>
      </c>
      <c r="C141" s="2">
        <v>5</v>
      </c>
      <c r="D141" s="2">
        <v>1</v>
      </c>
      <c r="E141" s="2">
        <v>0.68400000000000005</v>
      </c>
      <c r="F141" s="2">
        <v>2</v>
      </c>
    </row>
    <row r="142" spans="1:6" ht="14.25" customHeight="1">
      <c r="A142" s="2">
        <v>41</v>
      </c>
      <c r="B142" s="2">
        <v>141</v>
      </c>
      <c r="C142" s="2">
        <v>2</v>
      </c>
      <c r="E142" s="2">
        <v>2</v>
      </c>
    </row>
    <row r="143" spans="1:6" ht="14.25" customHeight="1">
      <c r="A143" s="2">
        <v>41</v>
      </c>
      <c r="B143" s="2">
        <v>142</v>
      </c>
      <c r="C143" s="2">
        <v>1</v>
      </c>
      <c r="D143" s="2">
        <v>1</v>
      </c>
      <c r="E143" s="2">
        <v>0.623</v>
      </c>
      <c r="F143" s="2">
        <v>2</v>
      </c>
    </row>
    <row r="144" spans="1:6" ht="14.25" customHeight="1">
      <c r="A144" s="2">
        <v>41</v>
      </c>
      <c r="B144" s="2">
        <v>143</v>
      </c>
      <c r="C144" s="2">
        <v>3</v>
      </c>
      <c r="D144" s="2">
        <v>1</v>
      </c>
      <c r="E144" s="2">
        <v>0.57099999999999995</v>
      </c>
      <c r="F144" s="2">
        <v>2</v>
      </c>
    </row>
    <row r="145" spans="1:6" ht="14.25" customHeight="1">
      <c r="A145" s="2">
        <v>41</v>
      </c>
      <c r="B145" s="2">
        <v>144</v>
      </c>
      <c r="C145" s="2">
        <v>4</v>
      </c>
      <c r="D145" s="2">
        <v>0</v>
      </c>
      <c r="E145" s="2">
        <v>0.84099999999999997</v>
      </c>
      <c r="F145" s="2">
        <v>2</v>
      </c>
    </row>
    <row r="146" spans="1:6" ht="14.25" customHeight="1">
      <c r="A146" s="2">
        <v>41</v>
      </c>
      <c r="B146" s="2">
        <v>145</v>
      </c>
      <c r="C146" s="2">
        <v>8</v>
      </c>
      <c r="D146" s="2">
        <v>1</v>
      </c>
      <c r="E146" s="2">
        <v>1.262</v>
      </c>
      <c r="F146" s="2">
        <v>2</v>
      </c>
    </row>
    <row r="147" spans="1:6" ht="14.25" customHeight="1">
      <c r="A147" s="2">
        <v>41</v>
      </c>
      <c r="B147" s="2">
        <v>146</v>
      </c>
      <c r="C147" s="2">
        <v>4</v>
      </c>
      <c r="D147" s="2">
        <v>1</v>
      </c>
      <c r="E147" s="2">
        <v>0.64700000000000002</v>
      </c>
      <c r="F147" s="2">
        <v>2</v>
      </c>
    </row>
    <row r="148" spans="1:6" ht="14.25" customHeight="1">
      <c r="A148" s="2">
        <v>41</v>
      </c>
      <c r="B148" s="2">
        <v>147</v>
      </c>
      <c r="C148" s="2">
        <v>8</v>
      </c>
      <c r="E148" s="2">
        <v>2</v>
      </c>
    </row>
    <row r="149" spans="1:6" ht="14.25" customHeight="1">
      <c r="A149" s="2">
        <v>41</v>
      </c>
      <c r="B149" s="2">
        <v>148</v>
      </c>
      <c r="C149" s="2">
        <v>2</v>
      </c>
      <c r="E149" s="2">
        <v>2</v>
      </c>
    </row>
    <row r="150" spans="1:6" ht="14.25" customHeight="1">
      <c r="A150" s="2">
        <v>41</v>
      </c>
      <c r="B150" s="2">
        <v>149</v>
      </c>
      <c r="C150" s="2">
        <v>7</v>
      </c>
      <c r="D150" s="2">
        <v>1</v>
      </c>
      <c r="E150" s="2">
        <v>0.55900000000000005</v>
      </c>
      <c r="F150" s="2">
        <v>2</v>
      </c>
    </row>
    <row r="151" spans="1:6" ht="14.25" customHeight="1">
      <c r="A151" s="2">
        <v>41</v>
      </c>
      <c r="B151" s="2">
        <v>150</v>
      </c>
      <c r="C151" s="2">
        <v>6</v>
      </c>
      <c r="D151" s="2">
        <v>1</v>
      </c>
      <c r="E151" s="2">
        <v>0.99399999999999999</v>
      </c>
      <c r="F151" s="2">
        <v>2</v>
      </c>
    </row>
    <row r="152" spans="1:6" ht="14.25" customHeight="1">
      <c r="A152" s="2">
        <v>41</v>
      </c>
      <c r="B152" s="2">
        <v>151</v>
      </c>
      <c r="C152" s="2">
        <v>1</v>
      </c>
      <c r="D152" s="2">
        <v>0</v>
      </c>
      <c r="E152" s="2">
        <v>0.94499999999999995</v>
      </c>
      <c r="F152" s="2">
        <v>2</v>
      </c>
    </row>
    <row r="153" spans="1:6" ht="14.25" customHeight="1">
      <c r="A153" s="2">
        <v>41</v>
      </c>
      <c r="B153" s="2">
        <v>152</v>
      </c>
      <c r="C153" s="2">
        <v>4</v>
      </c>
      <c r="D153" s="2">
        <v>0</v>
      </c>
      <c r="E153" s="2">
        <v>1.109</v>
      </c>
      <c r="F153" s="2">
        <v>2</v>
      </c>
    </row>
    <row r="154" spans="1:6" ht="14.25" customHeight="1">
      <c r="A154" s="2">
        <v>41</v>
      </c>
      <c r="B154" s="2">
        <v>153</v>
      </c>
      <c r="C154" s="2">
        <v>7</v>
      </c>
      <c r="D154" s="2">
        <v>0</v>
      </c>
      <c r="E154" s="2">
        <v>1.032</v>
      </c>
      <c r="F154" s="2">
        <v>2</v>
      </c>
    </row>
    <row r="155" spans="1:6" ht="14.25" customHeight="1">
      <c r="A155" s="2">
        <v>41</v>
      </c>
      <c r="B155" s="2">
        <v>154</v>
      </c>
      <c r="C155" s="2">
        <v>6</v>
      </c>
      <c r="D155" s="2">
        <v>1</v>
      </c>
      <c r="E155" s="2">
        <v>0.71199999999999997</v>
      </c>
      <c r="F155" s="2">
        <v>2</v>
      </c>
    </row>
    <row r="156" spans="1:6" ht="14.25" customHeight="1">
      <c r="A156" s="2">
        <v>41</v>
      </c>
      <c r="B156" s="2">
        <v>155</v>
      </c>
      <c r="C156" s="2">
        <v>5</v>
      </c>
      <c r="D156" s="2">
        <v>1</v>
      </c>
      <c r="E156" s="2">
        <v>0.68200000000000005</v>
      </c>
      <c r="F156" s="2">
        <v>2</v>
      </c>
    </row>
    <row r="157" spans="1:6" ht="14.25" customHeight="1">
      <c r="A157" s="2">
        <v>41</v>
      </c>
      <c r="B157" s="2">
        <v>156</v>
      </c>
      <c r="C157" s="2">
        <v>3</v>
      </c>
      <c r="E157" s="2">
        <v>2</v>
      </c>
    </row>
    <row r="158" spans="1:6" ht="14.25" customHeight="1">
      <c r="A158" s="2">
        <v>41</v>
      </c>
      <c r="B158" s="2">
        <v>157</v>
      </c>
      <c r="C158" s="2">
        <v>2</v>
      </c>
      <c r="D158" s="2">
        <v>0</v>
      </c>
      <c r="E158" s="2">
        <v>1.4970000000000001</v>
      </c>
      <c r="F158" s="2">
        <v>2</v>
      </c>
    </row>
    <row r="159" spans="1:6" ht="14.25" customHeight="1">
      <c r="A159" s="2">
        <v>41</v>
      </c>
      <c r="B159" s="2">
        <v>158</v>
      </c>
      <c r="C159" s="2">
        <v>6</v>
      </c>
      <c r="D159" s="2">
        <v>1</v>
      </c>
      <c r="E159" s="2">
        <v>0.63300000000000001</v>
      </c>
      <c r="F159" s="2">
        <v>2</v>
      </c>
    </row>
    <row r="160" spans="1:6" ht="14.25" customHeight="1">
      <c r="A160" s="2">
        <v>41</v>
      </c>
      <c r="B160" s="2">
        <v>159</v>
      </c>
      <c r="C160" s="2">
        <v>7</v>
      </c>
      <c r="E160" s="2">
        <v>2</v>
      </c>
    </row>
    <row r="161" spans="1:6" ht="14.25" customHeight="1">
      <c r="A161" s="2">
        <v>41</v>
      </c>
      <c r="B161" s="2">
        <v>160</v>
      </c>
      <c r="C161" s="2">
        <v>5</v>
      </c>
      <c r="E161" s="2">
        <v>2</v>
      </c>
    </row>
    <row r="162" spans="1:6" ht="14.25" customHeight="1">
      <c r="A162" s="2">
        <v>41</v>
      </c>
      <c r="B162" s="2">
        <v>161</v>
      </c>
      <c r="C162" s="2">
        <v>8</v>
      </c>
      <c r="D162" s="2">
        <v>1</v>
      </c>
      <c r="E162" s="2">
        <v>0.77100000000000002</v>
      </c>
      <c r="F162" s="2">
        <v>2</v>
      </c>
    </row>
    <row r="163" spans="1:6" ht="14.25" customHeight="1">
      <c r="A163" s="2">
        <v>41</v>
      </c>
      <c r="B163" s="2">
        <v>162</v>
      </c>
      <c r="C163" s="2">
        <v>5</v>
      </c>
      <c r="D163" s="2">
        <v>0</v>
      </c>
      <c r="E163" s="2">
        <v>1.119</v>
      </c>
      <c r="F163" s="2">
        <v>2</v>
      </c>
    </row>
    <row r="164" spans="1:6" ht="14.25" customHeight="1">
      <c r="A164" s="2">
        <v>41</v>
      </c>
      <c r="B164" s="2">
        <v>163</v>
      </c>
      <c r="C164" s="2">
        <v>2</v>
      </c>
      <c r="E164" s="2">
        <v>2</v>
      </c>
    </row>
    <row r="165" spans="1:6" ht="14.25" customHeight="1">
      <c r="A165" s="2">
        <v>41</v>
      </c>
      <c r="B165" s="2">
        <v>164</v>
      </c>
      <c r="C165" s="2">
        <v>1</v>
      </c>
      <c r="D165" s="2">
        <v>1</v>
      </c>
      <c r="E165" s="2">
        <v>0.75800000000000001</v>
      </c>
      <c r="F165" s="2">
        <v>2</v>
      </c>
    </row>
    <row r="166" spans="1:6" ht="14.25" customHeight="1">
      <c r="A166" s="2">
        <v>41</v>
      </c>
      <c r="B166" s="2">
        <v>165</v>
      </c>
      <c r="C166" s="2">
        <v>2</v>
      </c>
      <c r="D166" s="2">
        <v>1</v>
      </c>
      <c r="E166" s="2">
        <v>0.65400000000000003</v>
      </c>
      <c r="F166" s="2">
        <v>2</v>
      </c>
    </row>
    <row r="167" spans="1:6" ht="14.25" customHeight="1">
      <c r="A167" s="2">
        <v>41</v>
      </c>
      <c r="B167" s="2">
        <v>166</v>
      </c>
      <c r="C167" s="2">
        <v>3</v>
      </c>
      <c r="D167" s="2">
        <v>1</v>
      </c>
      <c r="E167" s="2">
        <v>0.70399999999999996</v>
      </c>
      <c r="F167" s="2">
        <v>2</v>
      </c>
    </row>
    <row r="168" spans="1:6" ht="14.25" customHeight="1">
      <c r="A168" s="2">
        <v>41</v>
      </c>
      <c r="B168" s="2">
        <v>167</v>
      </c>
      <c r="C168" s="2">
        <v>7</v>
      </c>
      <c r="E168" s="2">
        <v>2</v>
      </c>
    </row>
    <row r="169" spans="1:6" ht="14.25" customHeight="1">
      <c r="A169" s="2">
        <v>41</v>
      </c>
      <c r="B169" s="2">
        <v>168</v>
      </c>
      <c r="C169" s="2">
        <v>5</v>
      </c>
      <c r="E169" s="2">
        <v>2</v>
      </c>
    </row>
    <row r="170" spans="1:6" ht="14.25" customHeight="1">
      <c r="A170" s="2">
        <v>41</v>
      </c>
      <c r="B170" s="2">
        <v>169</v>
      </c>
      <c r="C170" s="2">
        <v>4</v>
      </c>
      <c r="D170" s="2">
        <v>0</v>
      </c>
      <c r="E170" s="2">
        <v>1.0149999999999999</v>
      </c>
      <c r="F170" s="2">
        <v>2</v>
      </c>
    </row>
    <row r="171" spans="1:6" ht="14.25" customHeight="1">
      <c r="A171" s="2">
        <v>41</v>
      </c>
      <c r="B171" s="2">
        <v>170</v>
      </c>
      <c r="C171" s="2">
        <v>5</v>
      </c>
      <c r="D171" s="2">
        <v>0</v>
      </c>
      <c r="E171" s="2">
        <v>0.98299999999999998</v>
      </c>
      <c r="F171" s="2">
        <v>2</v>
      </c>
    </row>
    <row r="172" spans="1:6" ht="14.25" customHeight="1">
      <c r="A172" s="2">
        <v>41</v>
      </c>
      <c r="B172" s="2">
        <v>171</v>
      </c>
      <c r="C172" s="2">
        <v>1</v>
      </c>
      <c r="E172" s="2">
        <v>2</v>
      </c>
    </row>
    <row r="173" spans="1:6" ht="14.25" customHeight="1">
      <c r="A173" s="2">
        <v>41</v>
      </c>
      <c r="B173" s="2">
        <v>172</v>
      </c>
      <c r="C173" s="2">
        <v>8</v>
      </c>
      <c r="D173" s="2">
        <v>1</v>
      </c>
      <c r="E173" s="2">
        <v>1.3360000000000001</v>
      </c>
      <c r="F173" s="2">
        <v>2</v>
      </c>
    </row>
    <row r="174" spans="1:6" ht="14.25" customHeight="1">
      <c r="A174" s="2">
        <v>41</v>
      </c>
      <c r="B174" s="2">
        <v>173</v>
      </c>
      <c r="C174" s="2">
        <v>4</v>
      </c>
      <c r="E174" s="2">
        <v>2</v>
      </c>
    </row>
    <row r="175" spans="1:6" ht="14.25" customHeight="1">
      <c r="A175" s="2">
        <v>41</v>
      </c>
      <c r="B175" s="2">
        <v>174</v>
      </c>
      <c r="C175" s="2">
        <v>8</v>
      </c>
      <c r="D175" s="2">
        <v>0</v>
      </c>
      <c r="E175" s="2">
        <v>1.044</v>
      </c>
      <c r="F175" s="2">
        <v>2</v>
      </c>
    </row>
    <row r="176" spans="1:6" ht="14.25" customHeight="1">
      <c r="A176" s="2">
        <v>41</v>
      </c>
      <c r="B176" s="2">
        <v>175</v>
      </c>
      <c r="C176" s="2">
        <v>2</v>
      </c>
      <c r="D176" s="2">
        <v>1</v>
      </c>
      <c r="E176" s="2">
        <v>1.1850000000000001</v>
      </c>
      <c r="F176" s="2">
        <v>2</v>
      </c>
    </row>
    <row r="177" spans="1:6" ht="14.25" customHeight="1">
      <c r="A177" s="2">
        <v>41</v>
      </c>
      <c r="B177" s="2">
        <v>176</v>
      </c>
      <c r="C177" s="2">
        <v>6</v>
      </c>
      <c r="E177" s="2">
        <v>2</v>
      </c>
    </row>
    <row r="178" spans="1:6" ht="14.25" customHeight="1">
      <c r="A178" s="2">
        <v>41</v>
      </c>
      <c r="B178" s="2">
        <v>177</v>
      </c>
      <c r="C178" s="2">
        <v>1</v>
      </c>
      <c r="D178" s="2">
        <v>1</v>
      </c>
      <c r="E178" s="2">
        <v>1.2350000000000001</v>
      </c>
      <c r="F178" s="2">
        <v>2</v>
      </c>
    </row>
    <row r="179" spans="1:6" ht="14.25" customHeight="1">
      <c r="A179" s="2">
        <v>41</v>
      </c>
      <c r="B179" s="2">
        <v>178</v>
      </c>
      <c r="C179" s="2">
        <v>4</v>
      </c>
      <c r="D179" s="2">
        <v>0</v>
      </c>
      <c r="E179" s="2">
        <v>1.2549999999999999</v>
      </c>
      <c r="F179" s="2">
        <v>2</v>
      </c>
    </row>
    <row r="180" spans="1:6" ht="14.25" customHeight="1">
      <c r="A180" s="2">
        <v>41</v>
      </c>
      <c r="B180" s="2">
        <v>179</v>
      </c>
      <c r="C180" s="2">
        <v>1</v>
      </c>
      <c r="D180" s="2">
        <v>1</v>
      </c>
      <c r="E180" s="2">
        <v>0.98399999999999999</v>
      </c>
      <c r="F180" s="2">
        <v>2</v>
      </c>
    </row>
    <row r="181" spans="1:6" ht="14.25" customHeight="1">
      <c r="A181" s="2">
        <v>41</v>
      </c>
      <c r="B181" s="2">
        <v>180</v>
      </c>
      <c r="C181" s="2">
        <v>3</v>
      </c>
      <c r="E181" s="2">
        <v>2</v>
      </c>
    </row>
    <row r="182" spans="1:6" ht="14.25" customHeight="1">
      <c r="A182" s="2">
        <v>41</v>
      </c>
      <c r="B182" s="2">
        <v>181</v>
      </c>
      <c r="C182" s="2">
        <v>8</v>
      </c>
      <c r="E182" s="2">
        <v>2</v>
      </c>
    </row>
    <row r="183" spans="1:6" ht="14.25" customHeight="1">
      <c r="A183" s="2">
        <v>41</v>
      </c>
      <c r="B183" s="2">
        <v>182</v>
      </c>
      <c r="C183" s="2">
        <v>3</v>
      </c>
      <c r="D183" s="2">
        <v>0</v>
      </c>
      <c r="E183" s="2">
        <v>0.80100000000000005</v>
      </c>
      <c r="F183" s="2">
        <v>2</v>
      </c>
    </row>
    <row r="184" spans="1:6" ht="14.25" customHeight="1">
      <c r="A184" s="2">
        <v>41</v>
      </c>
      <c r="B184" s="2">
        <v>183</v>
      </c>
      <c r="C184" s="2">
        <v>6</v>
      </c>
      <c r="D184" s="2">
        <v>0</v>
      </c>
      <c r="E184" s="2">
        <v>1.0469999999999999</v>
      </c>
      <c r="F184" s="2">
        <v>2</v>
      </c>
    </row>
    <row r="185" spans="1:6" ht="14.25" customHeight="1">
      <c r="A185" s="2">
        <v>41</v>
      </c>
      <c r="B185" s="2">
        <v>184</v>
      </c>
      <c r="C185" s="2">
        <v>3</v>
      </c>
      <c r="E185" s="2">
        <v>2</v>
      </c>
    </row>
    <row r="186" spans="1:6" ht="14.25" customHeight="1">
      <c r="A186" s="2">
        <v>41</v>
      </c>
      <c r="B186" s="2">
        <v>185</v>
      </c>
      <c r="C186" s="2">
        <v>8</v>
      </c>
      <c r="E186" s="2">
        <v>2</v>
      </c>
    </row>
    <row r="187" spans="1:6" ht="14.25" customHeight="1">
      <c r="A187" s="2">
        <v>41</v>
      </c>
      <c r="B187" s="2">
        <v>186</v>
      </c>
      <c r="C187" s="2">
        <v>6</v>
      </c>
      <c r="D187" s="2">
        <v>0</v>
      </c>
      <c r="E187" s="2">
        <v>0.93400000000000005</v>
      </c>
      <c r="F187" s="2">
        <v>2</v>
      </c>
    </row>
    <row r="188" spans="1:6" ht="14.25" customHeight="1">
      <c r="A188" s="2">
        <v>41</v>
      </c>
      <c r="B188" s="2">
        <v>187</v>
      </c>
      <c r="C188" s="2">
        <v>3</v>
      </c>
      <c r="D188" s="2">
        <v>0</v>
      </c>
      <c r="E188" s="2">
        <v>1.0389999999999999</v>
      </c>
      <c r="F188" s="2">
        <v>2</v>
      </c>
    </row>
    <row r="189" spans="1:6" ht="14.25" customHeight="1">
      <c r="A189" s="2">
        <v>41</v>
      </c>
      <c r="B189" s="2">
        <v>188</v>
      </c>
      <c r="C189" s="2">
        <v>4</v>
      </c>
      <c r="D189" s="2">
        <v>0</v>
      </c>
      <c r="E189" s="2">
        <v>0.63100000000000001</v>
      </c>
      <c r="F189" s="2">
        <v>2</v>
      </c>
    </row>
    <row r="190" spans="1:6" ht="14.25" customHeight="1">
      <c r="A190" s="2">
        <v>41</v>
      </c>
      <c r="B190" s="2">
        <v>189</v>
      </c>
      <c r="C190" s="2">
        <v>7</v>
      </c>
      <c r="E190" s="2">
        <v>2</v>
      </c>
    </row>
    <row r="191" spans="1:6" ht="14.25" customHeight="1">
      <c r="A191" s="2">
        <v>41</v>
      </c>
      <c r="B191" s="2">
        <v>190</v>
      </c>
      <c r="C191" s="2">
        <v>1</v>
      </c>
      <c r="D191" s="2">
        <v>1</v>
      </c>
      <c r="E191" s="2">
        <v>0.81</v>
      </c>
      <c r="F191" s="2">
        <v>2</v>
      </c>
    </row>
    <row r="192" spans="1:6" ht="14.25" customHeight="1">
      <c r="A192" s="2">
        <v>41</v>
      </c>
      <c r="B192" s="2">
        <v>191</v>
      </c>
      <c r="C192" s="2">
        <v>8</v>
      </c>
      <c r="D192" s="2">
        <v>1</v>
      </c>
      <c r="E192" s="2">
        <v>1.2150000000000001</v>
      </c>
      <c r="F192" s="2">
        <v>2</v>
      </c>
    </row>
    <row r="193" spans="1:6" ht="14.25" customHeight="1">
      <c r="A193" s="2">
        <v>41</v>
      </c>
      <c r="B193" s="2">
        <v>192</v>
      </c>
      <c r="C193" s="2">
        <v>6</v>
      </c>
      <c r="D193" s="2">
        <v>1</v>
      </c>
      <c r="E193" s="2">
        <v>0.78900000000000003</v>
      </c>
      <c r="F193" s="2">
        <v>2</v>
      </c>
    </row>
    <row r="194" spans="1:6" ht="14.25" customHeight="1">
      <c r="A194" s="2">
        <v>41</v>
      </c>
      <c r="B194" s="2">
        <v>193</v>
      </c>
      <c r="C194" s="2">
        <v>5</v>
      </c>
      <c r="D194" s="2">
        <v>1</v>
      </c>
      <c r="E194" s="2">
        <v>0.97899999999999998</v>
      </c>
      <c r="F194" s="2">
        <v>2</v>
      </c>
    </row>
    <row r="195" spans="1:6" ht="14.25" customHeight="1">
      <c r="A195" s="2">
        <v>41</v>
      </c>
      <c r="B195" s="2">
        <v>194</v>
      </c>
      <c r="C195" s="2">
        <v>8</v>
      </c>
      <c r="E195" s="2">
        <v>2</v>
      </c>
    </row>
    <row r="196" spans="1:6" ht="14.25" customHeight="1">
      <c r="A196" s="2">
        <v>41</v>
      </c>
      <c r="B196" s="2">
        <v>195</v>
      </c>
      <c r="C196" s="2">
        <v>7</v>
      </c>
      <c r="D196" s="2">
        <v>1</v>
      </c>
      <c r="E196" s="2">
        <v>0.82299999999999995</v>
      </c>
      <c r="F196" s="2">
        <v>2</v>
      </c>
    </row>
    <row r="197" spans="1:6" ht="14.25" customHeight="1">
      <c r="A197" s="2">
        <v>41</v>
      </c>
      <c r="B197" s="2">
        <v>196</v>
      </c>
      <c r="C197" s="2">
        <v>4</v>
      </c>
      <c r="D197" s="2">
        <v>1</v>
      </c>
      <c r="E197" s="2">
        <v>0.93</v>
      </c>
      <c r="F197" s="2">
        <v>2</v>
      </c>
    </row>
    <row r="198" spans="1:6" ht="14.25" customHeight="1">
      <c r="A198" s="2">
        <v>41</v>
      </c>
      <c r="B198" s="2">
        <v>197</v>
      </c>
      <c r="C198" s="2">
        <v>7</v>
      </c>
      <c r="D198" s="2">
        <v>0</v>
      </c>
      <c r="E198" s="2">
        <v>0.64900000000000002</v>
      </c>
      <c r="F198" s="2">
        <v>2</v>
      </c>
    </row>
    <row r="199" spans="1:6" ht="14.25" customHeight="1">
      <c r="A199" s="2">
        <v>41</v>
      </c>
      <c r="B199" s="2">
        <v>198</v>
      </c>
      <c r="C199" s="2">
        <v>2</v>
      </c>
      <c r="D199" s="2">
        <v>1</v>
      </c>
      <c r="E199" s="2">
        <v>0.97</v>
      </c>
      <c r="F199" s="2">
        <v>2</v>
      </c>
    </row>
    <row r="200" spans="1:6" ht="14.25" customHeight="1">
      <c r="A200" s="2">
        <v>41</v>
      </c>
      <c r="B200" s="2">
        <v>199</v>
      </c>
      <c r="C200" s="2">
        <v>5</v>
      </c>
      <c r="D200" s="2">
        <v>1</v>
      </c>
      <c r="E200" s="2">
        <v>0.58399999999999996</v>
      </c>
      <c r="F200" s="2">
        <v>2</v>
      </c>
    </row>
    <row r="201" spans="1:6" ht="14.25" customHeight="1">
      <c r="A201" s="2">
        <v>41</v>
      </c>
      <c r="B201" s="2">
        <v>200</v>
      </c>
      <c r="C201" s="2">
        <v>2</v>
      </c>
      <c r="E201" s="2">
        <v>2</v>
      </c>
    </row>
    <row r="202" spans="1:6" ht="14.25" customHeight="1">
      <c r="A202" s="2">
        <v>41</v>
      </c>
      <c r="B202" s="2">
        <v>201</v>
      </c>
      <c r="C202" s="2">
        <v>8</v>
      </c>
      <c r="E202" s="2">
        <v>2</v>
      </c>
    </row>
    <row r="203" spans="1:6" ht="14.25" customHeight="1">
      <c r="A203" s="2">
        <v>41</v>
      </c>
      <c r="B203" s="2">
        <v>202</v>
      </c>
      <c r="C203" s="2">
        <v>1</v>
      </c>
      <c r="E203" s="2">
        <v>2</v>
      </c>
    </row>
    <row r="204" spans="1:6" ht="14.25" customHeight="1">
      <c r="A204" s="2">
        <v>41</v>
      </c>
      <c r="B204" s="2">
        <v>203</v>
      </c>
      <c r="C204" s="2">
        <v>4</v>
      </c>
      <c r="D204" s="2">
        <v>0</v>
      </c>
      <c r="E204" s="2">
        <v>1.3340000000000001</v>
      </c>
      <c r="F204" s="2">
        <v>2</v>
      </c>
    </row>
    <row r="205" spans="1:6" ht="14.25" customHeight="1">
      <c r="A205" s="2">
        <v>41</v>
      </c>
      <c r="B205" s="2">
        <v>204</v>
      </c>
      <c r="C205" s="2">
        <v>3</v>
      </c>
      <c r="D205" s="2">
        <v>1</v>
      </c>
      <c r="E205" s="2">
        <v>0.60599999999999998</v>
      </c>
      <c r="F205" s="2">
        <v>2</v>
      </c>
    </row>
    <row r="206" spans="1:6" ht="14.25" customHeight="1">
      <c r="A206" s="2">
        <v>41</v>
      </c>
      <c r="B206" s="2">
        <v>205</v>
      </c>
      <c r="C206" s="2">
        <v>4</v>
      </c>
      <c r="D206" s="2">
        <v>1</v>
      </c>
      <c r="E206" s="2">
        <v>0.624</v>
      </c>
      <c r="F206" s="2">
        <v>2</v>
      </c>
    </row>
    <row r="207" spans="1:6" ht="14.25" customHeight="1">
      <c r="A207" s="2">
        <v>41</v>
      </c>
      <c r="B207" s="2">
        <v>206</v>
      </c>
      <c r="C207" s="2">
        <v>6</v>
      </c>
      <c r="D207" s="2">
        <v>1</v>
      </c>
      <c r="E207" s="2">
        <v>0.97699999999999998</v>
      </c>
      <c r="F207" s="2">
        <v>2</v>
      </c>
    </row>
    <row r="208" spans="1:6" ht="14.25" customHeight="1">
      <c r="A208" s="2">
        <v>41</v>
      </c>
      <c r="B208" s="2">
        <v>207</v>
      </c>
      <c r="C208" s="2">
        <v>8</v>
      </c>
      <c r="D208" s="2">
        <v>0</v>
      </c>
      <c r="E208" s="2">
        <v>0.95499999999999996</v>
      </c>
      <c r="F208" s="2">
        <v>2</v>
      </c>
    </row>
    <row r="209" spans="1:6" ht="14.25" customHeight="1">
      <c r="A209" s="2">
        <v>41</v>
      </c>
      <c r="B209" s="2">
        <v>208</v>
      </c>
      <c r="C209" s="2">
        <v>2</v>
      </c>
      <c r="D209" s="2">
        <v>1</v>
      </c>
      <c r="E209" s="2">
        <v>0.83199999999999996</v>
      </c>
      <c r="F209" s="2">
        <v>2</v>
      </c>
    </row>
    <row r="210" spans="1:6" ht="14.25" customHeight="1">
      <c r="A210" s="2">
        <v>41</v>
      </c>
      <c r="B210" s="2">
        <v>209</v>
      </c>
      <c r="C210" s="2">
        <v>1</v>
      </c>
      <c r="D210" s="2">
        <v>0</v>
      </c>
      <c r="E210" s="2">
        <v>1.147</v>
      </c>
      <c r="F210" s="2">
        <v>2</v>
      </c>
    </row>
    <row r="211" spans="1:6" ht="14.25" customHeight="1">
      <c r="A211" s="2">
        <v>41</v>
      </c>
      <c r="B211" s="2">
        <v>210</v>
      </c>
      <c r="C211" s="2">
        <v>5</v>
      </c>
      <c r="E211" s="2">
        <v>2</v>
      </c>
    </row>
    <row r="212" spans="1:6" ht="14.25" customHeight="1">
      <c r="A212" s="2">
        <v>41</v>
      </c>
      <c r="B212" s="2">
        <v>211</v>
      </c>
      <c r="C212" s="2">
        <v>8</v>
      </c>
      <c r="D212" s="2">
        <v>1</v>
      </c>
      <c r="E212" s="2">
        <v>0.65900000000000003</v>
      </c>
      <c r="F212" s="2">
        <v>2</v>
      </c>
    </row>
    <row r="213" spans="1:6" ht="14.25" customHeight="1">
      <c r="A213" s="2">
        <v>41</v>
      </c>
      <c r="B213" s="2">
        <v>212</v>
      </c>
      <c r="C213" s="2">
        <v>4</v>
      </c>
      <c r="D213" s="2">
        <v>0</v>
      </c>
      <c r="E213" s="2">
        <v>1.0349999999999999</v>
      </c>
      <c r="F213" s="2">
        <v>2</v>
      </c>
    </row>
    <row r="214" spans="1:6" ht="14.25" customHeight="1">
      <c r="A214" s="2">
        <v>41</v>
      </c>
      <c r="B214" s="2">
        <v>213</v>
      </c>
      <c r="C214" s="2">
        <v>2</v>
      </c>
      <c r="D214" s="2">
        <v>1</v>
      </c>
      <c r="E214" s="2">
        <v>0.872</v>
      </c>
      <c r="F214" s="2">
        <v>2</v>
      </c>
    </row>
    <row r="215" spans="1:6" ht="14.25" customHeight="1">
      <c r="A215" s="2">
        <v>41</v>
      </c>
      <c r="B215" s="2">
        <v>214</v>
      </c>
      <c r="C215" s="2">
        <v>8</v>
      </c>
      <c r="E215" s="2">
        <v>2</v>
      </c>
    </row>
    <row r="216" spans="1:6" ht="14.25" customHeight="1">
      <c r="A216" s="2">
        <v>41</v>
      </c>
      <c r="B216" s="2">
        <v>215</v>
      </c>
      <c r="C216" s="2">
        <v>2</v>
      </c>
      <c r="D216" s="2">
        <v>1</v>
      </c>
      <c r="E216" s="2">
        <v>0.64100000000000001</v>
      </c>
      <c r="F216" s="2">
        <v>2</v>
      </c>
    </row>
    <row r="217" spans="1:6" ht="14.25" customHeight="1">
      <c r="A217" s="2">
        <v>41</v>
      </c>
      <c r="B217" s="2">
        <v>216</v>
      </c>
      <c r="C217" s="2">
        <v>6</v>
      </c>
      <c r="D217" s="2">
        <v>1</v>
      </c>
      <c r="E217" s="2">
        <v>1.0960000000000001</v>
      </c>
      <c r="F217" s="2">
        <v>2</v>
      </c>
    </row>
    <row r="218" spans="1:6" ht="14.25" customHeight="1">
      <c r="A218" s="2">
        <v>41</v>
      </c>
      <c r="B218" s="2">
        <v>217</v>
      </c>
      <c r="C218" s="2">
        <v>5</v>
      </c>
      <c r="D218" s="2">
        <v>1</v>
      </c>
      <c r="E218" s="2">
        <v>1.089</v>
      </c>
      <c r="F218" s="2">
        <v>2</v>
      </c>
    </row>
    <row r="219" spans="1:6" ht="14.25" customHeight="1">
      <c r="A219" s="2">
        <v>41</v>
      </c>
      <c r="B219" s="2">
        <v>218</v>
      </c>
      <c r="C219" s="2">
        <v>6</v>
      </c>
      <c r="D219" s="2">
        <v>0</v>
      </c>
      <c r="E219" s="2">
        <v>0.71</v>
      </c>
      <c r="F219" s="2">
        <v>2</v>
      </c>
    </row>
    <row r="220" spans="1:6" ht="14.25" customHeight="1">
      <c r="A220" s="2">
        <v>41</v>
      </c>
      <c r="B220" s="2">
        <v>219</v>
      </c>
      <c r="C220" s="2">
        <v>3</v>
      </c>
      <c r="E220" s="2">
        <v>2</v>
      </c>
    </row>
    <row r="221" spans="1:6" ht="14.25" customHeight="1">
      <c r="A221" s="2">
        <v>41</v>
      </c>
      <c r="B221" s="2">
        <v>220</v>
      </c>
      <c r="C221" s="2">
        <v>7</v>
      </c>
      <c r="D221" s="2">
        <v>0</v>
      </c>
      <c r="E221" s="2">
        <v>0.76400000000000001</v>
      </c>
      <c r="F221" s="2">
        <v>2</v>
      </c>
    </row>
    <row r="222" spans="1:6" ht="14.25" customHeight="1">
      <c r="A222" s="2">
        <v>41</v>
      </c>
      <c r="B222" s="2">
        <v>221</v>
      </c>
      <c r="C222" s="2">
        <v>6</v>
      </c>
      <c r="D222" s="2">
        <v>0</v>
      </c>
      <c r="E222" s="2">
        <v>1.0640000000000001</v>
      </c>
      <c r="F222" s="2">
        <v>2</v>
      </c>
    </row>
    <row r="223" spans="1:6" ht="14.25" customHeight="1">
      <c r="A223" s="2">
        <v>41</v>
      </c>
      <c r="B223" s="2">
        <v>222</v>
      </c>
      <c r="C223" s="2">
        <v>5</v>
      </c>
      <c r="D223" s="2">
        <v>1</v>
      </c>
      <c r="E223" s="2">
        <v>0.72899999999999998</v>
      </c>
      <c r="F223" s="2">
        <v>2</v>
      </c>
    </row>
    <row r="224" spans="1:6" ht="14.25" customHeight="1">
      <c r="A224" s="2">
        <v>41</v>
      </c>
      <c r="B224" s="2">
        <v>223</v>
      </c>
      <c r="C224" s="2">
        <v>3</v>
      </c>
      <c r="E224" s="2">
        <v>2</v>
      </c>
    </row>
    <row r="225" spans="1:6" ht="14.25" customHeight="1">
      <c r="A225" s="2">
        <v>41</v>
      </c>
      <c r="B225" s="2">
        <v>224</v>
      </c>
      <c r="C225" s="2">
        <v>4</v>
      </c>
      <c r="D225" s="2">
        <v>0</v>
      </c>
      <c r="E225" s="2">
        <v>1.0609999999999999</v>
      </c>
      <c r="F225" s="2">
        <v>2</v>
      </c>
    </row>
    <row r="226" spans="1:6" ht="14.25" customHeight="1">
      <c r="A226" s="2">
        <v>41</v>
      </c>
      <c r="B226" s="2">
        <v>225</v>
      </c>
      <c r="C226" s="2">
        <v>1</v>
      </c>
      <c r="D226" s="2">
        <v>1</v>
      </c>
      <c r="E226" s="2">
        <v>0.72899999999999998</v>
      </c>
      <c r="F226" s="2">
        <v>2</v>
      </c>
    </row>
    <row r="227" spans="1:6" ht="14.25" customHeight="1">
      <c r="A227" s="2">
        <v>41</v>
      </c>
      <c r="B227" s="2">
        <v>226</v>
      </c>
      <c r="C227" s="2">
        <v>5</v>
      </c>
      <c r="E227" s="2">
        <v>2</v>
      </c>
    </row>
    <row r="228" spans="1:6" ht="14.25" customHeight="1">
      <c r="A228" s="2">
        <v>41</v>
      </c>
      <c r="B228" s="2">
        <v>227</v>
      </c>
      <c r="C228" s="2">
        <v>8</v>
      </c>
      <c r="D228" s="2">
        <v>1</v>
      </c>
      <c r="E228" s="2">
        <v>0.79700000000000004</v>
      </c>
      <c r="F228" s="2">
        <v>2</v>
      </c>
    </row>
    <row r="229" spans="1:6" ht="14.25" customHeight="1">
      <c r="A229" s="2">
        <v>41</v>
      </c>
      <c r="B229" s="2">
        <v>228</v>
      </c>
      <c r="C229" s="2">
        <v>1</v>
      </c>
      <c r="D229" s="2">
        <v>0</v>
      </c>
      <c r="E229" s="2">
        <v>1.0149999999999999</v>
      </c>
      <c r="F229" s="2">
        <v>2</v>
      </c>
    </row>
    <row r="230" spans="1:6" ht="14.25" customHeight="1">
      <c r="A230" s="2">
        <v>41</v>
      </c>
      <c r="B230" s="2">
        <v>229</v>
      </c>
      <c r="C230" s="2">
        <v>7</v>
      </c>
      <c r="D230" s="2">
        <v>1</v>
      </c>
      <c r="E230" s="2">
        <v>0.94599999999999995</v>
      </c>
      <c r="F230" s="2">
        <v>2</v>
      </c>
    </row>
    <row r="231" spans="1:6" ht="14.25" customHeight="1">
      <c r="A231" s="2">
        <v>41</v>
      </c>
      <c r="B231" s="2">
        <v>230</v>
      </c>
      <c r="C231" s="2">
        <v>3</v>
      </c>
      <c r="D231" s="2">
        <v>1</v>
      </c>
      <c r="E231" s="2">
        <v>0.69199999999999995</v>
      </c>
      <c r="F231" s="2">
        <v>2</v>
      </c>
    </row>
    <row r="232" spans="1:6" ht="14.25" customHeight="1">
      <c r="A232" s="2">
        <v>41</v>
      </c>
      <c r="B232" s="2">
        <v>231</v>
      </c>
      <c r="C232" s="2">
        <v>5</v>
      </c>
      <c r="E232" s="2">
        <v>2</v>
      </c>
    </row>
    <row r="233" spans="1:6" ht="14.25" customHeight="1">
      <c r="A233" s="2">
        <v>41</v>
      </c>
      <c r="B233" s="2">
        <v>232</v>
      </c>
      <c r="C233" s="2">
        <v>4</v>
      </c>
      <c r="D233" s="2">
        <v>0</v>
      </c>
      <c r="E233" s="2">
        <v>0.67600000000000005</v>
      </c>
      <c r="F233" s="2">
        <v>2</v>
      </c>
    </row>
    <row r="234" spans="1:6" ht="14.25" customHeight="1">
      <c r="A234" s="2">
        <v>41</v>
      </c>
      <c r="B234" s="2">
        <v>233</v>
      </c>
      <c r="C234" s="2">
        <v>8</v>
      </c>
      <c r="D234" s="2">
        <v>0</v>
      </c>
      <c r="E234" s="2">
        <v>0.78</v>
      </c>
      <c r="F234" s="2">
        <v>2</v>
      </c>
    </row>
    <row r="235" spans="1:6" ht="14.25" customHeight="1">
      <c r="A235" s="2">
        <v>41</v>
      </c>
      <c r="B235" s="2">
        <v>234</v>
      </c>
      <c r="C235" s="2">
        <v>7</v>
      </c>
      <c r="D235" s="2">
        <v>0</v>
      </c>
      <c r="E235" s="2">
        <v>0.91400000000000003</v>
      </c>
      <c r="F235" s="2">
        <v>2</v>
      </c>
    </row>
    <row r="236" spans="1:6" ht="14.25" customHeight="1">
      <c r="A236" s="2">
        <v>41</v>
      </c>
      <c r="B236" s="2">
        <v>235</v>
      </c>
      <c r="C236" s="2">
        <v>5</v>
      </c>
      <c r="E236" s="2">
        <v>2</v>
      </c>
    </row>
    <row r="237" spans="1:6" ht="14.25" customHeight="1">
      <c r="A237" s="2">
        <v>41</v>
      </c>
      <c r="B237" s="2">
        <v>236</v>
      </c>
      <c r="C237" s="2">
        <v>1</v>
      </c>
      <c r="D237" s="2">
        <v>0</v>
      </c>
      <c r="E237" s="2">
        <v>0.86299999999999999</v>
      </c>
      <c r="F237" s="2">
        <v>2</v>
      </c>
    </row>
    <row r="238" spans="1:6" ht="14.25" customHeight="1">
      <c r="A238" s="2">
        <v>41</v>
      </c>
      <c r="B238" s="2">
        <v>237</v>
      </c>
      <c r="C238" s="2">
        <v>3</v>
      </c>
      <c r="D238" s="2">
        <v>0</v>
      </c>
      <c r="E238" s="2">
        <v>1.0589999999999999</v>
      </c>
      <c r="F238" s="2">
        <v>2</v>
      </c>
    </row>
    <row r="239" spans="1:6" ht="14.25" customHeight="1">
      <c r="A239" s="2">
        <v>41</v>
      </c>
      <c r="B239" s="2">
        <v>238</v>
      </c>
      <c r="C239" s="2">
        <v>2</v>
      </c>
      <c r="E239" s="2">
        <v>2</v>
      </c>
    </row>
    <row r="240" spans="1:6" ht="14.25" customHeight="1">
      <c r="A240" s="2">
        <v>41</v>
      </c>
      <c r="B240" s="2">
        <v>239</v>
      </c>
      <c r="C240" s="2">
        <v>6</v>
      </c>
      <c r="D240" s="2">
        <v>1</v>
      </c>
      <c r="E240" s="2">
        <v>0.85899999999999999</v>
      </c>
      <c r="F240" s="2">
        <v>2</v>
      </c>
    </row>
    <row r="241" spans="1:6" ht="14.25" customHeight="1">
      <c r="A241" s="2">
        <v>41</v>
      </c>
      <c r="B241" s="2">
        <v>240</v>
      </c>
      <c r="C241" s="2">
        <v>2</v>
      </c>
      <c r="D241" s="2">
        <v>1</v>
      </c>
      <c r="E241" s="2">
        <v>0.98699999999999999</v>
      </c>
      <c r="F241" s="2">
        <v>2</v>
      </c>
    </row>
    <row r="242" spans="1:6" ht="14.25" customHeight="1">
      <c r="A242" s="2">
        <v>41</v>
      </c>
      <c r="B242" s="2">
        <v>241</v>
      </c>
      <c r="C242" s="2">
        <v>3</v>
      </c>
      <c r="E242" s="2">
        <v>2</v>
      </c>
    </row>
    <row r="243" spans="1:6" ht="14.25" customHeight="1">
      <c r="A243" s="2">
        <v>41</v>
      </c>
      <c r="B243" s="2">
        <v>242</v>
      </c>
      <c r="C243" s="2">
        <v>5</v>
      </c>
      <c r="D243" s="2">
        <v>1</v>
      </c>
      <c r="E243" s="2">
        <v>0.625</v>
      </c>
      <c r="F243" s="2">
        <v>2</v>
      </c>
    </row>
    <row r="244" spans="1:6" ht="14.25" customHeight="1">
      <c r="A244" s="2">
        <v>41</v>
      </c>
      <c r="B244" s="2">
        <v>243</v>
      </c>
      <c r="C244" s="2">
        <v>4</v>
      </c>
      <c r="D244" s="2">
        <v>1</v>
      </c>
      <c r="E244" s="2">
        <v>0.61</v>
      </c>
      <c r="F244" s="2">
        <v>2</v>
      </c>
    </row>
    <row r="245" spans="1:6" ht="14.25" customHeight="1">
      <c r="A245" s="2">
        <v>41</v>
      </c>
      <c r="B245" s="2">
        <v>244</v>
      </c>
      <c r="C245" s="2">
        <v>1</v>
      </c>
      <c r="D245" s="2">
        <v>0</v>
      </c>
      <c r="E245" s="2">
        <v>0.88300000000000001</v>
      </c>
      <c r="F245" s="2">
        <v>2</v>
      </c>
    </row>
    <row r="246" spans="1:6" ht="14.25" customHeight="1">
      <c r="A246" s="2">
        <v>41</v>
      </c>
      <c r="B246" s="2">
        <v>245</v>
      </c>
      <c r="C246" s="2">
        <v>7</v>
      </c>
      <c r="D246" s="2">
        <v>1</v>
      </c>
      <c r="E246" s="2">
        <v>0.72199999999999998</v>
      </c>
      <c r="F246" s="2">
        <v>2</v>
      </c>
    </row>
    <row r="247" spans="1:6" ht="14.25" customHeight="1">
      <c r="A247" s="2">
        <v>41</v>
      </c>
      <c r="B247" s="2">
        <v>246</v>
      </c>
      <c r="C247" s="2">
        <v>2</v>
      </c>
      <c r="D247" s="2">
        <v>1</v>
      </c>
      <c r="E247" s="2">
        <v>0.63900000000000001</v>
      </c>
      <c r="F247" s="2">
        <v>2</v>
      </c>
    </row>
    <row r="248" spans="1:6" ht="14.25" customHeight="1">
      <c r="A248" s="2">
        <v>41</v>
      </c>
      <c r="B248" s="2">
        <v>247</v>
      </c>
      <c r="C248" s="2">
        <v>7</v>
      </c>
      <c r="E248" s="2">
        <v>2</v>
      </c>
    </row>
    <row r="249" spans="1:6" ht="14.25" customHeight="1">
      <c r="A249" s="2">
        <v>41</v>
      </c>
      <c r="B249" s="2">
        <v>248</v>
      </c>
      <c r="C249" s="2">
        <v>6</v>
      </c>
      <c r="D249" s="2">
        <v>1</v>
      </c>
      <c r="E249" s="2">
        <v>1.2470000000000001</v>
      </c>
      <c r="F249" s="2">
        <v>2</v>
      </c>
    </row>
    <row r="250" spans="1:6" ht="14.25" customHeight="1">
      <c r="A250" s="2">
        <v>41</v>
      </c>
      <c r="B250" s="2">
        <v>249</v>
      </c>
      <c r="C250" s="2">
        <v>7</v>
      </c>
      <c r="D250" s="2">
        <v>1</v>
      </c>
      <c r="E250" s="2">
        <v>0.55400000000000005</v>
      </c>
      <c r="F250" s="2">
        <v>2</v>
      </c>
    </row>
    <row r="251" spans="1:6" ht="14.25" customHeight="1">
      <c r="A251" s="2">
        <v>41</v>
      </c>
      <c r="B251" s="2">
        <v>250</v>
      </c>
      <c r="C251" s="2">
        <v>8</v>
      </c>
      <c r="E251" s="2">
        <v>2</v>
      </c>
    </row>
    <row r="252" spans="1:6" ht="14.25" customHeight="1">
      <c r="A252" s="2">
        <v>41</v>
      </c>
      <c r="B252" s="2">
        <v>251</v>
      </c>
      <c r="C252" s="2">
        <v>4</v>
      </c>
      <c r="D252" s="2">
        <v>0</v>
      </c>
      <c r="E252" s="2">
        <v>0.83899999999999997</v>
      </c>
      <c r="F252" s="2">
        <v>2</v>
      </c>
    </row>
    <row r="253" spans="1:6" ht="14.25" customHeight="1">
      <c r="A253" s="2">
        <v>41</v>
      </c>
      <c r="B253" s="2">
        <v>252</v>
      </c>
      <c r="C253" s="2">
        <v>5</v>
      </c>
      <c r="D253" s="2">
        <v>0</v>
      </c>
      <c r="E253" s="2">
        <v>1.1140000000000001</v>
      </c>
      <c r="F253" s="2">
        <v>2</v>
      </c>
    </row>
    <row r="254" spans="1:6" ht="14.25" customHeight="1">
      <c r="A254" s="2">
        <v>41</v>
      </c>
      <c r="B254" s="2">
        <v>253</v>
      </c>
      <c r="C254" s="2">
        <v>2</v>
      </c>
      <c r="E254" s="2">
        <v>2</v>
      </c>
    </row>
    <row r="255" spans="1:6" ht="14.25" customHeight="1">
      <c r="A255" s="2">
        <v>41</v>
      </c>
      <c r="B255" s="2">
        <v>254</v>
      </c>
      <c r="C255" s="2">
        <v>8</v>
      </c>
      <c r="D255" s="2">
        <v>1</v>
      </c>
      <c r="E255" s="2">
        <v>0.74</v>
      </c>
      <c r="F255" s="2">
        <v>2</v>
      </c>
    </row>
    <row r="256" spans="1:6" ht="14.25" customHeight="1">
      <c r="A256" s="2">
        <v>41</v>
      </c>
      <c r="B256" s="2">
        <v>255</v>
      </c>
      <c r="C256" s="2">
        <v>6</v>
      </c>
      <c r="D256" s="2">
        <v>1</v>
      </c>
      <c r="E256" s="2">
        <v>0.64100000000000001</v>
      </c>
      <c r="F256" s="2">
        <v>2</v>
      </c>
    </row>
    <row r="257" spans="1:6" ht="14.25" customHeight="1">
      <c r="A257" s="2">
        <v>41</v>
      </c>
      <c r="B257" s="2">
        <v>256</v>
      </c>
      <c r="C257" s="2">
        <v>7</v>
      </c>
      <c r="D257" s="2">
        <v>1</v>
      </c>
      <c r="E257" s="2">
        <v>0.95299999999999996</v>
      </c>
      <c r="F257" s="2">
        <v>2</v>
      </c>
    </row>
    <row r="258" spans="1:6" ht="14.25" customHeight="1">
      <c r="A258" s="2">
        <v>41</v>
      </c>
      <c r="B258" s="2">
        <v>257</v>
      </c>
      <c r="C258" s="2">
        <v>3</v>
      </c>
      <c r="D258" s="2">
        <v>0</v>
      </c>
      <c r="E258" s="2">
        <v>1.054</v>
      </c>
      <c r="F258" s="2">
        <v>2</v>
      </c>
    </row>
    <row r="259" spans="1:6" ht="14.25" customHeight="1">
      <c r="A259" s="2">
        <v>41</v>
      </c>
      <c r="B259" s="2">
        <v>258</v>
      </c>
      <c r="C259" s="2">
        <v>5</v>
      </c>
      <c r="D259" s="2">
        <v>1</v>
      </c>
      <c r="E259" s="2">
        <v>0.73799999999999999</v>
      </c>
      <c r="F259" s="2">
        <v>2</v>
      </c>
    </row>
    <row r="260" spans="1:6" ht="14.25" customHeight="1">
      <c r="A260" s="2">
        <v>41</v>
      </c>
      <c r="B260" s="2">
        <v>259</v>
      </c>
      <c r="C260" s="2">
        <v>6</v>
      </c>
      <c r="E260" s="2">
        <v>2</v>
      </c>
    </row>
    <row r="261" spans="1:6" ht="14.25" customHeight="1">
      <c r="A261" s="2">
        <v>41</v>
      </c>
      <c r="B261" s="2">
        <v>260</v>
      </c>
      <c r="C261" s="2">
        <v>1</v>
      </c>
      <c r="D261" s="2">
        <v>0</v>
      </c>
      <c r="E261" s="2">
        <v>1.1180000000000001</v>
      </c>
      <c r="F261" s="2">
        <v>2</v>
      </c>
    </row>
    <row r="262" spans="1:6" ht="14.25" customHeight="1">
      <c r="A262" s="2">
        <v>41</v>
      </c>
      <c r="B262" s="2">
        <v>261</v>
      </c>
      <c r="C262" s="2">
        <v>4</v>
      </c>
      <c r="D262" s="2">
        <v>1</v>
      </c>
      <c r="E262" s="2">
        <v>0.66900000000000004</v>
      </c>
      <c r="F262" s="2">
        <v>2</v>
      </c>
    </row>
    <row r="263" spans="1:6" ht="14.25" customHeight="1">
      <c r="A263" s="2">
        <v>41</v>
      </c>
      <c r="B263" s="2">
        <v>262</v>
      </c>
      <c r="C263" s="2">
        <v>7</v>
      </c>
      <c r="D263" s="2">
        <v>0</v>
      </c>
      <c r="E263" s="2">
        <v>1.0529999999999999</v>
      </c>
      <c r="F263" s="2">
        <v>2</v>
      </c>
    </row>
    <row r="264" spans="1:6" ht="14.25" customHeight="1">
      <c r="A264" s="2">
        <v>41</v>
      </c>
      <c r="B264" s="2">
        <v>263</v>
      </c>
      <c r="C264" s="2">
        <v>4</v>
      </c>
      <c r="D264" s="2">
        <v>1</v>
      </c>
      <c r="E264" s="2">
        <v>0.67300000000000004</v>
      </c>
      <c r="F264" s="2">
        <v>2</v>
      </c>
    </row>
    <row r="265" spans="1:6" ht="14.25" customHeight="1">
      <c r="A265" s="2">
        <v>41</v>
      </c>
      <c r="B265" s="2">
        <v>264</v>
      </c>
      <c r="C265" s="2">
        <v>6</v>
      </c>
      <c r="D265" s="2">
        <v>1</v>
      </c>
      <c r="E265" s="2">
        <v>0.95899999999999996</v>
      </c>
      <c r="F265" s="2">
        <v>2</v>
      </c>
    </row>
    <row r="266" spans="1:6" ht="14.25" customHeight="1">
      <c r="A266" s="2">
        <v>41</v>
      </c>
      <c r="B266" s="2">
        <v>265</v>
      </c>
      <c r="C266" s="2">
        <v>3</v>
      </c>
      <c r="D266" s="2">
        <v>1</v>
      </c>
      <c r="E266" s="2">
        <v>0.77700000000000002</v>
      </c>
      <c r="F266" s="2">
        <v>2</v>
      </c>
    </row>
    <row r="267" spans="1:6" ht="14.25" customHeight="1">
      <c r="A267" s="2">
        <v>41</v>
      </c>
      <c r="B267" s="2">
        <v>266</v>
      </c>
      <c r="C267" s="2">
        <v>2</v>
      </c>
      <c r="D267" s="2">
        <v>1</v>
      </c>
      <c r="E267" s="2">
        <v>0.65300000000000002</v>
      </c>
      <c r="F267" s="2">
        <v>2</v>
      </c>
    </row>
    <row r="268" spans="1:6" ht="14.25" customHeight="1">
      <c r="A268" s="2">
        <v>41</v>
      </c>
      <c r="B268" s="2">
        <v>267</v>
      </c>
      <c r="C268" s="2">
        <v>1</v>
      </c>
      <c r="D268" s="2">
        <v>1</v>
      </c>
      <c r="E268" s="2">
        <v>1.478</v>
      </c>
      <c r="F268" s="2">
        <v>2</v>
      </c>
    </row>
    <row r="269" spans="1:6" ht="14.25" customHeight="1">
      <c r="A269" s="2">
        <v>41</v>
      </c>
      <c r="B269" s="2">
        <v>268</v>
      </c>
      <c r="C269" s="2">
        <v>2</v>
      </c>
      <c r="D269" s="2">
        <v>0</v>
      </c>
      <c r="E269" s="2">
        <v>0.80200000000000005</v>
      </c>
      <c r="F269" s="2">
        <v>2</v>
      </c>
    </row>
    <row r="270" spans="1:6" ht="14.25" customHeight="1">
      <c r="A270" s="2">
        <v>41</v>
      </c>
      <c r="B270" s="2">
        <v>269</v>
      </c>
      <c r="C270" s="2">
        <v>8</v>
      </c>
      <c r="E270" s="2">
        <v>2</v>
      </c>
    </row>
    <row r="271" spans="1:6" ht="14.25" customHeight="1">
      <c r="A271" s="2">
        <v>41</v>
      </c>
      <c r="B271" s="2">
        <v>270</v>
      </c>
      <c r="C271" s="2">
        <v>2</v>
      </c>
      <c r="D271" s="2">
        <v>0</v>
      </c>
      <c r="E271" s="2">
        <v>1.4159999999999999</v>
      </c>
      <c r="F271" s="2">
        <v>2</v>
      </c>
    </row>
    <row r="272" spans="1:6" ht="14.25" customHeight="1">
      <c r="A272" s="2">
        <v>41</v>
      </c>
      <c r="B272" s="2">
        <v>271</v>
      </c>
      <c r="C272" s="2">
        <v>8</v>
      </c>
      <c r="E272" s="2">
        <v>2</v>
      </c>
    </row>
    <row r="273" spans="1:6" ht="14.25" customHeight="1">
      <c r="A273" s="2">
        <v>41</v>
      </c>
      <c r="B273" s="2">
        <v>272</v>
      </c>
      <c r="C273" s="2">
        <v>2</v>
      </c>
      <c r="D273" s="2">
        <v>1</v>
      </c>
      <c r="E273" s="2">
        <v>1.24</v>
      </c>
      <c r="F273" s="2">
        <v>2</v>
      </c>
    </row>
    <row r="274" spans="1:6" ht="14.25" customHeight="1">
      <c r="A274" s="2">
        <v>41</v>
      </c>
      <c r="B274" s="2">
        <v>273</v>
      </c>
      <c r="C274" s="2">
        <v>3</v>
      </c>
      <c r="D274" s="2">
        <v>0</v>
      </c>
      <c r="E274" s="2">
        <v>1.31</v>
      </c>
      <c r="F274" s="2">
        <v>2</v>
      </c>
    </row>
    <row r="275" spans="1:6" ht="14.25" customHeight="1">
      <c r="A275" s="2">
        <v>41</v>
      </c>
      <c r="B275" s="2">
        <v>274</v>
      </c>
      <c r="C275" s="2">
        <v>8</v>
      </c>
      <c r="D275" s="2">
        <v>0</v>
      </c>
      <c r="E275" s="2">
        <v>0.67300000000000004</v>
      </c>
      <c r="F275" s="2">
        <v>2</v>
      </c>
    </row>
    <row r="276" spans="1:6" ht="14.25" customHeight="1">
      <c r="A276" s="2">
        <v>41</v>
      </c>
      <c r="B276" s="2">
        <v>275</v>
      </c>
      <c r="C276" s="2">
        <v>4</v>
      </c>
      <c r="D276" s="2">
        <v>1</v>
      </c>
      <c r="E276" s="2">
        <v>1.1040000000000001</v>
      </c>
      <c r="F276" s="2">
        <v>2</v>
      </c>
    </row>
    <row r="277" spans="1:6" ht="14.25" customHeight="1">
      <c r="A277" s="2">
        <v>41</v>
      </c>
      <c r="B277" s="2">
        <v>276</v>
      </c>
      <c r="C277" s="2">
        <v>1</v>
      </c>
      <c r="D277" s="2">
        <v>0</v>
      </c>
      <c r="E277" s="2">
        <v>1.331</v>
      </c>
      <c r="F277" s="2">
        <v>2</v>
      </c>
    </row>
    <row r="278" spans="1:6" ht="14.25" customHeight="1">
      <c r="A278" s="2">
        <v>41</v>
      </c>
      <c r="B278" s="2">
        <v>277</v>
      </c>
      <c r="C278" s="2">
        <v>5</v>
      </c>
      <c r="D278" s="2">
        <v>1</v>
      </c>
      <c r="E278" s="2">
        <v>0.88700000000000001</v>
      </c>
      <c r="F278" s="2">
        <v>2</v>
      </c>
    </row>
    <row r="279" spans="1:6" ht="14.25" customHeight="1">
      <c r="A279" s="2">
        <v>41</v>
      </c>
      <c r="B279" s="2">
        <v>278</v>
      </c>
      <c r="C279" s="2">
        <v>6</v>
      </c>
      <c r="D279" s="2">
        <v>0</v>
      </c>
      <c r="E279" s="2">
        <v>0.70399999999999996</v>
      </c>
      <c r="F279" s="2">
        <v>2</v>
      </c>
    </row>
    <row r="280" spans="1:6" ht="14.25" customHeight="1">
      <c r="A280" s="2">
        <v>41</v>
      </c>
      <c r="B280" s="2">
        <v>279</v>
      </c>
      <c r="C280" s="2">
        <v>1</v>
      </c>
      <c r="D280" s="2">
        <v>1</v>
      </c>
      <c r="E280" s="2">
        <v>0.79300000000000004</v>
      </c>
      <c r="F280" s="2">
        <v>2</v>
      </c>
    </row>
    <row r="281" spans="1:6" ht="14.25" customHeight="1">
      <c r="A281" s="2">
        <v>41</v>
      </c>
      <c r="B281" s="2">
        <v>280</v>
      </c>
      <c r="C281" s="2">
        <v>7</v>
      </c>
      <c r="D281" s="2">
        <v>1</v>
      </c>
      <c r="E281" s="2">
        <v>0.70099999999999996</v>
      </c>
      <c r="F281" s="2">
        <v>2</v>
      </c>
    </row>
    <row r="282" spans="1:6" ht="14.25" customHeight="1">
      <c r="A282" s="2">
        <v>41</v>
      </c>
      <c r="B282" s="2">
        <v>281</v>
      </c>
      <c r="C282" s="2">
        <v>2</v>
      </c>
      <c r="E282" s="2">
        <v>2</v>
      </c>
    </row>
    <row r="283" spans="1:6" ht="14.25" customHeight="1">
      <c r="A283" s="2">
        <v>41</v>
      </c>
      <c r="B283" s="2">
        <v>282</v>
      </c>
      <c r="C283" s="2">
        <v>7</v>
      </c>
      <c r="D283" s="2">
        <v>0</v>
      </c>
      <c r="E283" s="2">
        <v>1.056</v>
      </c>
      <c r="F283" s="2">
        <v>2</v>
      </c>
    </row>
    <row r="284" spans="1:6" ht="14.25" customHeight="1">
      <c r="A284" s="2">
        <v>41</v>
      </c>
      <c r="B284" s="2">
        <v>283</v>
      </c>
      <c r="C284" s="2">
        <v>1</v>
      </c>
      <c r="D284" s="2">
        <v>0</v>
      </c>
      <c r="E284" s="2">
        <v>0.67300000000000004</v>
      </c>
      <c r="F284" s="2">
        <v>2</v>
      </c>
    </row>
    <row r="285" spans="1:6" ht="14.25" customHeight="1">
      <c r="A285" s="2">
        <v>41</v>
      </c>
      <c r="B285" s="2">
        <v>284</v>
      </c>
      <c r="C285" s="2">
        <v>8</v>
      </c>
      <c r="D285" s="2">
        <v>0</v>
      </c>
      <c r="E285" s="2">
        <v>1.014</v>
      </c>
      <c r="F285" s="2">
        <v>2</v>
      </c>
    </row>
    <row r="286" spans="1:6" ht="14.25" customHeight="1">
      <c r="A286" s="2">
        <v>41</v>
      </c>
      <c r="B286" s="2">
        <v>285</v>
      </c>
      <c r="C286" s="2">
        <v>7</v>
      </c>
      <c r="D286" s="2">
        <v>0</v>
      </c>
      <c r="E286" s="2">
        <v>1.21</v>
      </c>
      <c r="F286" s="2">
        <v>2</v>
      </c>
    </row>
    <row r="287" spans="1:6" ht="14.25" customHeight="1">
      <c r="A287" s="2">
        <v>41</v>
      </c>
      <c r="B287" s="2">
        <v>286</v>
      </c>
      <c r="C287" s="2">
        <v>4</v>
      </c>
      <c r="D287" s="2">
        <v>0</v>
      </c>
      <c r="E287" s="2">
        <v>0.67200000000000004</v>
      </c>
      <c r="F287" s="2">
        <v>2</v>
      </c>
    </row>
    <row r="288" spans="1:6" ht="14.25" customHeight="1">
      <c r="A288" s="2">
        <v>41</v>
      </c>
      <c r="B288" s="2">
        <v>287</v>
      </c>
      <c r="C288" s="2">
        <v>8</v>
      </c>
      <c r="D288" s="2">
        <v>0</v>
      </c>
      <c r="E288" s="2">
        <v>1.4630000000000001</v>
      </c>
      <c r="F288" s="2">
        <v>2</v>
      </c>
    </row>
    <row r="289" spans="1:6" ht="14.25" customHeight="1">
      <c r="A289" s="2">
        <v>41</v>
      </c>
      <c r="B289" s="2">
        <v>288</v>
      </c>
      <c r="C289" s="2">
        <v>5</v>
      </c>
      <c r="E289" s="2">
        <v>2</v>
      </c>
    </row>
    <row r="290" spans="1:6" ht="14.25" customHeight="1">
      <c r="A290" s="2">
        <v>41</v>
      </c>
      <c r="B290" s="2">
        <v>289</v>
      </c>
      <c r="C290" s="2">
        <v>3</v>
      </c>
      <c r="D290" s="2">
        <v>1</v>
      </c>
      <c r="E290" s="2">
        <v>0.64200000000000002</v>
      </c>
      <c r="F290" s="2">
        <v>2</v>
      </c>
    </row>
    <row r="291" spans="1:6" ht="14.25" customHeight="1">
      <c r="A291" s="2">
        <v>41</v>
      </c>
      <c r="B291" s="2">
        <v>290</v>
      </c>
      <c r="C291" s="2">
        <v>5</v>
      </c>
      <c r="D291" s="2">
        <v>1</v>
      </c>
      <c r="E291" s="2">
        <v>1.4410000000000001</v>
      </c>
      <c r="F291" s="2">
        <v>2</v>
      </c>
    </row>
    <row r="292" spans="1:6" ht="14.25" customHeight="1">
      <c r="A292" s="2">
        <v>41</v>
      </c>
      <c r="B292" s="2">
        <v>291</v>
      </c>
      <c r="C292" s="2">
        <v>6</v>
      </c>
      <c r="E292" s="2">
        <v>2</v>
      </c>
    </row>
    <row r="293" spans="1:6" ht="14.25" customHeight="1">
      <c r="A293" s="2">
        <v>41</v>
      </c>
      <c r="B293" s="2">
        <v>292</v>
      </c>
      <c r="C293" s="2">
        <v>1</v>
      </c>
      <c r="D293" s="2">
        <v>1</v>
      </c>
      <c r="E293" s="2">
        <v>0.63300000000000001</v>
      </c>
      <c r="F293" s="2">
        <v>2</v>
      </c>
    </row>
    <row r="294" spans="1:6" ht="14.25" customHeight="1">
      <c r="A294" s="2">
        <v>41</v>
      </c>
      <c r="B294" s="2">
        <v>293</v>
      </c>
      <c r="C294" s="2">
        <v>6</v>
      </c>
      <c r="D294" s="2">
        <v>1</v>
      </c>
      <c r="E294" s="2">
        <v>0.72699999999999998</v>
      </c>
      <c r="F294" s="2">
        <v>2</v>
      </c>
    </row>
    <row r="295" spans="1:6" ht="14.25" customHeight="1">
      <c r="A295" s="2">
        <v>41</v>
      </c>
      <c r="B295" s="2">
        <v>294</v>
      </c>
      <c r="C295" s="2">
        <v>4</v>
      </c>
      <c r="E295" s="2">
        <v>2</v>
      </c>
    </row>
    <row r="296" spans="1:6" ht="14.25" customHeight="1">
      <c r="A296" s="2">
        <v>41</v>
      </c>
      <c r="B296" s="2">
        <v>295</v>
      </c>
      <c r="C296" s="2">
        <v>7</v>
      </c>
      <c r="D296" s="2">
        <v>1</v>
      </c>
      <c r="E296" s="2">
        <v>0.67900000000000005</v>
      </c>
      <c r="F296" s="2">
        <v>2</v>
      </c>
    </row>
    <row r="297" spans="1:6" ht="14.25" customHeight="1">
      <c r="A297" s="2">
        <v>41</v>
      </c>
      <c r="B297" s="2">
        <v>296</v>
      </c>
      <c r="C297" s="2">
        <v>3</v>
      </c>
      <c r="D297" s="2">
        <v>1</v>
      </c>
      <c r="E297" s="2">
        <v>0.81699999999999995</v>
      </c>
      <c r="F297" s="2">
        <v>2</v>
      </c>
    </row>
    <row r="298" spans="1:6" ht="14.25" customHeight="1">
      <c r="A298" s="2">
        <v>41</v>
      </c>
      <c r="B298" s="2">
        <v>297</v>
      </c>
      <c r="C298" s="2">
        <v>5</v>
      </c>
      <c r="D298" s="2">
        <v>0</v>
      </c>
      <c r="E298" s="2">
        <v>0.95299999999999996</v>
      </c>
      <c r="F298" s="2">
        <v>2</v>
      </c>
    </row>
    <row r="299" spans="1:6" ht="14.25" customHeight="1">
      <c r="A299" s="2">
        <v>41</v>
      </c>
      <c r="B299" s="2">
        <v>298</v>
      </c>
      <c r="C299" s="2">
        <v>3</v>
      </c>
      <c r="E299" s="2">
        <v>2</v>
      </c>
    </row>
    <row r="300" spans="1:6" ht="14.25" customHeight="1">
      <c r="A300" s="2">
        <v>41</v>
      </c>
      <c r="B300" s="2">
        <v>299</v>
      </c>
      <c r="C300" s="2">
        <v>5</v>
      </c>
      <c r="D300" s="2">
        <v>1</v>
      </c>
      <c r="E300" s="2">
        <v>0.59899999999999998</v>
      </c>
      <c r="F300" s="2">
        <v>2</v>
      </c>
    </row>
    <row r="301" spans="1:6" ht="14.25" customHeight="1">
      <c r="A301" s="2">
        <v>41</v>
      </c>
      <c r="B301" s="2">
        <v>300</v>
      </c>
      <c r="C301" s="2">
        <v>8</v>
      </c>
      <c r="D301" s="2">
        <v>1</v>
      </c>
      <c r="E301" s="2">
        <v>0.745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42</v>
      </c>
      <c r="I1" s="2">
        <v>50</v>
      </c>
      <c r="J1" s="2">
        <v>7</v>
      </c>
      <c r="K1" s="2">
        <v>0</v>
      </c>
      <c r="L1" s="2">
        <v>1.79</v>
      </c>
      <c r="M1" s="2">
        <v>1</v>
      </c>
    </row>
    <row r="2" spans="1:25" ht="14.25" customHeight="1">
      <c r="A2" s="2">
        <v>42</v>
      </c>
      <c r="B2" s="2">
        <v>1</v>
      </c>
      <c r="C2" s="2">
        <v>2</v>
      </c>
      <c r="D2" s="2">
        <v>1</v>
      </c>
      <c r="E2" s="2">
        <v>0.93500000000000005</v>
      </c>
      <c r="F2" s="2">
        <v>2</v>
      </c>
      <c r="H2" s="2">
        <v>42</v>
      </c>
      <c r="I2" s="2">
        <v>51</v>
      </c>
      <c r="J2" s="2">
        <v>8</v>
      </c>
      <c r="K2" s="2">
        <v>1</v>
      </c>
      <c r="L2" s="2">
        <v>0.78400000000000003</v>
      </c>
      <c r="M2" s="2">
        <v>2</v>
      </c>
    </row>
    <row r="3" spans="1:25" ht="14.25" customHeight="1">
      <c r="A3" s="2">
        <v>42</v>
      </c>
      <c r="B3" s="2">
        <v>2</v>
      </c>
      <c r="C3" s="2">
        <v>4</v>
      </c>
      <c r="D3" s="2">
        <v>1</v>
      </c>
      <c r="E3" s="2">
        <v>1.149</v>
      </c>
      <c r="F3" s="2">
        <v>2</v>
      </c>
      <c r="H3" s="2">
        <v>42</v>
      </c>
      <c r="I3" s="2">
        <v>52</v>
      </c>
      <c r="J3" s="2">
        <v>1</v>
      </c>
      <c r="K3" s="2">
        <v>0</v>
      </c>
      <c r="L3" s="2">
        <v>1.077</v>
      </c>
      <c r="M3" s="2">
        <v>1</v>
      </c>
    </row>
    <row r="4" spans="1:25" ht="14.25" customHeight="1">
      <c r="A4" s="2">
        <v>42</v>
      </c>
      <c r="B4" s="2">
        <v>3</v>
      </c>
      <c r="C4" s="2">
        <v>7</v>
      </c>
      <c r="D4" s="2">
        <v>0</v>
      </c>
      <c r="E4" s="2">
        <v>1.2130000000000001</v>
      </c>
      <c r="F4" s="2">
        <v>1</v>
      </c>
      <c r="H4" s="2">
        <v>42</v>
      </c>
      <c r="I4" s="2">
        <v>53</v>
      </c>
      <c r="J4" s="2">
        <v>5</v>
      </c>
      <c r="K4" s="2">
        <v>1</v>
      </c>
      <c r="L4" s="2">
        <v>0.83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42</v>
      </c>
      <c r="B5" s="2">
        <v>4</v>
      </c>
      <c r="C5" s="2">
        <v>8</v>
      </c>
      <c r="D5" s="2">
        <v>0</v>
      </c>
      <c r="E5" s="2">
        <v>1.2929999999999999</v>
      </c>
      <c r="F5" s="2">
        <v>1</v>
      </c>
      <c r="H5" s="2">
        <v>42</v>
      </c>
      <c r="I5" s="2">
        <v>54</v>
      </c>
      <c r="J5" s="2">
        <v>3</v>
      </c>
      <c r="K5" s="2">
        <v>1</v>
      </c>
      <c r="L5" s="2">
        <v>1.0840000000000001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42</v>
      </c>
      <c r="B6" s="2">
        <v>5</v>
      </c>
      <c r="C6" s="2">
        <v>3</v>
      </c>
      <c r="D6" s="2">
        <v>1</v>
      </c>
      <c r="E6" s="2">
        <v>0.85799999999999998</v>
      </c>
      <c r="F6" s="2">
        <v>1</v>
      </c>
      <c r="H6" s="2">
        <v>42</v>
      </c>
      <c r="I6" s="2">
        <v>55</v>
      </c>
      <c r="J6" s="2">
        <v>2</v>
      </c>
      <c r="K6" s="2">
        <v>1</v>
      </c>
      <c r="L6" s="2">
        <v>1.913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42</v>
      </c>
      <c r="B7" s="2">
        <v>6</v>
      </c>
      <c r="C7" s="2">
        <v>6</v>
      </c>
      <c r="D7" s="2">
        <v>0</v>
      </c>
      <c r="E7" s="2">
        <v>0.74399999999999999</v>
      </c>
      <c r="F7" s="2">
        <v>2</v>
      </c>
      <c r="H7" s="2">
        <v>42</v>
      </c>
      <c r="I7" s="2">
        <v>56</v>
      </c>
      <c r="J7" s="2">
        <v>3</v>
      </c>
      <c r="K7" s="2">
        <v>0</v>
      </c>
      <c r="L7" s="2">
        <v>1.081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42</v>
      </c>
      <c r="B8" s="2">
        <v>7</v>
      </c>
      <c r="C8" s="2">
        <v>2</v>
      </c>
      <c r="D8" s="2">
        <v>1</v>
      </c>
      <c r="E8" s="2">
        <v>0.91900000000000004</v>
      </c>
      <c r="F8" s="2">
        <v>2</v>
      </c>
      <c r="H8" s="2">
        <v>42</v>
      </c>
      <c r="I8" s="2">
        <v>57</v>
      </c>
      <c r="J8" s="2">
        <v>8</v>
      </c>
      <c r="K8" s="2">
        <v>1</v>
      </c>
      <c r="L8" s="2">
        <v>0.68200000000000005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42</v>
      </c>
      <c r="B9" s="2">
        <v>8</v>
      </c>
      <c r="C9" s="2">
        <v>6</v>
      </c>
      <c r="D9" s="2">
        <v>1</v>
      </c>
      <c r="E9" s="2">
        <v>1.1779999999999999</v>
      </c>
      <c r="F9" s="2">
        <v>1</v>
      </c>
      <c r="H9" s="2">
        <v>42</v>
      </c>
      <c r="I9" s="2">
        <v>58</v>
      </c>
      <c r="J9" s="2">
        <v>7</v>
      </c>
      <c r="K9" s="2">
        <v>1</v>
      </c>
      <c r="L9" s="2">
        <v>1.3049999999999999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42</v>
      </c>
      <c r="B10" s="2">
        <v>9</v>
      </c>
      <c r="C10" s="2">
        <v>8</v>
      </c>
      <c r="D10" s="2">
        <v>0</v>
      </c>
      <c r="E10" s="2">
        <v>1.0960000000000001</v>
      </c>
      <c r="F10" s="2">
        <v>1</v>
      </c>
      <c r="H10" s="2">
        <v>42</v>
      </c>
      <c r="I10" s="2">
        <v>59</v>
      </c>
      <c r="J10" s="2">
        <v>6</v>
      </c>
      <c r="K10" s="2">
        <v>1</v>
      </c>
      <c r="L10" s="2">
        <v>1.6890000000000001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42</v>
      </c>
      <c r="B11" s="2">
        <v>10</v>
      </c>
      <c r="C11" s="2">
        <v>3</v>
      </c>
      <c r="D11" s="2">
        <v>0</v>
      </c>
      <c r="E11" s="2">
        <v>1.0109999999999999</v>
      </c>
      <c r="F11" s="2">
        <v>2</v>
      </c>
      <c r="H11" s="2">
        <v>42</v>
      </c>
      <c r="I11" s="2">
        <v>60</v>
      </c>
      <c r="J11" s="2">
        <v>8</v>
      </c>
      <c r="K11" s="2">
        <v>1</v>
      </c>
      <c r="L11" s="2">
        <v>1.8149999999999999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42</v>
      </c>
      <c r="B12" s="2">
        <v>11</v>
      </c>
      <c r="C12" s="2">
        <v>4</v>
      </c>
      <c r="D12" s="2">
        <v>1</v>
      </c>
      <c r="E12" s="2">
        <v>1.389</v>
      </c>
      <c r="F12" s="2">
        <v>2</v>
      </c>
      <c r="H12" s="2">
        <v>42</v>
      </c>
      <c r="I12" s="2">
        <v>61</v>
      </c>
      <c r="J12" s="2">
        <v>6</v>
      </c>
      <c r="K12" s="2">
        <v>1</v>
      </c>
      <c r="L12" s="2">
        <v>1.425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42</v>
      </c>
      <c r="B13" s="2">
        <v>12</v>
      </c>
      <c r="C13" s="2">
        <v>5</v>
      </c>
      <c r="D13" s="2">
        <v>1</v>
      </c>
      <c r="E13" s="2">
        <v>1.633</v>
      </c>
      <c r="F13" s="2">
        <v>1</v>
      </c>
      <c r="H13" s="2">
        <v>42</v>
      </c>
      <c r="I13" s="2">
        <v>62</v>
      </c>
      <c r="J13" s="2">
        <v>4</v>
      </c>
      <c r="K13" s="2">
        <v>0</v>
      </c>
      <c r="L13" s="2">
        <v>1.601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42</v>
      </c>
      <c r="B14" s="2">
        <v>13</v>
      </c>
      <c r="C14" s="2">
        <v>4</v>
      </c>
      <c r="D14" s="2">
        <v>1</v>
      </c>
      <c r="E14" s="2">
        <v>1.0029999999999999</v>
      </c>
      <c r="F14" s="2">
        <v>2</v>
      </c>
      <c r="H14" s="2">
        <v>42</v>
      </c>
      <c r="I14" s="2">
        <v>63</v>
      </c>
      <c r="J14" s="2">
        <v>1</v>
      </c>
      <c r="K14" s="2">
        <v>1</v>
      </c>
      <c r="L14" s="2">
        <v>1.2190000000000001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42</v>
      </c>
      <c r="B15" s="2">
        <v>14</v>
      </c>
      <c r="C15" s="2">
        <v>1</v>
      </c>
      <c r="D15" s="2">
        <v>0</v>
      </c>
      <c r="E15" s="2">
        <v>1.278</v>
      </c>
      <c r="F15" s="2">
        <v>2</v>
      </c>
      <c r="H15" s="2">
        <v>42</v>
      </c>
      <c r="I15" s="2">
        <v>64</v>
      </c>
      <c r="J15" s="2">
        <v>4</v>
      </c>
      <c r="K15" s="2">
        <v>1</v>
      </c>
      <c r="L15" s="2">
        <v>1.113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42</v>
      </c>
      <c r="B16" s="2">
        <v>15</v>
      </c>
      <c r="C16" s="2">
        <v>7</v>
      </c>
      <c r="D16" s="2">
        <v>0</v>
      </c>
      <c r="E16" s="2">
        <v>1.58</v>
      </c>
      <c r="F16" s="2">
        <v>1</v>
      </c>
      <c r="H16" s="2">
        <v>42</v>
      </c>
      <c r="I16" s="2">
        <v>65</v>
      </c>
      <c r="J16" s="2">
        <v>6</v>
      </c>
      <c r="K16" s="2">
        <v>1</v>
      </c>
      <c r="L16" s="2">
        <v>1.7949999999999999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42</v>
      </c>
      <c r="B17" s="2">
        <v>16</v>
      </c>
      <c r="C17" s="2">
        <v>3</v>
      </c>
      <c r="D17" s="2">
        <v>1</v>
      </c>
      <c r="E17" s="2">
        <v>1.907</v>
      </c>
      <c r="F17" s="2">
        <v>1</v>
      </c>
      <c r="H17" s="2">
        <v>42</v>
      </c>
      <c r="I17" s="2">
        <v>66</v>
      </c>
      <c r="J17" s="2">
        <v>3</v>
      </c>
      <c r="K17" s="2">
        <v>1</v>
      </c>
      <c r="L17" s="2">
        <v>1.0489999999999999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0.15999999999999992</v>
      </c>
      <c r="P17" s="3">
        <f t="shared" ref="P17:P22" si="1">(P6*COUNTIF($J$1:$J$101,P$16) - COUNTIFS($J$1:$J$101,P$16,$K$1:$K$101,"=1"))^2</f>
        <v>0.15999999999999887</v>
      </c>
      <c r="Q17" s="3">
        <f t="shared" ref="Q17:Q22" si="2">(Q6*COUNTIF($J$1:$J$101,Q$16) - COUNTIFS($J$1:$J$101,Q$16,$K$1:$K$101,"=0"))^2</f>
        <v>2.5599999999999996</v>
      </c>
      <c r="R17" s="3">
        <f t="shared" ref="R17:R22" si="3">(R6*COUNTIF($J$1:$J$101,R$16) - COUNTIFS($J$1:$J$101,R$16,$K$1:$K$101,"=1"))^2</f>
        <v>11.55999999999999</v>
      </c>
      <c r="S17" s="3">
        <f t="shared" ref="S17:T17" si="4">(S6*COUNTIF($J$1:$J$101,S$16) - COUNTIFS($J$1:$J$101,S$16,$K$1:$K$101,"=0"))^2</f>
        <v>0.15999999999999992</v>
      </c>
      <c r="T17" s="3">
        <f t="shared" si="4"/>
        <v>0.4900000000000001</v>
      </c>
      <c r="U17" s="3">
        <f t="shared" ref="U17:V17" si="5">(U6*COUNTIF($J$1:$J$101,U$16) - COUNTIFS($J$1:$J$101,U$16,$K$1:$K$101,"=1"))^2</f>
        <v>1.8224999999999991</v>
      </c>
      <c r="V17" s="3">
        <f t="shared" si="5"/>
        <v>0.36000000000000171</v>
      </c>
      <c r="W17" s="4"/>
      <c r="X17" s="4"/>
      <c r="Y17" s="4"/>
    </row>
    <row r="18" spans="1:25" ht="14.25" customHeight="1">
      <c r="A18" s="2">
        <v>42</v>
      </c>
      <c r="B18" s="2">
        <v>17</v>
      </c>
      <c r="C18" s="2">
        <v>1</v>
      </c>
      <c r="D18" s="2">
        <v>0</v>
      </c>
      <c r="E18" s="2">
        <v>0.83199999999999996</v>
      </c>
      <c r="F18" s="2">
        <v>2</v>
      </c>
      <c r="H18" s="2">
        <v>42</v>
      </c>
      <c r="I18" s="2">
        <v>67</v>
      </c>
      <c r="J18" s="2">
        <v>1</v>
      </c>
      <c r="K18" s="2">
        <v>1</v>
      </c>
      <c r="L18" s="2">
        <v>0.90300000000000002</v>
      </c>
      <c r="M18" s="2">
        <v>1</v>
      </c>
      <c r="N18" s="3">
        <v>2</v>
      </c>
      <c r="O18" s="3">
        <f t="shared" si="0"/>
        <v>0.15999999999999992</v>
      </c>
      <c r="P18" s="3">
        <f t="shared" si="1"/>
        <v>108.16000000000001</v>
      </c>
      <c r="Q18" s="6">
        <f t="shared" si="2"/>
        <v>121</v>
      </c>
      <c r="R18" s="3">
        <f t="shared" si="3"/>
        <v>11.55999999999999</v>
      </c>
      <c r="S18" s="6">
        <f t="shared" ref="S18:T18" si="6">(S7*COUNTIF($J$1:$J$101,S$16) - COUNTIFS($J$1:$J$101,S$16,$K$1:$K$101,"=0"))^2</f>
        <v>0.15999999999999992</v>
      </c>
      <c r="T18" s="6">
        <f t="shared" si="6"/>
        <v>0.4900000000000001</v>
      </c>
      <c r="U18" s="6">
        <f t="shared" ref="U18:V18" si="7">(U7*COUNTIF($J$1:$J$101,U$16) - COUNTIFS($J$1:$J$101,U$16,$K$1:$K$101,"=1"))^2</f>
        <v>1.8224999999999991</v>
      </c>
      <c r="V18" s="6">
        <f t="shared" si="7"/>
        <v>0.36000000000000171</v>
      </c>
      <c r="W18" s="4"/>
      <c r="X18" s="4"/>
      <c r="Y18" s="4"/>
    </row>
    <row r="19" spans="1:25" ht="14.25" customHeight="1">
      <c r="A19" s="2">
        <v>42</v>
      </c>
      <c r="B19" s="2">
        <v>18</v>
      </c>
      <c r="C19" s="2">
        <v>6</v>
      </c>
      <c r="D19" s="2">
        <v>0</v>
      </c>
      <c r="E19" s="2">
        <v>1.258</v>
      </c>
      <c r="F19" s="2">
        <v>2</v>
      </c>
      <c r="H19" s="2">
        <v>42</v>
      </c>
      <c r="I19" s="2">
        <v>68</v>
      </c>
      <c r="J19" s="2">
        <v>2</v>
      </c>
      <c r="K19" s="2">
        <v>0</v>
      </c>
      <c r="L19" s="2">
        <v>1.242</v>
      </c>
      <c r="M19" s="2">
        <v>2</v>
      </c>
      <c r="N19" s="3">
        <v>3</v>
      </c>
      <c r="O19" s="3">
        <f t="shared" si="0"/>
        <v>0.15999999999999992</v>
      </c>
      <c r="P19" s="3">
        <f t="shared" si="1"/>
        <v>0.15999999999999887</v>
      </c>
      <c r="Q19" s="3">
        <f t="shared" si="2"/>
        <v>2.5599999999999996</v>
      </c>
      <c r="R19" s="3">
        <f t="shared" si="3"/>
        <v>11.55999999999999</v>
      </c>
      <c r="S19" s="6">
        <f t="shared" ref="S19:T19" si="8">(S8*COUNTIF($J$1:$J$101,S$16) - COUNTIFS($J$1:$J$101,S$16,$K$1:$K$101,"=0"))^2</f>
        <v>0.15999999999999992</v>
      </c>
      <c r="T19" s="6">
        <f t="shared" si="8"/>
        <v>176.88999999999996</v>
      </c>
      <c r="U19" s="3">
        <f t="shared" ref="U19:V19" si="9">(U8*COUNTIF($J$1:$J$101,U$16) - COUNTIFS($J$1:$J$101,U$16,$K$1:$K$101,"=1"))^2</f>
        <v>107.12249999999999</v>
      </c>
      <c r="V19" s="6">
        <f t="shared" si="9"/>
        <v>0.36000000000000171</v>
      </c>
      <c r="W19" s="4"/>
      <c r="X19" s="4"/>
      <c r="Y19" s="4"/>
    </row>
    <row r="20" spans="1:25" ht="14.25" customHeight="1">
      <c r="A20" s="2">
        <v>42</v>
      </c>
      <c r="B20" s="2">
        <v>19</v>
      </c>
      <c r="C20" s="2">
        <v>5</v>
      </c>
      <c r="D20" s="2">
        <v>1</v>
      </c>
      <c r="E20" s="2">
        <v>1.5880000000000001</v>
      </c>
      <c r="F20" s="2">
        <v>1</v>
      </c>
      <c r="H20" s="2">
        <v>42</v>
      </c>
      <c r="I20" s="2">
        <v>69</v>
      </c>
      <c r="J20" s="2">
        <v>5</v>
      </c>
      <c r="K20" s="2">
        <v>0</v>
      </c>
      <c r="L20" s="2">
        <v>1.81</v>
      </c>
      <c r="M20" s="2">
        <v>2</v>
      </c>
      <c r="N20" s="3">
        <v>4</v>
      </c>
      <c r="O20" s="3">
        <f t="shared" si="0"/>
        <v>25</v>
      </c>
      <c r="P20" s="3">
        <f t="shared" si="1"/>
        <v>25</v>
      </c>
      <c r="Q20" s="3">
        <f t="shared" si="2"/>
        <v>16</v>
      </c>
      <c r="R20" s="3">
        <f t="shared" si="3"/>
        <v>4</v>
      </c>
      <c r="S20" s="6">
        <f t="shared" ref="S20:T20" si="10">(S9*COUNTIF($J$1:$J$101,S$16) - COUNTIFS($J$1:$J$101,S$16,$K$1:$K$101,"=0"))^2</f>
        <v>0.15999999999999992</v>
      </c>
      <c r="T20" s="6">
        <f t="shared" si="10"/>
        <v>0.4900000000000001</v>
      </c>
      <c r="U20" s="6">
        <f t="shared" ref="U20:V20" si="11">(U9*COUNTIF($J$1:$J$101,U$16) - COUNTIFS($J$1:$J$101,U$16,$K$1:$K$101,"=1"))^2</f>
        <v>1.8224999999999991</v>
      </c>
      <c r="V20" s="6">
        <f t="shared" si="11"/>
        <v>0.36000000000000171</v>
      </c>
      <c r="W20" s="4"/>
      <c r="X20" s="4"/>
      <c r="Y20" s="4"/>
    </row>
    <row r="21" spans="1:25" ht="14.25" customHeight="1">
      <c r="A21" s="2">
        <v>42</v>
      </c>
      <c r="B21" s="2">
        <v>20</v>
      </c>
      <c r="C21" s="2">
        <v>3</v>
      </c>
      <c r="D21" s="2">
        <v>1</v>
      </c>
      <c r="E21" s="2">
        <v>1.242</v>
      </c>
      <c r="F21" s="2">
        <v>1</v>
      </c>
      <c r="H21" s="2">
        <v>42</v>
      </c>
      <c r="I21" s="2">
        <v>70</v>
      </c>
      <c r="J21" s="2">
        <v>1</v>
      </c>
      <c r="K21" s="2">
        <v>1</v>
      </c>
      <c r="L21" s="2">
        <v>1.081</v>
      </c>
      <c r="M21" s="2">
        <v>1</v>
      </c>
      <c r="N21" s="3">
        <v>5</v>
      </c>
      <c r="O21" s="3">
        <f t="shared" si="0"/>
        <v>0.15999999999999992</v>
      </c>
      <c r="P21" s="3">
        <f t="shared" si="1"/>
        <v>0.15999999999999887</v>
      </c>
      <c r="Q21" s="3">
        <f t="shared" si="2"/>
        <v>2.5599999999999996</v>
      </c>
      <c r="R21" s="3">
        <f t="shared" si="3"/>
        <v>11.55999999999999</v>
      </c>
      <c r="S21" s="6">
        <f t="shared" ref="S21:T21" si="12">(S10*COUNTIF($J$1:$J$101,S$16) - COUNTIFS($J$1:$J$101,S$16,$K$1:$K$101,"=0"))^2</f>
        <v>25</v>
      </c>
      <c r="T21" s="6">
        <f t="shared" si="12"/>
        <v>49</v>
      </c>
      <c r="U21" s="6">
        <f t="shared" ref="U21:V21" si="13">(U10*COUNTIF($J$1:$J$101,U$16) - COUNTIFS($J$1:$J$101,U$16,$K$1:$K$101,"=1"))^2</f>
        <v>20.25</v>
      </c>
      <c r="V21" s="6">
        <f t="shared" si="13"/>
        <v>36</v>
      </c>
      <c r="W21" s="4"/>
      <c r="X21" s="4"/>
      <c r="Y21" s="4"/>
    </row>
    <row r="22" spans="1:25" ht="14.25" customHeight="1">
      <c r="A22" s="2">
        <v>42</v>
      </c>
      <c r="B22" s="2">
        <v>21</v>
      </c>
      <c r="C22" s="2">
        <v>7</v>
      </c>
      <c r="D22" s="2">
        <v>0</v>
      </c>
      <c r="E22" s="2">
        <v>0.98599999999999999</v>
      </c>
      <c r="F22" s="2">
        <v>1</v>
      </c>
      <c r="H22" s="2">
        <v>42</v>
      </c>
      <c r="I22" s="2">
        <v>71</v>
      </c>
      <c r="J22" s="2">
        <v>3</v>
      </c>
      <c r="K22" s="2">
        <v>0</v>
      </c>
      <c r="L22" s="2">
        <v>1.68</v>
      </c>
      <c r="M22" s="2">
        <v>1</v>
      </c>
      <c r="N22" s="3">
        <v>6</v>
      </c>
      <c r="O22" s="3">
        <f t="shared" si="0"/>
        <v>25</v>
      </c>
      <c r="P22" s="3">
        <f t="shared" si="1"/>
        <v>25</v>
      </c>
      <c r="Q22" s="3">
        <f t="shared" si="2"/>
        <v>16</v>
      </c>
      <c r="R22" s="3">
        <f t="shared" si="3"/>
        <v>4</v>
      </c>
      <c r="S22" s="6">
        <f t="shared" ref="S22:T22" si="14">(S11*COUNTIF($J$1:$J$101,S$16) - COUNTIFS($J$1:$J$101,S$16,$K$1:$K$101,"=0"))^2</f>
        <v>25</v>
      </c>
      <c r="T22" s="6">
        <f t="shared" si="14"/>
        <v>49</v>
      </c>
      <c r="U22" s="6">
        <f t="shared" ref="U22:V22" si="15">(U11*COUNTIF($J$1:$J$101,U$16) - COUNTIFS($J$1:$J$101,U$16,$K$1:$K$101,"=1"))^2</f>
        <v>20.25</v>
      </c>
      <c r="V22" s="6">
        <f t="shared" si="15"/>
        <v>36</v>
      </c>
      <c r="W22" s="4"/>
      <c r="X22" s="4"/>
      <c r="Y22" s="4"/>
    </row>
    <row r="23" spans="1:25" ht="14.25" customHeight="1">
      <c r="A23" s="2">
        <v>42</v>
      </c>
      <c r="B23" s="2">
        <v>22</v>
      </c>
      <c r="C23" s="2">
        <v>1</v>
      </c>
      <c r="D23" s="2">
        <v>1</v>
      </c>
      <c r="E23" s="2">
        <v>1.304</v>
      </c>
      <c r="F23" s="2">
        <v>1</v>
      </c>
      <c r="H23" s="2">
        <v>42</v>
      </c>
      <c r="I23" s="2">
        <v>72</v>
      </c>
      <c r="J23" s="2">
        <v>6</v>
      </c>
      <c r="K23" s="2">
        <v>1</v>
      </c>
      <c r="L23" s="2">
        <v>0.89500000000000002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42</v>
      </c>
      <c r="B24" s="2">
        <v>23</v>
      </c>
      <c r="C24" s="2">
        <v>6</v>
      </c>
      <c r="D24" s="2">
        <v>1</v>
      </c>
      <c r="E24" s="2">
        <v>1.323</v>
      </c>
      <c r="F24" s="2">
        <v>1</v>
      </c>
      <c r="H24" s="2">
        <v>42</v>
      </c>
      <c r="I24" s="2">
        <v>73</v>
      </c>
      <c r="J24" s="2">
        <v>2</v>
      </c>
      <c r="K24" s="2">
        <v>1</v>
      </c>
      <c r="L24" s="2">
        <v>0.83899999999999997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42</v>
      </c>
      <c r="B25" s="2">
        <v>24</v>
      </c>
      <c r="C25" s="2">
        <v>5</v>
      </c>
      <c r="D25" s="2">
        <v>1</v>
      </c>
      <c r="E25" s="2">
        <v>1.0740000000000001</v>
      </c>
      <c r="F25" s="2">
        <v>1</v>
      </c>
      <c r="H25" s="2">
        <v>42</v>
      </c>
      <c r="I25" s="2">
        <v>74</v>
      </c>
      <c r="J25" s="2">
        <v>5</v>
      </c>
      <c r="K25" s="2">
        <v>1</v>
      </c>
      <c r="L25" s="2">
        <v>1.4530000000000001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42</v>
      </c>
      <c r="B26" s="2">
        <v>25</v>
      </c>
      <c r="C26" s="2">
        <v>8</v>
      </c>
      <c r="D26" s="2">
        <v>0</v>
      </c>
      <c r="E26" s="2">
        <v>1.0369999999999999</v>
      </c>
      <c r="F26" s="2">
        <v>1</v>
      </c>
      <c r="H26" s="2">
        <v>42</v>
      </c>
      <c r="I26" s="2">
        <v>75</v>
      </c>
      <c r="J26" s="2">
        <v>2</v>
      </c>
      <c r="K26" s="2">
        <v>1</v>
      </c>
      <c r="L26" s="2">
        <v>1.639</v>
      </c>
      <c r="M26" s="2">
        <v>2</v>
      </c>
      <c r="N26" s="4"/>
      <c r="O26" s="3">
        <f t="shared" ref="O26:V26" si="16">COUNTIF($J$1:$J$102,O16)*COUNTIF($J$1:$J$102,O16)</f>
        <v>144</v>
      </c>
      <c r="P26" s="3">
        <f t="shared" si="16"/>
        <v>144</v>
      </c>
      <c r="Q26" s="3">
        <f t="shared" si="16"/>
        <v>196</v>
      </c>
      <c r="R26" s="3">
        <f t="shared" si="16"/>
        <v>144</v>
      </c>
      <c r="S26" s="3">
        <f t="shared" si="16"/>
        <v>144</v>
      </c>
      <c r="T26" s="3">
        <f t="shared" si="16"/>
        <v>196</v>
      </c>
      <c r="U26" s="3">
        <f t="shared" si="16"/>
        <v>169</v>
      </c>
      <c r="V26" s="3">
        <f t="shared" si="16"/>
        <v>144</v>
      </c>
      <c r="W26" s="4"/>
      <c r="X26" s="4"/>
      <c r="Y26" s="4"/>
    </row>
    <row r="27" spans="1:25" ht="14.25" customHeight="1">
      <c r="A27" s="2">
        <v>42</v>
      </c>
      <c r="B27" s="2">
        <v>26</v>
      </c>
      <c r="C27" s="2">
        <v>1</v>
      </c>
      <c r="D27" s="2">
        <v>1</v>
      </c>
      <c r="E27" s="2">
        <v>1.2509999999999999</v>
      </c>
      <c r="F27" s="2">
        <v>1</v>
      </c>
      <c r="H27" s="2">
        <v>42</v>
      </c>
      <c r="I27" s="2">
        <v>76</v>
      </c>
      <c r="J27" s="2">
        <v>6</v>
      </c>
      <c r="K27" s="2">
        <v>1</v>
      </c>
      <c r="L27" s="2">
        <v>0.875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42</v>
      </c>
      <c r="B28" s="2">
        <v>27</v>
      </c>
      <c r="C28" s="2">
        <v>8</v>
      </c>
      <c r="D28" s="2">
        <v>1</v>
      </c>
      <c r="E28" s="2">
        <v>1.363</v>
      </c>
      <c r="F28" s="2">
        <v>2</v>
      </c>
      <c r="H28" s="2">
        <v>42</v>
      </c>
      <c r="I28" s="2">
        <v>77</v>
      </c>
      <c r="J28" s="2">
        <v>2</v>
      </c>
      <c r="K28" s="2">
        <v>1</v>
      </c>
      <c r="L28" s="2">
        <v>1.1240000000000001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42</v>
      </c>
      <c r="B29" s="2">
        <v>28</v>
      </c>
      <c r="C29" s="2">
        <v>3</v>
      </c>
      <c r="D29" s="2">
        <v>1</v>
      </c>
      <c r="E29" s="2">
        <v>0.753</v>
      </c>
      <c r="F29" s="2">
        <v>1</v>
      </c>
      <c r="H29" s="2">
        <v>42</v>
      </c>
      <c r="I29" s="2">
        <v>78</v>
      </c>
      <c r="J29" s="2">
        <v>1</v>
      </c>
      <c r="K29" s="2">
        <v>1</v>
      </c>
      <c r="L29" s="2">
        <v>0.84399999999999997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42</v>
      </c>
      <c r="B30" s="2">
        <v>29</v>
      </c>
      <c r="C30" s="2">
        <v>2</v>
      </c>
      <c r="D30" s="2">
        <v>1</v>
      </c>
      <c r="E30" s="2">
        <v>0.90900000000000003</v>
      </c>
      <c r="F30" s="2">
        <v>2</v>
      </c>
      <c r="H30" s="2">
        <v>42</v>
      </c>
      <c r="I30" s="2">
        <v>79</v>
      </c>
      <c r="J30" s="2">
        <v>5</v>
      </c>
      <c r="K30" s="2">
        <v>1</v>
      </c>
      <c r="L30" s="2">
        <v>0.65700000000000003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42</v>
      </c>
      <c r="B31" s="2">
        <v>30</v>
      </c>
      <c r="C31" s="2">
        <v>3</v>
      </c>
      <c r="D31" s="2">
        <v>1</v>
      </c>
      <c r="E31" s="2">
        <v>0.86399999999999999</v>
      </c>
      <c r="F31" s="2">
        <v>1</v>
      </c>
      <c r="H31" s="2">
        <v>42</v>
      </c>
      <c r="I31" s="2">
        <v>80</v>
      </c>
      <c r="J31" s="2">
        <v>3</v>
      </c>
      <c r="K31" s="2">
        <v>1</v>
      </c>
      <c r="L31" s="2">
        <v>1.3240000000000001</v>
      </c>
      <c r="M31" s="2">
        <v>1</v>
      </c>
      <c r="N31" s="3">
        <v>1</v>
      </c>
      <c r="O31" s="3">
        <f t="shared" ref="O31:O36" si="17">SUM(O17:V17)/SUM(O$26:V$26)</f>
        <v>1.3483606557377041E-2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42</v>
      </c>
      <c r="B32" s="2">
        <v>31</v>
      </c>
      <c r="C32" s="2">
        <v>5</v>
      </c>
      <c r="D32" s="2">
        <v>0</v>
      </c>
      <c r="E32" s="2">
        <v>1.59</v>
      </c>
      <c r="F32" s="2">
        <v>2</v>
      </c>
      <c r="H32" s="2">
        <v>42</v>
      </c>
      <c r="I32" s="2">
        <v>81</v>
      </c>
      <c r="J32" s="2">
        <v>4</v>
      </c>
      <c r="K32" s="2">
        <v>1</v>
      </c>
      <c r="L32" s="2">
        <v>0.69599999999999995</v>
      </c>
      <c r="M32" s="2">
        <v>1</v>
      </c>
      <c r="N32" s="3">
        <v>2</v>
      </c>
      <c r="O32" s="3">
        <f t="shared" si="17"/>
        <v>0.19025175644028103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42</v>
      </c>
      <c r="B33" s="2">
        <v>32</v>
      </c>
      <c r="C33" s="2">
        <v>4</v>
      </c>
      <c r="D33" s="2">
        <v>0</v>
      </c>
      <c r="E33" s="2">
        <v>1.246</v>
      </c>
      <c r="F33" s="2">
        <v>1</v>
      </c>
      <c r="H33" s="2">
        <v>42</v>
      </c>
      <c r="I33" s="2">
        <v>82</v>
      </c>
      <c r="J33" s="2">
        <v>6</v>
      </c>
      <c r="K33" s="2">
        <v>1</v>
      </c>
      <c r="L33" s="2">
        <v>1.0740000000000001</v>
      </c>
      <c r="M33" s="2">
        <v>2</v>
      </c>
      <c r="N33" s="3">
        <v>3</v>
      </c>
      <c r="O33" s="3">
        <f t="shared" si="17"/>
        <v>0.23338992974238873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42</v>
      </c>
      <c r="B34" s="2">
        <v>33</v>
      </c>
      <c r="C34" s="2">
        <v>6</v>
      </c>
      <c r="D34" s="2">
        <v>1</v>
      </c>
      <c r="E34" s="2">
        <v>1.48</v>
      </c>
      <c r="F34" s="2">
        <v>1</v>
      </c>
      <c r="H34" s="2">
        <v>42</v>
      </c>
      <c r="I34" s="2">
        <v>83</v>
      </c>
      <c r="J34" s="2">
        <v>7</v>
      </c>
      <c r="K34" s="2">
        <v>1</v>
      </c>
      <c r="L34" s="2">
        <v>0.95399999999999996</v>
      </c>
      <c r="M34" s="2">
        <v>1</v>
      </c>
      <c r="N34" s="3">
        <v>4</v>
      </c>
      <c r="O34" s="3">
        <f t="shared" si="17"/>
        <v>5.6855971896955501E-2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42</v>
      </c>
      <c r="B35" s="2">
        <v>34</v>
      </c>
      <c r="C35" s="2">
        <v>4</v>
      </c>
      <c r="D35" s="2">
        <v>0</v>
      </c>
      <c r="E35" s="2">
        <v>1.9710000000000001</v>
      </c>
      <c r="F35" s="2">
        <v>1</v>
      </c>
      <c r="H35" s="2">
        <v>42</v>
      </c>
      <c r="I35" s="2">
        <v>84</v>
      </c>
      <c r="J35" s="2">
        <v>8</v>
      </c>
      <c r="K35" s="2">
        <v>1</v>
      </c>
      <c r="L35" s="2">
        <v>1.0109999999999999</v>
      </c>
      <c r="M35" s="2">
        <v>2</v>
      </c>
      <c r="N35" s="3">
        <v>5</v>
      </c>
      <c r="O35" s="3">
        <f t="shared" si="17"/>
        <v>0.11295081967213115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42</v>
      </c>
      <c r="B36" s="2">
        <v>35</v>
      </c>
      <c r="C36" s="2">
        <v>1</v>
      </c>
      <c r="D36" s="2">
        <v>1</v>
      </c>
      <c r="E36" s="2">
        <v>0.88300000000000001</v>
      </c>
      <c r="F36" s="2">
        <v>1</v>
      </c>
      <c r="H36" s="2">
        <v>42</v>
      </c>
      <c r="I36" s="2">
        <v>85</v>
      </c>
      <c r="J36" s="2">
        <v>7</v>
      </c>
      <c r="K36" s="2">
        <v>1</v>
      </c>
      <c r="L36" s="2">
        <v>0.93700000000000006</v>
      </c>
      <c r="M36" s="2">
        <v>1</v>
      </c>
      <c r="N36" s="3">
        <v>6</v>
      </c>
      <c r="O36" s="3">
        <f t="shared" si="17"/>
        <v>0.15632318501170961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42</v>
      </c>
      <c r="B37" s="2">
        <v>36</v>
      </c>
      <c r="C37" s="2">
        <v>8</v>
      </c>
      <c r="D37" s="2">
        <v>1</v>
      </c>
      <c r="E37" s="2">
        <v>1.0669999999999999</v>
      </c>
      <c r="F37" s="2">
        <v>2</v>
      </c>
      <c r="H37" s="2">
        <v>42</v>
      </c>
      <c r="I37" s="2">
        <v>86</v>
      </c>
      <c r="J37" s="2">
        <v>4</v>
      </c>
      <c r="K37" s="2">
        <v>1</v>
      </c>
      <c r="L37" s="2">
        <v>1.905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42</v>
      </c>
      <c r="B38" s="2">
        <v>37</v>
      </c>
      <c r="C38" s="2">
        <v>2</v>
      </c>
      <c r="D38" s="2">
        <v>1</v>
      </c>
      <c r="E38" s="2">
        <v>0.71399999999999997</v>
      </c>
      <c r="F38" s="2">
        <v>2</v>
      </c>
      <c r="H38" s="2">
        <v>42</v>
      </c>
      <c r="I38" s="2">
        <v>87</v>
      </c>
      <c r="J38" s="2">
        <v>2</v>
      </c>
      <c r="K38" s="2">
        <v>1</v>
      </c>
      <c r="L38" s="2">
        <v>0.70599999999999996</v>
      </c>
      <c r="M38" s="2">
        <v>2</v>
      </c>
    </row>
    <row r="39" spans="1:25" ht="14.25" customHeight="1">
      <c r="A39" s="2">
        <v>42</v>
      </c>
      <c r="B39" s="2">
        <v>38</v>
      </c>
      <c r="C39" s="2">
        <v>6</v>
      </c>
      <c r="D39" s="2">
        <v>0</v>
      </c>
      <c r="E39" s="2">
        <v>1.115</v>
      </c>
      <c r="F39" s="2">
        <v>2</v>
      </c>
      <c r="H39" s="2">
        <v>42</v>
      </c>
      <c r="I39" s="2">
        <v>88</v>
      </c>
      <c r="J39" s="2">
        <v>6</v>
      </c>
      <c r="K39" s="2">
        <v>1</v>
      </c>
      <c r="L39" s="2">
        <v>1.4379999999999999</v>
      </c>
      <c r="M39" s="2">
        <v>1</v>
      </c>
    </row>
    <row r="40" spans="1:25" ht="14.25" customHeight="1">
      <c r="A40" s="2">
        <v>42</v>
      </c>
      <c r="B40" s="2">
        <v>39</v>
      </c>
      <c r="C40" s="2">
        <v>3</v>
      </c>
      <c r="E40" s="2">
        <v>2</v>
      </c>
      <c r="H40" s="2">
        <v>42</v>
      </c>
      <c r="I40" s="2">
        <v>89</v>
      </c>
      <c r="J40" s="2">
        <v>5</v>
      </c>
      <c r="K40" s="2">
        <v>1</v>
      </c>
      <c r="L40" s="2">
        <v>0.85299999999999998</v>
      </c>
      <c r="M40" s="2">
        <v>1</v>
      </c>
    </row>
    <row r="41" spans="1:25" ht="14.25" customHeight="1">
      <c r="A41" s="2">
        <v>42</v>
      </c>
      <c r="B41" s="2">
        <v>40</v>
      </c>
      <c r="C41" s="2">
        <v>7</v>
      </c>
      <c r="D41" s="2">
        <v>0</v>
      </c>
      <c r="E41" s="2">
        <v>0.86299999999999999</v>
      </c>
      <c r="F41" s="2">
        <v>1</v>
      </c>
      <c r="H41" s="2">
        <v>42</v>
      </c>
      <c r="I41" s="2">
        <v>90</v>
      </c>
      <c r="J41" s="2">
        <v>4</v>
      </c>
      <c r="K41" s="2">
        <v>0</v>
      </c>
      <c r="L41" s="2">
        <v>1.891</v>
      </c>
      <c r="M41" s="2">
        <v>1</v>
      </c>
    </row>
    <row r="42" spans="1:25" ht="14.25" customHeight="1">
      <c r="A42" s="2">
        <v>42</v>
      </c>
      <c r="B42" s="2">
        <v>41</v>
      </c>
      <c r="C42" s="2">
        <v>1</v>
      </c>
      <c r="D42" s="2">
        <v>1</v>
      </c>
      <c r="E42" s="2">
        <v>1.05</v>
      </c>
      <c r="F42" s="2">
        <v>1</v>
      </c>
      <c r="H42" s="2">
        <v>42</v>
      </c>
      <c r="I42" s="2">
        <v>91</v>
      </c>
      <c r="J42" s="2">
        <v>1</v>
      </c>
      <c r="K42" s="2">
        <v>1</v>
      </c>
      <c r="L42" s="2">
        <v>0.84899999999999998</v>
      </c>
      <c r="M42" s="2">
        <v>1</v>
      </c>
    </row>
    <row r="43" spans="1:25" ht="14.25" customHeight="1">
      <c r="A43" s="2">
        <v>42</v>
      </c>
      <c r="B43" s="2">
        <v>42</v>
      </c>
      <c r="C43" s="2">
        <v>5</v>
      </c>
      <c r="D43" s="2">
        <v>0</v>
      </c>
      <c r="E43" s="2">
        <v>1.385</v>
      </c>
      <c r="F43" s="2">
        <v>2</v>
      </c>
      <c r="H43" s="2">
        <v>42</v>
      </c>
      <c r="I43" s="2">
        <v>92</v>
      </c>
      <c r="J43" s="2">
        <v>3</v>
      </c>
      <c r="K43" s="2">
        <v>1</v>
      </c>
      <c r="L43" s="2">
        <v>0.81299999999999994</v>
      </c>
      <c r="M43" s="2">
        <v>1</v>
      </c>
    </row>
    <row r="44" spans="1:25" ht="14.25" customHeight="1">
      <c r="A44" s="2">
        <v>42</v>
      </c>
      <c r="B44" s="2">
        <v>43</v>
      </c>
      <c r="C44" s="2">
        <v>6</v>
      </c>
      <c r="D44" s="2">
        <v>0</v>
      </c>
      <c r="E44" s="2">
        <v>1.3779999999999999</v>
      </c>
      <c r="F44" s="2">
        <v>2</v>
      </c>
      <c r="H44" s="2">
        <v>42</v>
      </c>
      <c r="I44" s="2">
        <v>93</v>
      </c>
      <c r="J44" s="2">
        <v>7</v>
      </c>
      <c r="K44" s="2">
        <v>1</v>
      </c>
      <c r="L44" s="2">
        <v>1.2669999999999999</v>
      </c>
      <c r="M44" s="2">
        <v>1</v>
      </c>
    </row>
    <row r="45" spans="1:25" ht="14.25" customHeight="1">
      <c r="A45" s="2">
        <v>42</v>
      </c>
      <c r="B45" s="2">
        <v>44</v>
      </c>
      <c r="C45" s="2">
        <v>4</v>
      </c>
      <c r="D45" s="2">
        <v>1</v>
      </c>
      <c r="E45" s="2">
        <v>1.5820000000000001</v>
      </c>
      <c r="F45" s="2">
        <v>2</v>
      </c>
      <c r="H45" s="2">
        <v>42</v>
      </c>
      <c r="I45" s="2">
        <v>94</v>
      </c>
      <c r="J45" s="2">
        <v>3</v>
      </c>
      <c r="K45" s="2">
        <v>0</v>
      </c>
      <c r="L45" s="2">
        <v>1.149</v>
      </c>
      <c r="M45" s="2">
        <v>1</v>
      </c>
    </row>
    <row r="46" spans="1:25" ht="14.25" customHeight="1">
      <c r="A46" s="2">
        <v>42</v>
      </c>
      <c r="B46" s="2">
        <v>45</v>
      </c>
      <c r="C46" s="2">
        <v>2</v>
      </c>
      <c r="D46" s="2">
        <v>1</v>
      </c>
      <c r="E46" s="2">
        <v>0.54700000000000004</v>
      </c>
      <c r="F46" s="2">
        <v>2</v>
      </c>
      <c r="H46" s="2">
        <v>42</v>
      </c>
      <c r="I46" s="2">
        <v>95</v>
      </c>
      <c r="J46" s="2">
        <v>7</v>
      </c>
      <c r="K46" s="2">
        <v>1</v>
      </c>
      <c r="L46" s="2">
        <v>0.69199999999999995</v>
      </c>
      <c r="M46" s="2">
        <v>2</v>
      </c>
    </row>
    <row r="47" spans="1:25" ht="14.25" customHeight="1">
      <c r="A47" s="2">
        <v>42</v>
      </c>
      <c r="B47" s="2">
        <v>46</v>
      </c>
      <c r="C47" s="2">
        <v>5</v>
      </c>
      <c r="D47" s="2">
        <v>1</v>
      </c>
      <c r="E47" s="2">
        <v>1.21</v>
      </c>
      <c r="F47" s="2">
        <v>1</v>
      </c>
      <c r="H47" s="2">
        <v>42</v>
      </c>
      <c r="I47" s="2">
        <v>96</v>
      </c>
      <c r="J47" s="2">
        <v>8</v>
      </c>
      <c r="K47" s="2">
        <v>1</v>
      </c>
      <c r="L47" s="2">
        <v>0.67700000000000005</v>
      </c>
      <c r="M47" s="2">
        <v>1</v>
      </c>
    </row>
    <row r="48" spans="1:25" ht="14.25" customHeight="1">
      <c r="A48" s="2">
        <v>42</v>
      </c>
      <c r="B48" s="2">
        <v>47</v>
      </c>
      <c r="C48" s="2">
        <v>8</v>
      </c>
      <c r="D48" s="2">
        <v>1</v>
      </c>
      <c r="E48" s="2">
        <v>1.73</v>
      </c>
      <c r="F48" s="2">
        <v>2</v>
      </c>
      <c r="H48" s="2">
        <v>42</v>
      </c>
      <c r="I48" s="2">
        <v>97</v>
      </c>
      <c r="J48" s="2">
        <v>7</v>
      </c>
      <c r="K48" s="2">
        <v>1</v>
      </c>
      <c r="L48" s="2">
        <v>1.246</v>
      </c>
      <c r="M48" s="2">
        <v>2</v>
      </c>
    </row>
    <row r="49" spans="1:13" ht="14.25" customHeight="1">
      <c r="A49" s="2">
        <v>42</v>
      </c>
      <c r="B49" s="2">
        <v>48</v>
      </c>
      <c r="C49" s="2">
        <v>7</v>
      </c>
      <c r="D49" s="2">
        <v>0</v>
      </c>
      <c r="E49" s="2">
        <v>1.194</v>
      </c>
      <c r="F49" s="2">
        <v>1</v>
      </c>
      <c r="H49" s="2">
        <v>42</v>
      </c>
      <c r="I49" s="2">
        <v>98</v>
      </c>
      <c r="J49" s="2">
        <v>4</v>
      </c>
      <c r="K49" s="2">
        <v>0</v>
      </c>
      <c r="L49" s="2">
        <v>1.181</v>
      </c>
      <c r="M49" s="2">
        <v>1</v>
      </c>
    </row>
    <row r="50" spans="1:13" ht="14.25" customHeight="1">
      <c r="A50" s="2">
        <v>42</v>
      </c>
      <c r="B50" s="2">
        <v>49</v>
      </c>
      <c r="C50" s="2">
        <v>2</v>
      </c>
      <c r="D50" s="2">
        <v>1</v>
      </c>
      <c r="E50" s="2">
        <v>0.82699999999999996</v>
      </c>
      <c r="F50" s="2">
        <v>2</v>
      </c>
      <c r="H50" s="2">
        <v>42</v>
      </c>
      <c r="I50" s="2">
        <v>99</v>
      </c>
      <c r="J50" s="2">
        <v>5</v>
      </c>
      <c r="K50" s="2">
        <v>1</v>
      </c>
      <c r="L50" s="2">
        <v>0.69099999999999995</v>
      </c>
      <c r="M50" s="2">
        <v>2</v>
      </c>
    </row>
    <row r="51" spans="1:13" ht="14.25" customHeight="1">
      <c r="A51" s="2">
        <v>42</v>
      </c>
      <c r="B51" s="2">
        <v>50</v>
      </c>
      <c r="C51" s="2">
        <v>7</v>
      </c>
      <c r="D51" s="2">
        <v>0</v>
      </c>
      <c r="E51" s="2">
        <v>1.79</v>
      </c>
      <c r="F51" s="2">
        <v>1</v>
      </c>
      <c r="H51" s="2">
        <v>42</v>
      </c>
      <c r="I51" s="2">
        <v>100</v>
      </c>
      <c r="J51" s="2">
        <v>8</v>
      </c>
      <c r="K51" s="2">
        <v>1</v>
      </c>
      <c r="L51" s="2">
        <v>0.75600000000000001</v>
      </c>
      <c r="M51" s="2">
        <v>2</v>
      </c>
    </row>
    <row r="52" spans="1:13" ht="14.25" customHeight="1">
      <c r="A52" s="2">
        <v>42</v>
      </c>
      <c r="B52" s="2">
        <v>51</v>
      </c>
      <c r="C52" s="2">
        <v>8</v>
      </c>
      <c r="D52" s="2">
        <v>1</v>
      </c>
      <c r="E52" s="2">
        <v>0.78400000000000003</v>
      </c>
      <c r="F52" s="2">
        <v>2</v>
      </c>
      <c r="H52" s="2">
        <v>42</v>
      </c>
      <c r="I52" s="2">
        <v>101</v>
      </c>
      <c r="J52" s="2">
        <v>1</v>
      </c>
      <c r="K52" s="2">
        <v>1</v>
      </c>
      <c r="L52" s="2">
        <v>0.755</v>
      </c>
    </row>
    <row r="53" spans="1:13" ht="14.25" customHeight="1">
      <c r="A53" s="2">
        <v>42</v>
      </c>
      <c r="B53" s="2">
        <v>52</v>
      </c>
      <c r="C53" s="2">
        <v>1</v>
      </c>
      <c r="D53" s="2">
        <v>0</v>
      </c>
      <c r="E53" s="2">
        <v>1.077</v>
      </c>
      <c r="F53" s="2">
        <v>1</v>
      </c>
      <c r="H53" s="2">
        <v>42</v>
      </c>
      <c r="I53" s="2">
        <v>102</v>
      </c>
      <c r="J53" s="2">
        <v>2</v>
      </c>
      <c r="K53" s="2">
        <v>1</v>
      </c>
      <c r="L53" s="2">
        <v>1.0229999999999999</v>
      </c>
    </row>
    <row r="54" spans="1:13" ht="14.25" customHeight="1">
      <c r="A54" s="2">
        <v>42</v>
      </c>
      <c r="B54" s="2">
        <v>53</v>
      </c>
      <c r="C54" s="2">
        <v>5</v>
      </c>
      <c r="D54" s="2">
        <v>1</v>
      </c>
      <c r="E54" s="2">
        <v>0.83</v>
      </c>
      <c r="F54" s="2">
        <v>2</v>
      </c>
      <c r="H54" s="2">
        <v>42</v>
      </c>
      <c r="I54" s="2">
        <v>103</v>
      </c>
      <c r="J54" s="2">
        <v>4</v>
      </c>
      <c r="K54" s="2">
        <v>0</v>
      </c>
      <c r="L54" s="2">
        <v>1.7130000000000001</v>
      </c>
    </row>
    <row r="55" spans="1:13" ht="14.25" customHeight="1">
      <c r="A55" s="2">
        <v>42</v>
      </c>
      <c r="B55" s="2">
        <v>54</v>
      </c>
      <c r="C55" s="2">
        <v>3</v>
      </c>
      <c r="D55" s="2">
        <v>1</v>
      </c>
      <c r="E55" s="2">
        <v>1.0840000000000001</v>
      </c>
      <c r="F55" s="2">
        <v>2</v>
      </c>
      <c r="H55" s="2">
        <v>42</v>
      </c>
      <c r="I55" s="2">
        <v>104</v>
      </c>
      <c r="J55" s="2">
        <v>2</v>
      </c>
      <c r="K55" s="2">
        <v>1</v>
      </c>
      <c r="L55" s="2">
        <v>1.0249999999999999</v>
      </c>
    </row>
    <row r="56" spans="1:13" ht="14.25" customHeight="1">
      <c r="A56" s="2">
        <v>42</v>
      </c>
      <c r="B56" s="2">
        <v>55</v>
      </c>
      <c r="C56" s="2">
        <v>2</v>
      </c>
      <c r="D56" s="2">
        <v>1</v>
      </c>
      <c r="E56" s="2">
        <v>1.913</v>
      </c>
      <c r="F56" s="2">
        <v>1</v>
      </c>
      <c r="H56" s="2">
        <v>42</v>
      </c>
      <c r="I56" s="2">
        <v>105</v>
      </c>
      <c r="J56" s="2">
        <v>7</v>
      </c>
      <c r="K56" s="2">
        <v>0</v>
      </c>
      <c r="L56" s="2">
        <v>1.62</v>
      </c>
    </row>
    <row r="57" spans="1:13" ht="14.25" customHeight="1">
      <c r="A57" s="2">
        <v>42</v>
      </c>
      <c r="B57" s="2">
        <v>56</v>
      </c>
      <c r="C57" s="2">
        <v>3</v>
      </c>
      <c r="D57" s="2">
        <v>0</v>
      </c>
      <c r="E57" s="2">
        <v>1.081</v>
      </c>
      <c r="F57" s="2">
        <v>2</v>
      </c>
      <c r="H57" s="2">
        <v>42</v>
      </c>
      <c r="I57" s="2">
        <v>106</v>
      </c>
      <c r="J57" s="2">
        <v>4</v>
      </c>
      <c r="K57" s="2">
        <v>1</v>
      </c>
      <c r="L57" s="2">
        <v>1.579</v>
      </c>
    </row>
    <row r="58" spans="1:13" ht="14.25" customHeight="1">
      <c r="A58" s="2">
        <v>42</v>
      </c>
      <c r="B58" s="2">
        <v>57</v>
      </c>
      <c r="C58" s="2">
        <v>8</v>
      </c>
      <c r="D58" s="2">
        <v>1</v>
      </c>
      <c r="E58" s="2">
        <v>0.68200000000000005</v>
      </c>
      <c r="F58" s="2">
        <v>2</v>
      </c>
      <c r="H58" s="2">
        <v>42</v>
      </c>
      <c r="I58" s="2">
        <v>107</v>
      </c>
      <c r="J58" s="2">
        <v>3</v>
      </c>
      <c r="K58" s="2">
        <v>1</v>
      </c>
      <c r="L58" s="2">
        <v>0.67300000000000004</v>
      </c>
    </row>
    <row r="59" spans="1:13" ht="14.25" customHeight="1">
      <c r="A59" s="2">
        <v>42</v>
      </c>
      <c r="B59" s="2">
        <v>58</v>
      </c>
      <c r="C59" s="2">
        <v>7</v>
      </c>
      <c r="D59" s="2">
        <v>1</v>
      </c>
      <c r="E59" s="2">
        <v>1.3049999999999999</v>
      </c>
      <c r="F59" s="2">
        <v>1</v>
      </c>
      <c r="H59" s="2">
        <v>42</v>
      </c>
      <c r="I59" s="2">
        <v>108</v>
      </c>
      <c r="J59" s="2">
        <v>2</v>
      </c>
      <c r="K59" s="2">
        <v>1</v>
      </c>
      <c r="L59" s="2">
        <v>0.92100000000000004</v>
      </c>
    </row>
    <row r="60" spans="1:13" ht="14.25" customHeight="1">
      <c r="A60" s="2">
        <v>42</v>
      </c>
      <c r="B60" s="2">
        <v>59</v>
      </c>
      <c r="C60" s="2">
        <v>6</v>
      </c>
      <c r="D60" s="2">
        <v>1</v>
      </c>
      <c r="E60" s="2">
        <v>1.6890000000000001</v>
      </c>
      <c r="F60" s="2">
        <v>2</v>
      </c>
      <c r="H60" s="2">
        <v>42</v>
      </c>
      <c r="I60" s="2">
        <v>109</v>
      </c>
      <c r="J60" s="2">
        <v>1</v>
      </c>
      <c r="K60" s="2">
        <v>1</v>
      </c>
      <c r="L60" s="2">
        <v>1.6779999999999999</v>
      </c>
    </row>
    <row r="61" spans="1:13" ht="14.25" customHeight="1">
      <c r="A61" s="2">
        <v>42</v>
      </c>
      <c r="B61" s="2">
        <v>60</v>
      </c>
      <c r="C61" s="2">
        <v>8</v>
      </c>
      <c r="D61" s="2">
        <v>1</v>
      </c>
      <c r="E61" s="2">
        <v>1.8149999999999999</v>
      </c>
      <c r="F61" s="2">
        <v>1</v>
      </c>
      <c r="H61" s="2">
        <v>42</v>
      </c>
      <c r="I61" s="2">
        <v>110</v>
      </c>
      <c r="J61" s="2">
        <v>6</v>
      </c>
      <c r="K61" s="2">
        <v>1</v>
      </c>
      <c r="L61" s="2">
        <v>1.1060000000000001</v>
      </c>
    </row>
    <row r="62" spans="1:13" ht="14.25" customHeight="1">
      <c r="A62" s="2">
        <v>42</v>
      </c>
      <c r="B62" s="2">
        <v>61</v>
      </c>
      <c r="C62" s="2">
        <v>6</v>
      </c>
      <c r="D62" s="2">
        <v>1</v>
      </c>
      <c r="E62" s="2">
        <v>1.425</v>
      </c>
      <c r="F62" s="2">
        <v>2</v>
      </c>
      <c r="H62" s="2">
        <v>42</v>
      </c>
      <c r="I62" s="2">
        <v>111</v>
      </c>
      <c r="J62" s="2">
        <v>4</v>
      </c>
      <c r="K62" s="2">
        <v>1</v>
      </c>
      <c r="L62" s="2">
        <v>1.0369999999999999</v>
      </c>
    </row>
    <row r="63" spans="1:13" ht="14.25" customHeight="1">
      <c r="A63" s="2">
        <v>42</v>
      </c>
      <c r="B63" s="2">
        <v>62</v>
      </c>
      <c r="C63" s="2">
        <v>4</v>
      </c>
      <c r="D63" s="2">
        <v>0</v>
      </c>
      <c r="E63" s="2">
        <v>1.601</v>
      </c>
      <c r="F63" s="2">
        <v>2</v>
      </c>
      <c r="H63" s="2">
        <v>42</v>
      </c>
      <c r="I63" s="2">
        <v>112</v>
      </c>
      <c r="J63" s="2">
        <v>5</v>
      </c>
      <c r="K63" s="2">
        <v>1</v>
      </c>
      <c r="L63" s="2">
        <v>0.82</v>
      </c>
    </row>
    <row r="64" spans="1:13" ht="14.25" customHeight="1">
      <c r="A64" s="2">
        <v>42</v>
      </c>
      <c r="B64" s="2">
        <v>63</v>
      </c>
      <c r="C64" s="2">
        <v>1</v>
      </c>
      <c r="D64" s="2">
        <v>1</v>
      </c>
      <c r="E64" s="2">
        <v>1.2190000000000001</v>
      </c>
      <c r="F64" s="2">
        <v>2</v>
      </c>
      <c r="H64" s="2">
        <v>42</v>
      </c>
      <c r="I64" s="2">
        <v>113</v>
      </c>
      <c r="J64" s="2">
        <v>8</v>
      </c>
      <c r="K64" s="2">
        <v>1</v>
      </c>
      <c r="L64" s="2">
        <v>0.97899999999999998</v>
      </c>
    </row>
    <row r="65" spans="1:12" ht="14.25" customHeight="1">
      <c r="A65" s="2">
        <v>42</v>
      </c>
      <c r="B65" s="2">
        <v>64</v>
      </c>
      <c r="C65" s="2">
        <v>4</v>
      </c>
      <c r="D65" s="2">
        <v>1</v>
      </c>
      <c r="E65" s="2">
        <v>1.113</v>
      </c>
      <c r="F65" s="2">
        <v>1</v>
      </c>
      <c r="H65" s="2">
        <v>42</v>
      </c>
      <c r="I65" s="2">
        <v>114</v>
      </c>
      <c r="J65" s="2">
        <v>6</v>
      </c>
      <c r="K65" s="2">
        <v>1</v>
      </c>
      <c r="L65" s="2">
        <v>0.86099999999999999</v>
      </c>
    </row>
    <row r="66" spans="1:12" ht="14.25" customHeight="1">
      <c r="A66" s="2">
        <v>42</v>
      </c>
      <c r="B66" s="2">
        <v>65</v>
      </c>
      <c r="C66" s="2">
        <v>6</v>
      </c>
      <c r="D66" s="2">
        <v>1</v>
      </c>
      <c r="E66" s="2">
        <v>1.7949999999999999</v>
      </c>
      <c r="F66" s="2">
        <v>2</v>
      </c>
      <c r="H66" s="2">
        <v>42</v>
      </c>
      <c r="I66" s="2">
        <v>115</v>
      </c>
      <c r="J66" s="2">
        <v>3</v>
      </c>
      <c r="K66" s="2">
        <v>1</v>
      </c>
      <c r="L66" s="2">
        <v>1.3660000000000001</v>
      </c>
    </row>
    <row r="67" spans="1:12" ht="14.25" customHeight="1">
      <c r="A67" s="2">
        <v>42</v>
      </c>
      <c r="B67" s="2">
        <v>66</v>
      </c>
      <c r="C67" s="2">
        <v>3</v>
      </c>
      <c r="D67" s="2">
        <v>1</v>
      </c>
      <c r="E67" s="2">
        <v>1.0489999999999999</v>
      </c>
      <c r="F67" s="2">
        <v>1</v>
      </c>
      <c r="H67" s="2">
        <v>42</v>
      </c>
      <c r="I67" s="2">
        <v>116</v>
      </c>
      <c r="J67" s="2">
        <v>8</v>
      </c>
      <c r="K67" s="2">
        <v>1</v>
      </c>
      <c r="L67" s="2">
        <v>0.81799999999999995</v>
      </c>
    </row>
    <row r="68" spans="1:12" ht="14.25" customHeight="1">
      <c r="A68" s="2">
        <v>42</v>
      </c>
      <c r="B68" s="2">
        <v>67</v>
      </c>
      <c r="C68" s="2">
        <v>1</v>
      </c>
      <c r="D68" s="2">
        <v>1</v>
      </c>
      <c r="E68" s="2">
        <v>0.90300000000000002</v>
      </c>
      <c r="F68" s="2">
        <v>1</v>
      </c>
      <c r="H68" s="2">
        <v>42</v>
      </c>
      <c r="I68" s="2">
        <v>117</v>
      </c>
      <c r="J68" s="2">
        <v>5</v>
      </c>
      <c r="K68" s="2">
        <v>1</v>
      </c>
      <c r="L68" s="2">
        <v>0.77900000000000003</v>
      </c>
    </row>
    <row r="69" spans="1:12" ht="14.25" customHeight="1">
      <c r="A69" s="2">
        <v>42</v>
      </c>
      <c r="B69" s="2">
        <v>68</v>
      </c>
      <c r="C69" s="2">
        <v>2</v>
      </c>
      <c r="D69" s="2">
        <v>0</v>
      </c>
      <c r="E69" s="2">
        <v>1.242</v>
      </c>
      <c r="F69" s="2">
        <v>2</v>
      </c>
      <c r="H69" s="2">
        <v>42</v>
      </c>
      <c r="I69" s="2">
        <v>118</v>
      </c>
      <c r="J69" s="2">
        <v>7</v>
      </c>
      <c r="K69" s="2">
        <v>1</v>
      </c>
      <c r="L69" s="2">
        <v>1.3779999999999999</v>
      </c>
    </row>
    <row r="70" spans="1:12" ht="14.25" customHeight="1">
      <c r="A70" s="2">
        <v>42</v>
      </c>
      <c r="B70" s="2">
        <v>69</v>
      </c>
      <c r="C70" s="2">
        <v>5</v>
      </c>
      <c r="D70" s="2">
        <v>0</v>
      </c>
      <c r="E70" s="2">
        <v>1.81</v>
      </c>
      <c r="F70" s="2">
        <v>2</v>
      </c>
      <c r="H70" s="2">
        <v>42</v>
      </c>
      <c r="I70" s="2">
        <v>119</v>
      </c>
      <c r="J70" s="2">
        <v>3</v>
      </c>
      <c r="K70" s="2">
        <v>1</v>
      </c>
      <c r="L70" s="2">
        <v>0.65900000000000003</v>
      </c>
    </row>
    <row r="71" spans="1:12" ht="14.25" customHeight="1">
      <c r="A71" s="2">
        <v>42</v>
      </c>
      <c r="B71" s="2">
        <v>70</v>
      </c>
      <c r="C71" s="2">
        <v>1</v>
      </c>
      <c r="D71" s="2">
        <v>1</v>
      </c>
      <c r="E71" s="2">
        <v>1.081</v>
      </c>
      <c r="F71" s="2">
        <v>1</v>
      </c>
      <c r="H71" s="2">
        <v>42</v>
      </c>
      <c r="I71" s="2">
        <v>120</v>
      </c>
      <c r="J71" s="2">
        <v>5</v>
      </c>
      <c r="K71" s="2">
        <v>1</v>
      </c>
      <c r="L71" s="2">
        <v>1.653</v>
      </c>
    </row>
    <row r="72" spans="1:12" ht="14.25" customHeight="1">
      <c r="A72" s="2">
        <v>42</v>
      </c>
      <c r="B72" s="2">
        <v>71</v>
      </c>
      <c r="C72" s="2">
        <v>3</v>
      </c>
      <c r="D72" s="2">
        <v>0</v>
      </c>
      <c r="E72" s="2">
        <v>1.68</v>
      </c>
      <c r="F72" s="2">
        <v>1</v>
      </c>
      <c r="H72" s="2">
        <v>42</v>
      </c>
      <c r="I72" s="2">
        <v>121</v>
      </c>
      <c r="J72" s="2">
        <v>6</v>
      </c>
      <c r="K72" s="2">
        <v>1</v>
      </c>
      <c r="L72" s="2">
        <v>1.238</v>
      </c>
    </row>
    <row r="73" spans="1:12" ht="14.25" customHeight="1">
      <c r="A73" s="2">
        <v>42</v>
      </c>
      <c r="B73" s="2">
        <v>72</v>
      </c>
      <c r="C73" s="2">
        <v>6</v>
      </c>
      <c r="D73" s="2">
        <v>1</v>
      </c>
      <c r="E73" s="2">
        <v>0.89500000000000002</v>
      </c>
      <c r="F73" s="2">
        <v>1</v>
      </c>
      <c r="H73" s="2">
        <v>42</v>
      </c>
      <c r="I73" s="2">
        <v>122</v>
      </c>
      <c r="J73" s="2">
        <v>5</v>
      </c>
      <c r="K73" s="2">
        <v>1</v>
      </c>
      <c r="L73" s="2">
        <v>0.85099999999999998</v>
      </c>
    </row>
    <row r="74" spans="1:12" ht="14.25" customHeight="1">
      <c r="A74" s="2">
        <v>42</v>
      </c>
      <c r="B74" s="2">
        <v>73</v>
      </c>
      <c r="C74" s="2">
        <v>2</v>
      </c>
      <c r="D74" s="2">
        <v>1</v>
      </c>
      <c r="E74" s="2">
        <v>0.83899999999999997</v>
      </c>
      <c r="F74" s="2">
        <v>1</v>
      </c>
      <c r="H74" s="2">
        <v>42</v>
      </c>
      <c r="I74" s="2">
        <v>123</v>
      </c>
      <c r="J74" s="2">
        <v>3</v>
      </c>
      <c r="K74" s="2">
        <v>1</v>
      </c>
      <c r="L74" s="2">
        <v>0.86399999999999999</v>
      </c>
    </row>
    <row r="75" spans="1:12" ht="14.25" customHeight="1">
      <c r="A75" s="2">
        <v>42</v>
      </c>
      <c r="B75" s="2">
        <v>74</v>
      </c>
      <c r="C75" s="2">
        <v>5</v>
      </c>
      <c r="D75" s="2">
        <v>1</v>
      </c>
      <c r="E75" s="2">
        <v>1.4530000000000001</v>
      </c>
      <c r="F75" s="2">
        <v>1</v>
      </c>
      <c r="H75" s="2">
        <v>42</v>
      </c>
      <c r="I75" s="2">
        <v>124</v>
      </c>
      <c r="J75" s="2">
        <v>7</v>
      </c>
      <c r="K75" s="2">
        <v>1</v>
      </c>
      <c r="L75" s="2">
        <v>1.425</v>
      </c>
    </row>
    <row r="76" spans="1:12" ht="14.25" customHeight="1">
      <c r="A76" s="2">
        <v>42</v>
      </c>
      <c r="B76" s="2">
        <v>75</v>
      </c>
      <c r="C76" s="2">
        <v>2</v>
      </c>
      <c r="D76" s="2">
        <v>1</v>
      </c>
      <c r="E76" s="2">
        <v>1.639</v>
      </c>
      <c r="F76" s="2">
        <v>2</v>
      </c>
      <c r="H76" s="2">
        <v>42</v>
      </c>
      <c r="I76" s="2">
        <v>125</v>
      </c>
      <c r="J76" s="2">
        <v>4</v>
      </c>
      <c r="K76" s="2">
        <v>1</v>
      </c>
      <c r="L76" s="2">
        <v>1.1439999999999999</v>
      </c>
    </row>
    <row r="77" spans="1:12" ht="14.25" customHeight="1">
      <c r="A77" s="2">
        <v>42</v>
      </c>
      <c r="B77" s="2">
        <v>76</v>
      </c>
      <c r="C77" s="2">
        <v>6</v>
      </c>
      <c r="D77" s="2">
        <v>1</v>
      </c>
      <c r="E77" s="2">
        <v>0.875</v>
      </c>
      <c r="F77" s="2">
        <v>1</v>
      </c>
      <c r="H77" s="2">
        <v>42</v>
      </c>
      <c r="I77" s="2">
        <v>126</v>
      </c>
      <c r="J77" s="2">
        <v>1</v>
      </c>
      <c r="K77" s="2">
        <v>1</v>
      </c>
      <c r="L77" s="2">
        <v>0.875</v>
      </c>
    </row>
    <row r="78" spans="1:12" ht="14.25" customHeight="1">
      <c r="A78" s="2">
        <v>42</v>
      </c>
      <c r="B78" s="2">
        <v>77</v>
      </c>
      <c r="C78" s="2">
        <v>2</v>
      </c>
      <c r="D78" s="2">
        <v>1</v>
      </c>
      <c r="E78" s="2">
        <v>1.1240000000000001</v>
      </c>
      <c r="F78" s="2">
        <v>2</v>
      </c>
      <c r="H78" s="2">
        <v>42</v>
      </c>
      <c r="I78" s="2">
        <v>127</v>
      </c>
      <c r="J78" s="2">
        <v>8</v>
      </c>
      <c r="K78" s="2">
        <v>1</v>
      </c>
      <c r="L78" s="2">
        <v>1.363</v>
      </c>
    </row>
    <row r="79" spans="1:12" ht="14.25" customHeight="1">
      <c r="A79" s="2">
        <v>42</v>
      </c>
      <c r="B79" s="2">
        <v>78</v>
      </c>
      <c r="C79" s="2">
        <v>1</v>
      </c>
      <c r="D79" s="2">
        <v>1</v>
      </c>
      <c r="E79" s="2">
        <v>0.84399999999999997</v>
      </c>
      <c r="F79" s="2">
        <v>1</v>
      </c>
      <c r="H79" s="2">
        <v>42</v>
      </c>
      <c r="I79" s="2">
        <v>128</v>
      </c>
      <c r="J79" s="2">
        <v>4</v>
      </c>
      <c r="K79" s="2">
        <v>1</v>
      </c>
      <c r="L79" s="2">
        <v>1.6830000000000001</v>
      </c>
    </row>
    <row r="80" spans="1:12" ht="14.25" customHeight="1">
      <c r="A80" s="2">
        <v>42</v>
      </c>
      <c r="B80" s="2">
        <v>79</v>
      </c>
      <c r="C80" s="2">
        <v>5</v>
      </c>
      <c r="D80" s="2">
        <v>1</v>
      </c>
      <c r="E80" s="2">
        <v>0.65700000000000003</v>
      </c>
      <c r="F80" s="2">
        <v>2</v>
      </c>
      <c r="H80" s="2">
        <v>42</v>
      </c>
      <c r="I80" s="2">
        <v>129</v>
      </c>
      <c r="J80" s="2">
        <v>2</v>
      </c>
      <c r="K80" s="2">
        <v>1</v>
      </c>
      <c r="L80" s="2">
        <v>0.79600000000000004</v>
      </c>
    </row>
    <row r="81" spans="1:12" ht="14.25" customHeight="1">
      <c r="A81" s="2">
        <v>42</v>
      </c>
      <c r="B81" s="2">
        <v>80</v>
      </c>
      <c r="C81" s="2">
        <v>3</v>
      </c>
      <c r="D81" s="2">
        <v>1</v>
      </c>
      <c r="E81" s="2">
        <v>1.3240000000000001</v>
      </c>
      <c r="F81" s="2">
        <v>1</v>
      </c>
      <c r="H81" s="2">
        <v>42</v>
      </c>
      <c r="I81" s="2">
        <v>130</v>
      </c>
      <c r="J81" s="2">
        <v>8</v>
      </c>
      <c r="K81" s="2">
        <v>1</v>
      </c>
      <c r="L81" s="2">
        <v>1.0609999999999999</v>
      </c>
    </row>
    <row r="82" spans="1:12" ht="14.25" customHeight="1">
      <c r="A82" s="2">
        <v>42</v>
      </c>
      <c r="B82" s="2">
        <v>81</v>
      </c>
      <c r="C82" s="2">
        <v>4</v>
      </c>
      <c r="D82" s="2">
        <v>1</v>
      </c>
      <c r="E82" s="2">
        <v>0.69599999999999995</v>
      </c>
      <c r="F82" s="2">
        <v>1</v>
      </c>
      <c r="H82" s="2">
        <v>42</v>
      </c>
      <c r="I82" s="2">
        <v>131</v>
      </c>
      <c r="J82" s="2">
        <v>6</v>
      </c>
      <c r="K82" s="2">
        <v>1</v>
      </c>
      <c r="L82" s="2">
        <v>1.286</v>
      </c>
    </row>
    <row r="83" spans="1:12" ht="14.25" customHeight="1">
      <c r="A83" s="2">
        <v>42</v>
      </c>
      <c r="B83" s="2">
        <v>82</v>
      </c>
      <c r="C83" s="2">
        <v>6</v>
      </c>
      <c r="D83" s="2">
        <v>1</v>
      </c>
      <c r="E83" s="2">
        <v>1.0740000000000001</v>
      </c>
      <c r="F83" s="2">
        <v>2</v>
      </c>
      <c r="H83" s="2">
        <v>42</v>
      </c>
      <c r="I83" s="2">
        <v>132</v>
      </c>
      <c r="J83" s="2">
        <v>1</v>
      </c>
      <c r="K83" s="2">
        <v>1</v>
      </c>
      <c r="L83" s="2">
        <v>1.109</v>
      </c>
    </row>
    <row r="84" spans="1:12" ht="14.25" customHeight="1">
      <c r="A84" s="2">
        <v>42</v>
      </c>
      <c r="B84" s="2">
        <v>83</v>
      </c>
      <c r="C84" s="2">
        <v>7</v>
      </c>
      <c r="D84" s="2">
        <v>1</v>
      </c>
      <c r="E84" s="2">
        <v>0.95399999999999996</v>
      </c>
      <c r="F84" s="2">
        <v>1</v>
      </c>
      <c r="H84" s="2">
        <v>42</v>
      </c>
      <c r="I84" s="2">
        <v>133</v>
      </c>
      <c r="J84" s="2">
        <v>5</v>
      </c>
      <c r="K84" s="2">
        <v>1</v>
      </c>
      <c r="L84" s="2">
        <v>1.1879999999999999</v>
      </c>
    </row>
    <row r="85" spans="1:12" ht="14.25" customHeight="1">
      <c r="A85" s="2">
        <v>42</v>
      </c>
      <c r="B85" s="2">
        <v>84</v>
      </c>
      <c r="C85" s="2">
        <v>8</v>
      </c>
      <c r="D85" s="2">
        <v>1</v>
      </c>
      <c r="E85" s="2">
        <v>1.0109999999999999</v>
      </c>
      <c r="F85" s="2">
        <v>2</v>
      </c>
      <c r="H85" s="2">
        <v>42</v>
      </c>
      <c r="I85" s="2">
        <v>134</v>
      </c>
      <c r="J85" s="2">
        <v>6</v>
      </c>
      <c r="K85" s="2">
        <v>1</v>
      </c>
      <c r="L85" s="2">
        <v>1.2430000000000001</v>
      </c>
    </row>
    <row r="86" spans="1:12" ht="14.25" customHeight="1">
      <c r="A86" s="2">
        <v>42</v>
      </c>
      <c r="B86" s="2">
        <v>85</v>
      </c>
      <c r="C86" s="2">
        <v>7</v>
      </c>
      <c r="D86" s="2">
        <v>1</v>
      </c>
      <c r="E86" s="2">
        <v>0.93700000000000006</v>
      </c>
      <c r="F86" s="2">
        <v>1</v>
      </c>
      <c r="H86" s="2">
        <v>42</v>
      </c>
      <c r="I86" s="2">
        <v>135</v>
      </c>
      <c r="J86" s="2">
        <v>1</v>
      </c>
      <c r="K86" s="2">
        <v>1</v>
      </c>
      <c r="L86" s="2">
        <v>1.42</v>
      </c>
    </row>
    <row r="87" spans="1:12" ht="14.25" customHeight="1">
      <c r="A87" s="2">
        <v>42</v>
      </c>
      <c r="B87" s="2">
        <v>86</v>
      </c>
      <c r="C87" s="2">
        <v>4</v>
      </c>
      <c r="D87" s="2">
        <v>1</v>
      </c>
      <c r="E87" s="2">
        <v>1.905</v>
      </c>
      <c r="F87" s="2">
        <v>2</v>
      </c>
      <c r="H87" s="2">
        <v>42</v>
      </c>
      <c r="I87" s="2">
        <v>136</v>
      </c>
      <c r="J87" s="2">
        <v>7</v>
      </c>
      <c r="K87" s="2">
        <v>1</v>
      </c>
      <c r="L87" s="2">
        <v>1.2809999999999999</v>
      </c>
    </row>
    <row r="88" spans="1:12" ht="14.25" customHeight="1">
      <c r="A88" s="2">
        <v>42</v>
      </c>
      <c r="B88" s="2">
        <v>87</v>
      </c>
      <c r="C88" s="2">
        <v>2</v>
      </c>
      <c r="D88" s="2">
        <v>1</v>
      </c>
      <c r="E88" s="2">
        <v>0.70599999999999996</v>
      </c>
      <c r="F88" s="2">
        <v>2</v>
      </c>
      <c r="H88" s="2">
        <v>42</v>
      </c>
      <c r="I88" s="2">
        <v>137</v>
      </c>
      <c r="J88" s="2">
        <v>2</v>
      </c>
      <c r="K88" s="2">
        <v>1</v>
      </c>
      <c r="L88" s="2">
        <v>0.97499999999999998</v>
      </c>
    </row>
    <row r="89" spans="1:12" ht="14.25" customHeight="1">
      <c r="A89" s="2">
        <v>42</v>
      </c>
      <c r="B89" s="2">
        <v>88</v>
      </c>
      <c r="C89" s="2">
        <v>6</v>
      </c>
      <c r="D89" s="2">
        <v>1</v>
      </c>
      <c r="E89" s="2">
        <v>1.4379999999999999</v>
      </c>
      <c r="F89" s="2">
        <v>1</v>
      </c>
      <c r="H89" s="2">
        <v>42</v>
      </c>
      <c r="I89" s="2">
        <v>138</v>
      </c>
      <c r="J89" s="2">
        <v>8</v>
      </c>
      <c r="K89" s="2">
        <v>1</v>
      </c>
      <c r="L89" s="2">
        <v>1.2969999999999999</v>
      </c>
    </row>
    <row r="90" spans="1:12" ht="14.25" customHeight="1">
      <c r="A90" s="2">
        <v>42</v>
      </c>
      <c r="B90" s="2">
        <v>89</v>
      </c>
      <c r="C90" s="2">
        <v>5</v>
      </c>
      <c r="D90" s="2">
        <v>1</v>
      </c>
      <c r="E90" s="2">
        <v>0.85299999999999998</v>
      </c>
      <c r="F90" s="2">
        <v>1</v>
      </c>
      <c r="H90" s="2">
        <v>42</v>
      </c>
      <c r="I90" s="2">
        <v>139</v>
      </c>
      <c r="J90" s="2">
        <v>6</v>
      </c>
      <c r="K90" s="2">
        <v>1</v>
      </c>
      <c r="L90" s="2">
        <v>1.2430000000000001</v>
      </c>
    </row>
    <row r="91" spans="1:12" ht="14.25" customHeight="1">
      <c r="A91" s="2">
        <v>42</v>
      </c>
      <c r="B91" s="2">
        <v>90</v>
      </c>
      <c r="C91" s="2">
        <v>4</v>
      </c>
      <c r="D91" s="2">
        <v>0</v>
      </c>
      <c r="E91" s="2">
        <v>1.891</v>
      </c>
      <c r="F91" s="2">
        <v>1</v>
      </c>
      <c r="H91" s="2">
        <v>42</v>
      </c>
      <c r="I91" s="2">
        <v>140</v>
      </c>
      <c r="J91" s="2">
        <v>3</v>
      </c>
      <c r="K91" s="2">
        <v>1</v>
      </c>
      <c r="L91" s="2">
        <v>1.4610000000000001</v>
      </c>
    </row>
    <row r="92" spans="1:12" ht="14.25" customHeight="1">
      <c r="A92" s="2">
        <v>42</v>
      </c>
      <c r="B92" s="2">
        <v>91</v>
      </c>
      <c r="C92" s="2">
        <v>1</v>
      </c>
      <c r="D92" s="2">
        <v>1</v>
      </c>
      <c r="E92" s="2">
        <v>0.84899999999999998</v>
      </c>
      <c r="F92" s="2">
        <v>1</v>
      </c>
      <c r="H92" s="2">
        <v>42</v>
      </c>
      <c r="I92" s="2">
        <v>141</v>
      </c>
      <c r="J92" s="2">
        <v>7</v>
      </c>
      <c r="K92" s="2">
        <v>1</v>
      </c>
      <c r="L92" s="2">
        <v>0.73299999999999998</v>
      </c>
    </row>
    <row r="93" spans="1:12" ht="14.25" customHeight="1">
      <c r="A93" s="2">
        <v>42</v>
      </c>
      <c r="B93" s="2">
        <v>92</v>
      </c>
      <c r="C93" s="2">
        <v>3</v>
      </c>
      <c r="D93" s="2">
        <v>1</v>
      </c>
      <c r="E93" s="2">
        <v>0.81299999999999994</v>
      </c>
      <c r="F93" s="2">
        <v>1</v>
      </c>
      <c r="H93" s="2">
        <v>42</v>
      </c>
      <c r="I93" s="2">
        <v>142</v>
      </c>
      <c r="J93" s="2">
        <v>4</v>
      </c>
      <c r="K93" s="2">
        <v>1</v>
      </c>
      <c r="L93" s="2">
        <v>0.84399999999999997</v>
      </c>
    </row>
    <row r="94" spans="1:12" ht="14.25" customHeight="1">
      <c r="A94" s="2">
        <v>42</v>
      </c>
      <c r="B94" s="2">
        <v>93</v>
      </c>
      <c r="C94" s="2">
        <v>7</v>
      </c>
      <c r="D94" s="2">
        <v>1</v>
      </c>
      <c r="E94" s="2">
        <v>1.2669999999999999</v>
      </c>
      <c r="F94" s="2">
        <v>1</v>
      </c>
      <c r="H94" s="2">
        <v>42</v>
      </c>
      <c r="I94" s="2">
        <v>143</v>
      </c>
      <c r="J94" s="2">
        <v>5</v>
      </c>
      <c r="K94" s="2">
        <v>1</v>
      </c>
      <c r="L94" s="2">
        <v>0.97299999999999998</v>
      </c>
    </row>
    <row r="95" spans="1:12" ht="14.25" customHeight="1">
      <c r="A95" s="2">
        <v>42</v>
      </c>
      <c r="B95" s="2">
        <v>94</v>
      </c>
      <c r="C95" s="2">
        <v>3</v>
      </c>
      <c r="D95" s="2">
        <v>0</v>
      </c>
      <c r="E95" s="2">
        <v>1.149</v>
      </c>
      <c r="F95" s="2">
        <v>1</v>
      </c>
      <c r="H95" s="2">
        <v>42</v>
      </c>
      <c r="I95" s="2">
        <v>144</v>
      </c>
      <c r="J95" s="2">
        <v>3</v>
      </c>
      <c r="K95" s="2">
        <v>1</v>
      </c>
      <c r="L95" s="2">
        <v>1.218</v>
      </c>
    </row>
    <row r="96" spans="1:12" ht="14.25" customHeight="1">
      <c r="A96" s="2">
        <v>42</v>
      </c>
      <c r="B96" s="2">
        <v>95</v>
      </c>
      <c r="C96" s="2">
        <v>7</v>
      </c>
      <c r="D96" s="2">
        <v>1</v>
      </c>
      <c r="E96" s="2">
        <v>0.69199999999999995</v>
      </c>
      <c r="F96" s="2">
        <v>2</v>
      </c>
      <c r="H96" s="2">
        <v>42</v>
      </c>
      <c r="I96" s="2">
        <v>145</v>
      </c>
      <c r="J96" s="2">
        <v>1</v>
      </c>
      <c r="K96" s="2">
        <v>1</v>
      </c>
      <c r="L96" s="2">
        <v>1.002</v>
      </c>
    </row>
    <row r="97" spans="1:12" ht="14.25" customHeight="1">
      <c r="A97" s="2">
        <v>42</v>
      </c>
      <c r="B97" s="2">
        <v>96</v>
      </c>
      <c r="C97" s="2">
        <v>8</v>
      </c>
      <c r="D97" s="2">
        <v>1</v>
      </c>
      <c r="E97" s="2">
        <v>0.67700000000000005</v>
      </c>
      <c r="F97" s="2">
        <v>1</v>
      </c>
      <c r="H97" s="2">
        <v>42</v>
      </c>
      <c r="I97" s="2">
        <v>146</v>
      </c>
      <c r="J97" s="2">
        <v>6</v>
      </c>
      <c r="K97" s="2">
        <v>1</v>
      </c>
      <c r="L97" s="2">
        <v>1.2350000000000001</v>
      </c>
    </row>
    <row r="98" spans="1:12" ht="14.25" customHeight="1">
      <c r="A98" s="2">
        <v>42</v>
      </c>
      <c r="B98" s="2">
        <v>97</v>
      </c>
      <c r="C98" s="2">
        <v>7</v>
      </c>
      <c r="D98" s="2">
        <v>1</v>
      </c>
      <c r="E98" s="2">
        <v>1.246</v>
      </c>
      <c r="F98" s="2">
        <v>2</v>
      </c>
      <c r="H98" s="2">
        <v>42</v>
      </c>
      <c r="I98" s="2">
        <v>147</v>
      </c>
      <c r="J98" s="2">
        <v>3</v>
      </c>
      <c r="K98" s="2">
        <v>1</v>
      </c>
      <c r="L98" s="2">
        <v>1.1319999999999999</v>
      </c>
    </row>
    <row r="99" spans="1:12" ht="14.25" customHeight="1">
      <c r="A99" s="2">
        <v>42</v>
      </c>
      <c r="B99" s="2">
        <v>98</v>
      </c>
      <c r="C99" s="2">
        <v>4</v>
      </c>
      <c r="D99" s="2">
        <v>0</v>
      </c>
      <c r="E99" s="2">
        <v>1.181</v>
      </c>
      <c r="F99" s="2">
        <v>1</v>
      </c>
      <c r="H99" s="2">
        <v>42</v>
      </c>
      <c r="I99" s="2">
        <v>148</v>
      </c>
      <c r="J99" s="2">
        <v>2</v>
      </c>
      <c r="K99" s="2">
        <v>1</v>
      </c>
      <c r="L99" s="2">
        <v>1.365</v>
      </c>
    </row>
    <row r="100" spans="1:12" ht="14.25" customHeight="1">
      <c r="A100" s="2">
        <v>42</v>
      </c>
      <c r="B100" s="2">
        <v>99</v>
      </c>
      <c r="C100" s="2">
        <v>5</v>
      </c>
      <c r="D100" s="2">
        <v>1</v>
      </c>
      <c r="E100" s="2">
        <v>0.69099999999999995</v>
      </c>
      <c r="F100" s="2">
        <v>2</v>
      </c>
      <c r="H100" s="2">
        <v>42</v>
      </c>
      <c r="I100" s="2">
        <v>149</v>
      </c>
      <c r="J100" s="2">
        <v>8</v>
      </c>
      <c r="K100" s="2">
        <v>1</v>
      </c>
      <c r="L100" s="2">
        <v>0.72399999999999998</v>
      </c>
    </row>
    <row r="101" spans="1:12" ht="14.25" customHeight="1">
      <c r="A101" s="2">
        <v>42</v>
      </c>
      <c r="B101" s="2">
        <v>100</v>
      </c>
      <c r="C101" s="2">
        <v>8</v>
      </c>
      <c r="D101" s="2">
        <v>1</v>
      </c>
      <c r="E101" s="2">
        <v>0.75600000000000001</v>
      </c>
      <c r="F101" s="2">
        <v>2</v>
      </c>
      <c r="H101" s="2">
        <v>42</v>
      </c>
      <c r="I101" s="2">
        <v>150</v>
      </c>
      <c r="J101" s="2">
        <v>7</v>
      </c>
      <c r="K101" s="2">
        <v>1</v>
      </c>
      <c r="L101" s="2">
        <v>0.91300000000000003</v>
      </c>
    </row>
    <row r="102" spans="1:12" ht="14.25" customHeight="1">
      <c r="A102" s="2">
        <v>42</v>
      </c>
      <c r="B102" s="2">
        <v>101</v>
      </c>
      <c r="C102" s="2">
        <v>1</v>
      </c>
      <c r="D102" s="2">
        <v>1</v>
      </c>
      <c r="E102" s="2">
        <v>0.755</v>
      </c>
    </row>
    <row r="103" spans="1:12" ht="14.25" customHeight="1">
      <c r="A103" s="2">
        <v>42</v>
      </c>
      <c r="B103" s="2">
        <v>102</v>
      </c>
      <c r="C103" s="2">
        <v>2</v>
      </c>
      <c r="D103" s="2">
        <v>1</v>
      </c>
      <c r="E103" s="2">
        <v>1.0229999999999999</v>
      </c>
    </row>
    <row r="104" spans="1:12" ht="14.25" customHeight="1">
      <c r="A104" s="2">
        <v>42</v>
      </c>
      <c r="B104" s="2">
        <v>103</v>
      </c>
      <c r="C104" s="2">
        <v>4</v>
      </c>
      <c r="D104" s="2">
        <v>0</v>
      </c>
      <c r="E104" s="2">
        <v>1.7130000000000001</v>
      </c>
    </row>
    <row r="105" spans="1:12" ht="14.25" customHeight="1">
      <c r="A105" s="2">
        <v>42</v>
      </c>
      <c r="B105" s="2">
        <v>104</v>
      </c>
      <c r="C105" s="2">
        <v>2</v>
      </c>
      <c r="D105" s="2">
        <v>1</v>
      </c>
      <c r="E105" s="2">
        <v>1.0249999999999999</v>
      </c>
    </row>
    <row r="106" spans="1:12" ht="14.25" customHeight="1">
      <c r="A106" s="2">
        <v>42</v>
      </c>
      <c r="B106" s="2">
        <v>105</v>
      </c>
      <c r="C106" s="2">
        <v>7</v>
      </c>
      <c r="D106" s="2">
        <v>0</v>
      </c>
      <c r="E106" s="2">
        <v>1.62</v>
      </c>
    </row>
    <row r="107" spans="1:12" ht="14.25" customHeight="1">
      <c r="A107" s="2">
        <v>42</v>
      </c>
      <c r="B107" s="2">
        <v>106</v>
      </c>
      <c r="C107" s="2">
        <v>4</v>
      </c>
      <c r="D107" s="2">
        <v>1</v>
      </c>
      <c r="E107" s="2">
        <v>1.579</v>
      </c>
    </row>
    <row r="108" spans="1:12" ht="14.25" customHeight="1">
      <c r="A108" s="2">
        <v>42</v>
      </c>
      <c r="B108" s="2">
        <v>107</v>
      </c>
      <c r="C108" s="2">
        <v>3</v>
      </c>
      <c r="D108" s="2">
        <v>1</v>
      </c>
      <c r="E108" s="2">
        <v>0.67300000000000004</v>
      </c>
    </row>
    <row r="109" spans="1:12" ht="14.25" customHeight="1">
      <c r="A109" s="2">
        <v>42</v>
      </c>
      <c r="B109" s="2">
        <v>108</v>
      </c>
      <c r="C109" s="2">
        <v>2</v>
      </c>
      <c r="D109" s="2">
        <v>1</v>
      </c>
      <c r="E109" s="2">
        <v>0.92100000000000004</v>
      </c>
    </row>
    <row r="110" spans="1:12" ht="14.25" customHeight="1">
      <c r="A110" s="2">
        <v>42</v>
      </c>
      <c r="B110" s="2">
        <v>109</v>
      </c>
      <c r="C110" s="2">
        <v>1</v>
      </c>
      <c r="D110" s="2">
        <v>1</v>
      </c>
      <c r="E110" s="2">
        <v>1.6779999999999999</v>
      </c>
    </row>
    <row r="111" spans="1:12" ht="14.25" customHeight="1">
      <c r="A111" s="2">
        <v>42</v>
      </c>
      <c r="B111" s="2">
        <v>110</v>
      </c>
      <c r="C111" s="2">
        <v>6</v>
      </c>
      <c r="D111" s="2">
        <v>1</v>
      </c>
      <c r="E111" s="2">
        <v>1.1060000000000001</v>
      </c>
    </row>
    <row r="112" spans="1:12" ht="14.25" customHeight="1">
      <c r="A112" s="2">
        <v>42</v>
      </c>
      <c r="B112" s="2">
        <v>111</v>
      </c>
      <c r="C112" s="2">
        <v>4</v>
      </c>
      <c r="D112" s="2">
        <v>1</v>
      </c>
      <c r="E112" s="2">
        <v>1.0369999999999999</v>
      </c>
    </row>
    <row r="113" spans="1:5" ht="14.25" customHeight="1">
      <c r="A113" s="2">
        <v>42</v>
      </c>
      <c r="B113" s="2">
        <v>112</v>
      </c>
      <c r="C113" s="2">
        <v>5</v>
      </c>
      <c r="D113" s="2">
        <v>1</v>
      </c>
      <c r="E113" s="2">
        <v>0.82</v>
      </c>
    </row>
    <row r="114" spans="1:5" ht="14.25" customHeight="1">
      <c r="A114" s="2">
        <v>42</v>
      </c>
      <c r="B114" s="2">
        <v>113</v>
      </c>
      <c r="C114" s="2">
        <v>8</v>
      </c>
      <c r="D114" s="2">
        <v>1</v>
      </c>
      <c r="E114" s="2">
        <v>0.97899999999999998</v>
      </c>
    </row>
    <row r="115" spans="1:5" ht="14.25" customHeight="1">
      <c r="A115" s="2">
        <v>42</v>
      </c>
      <c r="B115" s="2">
        <v>114</v>
      </c>
      <c r="C115" s="2">
        <v>6</v>
      </c>
      <c r="D115" s="2">
        <v>1</v>
      </c>
      <c r="E115" s="2">
        <v>0.86099999999999999</v>
      </c>
    </row>
    <row r="116" spans="1:5" ht="14.25" customHeight="1">
      <c r="A116" s="2">
        <v>42</v>
      </c>
      <c r="B116" s="2">
        <v>115</v>
      </c>
      <c r="C116" s="2">
        <v>3</v>
      </c>
      <c r="D116" s="2">
        <v>1</v>
      </c>
      <c r="E116" s="2">
        <v>1.3660000000000001</v>
      </c>
    </row>
    <row r="117" spans="1:5" ht="14.25" customHeight="1">
      <c r="A117" s="2">
        <v>42</v>
      </c>
      <c r="B117" s="2">
        <v>116</v>
      </c>
      <c r="C117" s="2">
        <v>8</v>
      </c>
      <c r="D117" s="2">
        <v>1</v>
      </c>
      <c r="E117" s="2">
        <v>0.81799999999999995</v>
      </c>
    </row>
    <row r="118" spans="1:5" ht="14.25" customHeight="1">
      <c r="A118" s="2">
        <v>42</v>
      </c>
      <c r="B118" s="2">
        <v>117</v>
      </c>
      <c r="C118" s="2">
        <v>5</v>
      </c>
      <c r="D118" s="2">
        <v>1</v>
      </c>
      <c r="E118" s="2">
        <v>0.77900000000000003</v>
      </c>
    </row>
    <row r="119" spans="1:5" ht="14.25" customHeight="1">
      <c r="A119" s="2">
        <v>42</v>
      </c>
      <c r="B119" s="2">
        <v>118</v>
      </c>
      <c r="C119" s="2">
        <v>7</v>
      </c>
      <c r="D119" s="2">
        <v>1</v>
      </c>
      <c r="E119" s="2">
        <v>1.3779999999999999</v>
      </c>
    </row>
    <row r="120" spans="1:5" ht="14.25" customHeight="1">
      <c r="A120" s="2">
        <v>42</v>
      </c>
      <c r="B120" s="2">
        <v>119</v>
      </c>
      <c r="C120" s="2">
        <v>3</v>
      </c>
      <c r="D120" s="2">
        <v>1</v>
      </c>
      <c r="E120" s="2">
        <v>0.65900000000000003</v>
      </c>
    </row>
    <row r="121" spans="1:5" ht="14.25" customHeight="1">
      <c r="A121" s="2">
        <v>42</v>
      </c>
      <c r="B121" s="2">
        <v>120</v>
      </c>
      <c r="C121" s="2">
        <v>5</v>
      </c>
      <c r="D121" s="2">
        <v>1</v>
      </c>
      <c r="E121" s="2">
        <v>1.653</v>
      </c>
    </row>
    <row r="122" spans="1:5" ht="14.25" customHeight="1">
      <c r="A122" s="2">
        <v>42</v>
      </c>
      <c r="B122" s="2">
        <v>121</v>
      </c>
      <c r="C122" s="2">
        <v>6</v>
      </c>
      <c r="D122" s="2">
        <v>1</v>
      </c>
      <c r="E122" s="2">
        <v>1.238</v>
      </c>
    </row>
    <row r="123" spans="1:5" ht="14.25" customHeight="1">
      <c r="A123" s="2">
        <v>42</v>
      </c>
      <c r="B123" s="2">
        <v>122</v>
      </c>
      <c r="C123" s="2">
        <v>5</v>
      </c>
      <c r="D123" s="2">
        <v>1</v>
      </c>
      <c r="E123" s="2">
        <v>0.85099999999999998</v>
      </c>
    </row>
    <row r="124" spans="1:5" ht="14.25" customHeight="1">
      <c r="A124" s="2">
        <v>42</v>
      </c>
      <c r="B124" s="2">
        <v>123</v>
      </c>
      <c r="C124" s="2">
        <v>3</v>
      </c>
      <c r="D124" s="2">
        <v>1</v>
      </c>
      <c r="E124" s="2">
        <v>0.86399999999999999</v>
      </c>
    </row>
    <row r="125" spans="1:5" ht="14.25" customHeight="1">
      <c r="A125" s="2">
        <v>42</v>
      </c>
      <c r="B125" s="2">
        <v>124</v>
      </c>
      <c r="C125" s="2">
        <v>7</v>
      </c>
      <c r="D125" s="2">
        <v>1</v>
      </c>
      <c r="E125" s="2">
        <v>1.425</v>
      </c>
    </row>
    <row r="126" spans="1:5" ht="14.25" customHeight="1">
      <c r="A126" s="2">
        <v>42</v>
      </c>
      <c r="B126" s="2">
        <v>125</v>
      </c>
      <c r="C126" s="2">
        <v>4</v>
      </c>
      <c r="D126" s="2">
        <v>1</v>
      </c>
      <c r="E126" s="2">
        <v>1.1439999999999999</v>
      </c>
    </row>
    <row r="127" spans="1:5" ht="14.25" customHeight="1">
      <c r="A127" s="2">
        <v>42</v>
      </c>
      <c r="B127" s="2">
        <v>126</v>
      </c>
      <c r="C127" s="2">
        <v>1</v>
      </c>
      <c r="D127" s="2">
        <v>1</v>
      </c>
      <c r="E127" s="2">
        <v>0.875</v>
      </c>
    </row>
    <row r="128" spans="1:5" ht="14.25" customHeight="1">
      <c r="A128" s="2">
        <v>42</v>
      </c>
      <c r="B128" s="2">
        <v>127</v>
      </c>
      <c r="C128" s="2">
        <v>8</v>
      </c>
      <c r="D128" s="2">
        <v>1</v>
      </c>
      <c r="E128" s="2">
        <v>1.363</v>
      </c>
    </row>
    <row r="129" spans="1:5" ht="14.25" customHeight="1">
      <c r="A129" s="2">
        <v>42</v>
      </c>
      <c r="B129" s="2">
        <v>128</v>
      </c>
      <c r="C129" s="2">
        <v>4</v>
      </c>
      <c r="D129" s="2">
        <v>1</v>
      </c>
      <c r="E129" s="2">
        <v>1.6830000000000001</v>
      </c>
    </row>
    <row r="130" spans="1:5" ht="14.25" customHeight="1">
      <c r="A130" s="2">
        <v>42</v>
      </c>
      <c r="B130" s="2">
        <v>129</v>
      </c>
      <c r="C130" s="2">
        <v>2</v>
      </c>
      <c r="D130" s="2">
        <v>1</v>
      </c>
      <c r="E130" s="2">
        <v>0.79600000000000004</v>
      </c>
    </row>
    <row r="131" spans="1:5" ht="14.25" customHeight="1">
      <c r="A131" s="2">
        <v>42</v>
      </c>
      <c r="B131" s="2">
        <v>130</v>
      </c>
      <c r="C131" s="2">
        <v>8</v>
      </c>
      <c r="D131" s="2">
        <v>1</v>
      </c>
      <c r="E131" s="2">
        <v>1.0609999999999999</v>
      </c>
    </row>
    <row r="132" spans="1:5" ht="14.25" customHeight="1">
      <c r="A132" s="2">
        <v>42</v>
      </c>
      <c r="B132" s="2">
        <v>131</v>
      </c>
      <c r="C132" s="2">
        <v>6</v>
      </c>
      <c r="D132" s="2">
        <v>1</v>
      </c>
      <c r="E132" s="2">
        <v>1.286</v>
      </c>
    </row>
    <row r="133" spans="1:5" ht="14.25" customHeight="1">
      <c r="A133" s="2">
        <v>42</v>
      </c>
      <c r="B133" s="2">
        <v>132</v>
      </c>
      <c r="C133" s="2">
        <v>1</v>
      </c>
      <c r="D133" s="2">
        <v>1</v>
      </c>
      <c r="E133" s="2">
        <v>1.109</v>
      </c>
    </row>
    <row r="134" spans="1:5" ht="14.25" customHeight="1">
      <c r="A134" s="2">
        <v>42</v>
      </c>
      <c r="B134" s="2">
        <v>133</v>
      </c>
      <c r="C134" s="2">
        <v>5</v>
      </c>
      <c r="D134" s="2">
        <v>1</v>
      </c>
      <c r="E134" s="2">
        <v>1.1879999999999999</v>
      </c>
    </row>
    <row r="135" spans="1:5" ht="14.25" customHeight="1">
      <c r="A135" s="2">
        <v>42</v>
      </c>
      <c r="B135" s="2">
        <v>134</v>
      </c>
      <c r="C135" s="2">
        <v>6</v>
      </c>
      <c r="D135" s="2">
        <v>1</v>
      </c>
      <c r="E135" s="2">
        <v>1.2430000000000001</v>
      </c>
    </row>
    <row r="136" spans="1:5" ht="14.25" customHeight="1">
      <c r="A136" s="2">
        <v>42</v>
      </c>
      <c r="B136" s="2">
        <v>135</v>
      </c>
      <c r="C136" s="2">
        <v>1</v>
      </c>
      <c r="D136" s="2">
        <v>1</v>
      </c>
      <c r="E136" s="2">
        <v>1.42</v>
      </c>
    </row>
    <row r="137" spans="1:5" ht="14.25" customHeight="1">
      <c r="A137" s="2">
        <v>42</v>
      </c>
      <c r="B137" s="2">
        <v>136</v>
      </c>
      <c r="C137" s="2">
        <v>7</v>
      </c>
      <c r="D137" s="2">
        <v>1</v>
      </c>
      <c r="E137" s="2">
        <v>1.2809999999999999</v>
      </c>
    </row>
    <row r="138" spans="1:5" ht="14.25" customHeight="1">
      <c r="A138" s="2">
        <v>42</v>
      </c>
      <c r="B138" s="2">
        <v>137</v>
      </c>
      <c r="C138" s="2">
        <v>2</v>
      </c>
      <c r="D138" s="2">
        <v>1</v>
      </c>
      <c r="E138" s="2">
        <v>0.97499999999999998</v>
      </c>
    </row>
    <row r="139" spans="1:5" ht="14.25" customHeight="1">
      <c r="A139" s="2">
        <v>42</v>
      </c>
      <c r="B139" s="2">
        <v>138</v>
      </c>
      <c r="C139" s="2">
        <v>8</v>
      </c>
      <c r="D139" s="2">
        <v>1</v>
      </c>
      <c r="E139" s="2">
        <v>1.2969999999999999</v>
      </c>
    </row>
    <row r="140" spans="1:5" ht="14.25" customHeight="1">
      <c r="A140" s="2">
        <v>42</v>
      </c>
      <c r="B140" s="2">
        <v>139</v>
      </c>
      <c r="C140" s="2">
        <v>6</v>
      </c>
      <c r="D140" s="2">
        <v>1</v>
      </c>
      <c r="E140" s="2">
        <v>1.2430000000000001</v>
      </c>
    </row>
    <row r="141" spans="1:5" ht="14.25" customHeight="1">
      <c r="A141" s="2">
        <v>42</v>
      </c>
      <c r="B141" s="2">
        <v>140</v>
      </c>
      <c r="C141" s="2">
        <v>3</v>
      </c>
      <c r="D141" s="2">
        <v>1</v>
      </c>
      <c r="E141" s="2">
        <v>1.4610000000000001</v>
      </c>
    </row>
    <row r="142" spans="1:5" ht="14.25" customHeight="1">
      <c r="A142" s="2">
        <v>42</v>
      </c>
      <c r="B142" s="2">
        <v>141</v>
      </c>
      <c r="C142" s="2">
        <v>7</v>
      </c>
      <c r="D142" s="2">
        <v>1</v>
      </c>
      <c r="E142" s="2">
        <v>0.73299999999999998</v>
      </c>
    </row>
    <row r="143" spans="1:5" ht="14.25" customHeight="1">
      <c r="A143" s="2">
        <v>42</v>
      </c>
      <c r="B143" s="2">
        <v>142</v>
      </c>
      <c r="C143" s="2">
        <v>4</v>
      </c>
      <c r="D143" s="2">
        <v>1</v>
      </c>
      <c r="E143" s="2">
        <v>0.84399999999999997</v>
      </c>
    </row>
    <row r="144" spans="1:5" ht="14.25" customHeight="1">
      <c r="A144" s="2">
        <v>42</v>
      </c>
      <c r="B144" s="2">
        <v>143</v>
      </c>
      <c r="C144" s="2">
        <v>5</v>
      </c>
      <c r="D144" s="2">
        <v>1</v>
      </c>
      <c r="E144" s="2">
        <v>0.97299999999999998</v>
      </c>
    </row>
    <row r="145" spans="1:5" ht="14.25" customHeight="1">
      <c r="A145" s="2">
        <v>42</v>
      </c>
      <c r="B145" s="2">
        <v>144</v>
      </c>
      <c r="C145" s="2">
        <v>3</v>
      </c>
      <c r="D145" s="2">
        <v>1</v>
      </c>
      <c r="E145" s="2">
        <v>1.218</v>
      </c>
    </row>
    <row r="146" spans="1:5" ht="14.25" customHeight="1">
      <c r="A146" s="2">
        <v>42</v>
      </c>
      <c r="B146" s="2">
        <v>145</v>
      </c>
      <c r="C146" s="2">
        <v>1</v>
      </c>
      <c r="D146" s="2">
        <v>1</v>
      </c>
      <c r="E146" s="2">
        <v>1.002</v>
      </c>
    </row>
    <row r="147" spans="1:5" ht="14.25" customHeight="1">
      <c r="A147" s="2">
        <v>42</v>
      </c>
      <c r="B147" s="2">
        <v>146</v>
      </c>
      <c r="C147" s="2">
        <v>6</v>
      </c>
      <c r="D147" s="2">
        <v>1</v>
      </c>
      <c r="E147" s="2">
        <v>1.2350000000000001</v>
      </c>
    </row>
    <row r="148" spans="1:5" ht="14.25" customHeight="1">
      <c r="A148" s="2">
        <v>42</v>
      </c>
      <c r="B148" s="2">
        <v>147</v>
      </c>
      <c r="C148" s="2">
        <v>3</v>
      </c>
      <c r="D148" s="2">
        <v>1</v>
      </c>
      <c r="E148" s="2">
        <v>1.1319999999999999</v>
      </c>
    </row>
    <row r="149" spans="1:5" ht="14.25" customHeight="1">
      <c r="A149" s="2">
        <v>42</v>
      </c>
      <c r="B149" s="2">
        <v>148</v>
      </c>
      <c r="C149" s="2">
        <v>2</v>
      </c>
      <c r="D149" s="2">
        <v>1</v>
      </c>
      <c r="E149" s="2">
        <v>1.365</v>
      </c>
    </row>
    <row r="150" spans="1:5" ht="14.25" customHeight="1">
      <c r="A150" s="2">
        <v>42</v>
      </c>
      <c r="B150" s="2">
        <v>149</v>
      </c>
      <c r="C150" s="2">
        <v>8</v>
      </c>
      <c r="D150" s="2">
        <v>1</v>
      </c>
      <c r="E150" s="2">
        <v>0.72399999999999998</v>
      </c>
    </row>
    <row r="151" spans="1:5" ht="14.25" customHeight="1">
      <c r="A151" s="2">
        <v>42</v>
      </c>
      <c r="B151" s="2">
        <v>150</v>
      </c>
      <c r="C151" s="2">
        <v>7</v>
      </c>
      <c r="D151" s="2">
        <v>1</v>
      </c>
      <c r="E151" s="2">
        <v>0.91300000000000003</v>
      </c>
    </row>
    <row r="152" spans="1:5" ht="14.25" customHeight="1">
      <c r="A152" s="2">
        <v>42</v>
      </c>
      <c r="B152" s="2">
        <v>151</v>
      </c>
      <c r="C152" s="2">
        <v>6</v>
      </c>
    </row>
    <row r="153" spans="1:5" ht="14.25" customHeight="1">
      <c r="A153" s="2">
        <v>42</v>
      </c>
      <c r="B153" s="2">
        <v>152</v>
      </c>
      <c r="C153" s="2">
        <v>7</v>
      </c>
    </row>
    <row r="154" spans="1:5" ht="14.25" customHeight="1">
      <c r="A154" s="2">
        <v>42</v>
      </c>
      <c r="B154" s="2">
        <v>153</v>
      </c>
      <c r="C154" s="2">
        <v>1</v>
      </c>
    </row>
    <row r="155" spans="1:5" ht="14.25" customHeight="1">
      <c r="A155" s="2">
        <v>42</v>
      </c>
      <c r="B155" s="2">
        <v>154</v>
      </c>
      <c r="C155" s="2">
        <v>4</v>
      </c>
    </row>
    <row r="156" spans="1:5" ht="14.25" customHeight="1">
      <c r="A156" s="2">
        <v>42</v>
      </c>
      <c r="B156" s="2">
        <v>155</v>
      </c>
      <c r="C156" s="2">
        <v>7</v>
      </c>
    </row>
    <row r="157" spans="1:5" ht="14.25" customHeight="1">
      <c r="A157" s="2">
        <v>42</v>
      </c>
      <c r="B157" s="2">
        <v>156</v>
      </c>
      <c r="C157" s="2">
        <v>2</v>
      </c>
    </row>
    <row r="158" spans="1:5" ht="14.25" customHeight="1">
      <c r="A158" s="2">
        <v>42</v>
      </c>
      <c r="B158" s="2">
        <v>157</v>
      </c>
      <c r="C158" s="2">
        <v>8</v>
      </c>
    </row>
    <row r="159" spans="1:5" ht="14.25" customHeight="1">
      <c r="A159" s="2">
        <v>42</v>
      </c>
      <c r="B159" s="2">
        <v>158</v>
      </c>
      <c r="C159" s="2">
        <v>3</v>
      </c>
    </row>
    <row r="160" spans="1:5" ht="14.25" customHeight="1">
      <c r="A160" s="2">
        <v>42</v>
      </c>
      <c r="B160" s="2">
        <v>159</v>
      </c>
      <c r="C160" s="2">
        <v>1</v>
      </c>
    </row>
    <row r="161" spans="1:3" ht="14.25" customHeight="1">
      <c r="A161" s="2">
        <v>42</v>
      </c>
      <c r="B161" s="2">
        <v>160</v>
      </c>
      <c r="C161" s="2">
        <v>6</v>
      </c>
    </row>
    <row r="162" spans="1:3" ht="14.25" customHeight="1">
      <c r="A162" s="2">
        <v>42</v>
      </c>
      <c r="B162" s="2">
        <v>161</v>
      </c>
      <c r="C162" s="2">
        <v>3</v>
      </c>
    </row>
    <row r="163" spans="1:3" ht="14.25" customHeight="1">
      <c r="A163" s="2">
        <v>42</v>
      </c>
      <c r="B163" s="2">
        <v>162</v>
      </c>
      <c r="C163" s="2">
        <v>6</v>
      </c>
    </row>
    <row r="164" spans="1:3" ht="14.25" customHeight="1">
      <c r="A164" s="2">
        <v>42</v>
      </c>
      <c r="B164" s="2">
        <v>163</v>
      </c>
      <c r="C164" s="2">
        <v>8</v>
      </c>
    </row>
    <row r="165" spans="1:3" ht="14.25" customHeight="1">
      <c r="A165" s="2">
        <v>42</v>
      </c>
      <c r="B165" s="2">
        <v>164</v>
      </c>
      <c r="C165" s="2">
        <v>1</v>
      </c>
    </row>
    <row r="166" spans="1:3" ht="14.25" customHeight="1">
      <c r="A166" s="2">
        <v>42</v>
      </c>
      <c r="B166" s="2">
        <v>165</v>
      </c>
      <c r="C166" s="2">
        <v>8</v>
      </c>
    </row>
    <row r="167" spans="1:3" ht="14.25" customHeight="1">
      <c r="A167" s="2">
        <v>42</v>
      </c>
      <c r="B167" s="2">
        <v>166</v>
      </c>
      <c r="C167" s="2">
        <v>5</v>
      </c>
    </row>
    <row r="168" spans="1:3" ht="14.25" customHeight="1">
      <c r="A168" s="2">
        <v>42</v>
      </c>
      <c r="B168" s="2">
        <v>167</v>
      </c>
      <c r="C168" s="2">
        <v>4</v>
      </c>
    </row>
    <row r="169" spans="1:3" ht="14.25" customHeight="1">
      <c r="A169" s="2">
        <v>42</v>
      </c>
      <c r="B169" s="2">
        <v>168</v>
      </c>
      <c r="C169" s="2">
        <v>6</v>
      </c>
    </row>
    <row r="170" spans="1:3" ht="14.25" customHeight="1">
      <c r="A170" s="2">
        <v>42</v>
      </c>
      <c r="B170" s="2">
        <v>169</v>
      </c>
      <c r="C170" s="2">
        <v>4</v>
      </c>
    </row>
    <row r="171" spans="1:3" ht="14.25" customHeight="1">
      <c r="A171" s="2">
        <v>42</v>
      </c>
      <c r="B171" s="2">
        <v>170</v>
      </c>
      <c r="C171" s="2">
        <v>7</v>
      </c>
    </row>
    <row r="172" spans="1:3" ht="14.25" customHeight="1">
      <c r="A172" s="2">
        <v>42</v>
      </c>
      <c r="B172" s="2">
        <v>171</v>
      </c>
      <c r="C172" s="2">
        <v>4</v>
      </c>
    </row>
    <row r="173" spans="1:3" ht="14.25" customHeight="1">
      <c r="A173" s="2">
        <v>42</v>
      </c>
      <c r="B173" s="2">
        <v>172</v>
      </c>
      <c r="C173" s="2">
        <v>3</v>
      </c>
    </row>
    <row r="174" spans="1:3" ht="14.25" customHeight="1">
      <c r="A174" s="2">
        <v>42</v>
      </c>
      <c r="B174" s="2">
        <v>173</v>
      </c>
      <c r="C174" s="2">
        <v>6</v>
      </c>
    </row>
    <row r="175" spans="1:3" ht="14.25" customHeight="1">
      <c r="A175" s="2">
        <v>42</v>
      </c>
      <c r="B175" s="2">
        <v>174</v>
      </c>
      <c r="C175" s="2">
        <v>7</v>
      </c>
    </row>
    <row r="176" spans="1:3" ht="14.25" customHeight="1">
      <c r="A176" s="2">
        <v>42</v>
      </c>
      <c r="B176" s="2">
        <v>175</v>
      </c>
      <c r="C176" s="2">
        <v>3</v>
      </c>
    </row>
    <row r="177" spans="1:3" ht="14.25" customHeight="1">
      <c r="A177" s="2">
        <v>42</v>
      </c>
      <c r="B177" s="2">
        <v>176</v>
      </c>
      <c r="C177" s="2">
        <v>5</v>
      </c>
    </row>
    <row r="178" spans="1:3" ht="14.25" customHeight="1">
      <c r="A178" s="2">
        <v>42</v>
      </c>
      <c r="B178" s="2">
        <v>177</v>
      </c>
      <c r="C178" s="2">
        <v>6</v>
      </c>
    </row>
    <row r="179" spans="1:3" ht="14.25" customHeight="1">
      <c r="A179" s="2">
        <v>42</v>
      </c>
      <c r="B179" s="2">
        <v>178</v>
      </c>
      <c r="C179" s="2">
        <v>2</v>
      </c>
    </row>
    <row r="180" spans="1:3" ht="14.25" customHeight="1">
      <c r="A180" s="2">
        <v>42</v>
      </c>
      <c r="B180" s="2">
        <v>179</v>
      </c>
      <c r="C180" s="2">
        <v>1</v>
      </c>
    </row>
    <row r="181" spans="1:3" ht="14.25" customHeight="1">
      <c r="A181" s="2">
        <v>42</v>
      </c>
      <c r="B181" s="2">
        <v>180</v>
      </c>
      <c r="C181" s="2">
        <v>8</v>
      </c>
    </row>
    <row r="182" spans="1:3" ht="14.25" customHeight="1">
      <c r="A182" s="2">
        <v>42</v>
      </c>
      <c r="B182" s="2">
        <v>181</v>
      </c>
      <c r="C182" s="2">
        <v>4</v>
      </c>
    </row>
    <row r="183" spans="1:3" ht="14.25" customHeight="1">
      <c r="A183" s="2">
        <v>42</v>
      </c>
      <c r="B183" s="2">
        <v>182</v>
      </c>
      <c r="C183" s="2">
        <v>8</v>
      </c>
    </row>
    <row r="184" spans="1:3" ht="14.25" customHeight="1">
      <c r="A184" s="2">
        <v>42</v>
      </c>
      <c r="B184" s="2">
        <v>183</v>
      </c>
      <c r="C184" s="2">
        <v>3</v>
      </c>
    </row>
    <row r="185" spans="1:3" ht="14.25" customHeight="1">
      <c r="A185" s="2">
        <v>42</v>
      </c>
      <c r="B185" s="2">
        <v>184</v>
      </c>
      <c r="C185" s="2">
        <v>2</v>
      </c>
    </row>
    <row r="186" spans="1:3" ht="14.25" customHeight="1">
      <c r="A186" s="2">
        <v>42</v>
      </c>
      <c r="B186" s="2">
        <v>185</v>
      </c>
      <c r="C186" s="2">
        <v>8</v>
      </c>
    </row>
    <row r="187" spans="1:3" ht="14.25" customHeight="1">
      <c r="A187" s="2">
        <v>42</v>
      </c>
      <c r="B187" s="2">
        <v>186</v>
      </c>
      <c r="C187" s="2">
        <v>3</v>
      </c>
    </row>
    <row r="188" spans="1:3" ht="14.25" customHeight="1">
      <c r="A188" s="2">
        <v>42</v>
      </c>
      <c r="B188" s="2">
        <v>187</v>
      </c>
      <c r="C188" s="2">
        <v>5</v>
      </c>
    </row>
    <row r="189" spans="1:3" ht="14.25" customHeight="1">
      <c r="A189" s="2">
        <v>42</v>
      </c>
      <c r="B189" s="2">
        <v>188</v>
      </c>
      <c r="C189" s="2">
        <v>7</v>
      </c>
    </row>
    <row r="190" spans="1:3" ht="14.25" customHeight="1">
      <c r="A190" s="2">
        <v>42</v>
      </c>
      <c r="B190" s="2">
        <v>189</v>
      </c>
      <c r="C190" s="2">
        <v>4</v>
      </c>
    </row>
    <row r="191" spans="1:3" ht="14.25" customHeight="1">
      <c r="A191" s="2">
        <v>42</v>
      </c>
      <c r="B191" s="2">
        <v>190</v>
      </c>
      <c r="C191" s="2">
        <v>3</v>
      </c>
    </row>
    <row r="192" spans="1:3" ht="14.25" customHeight="1">
      <c r="A192" s="2">
        <v>42</v>
      </c>
      <c r="B192" s="2">
        <v>191</v>
      </c>
      <c r="C192" s="2">
        <v>2</v>
      </c>
    </row>
    <row r="193" spans="1:3" ht="14.25" customHeight="1">
      <c r="A193" s="2">
        <v>42</v>
      </c>
      <c r="B193" s="2">
        <v>192</v>
      </c>
      <c r="C193" s="2">
        <v>7</v>
      </c>
    </row>
    <row r="194" spans="1:3" ht="14.25" customHeight="1">
      <c r="A194" s="2">
        <v>42</v>
      </c>
      <c r="B194" s="2">
        <v>193</v>
      </c>
      <c r="C194" s="2">
        <v>2</v>
      </c>
    </row>
    <row r="195" spans="1:3" ht="14.25" customHeight="1">
      <c r="A195" s="2">
        <v>42</v>
      </c>
      <c r="B195" s="2">
        <v>194</v>
      </c>
      <c r="C195" s="2">
        <v>1</v>
      </c>
    </row>
    <row r="196" spans="1:3" ht="14.25" customHeight="1">
      <c r="A196" s="2">
        <v>42</v>
      </c>
      <c r="B196" s="2">
        <v>195</v>
      </c>
      <c r="C196" s="2">
        <v>5</v>
      </c>
    </row>
    <row r="197" spans="1:3" ht="14.25" customHeight="1">
      <c r="A197" s="2">
        <v>42</v>
      </c>
      <c r="B197" s="2">
        <v>196</v>
      </c>
      <c r="C197" s="2">
        <v>2</v>
      </c>
    </row>
    <row r="198" spans="1:3" ht="14.25" customHeight="1">
      <c r="A198" s="2">
        <v>42</v>
      </c>
      <c r="B198" s="2">
        <v>197</v>
      </c>
      <c r="C198" s="2">
        <v>1</v>
      </c>
    </row>
    <row r="199" spans="1:3" ht="14.25" customHeight="1">
      <c r="A199" s="2">
        <v>42</v>
      </c>
      <c r="B199" s="2">
        <v>198</v>
      </c>
      <c r="C199" s="2">
        <v>5</v>
      </c>
    </row>
    <row r="200" spans="1:3" ht="14.25" customHeight="1">
      <c r="A200" s="2">
        <v>42</v>
      </c>
      <c r="B200" s="2">
        <v>199</v>
      </c>
      <c r="C200" s="2">
        <v>6</v>
      </c>
    </row>
    <row r="201" spans="1:3" ht="14.25" customHeight="1">
      <c r="A201" s="2">
        <v>42</v>
      </c>
      <c r="B201" s="2">
        <v>200</v>
      </c>
      <c r="C201" s="2">
        <v>5</v>
      </c>
    </row>
    <row r="202" spans="1:3" ht="14.25" customHeight="1">
      <c r="A202" s="2">
        <v>42</v>
      </c>
      <c r="B202" s="2">
        <v>201</v>
      </c>
      <c r="C202" s="2">
        <v>7</v>
      </c>
    </row>
    <row r="203" spans="1:3" ht="14.25" customHeight="1">
      <c r="A203" s="2">
        <v>42</v>
      </c>
      <c r="B203" s="2">
        <v>202</v>
      </c>
      <c r="C203" s="2">
        <v>3</v>
      </c>
    </row>
    <row r="204" spans="1:3" ht="14.25" customHeight="1">
      <c r="A204" s="2">
        <v>42</v>
      </c>
      <c r="B204" s="2">
        <v>203</v>
      </c>
      <c r="C204" s="2">
        <v>2</v>
      </c>
    </row>
    <row r="205" spans="1:3" ht="14.25" customHeight="1">
      <c r="A205" s="2">
        <v>42</v>
      </c>
      <c r="B205" s="2">
        <v>204</v>
      </c>
      <c r="C205" s="2">
        <v>1</v>
      </c>
    </row>
    <row r="206" spans="1:3" ht="14.25" customHeight="1">
      <c r="A206" s="2">
        <v>42</v>
      </c>
      <c r="B206" s="2">
        <v>205</v>
      </c>
      <c r="C206" s="2">
        <v>3</v>
      </c>
    </row>
    <row r="207" spans="1:3" ht="14.25" customHeight="1">
      <c r="A207" s="2">
        <v>42</v>
      </c>
      <c r="B207" s="2">
        <v>206</v>
      </c>
      <c r="C207" s="2">
        <v>8</v>
      </c>
    </row>
    <row r="208" spans="1:3" ht="14.25" customHeight="1">
      <c r="A208" s="2">
        <v>42</v>
      </c>
      <c r="B208" s="2">
        <v>207</v>
      </c>
      <c r="C208" s="2">
        <v>1</v>
      </c>
    </row>
    <row r="209" spans="1:3" ht="14.25" customHeight="1">
      <c r="A209" s="2">
        <v>42</v>
      </c>
      <c r="B209" s="2">
        <v>208</v>
      </c>
      <c r="C209" s="2">
        <v>2</v>
      </c>
    </row>
    <row r="210" spans="1:3" ht="14.25" customHeight="1">
      <c r="A210" s="2">
        <v>42</v>
      </c>
      <c r="B210" s="2">
        <v>209</v>
      </c>
      <c r="C210" s="2">
        <v>1</v>
      </c>
    </row>
    <row r="211" spans="1:3" ht="14.25" customHeight="1">
      <c r="A211" s="2">
        <v>42</v>
      </c>
      <c r="B211" s="2">
        <v>210</v>
      </c>
      <c r="C211" s="2">
        <v>5</v>
      </c>
    </row>
    <row r="212" spans="1:3" ht="14.25" customHeight="1">
      <c r="A212" s="2">
        <v>42</v>
      </c>
      <c r="B212" s="2">
        <v>211</v>
      </c>
      <c r="C212" s="2">
        <v>4</v>
      </c>
    </row>
    <row r="213" spans="1:3" ht="14.25" customHeight="1">
      <c r="A213" s="2">
        <v>42</v>
      </c>
      <c r="B213" s="2">
        <v>212</v>
      </c>
      <c r="C213" s="2">
        <v>8</v>
      </c>
    </row>
    <row r="214" spans="1:3" ht="14.25" customHeight="1">
      <c r="A214" s="2">
        <v>42</v>
      </c>
      <c r="B214" s="2">
        <v>213</v>
      </c>
      <c r="C214" s="2">
        <v>3</v>
      </c>
    </row>
    <row r="215" spans="1:3" ht="14.25" customHeight="1">
      <c r="A215" s="2">
        <v>42</v>
      </c>
      <c r="B215" s="2">
        <v>214</v>
      </c>
      <c r="C215" s="2">
        <v>8</v>
      </c>
    </row>
    <row r="216" spans="1:3" ht="14.25" customHeight="1">
      <c r="A216" s="2">
        <v>42</v>
      </c>
      <c r="B216" s="2">
        <v>215</v>
      </c>
      <c r="C216" s="2">
        <v>2</v>
      </c>
    </row>
    <row r="217" spans="1:3" ht="14.25" customHeight="1">
      <c r="A217" s="2">
        <v>42</v>
      </c>
      <c r="B217" s="2">
        <v>216</v>
      </c>
      <c r="C217" s="2">
        <v>3</v>
      </c>
    </row>
    <row r="218" spans="1:3" ht="14.25" customHeight="1">
      <c r="A218" s="2">
        <v>42</v>
      </c>
      <c r="B218" s="2">
        <v>217</v>
      </c>
      <c r="C218" s="2">
        <v>5</v>
      </c>
    </row>
    <row r="219" spans="1:3" ht="14.25" customHeight="1">
      <c r="A219" s="2">
        <v>42</v>
      </c>
      <c r="B219" s="2">
        <v>218</v>
      </c>
      <c r="C219" s="2">
        <v>1</v>
      </c>
    </row>
    <row r="220" spans="1:3" ht="14.25" customHeight="1">
      <c r="A220" s="2">
        <v>42</v>
      </c>
      <c r="B220" s="2">
        <v>219</v>
      </c>
      <c r="C220" s="2">
        <v>6</v>
      </c>
    </row>
    <row r="221" spans="1:3" ht="14.25" customHeight="1">
      <c r="A221" s="2">
        <v>42</v>
      </c>
      <c r="B221" s="2">
        <v>220</v>
      </c>
      <c r="C221" s="2">
        <v>4</v>
      </c>
    </row>
    <row r="222" spans="1:3" ht="14.25" customHeight="1">
      <c r="A222" s="2">
        <v>42</v>
      </c>
      <c r="B222" s="2">
        <v>221</v>
      </c>
      <c r="C222" s="2">
        <v>3</v>
      </c>
    </row>
    <row r="223" spans="1:3" ht="14.25" customHeight="1">
      <c r="A223" s="2">
        <v>42</v>
      </c>
      <c r="B223" s="2">
        <v>222</v>
      </c>
      <c r="C223" s="2">
        <v>4</v>
      </c>
    </row>
    <row r="224" spans="1:3" ht="14.25" customHeight="1">
      <c r="A224" s="2">
        <v>42</v>
      </c>
      <c r="B224" s="2">
        <v>223</v>
      </c>
      <c r="C224" s="2">
        <v>2</v>
      </c>
    </row>
    <row r="225" spans="1:3" ht="14.25" customHeight="1">
      <c r="A225" s="2">
        <v>42</v>
      </c>
      <c r="B225" s="2">
        <v>224</v>
      </c>
      <c r="C225" s="2">
        <v>6</v>
      </c>
    </row>
    <row r="226" spans="1:3" ht="14.25" customHeight="1">
      <c r="A226" s="2">
        <v>42</v>
      </c>
      <c r="B226" s="2">
        <v>225</v>
      </c>
      <c r="C226" s="2">
        <v>3</v>
      </c>
    </row>
    <row r="227" spans="1:3" ht="14.25" customHeight="1">
      <c r="A227" s="2">
        <v>42</v>
      </c>
      <c r="B227" s="2">
        <v>226</v>
      </c>
      <c r="C227" s="2">
        <v>8</v>
      </c>
    </row>
    <row r="228" spans="1:3" ht="14.25" customHeight="1">
      <c r="A228" s="2">
        <v>42</v>
      </c>
      <c r="B228" s="2">
        <v>227</v>
      </c>
      <c r="C228" s="2">
        <v>1</v>
      </c>
    </row>
    <row r="229" spans="1:3" ht="14.25" customHeight="1">
      <c r="A229" s="2">
        <v>42</v>
      </c>
      <c r="B229" s="2">
        <v>228</v>
      </c>
      <c r="C229" s="2">
        <v>7</v>
      </c>
    </row>
    <row r="230" spans="1:3" ht="14.25" customHeight="1">
      <c r="A230" s="2">
        <v>42</v>
      </c>
      <c r="B230" s="2">
        <v>229</v>
      </c>
      <c r="C230" s="2">
        <v>4</v>
      </c>
    </row>
    <row r="231" spans="1:3" ht="14.25" customHeight="1">
      <c r="A231" s="2">
        <v>42</v>
      </c>
      <c r="B231" s="2">
        <v>230</v>
      </c>
      <c r="C231" s="2">
        <v>5</v>
      </c>
    </row>
    <row r="232" spans="1:3" ht="14.25" customHeight="1">
      <c r="A232" s="2">
        <v>42</v>
      </c>
      <c r="B232" s="2">
        <v>231</v>
      </c>
      <c r="C232" s="2">
        <v>4</v>
      </c>
    </row>
    <row r="233" spans="1:3" ht="14.25" customHeight="1">
      <c r="A233" s="2">
        <v>42</v>
      </c>
      <c r="B233" s="2">
        <v>232</v>
      </c>
      <c r="C233" s="2">
        <v>6</v>
      </c>
    </row>
    <row r="234" spans="1:3" ht="14.25" customHeight="1">
      <c r="A234" s="2">
        <v>42</v>
      </c>
      <c r="B234" s="2">
        <v>233</v>
      </c>
      <c r="C234" s="2">
        <v>3</v>
      </c>
    </row>
    <row r="235" spans="1:3" ht="14.25" customHeight="1">
      <c r="A235" s="2">
        <v>42</v>
      </c>
      <c r="B235" s="2">
        <v>234</v>
      </c>
      <c r="C235" s="2">
        <v>7</v>
      </c>
    </row>
    <row r="236" spans="1:3" ht="14.25" customHeight="1">
      <c r="A236" s="2">
        <v>42</v>
      </c>
      <c r="B236" s="2">
        <v>235</v>
      </c>
      <c r="C236" s="2">
        <v>1</v>
      </c>
    </row>
    <row r="237" spans="1:3" ht="14.25" customHeight="1">
      <c r="A237" s="2">
        <v>42</v>
      </c>
      <c r="B237" s="2">
        <v>236</v>
      </c>
      <c r="C237" s="2">
        <v>5</v>
      </c>
    </row>
    <row r="238" spans="1:3" ht="14.25" customHeight="1">
      <c r="A238" s="2">
        <v>42</v>
      </c>
      <c r="B238" s="2">
        <v>237</v>
      </c>
      <c r="C238" s="2">
        <v>6</v>
      </c>
    </row>
    <row r="239" spans="1:3" ht="14.25" customHeight="1">
      <c r="A239" s="2">
        <v>42</v>
      </c>
      <c r="B239" s="2">
        <v>238</v>
      </c>
      <c r="C239" s="2">
        <v>7</v>
      </c>
    </row>
    <row r="240" spans="1:3" ht="14.25" customHeight="1">
      <c r="A240" s="2">
        <v>42</v>
      </c>
      <c r="B240" s="2">
        <v>239</v>
      </c>
      <c r="C240" s="2">
        <v>2</v>
      </c>
    </row>
    <row r="241" spans="1:3" ht="14.25" customHeight="1">
      <c r="A241" s="2">
        <v>42</v>
      </c>
      <c r="B241" s="2">
        <v>240</v>
      </c>
      <c r="C241" s="2">
        <v>5</v>
      </c>
    </row>
    <row r="242" spans="1:3" ht="14.25" customHeight="1">
      <c r="A242" s="2">
        <v>42</v>
      </c>
      <c r="B242" s="2">
        <v>241</v>
      </c>
      <c r="C242" s="2">
        <v>2</v>
      </c>
    </row>
    <row r="243" spans="1:3" ht="14.25" customHeight="1">
      <c r="A243" s="2">
        <v>42</v>
      </c>
      <c r="B243" s="2">
        <v>242</v>
      </c>
      <c r="C243" s="2">
        <v>6</v>
      </c>
    </row>
    <row r="244" spans="1:3" ht="14.25" customHeight="1">
      <c r="A244" s="2">
        <v>42</v>
      </c>
      <c r="B244" s="2">
        <v>243</v>
      </c>
      <c r="C244" s="2">
        <v>4</v>
      </c>
    </row>
    <row r="245" spans="1:3" ht="14.25" customHeight="1">
      <c r="A245" s="2">
        <v>42</v>
      </c>
      <c r="B245" s="2">
        <v>244</v>
      </c>
      <c r="C245" s="2">
        <v>7</v>
      </c>
    </row>
    <row r="246" spans="1:3" ht="14.25" customHeight="1">
      <c r="A246" s="2">
        <v>42</v>
      </c>
      <c r="B246" s="2">
        <v>245</v>
      </c>
      <c r="C246" s="2">
        <v>6</v>
      </c>
    </row>
    <row r="247" spans="1:3" ht="14.25" customHeight="1">
      <c r="A247" s="2">
        <v>42</v>
      </c>
      <c r="B247" s="2">
        <v>246</v>
      </c>
      <c r="C247" s="2">
        <v>7</v>
      </c>
    </row>
    <row r="248" spans="1:3" ht="14.25" customHeight="1">
      <c r="A248" s="2">
        <v>42</v>
      </c>
      <c r="B248" s="2">
        <v>247</v>
      </c>
      <c r="C248" s="2">
        <v>8</v>
      </c>
    </row>
    <row r="249" spans="1:3" ht="14.25" customHeight="1">
      <c r="A249" s="2">
        <v>42</v>
      </c>
      <c r="B249" s="2">
        <v>248</v>
      </c>
      <c r="C249" s="2">
        <v>5</v>
      </c>
    </row>
    <row r="250" spans="1:3" ht="14.25" customHeight="1">
      <c r="A250" s="2">
        <v>42</v>
      </c>
      <c r="B250" s="2">
        <v>249</v>
      </c>
      <c r="C250" s="2">
        <v>8</v>
      </c>
    </row>
    <row r="251" spans="1:3" ht="14.25" customHeight="1">
      <c r="A251" s="2">
        <v>42</v>
      </c>
      <c r="B251" s="2">
        <v>250</v>
      </c>
      <c r="C251" s="2">
        <v>6</v>
      </c>
    </row>
    <row r="252" spans="1:3" ht="14.25" customHeight="1">
      <c r="A252" s="2">
        <v>42</v>
      </c>
      <c r="B252" s="2">
        <v>251</v>
      </c>
      <c r="C252" s="2">
        <v>4</v>
      </c>
    </row>
    <row r="253" spans="1:3" ht="14.25" customHeight="1">
      <c r="A253" s="2">
        <v>42</v>
      </c>
      <c r="B253" s="2">
        <v>252</v>
      </c>
      <c r="C253" s="2">
        <v>6</v>
      </c>
    </row>
    <row r="254" spans="1:3" ht="14.25" customHeight="1">
      <c r="A254" s="2">
        <v>42</v>
      </c>
      <c r="B254" s="2">
        <v>253</v>
      </c>
      <c r="C254" s="2">
        <v>2</v>
      </c>
    </row>
    <row r="255" spans="1:3" ht="14.25" customHeight="1">
      <c r="A255" s="2">
        <v>42</v>
      </c>
      <c r="B255" s="2">
        <v>254</v>
      </c>
      <c r="C255" s="2">
        <v>7</v>
      </c>
    </row>
    <row r="256" spans="1:3" ht="14.25" customHeight="1">
      <c r="A256" s="2">
        <v>42</v>
      </c>
      <c r="B256" s="2">
        <v>255</v>
      </c>
      <c r="C256" s="2">
        <v>1</v>
      </c>
    </row>
    <row r="257" spans="1:3" ht="14.25" customHeight="1">
      <c r="A257" s="2">
        <v>42</v>
      </c>
      <c r="B257" s="2">
        <v>256</v>
      </c>
      <c r="C257" s="2">
        <v>5</v>
      </c>
    </row>
    <row r="258" spans="1:3" ht="14.25" customHeight="1">
      <c r="A258" s="2">
        <v>42</v>
      </c>
      <c r="B258" s="2">
        <v>257</v>
      </c>
      <c r="C258" s="2">
        <v>1</v>
      </c>
    </row>
    <row r="259" spans="1:3" ht="14.25" customHeight="1">
      <c r="A259" s="2">
        <v>42</v>
      </c>
      <c r="B259" s="2">
        <v>258</v>
      </c>
      <c r="C259" s="2">
        <v>6</v>
      </c>
    </row>
    <row r="260" spans="1:3" ht="14.25" customHeight="1">
      <c r="A260" s="2">
        <v>42</v>
      </c>
      <c r="B260" s="2">
        <v>259</v>
      </c>
      <c r="C260" s="2">
        <v>7</v>
      </c>
    </row>
    <row r="261" spans="1:3" ht="14.25" customHeight="1">
      <c r="A261" s="2">
        <v>42</v>
      </c>
      <c r="B261" s="2">
        <v>260</v>
      </c>
      <c r="C261" s="2">
        <v>5</v>
      </c>
    </row>
    <row r="262" spans="1:3" ht="14.25" customHeight="1">
      <c r="A262" s="2">
        <v>42</v>
      </c>
      <c r="B262" s="2">
        <v>261</v>
      </c>
      <c r="C262" s="2">
        <v>7</v>
      </c>
    </row>
    <row r="263" spans="1:3" ht="14.25" customHeight="1">
      <c r="A263" s="2">
        <v>42</v>
      </c>
      <c r="B263" s="2">
        <v>262</v>
      </c>
      <c r="C263" s="2">
        <v>1</v>
      </c>
    </row>
    <row r="264" spans="1:3" ht="14.25" customHeight="1">
      <c r="A264" s="2">
        <v>42</v>
      </c>
      <c r="B264" s="2">
        <v>263</v>
      </c>
      <c r="C264" s="2">
        <v>3</v>
      </c>
    </row>
    <row r="265" spans="1:3" ht="14.25" customHeight="1">
      <c r="A265" s="2">
        <v>42</v>
      </c>
      <c r="B265" s="2">
        <v>264</v>
      </c>
      <c r="C265" s="2">
        <v>4</v>
      </c>
    </row>
    <row r="266" spans="1:3" ht="14.25" customHeight="1">
      <c r="A266" s="2">
        <v>42</v>
      </c>
      <c r="B266" s="2">
        <v>265</v>
      </c>
      <c r="C266" s="2">
        <v>2</v>
      </c>
    </row>
    <row r="267" spans="1:3" ht="14.25" customHeight="1">
      <c r="A267" s="2">
        <v>42</v>
      </c>
      <c r="B267" s="2">
        <v>266</v>
      </c>
      <c r="C267" s="2">
        <v>6</v>
      </c>
    </row>
    <row r="268" spans="1:3" ht="14.25" customHeight="1">
      <c r="A268" s="2">
        <v>42</v>
      </c>
      <c r="B268" s="2">
        <v>267</v>
      </c>
      <c r="C268" s="2">
        <v>1</v>
      </c>
    </row>
    <row r="269" spans="1:3" ht="14.25" customHeight="1">
      <c r="A269" s="2">
        <v>42</v>
      </c>
      <c r="B269" s="2">
        <v>268</v>
      </c>
      <c r="C269" s="2">
        <v>8</v>
      </c>
    </row>
    <row r="270" spans="1:3" ht="14.25" customHeight="1">
      <c r="A270" s="2">
        <v>42</v>
      </c>
      <c r="B270" s="2">
        <v>269</v>
      </c>
      <c r="C270" s="2">
        <v>7</v>
      </c>
    </row>
    <row r="271" spans="1:3" ht="14.25" customHeight="1">
      <c r="A271" s="2">
        <v>42</v>
      </c>
      <c r="B271" s="2">
        <v>270</v>
      </c>
      <c r="C271" s="2">
        <v>2</v>
      </c>
    </row>
    <row r="272" spans="1:3" ht="14.25" customHeight="1">
      <c r="A272" s="2">
        <v>42</v>
      </c>
      <c r="B272" s="2">
        <v>271</v>
      </c>
      <c r="C272" s="2">
        <v>8</v>
      </c>
    </row>
    <row r="273" spans="1:3" ht="14.25" customHeight="1">
      <c r="A273" s="2">
        <v>42</v>
      </c>
      <c r="B273" s="2">
        <v>272</v>
      </c>
      <c r="C273" s="2">
        <v>6</v>
      </c>
    </row>
    <row r="274" spans="1:3" ht="14.25" customHeight="1">
      <c r="A274" s="2">
        <v>42</v>
      </c>
      <c r="B274" s="2">
        <v>273</v>
      </c>
      <c r="C274" s="2">
        <v>7</v>
      </c>
    </row>
    <row r="275" spans="1:3" ht="14.25" customHeight="1">
      <c r="A275" s="2">
        <v>42</v>
      </c>
      <c r="B275" s="2">
        <v>274</v>
      </c>
      <c r="C275" s="2">
        <v>5</v>
      </c>
    </row>
    <row r="276" spans="1:3" ht="14.25" customHeight="1">
      <c r="A276" s="2">
        <v>42</v>
      </c>
      <c r="B276" s="2">
        <v>275</v>
      </c>
      <c r="C276" s="2">
        <v>6</v>
      </c>
    </row>
    <row r="277" spans="1:3" ht="14.25" customHeight="1">
      <c r="A277" s="2">
        <v>42</v>
      </c>
      <c r="B277" s="2">
        <v>276</v>
      </c>
      <c r="C277" s="2">
        <v>2</v>
      </c>
    </row>
    <row r="278" spans="1:3" ht="14.25" customHeight="1">
      <c r="A278" s="2">
        <v>42</v>
      </c>
      <c r="B278" s="2">
        <v>277</v>
      </c>
      <c r="C278" s="2">
        <v>3</v>
      </c>
    </row>
    <row r="279" spans="1:3" ht="14.25" customHeight="1">
      <c r="A279" s="2">
        <v>42</v>
      </c>
      <c r="B279" s="2">
        <v>278</v>
      </c>
      <c r="C279" s="2">
        <v>2</v>
      </c>
    </row>
    <row r="280" spans="1:3" ht="14.25" customHeight="1">
      <c r="A280" s="2">
        <v>42</v>
      </c>
      <c r="B280" s="2">
        <v>279</v>
      </c>
      <c r="C280" s="2">
        <v>6</v>
      </c>
    </row>
    <row r="281" spans="1:3" ht="14.25" customHeight="1">
      <c r="A281" s="2">
        <v>42</v>
      </c>
      <c r="B281" s="2">
        <v>280</v>
      </c>
      <c r="C281" s="2">
        <v>4</v>
      </c>
    </row>
    <row r="282" spans="1:3" ht="14.25" customHeight="1">
      <c r="A282" s="2">
        <v>42</v>
      </c>
      <c r="B282" s="2">
        <v>281</v>
      </c>
      <c r="C282" s="2">
        <v>5</v>
      </c>
    </row>
    <row r="283" spans="1:3" ht="14.25" customHeight="1">
      <c r="A283" s="2">
        <v>42</v>
      </c>
      <c r="B283" s="2">
        <v>282</v>
      </c>
      <c r="C283" s="2">
        <v>4</v>
      </c>
    </row>
    <row r="284" spans="1:3" ht="14.25" customHeight="1">
      <c r="A284" s="2">
        <v>42</v>
      </c>
      <c r="B284" s="2">
        <v>283</v>
      </c>
      <c r="C284" s="2">
        <v>5</v>
      </c>
    </row>
    <row r="285" spans="1:3" ht="14.25" customHeight="1">
      <c r="A285" s="2">
        <v>42</v>
      </c>
      <c r="B285" s="2">
        <v>284</v>
      </c>
      <c r="C285" s="2">
        <v>8</v>
      </c>
    </row>
    <row r="286" spans="1:3" ht="14.25" customHeight="1">
      <c r="A286" s="2">
        <v>42</v>
      </c>
      <c r="B286" s="2">
        <v>285</v>
      </c>
      <c r="C286" s="2">
        <v>3</v>
      </c>
    </row>
    <row r="287" spans="1:3" ht="14.25" customHeight="1">
      <c r="A287" s="2">
        <v>42</v>
      </c>
      <c r="B287" s="2">
        <v>286</v>
      </c>
      <c r="C287" s="2">
        <v>8</v>
      </c>
    </row>
    <row r="288" spans="1:3" ht="14.25" customHeight="1">
      <c r="A288" s="2">
        <v>42</v>
      </c>
      <c r="B288" s="2">
        <v>287</v>
      </c>
      <c r="C288" s="2">
        <v>3</v>
      </c>
    </row>
    <row r="289" spans="1:4" ht="14.25" customHeight="1">
      <c r="A289" s="2">
        <v>42</v>
      </c>
      <c r="B289" s="2">
        <v>288</v>
      </c>
      <c r="C289" s="2">
        <v>4</v>
      </c>
    </row>
    <row r="290" spans="1:4" ht="14.25" customHeight="1">
      <c r="A290" s="2">
        <v>42</v>
      </c>
      <c r="B290" s="2">
        <v>289</v>
      </c>
      <c r="C290" s="2">
        <v>8</v>
      </c>
    </row>
    <row r="291" spans="1:4" ht="14.25" customHeight="1">
      <c r="A291" s="2">
        <v>42</v>
      </c>
      <c r="B291" s="2">
        <v>290</v>
      </c>
      <c r="C291" s="2">
        <v>1</v>
      </c>
    </row>
    <row r="292" spans="1:4" ht="14.25" customHeight="1">
      <c r="A292" s="2">
        <v>42</v>
      </c>
      <c r="B292" s="2">
        <v>291</v>
      </c>
      <c r="C292" s="2">
        <v>6</v>
      </c>
    </row>
    <row r="293" spans="1:4" ht="14.25" customHeight="1">
      <c r="A293" s="2">
        <v>42</v>
      </c>
      <c r="B293" s="2">
        <v>292</v>
      </c>
      <c r="C293" s="2">
        <v>2</v>
      </c>
    </row>
    <row r="294" spans="1:4" ht="14.25" customHeight="1">
      <c r="A294" s="2">
        <v>42</v>
      </c>
      <c r="B294" s="2">
        <v>293</v>
      </c>
      <c r="C294" s="2">
        <v>3</v>
      </c>
    </row>
    <row r="295" spans="1:4" ht="14.25" customHeight="1">
      <c r="A295" s="2">
        <v>42</v>
      </c>
      <c r="B295" s="2">
        <v>294</v>
      </c>
      <c r="C295" s="2">
        <v>1</v>
      </c>
    </row>
    <row r="296" spans="1:4" ht="14.25" customHeight="1">
      <c r="A296" s="2">
        <v>42</v>
      </c>
      <c r="B296" s="2">
        <v>295</v>
      </c>
      <c r="C296" s="2">
        <v>5</v>
      </c>
    </row>
    <row r="297" spans="1:4" ht="14.25" customHeight="1">
      <c r="A297" s="2">
        <v>42</v>
      </c>
      <c r="B297" s="2">
        <v>296</v>
      </c>
      <c r="C297" s="2">
        <v>7</v>
      </c>
    </row>
    <row r="298" spans="1:4" ht="14.25" customHeight="1">
      <c r="A298" s="2">
        <v>42</v>
      </c>
      <c r="B298" s="2">
        <v>297</v>
      </c>
      <c r="C298" s="2">
        <v>3</v>
      </c>
    </row>
    <row r="299" spans="1:4" ht="14.25" customHeight="1">
      <c r="A299" s="2">
        <v>42</v>
      </c>
      <c r="B299" s="2">
        <v>298</v>
      </c>
      <c r="C299" s="2">
        <v>4</v>
      </c>
    </row>
    <row r="300" spans="1:4" ht="14.25" customHeight="1">
      <c r="A300" s="2">
        <v>42</v>
      </c>
      <c r="B300" s="2">
        <v>299</v>
      </c>
      <c r="C300" s="2">
        <v>3</v>
      </c>
    </row>
    <row r="301" spans="1:4" ht="14.25" customHeight="1">
      <c r="A301" s="2">
        <v>42</v>
      </c>
      <c r="B301" s="2">
        <v>300</v>
      </c>
      <c r="C301" s="2">
        <v>8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43</v>
      </c>
      <c r="I1" s="2">
        <v>1</v>
      </c>
      <c r="J1" s="2">
        <v>4</v>
      </c>
      <c r="L1" s="2">
        <v>2.0009999999999999</v>
      </c>
    </row>
    <row r="2" spans="1:22" ht="14.25" customHeight="1">
      <c r="A2" s="2">
        <v>43</v>
      </c>
      <c r="B2" s="2">
        <v>1</v>
      </c>
      <c r="C2" s="2">
        <v>4</v>
      </c>
      <c r="E2" s="2">
        <v>2.0009999999999999</v>
      </c>
      <c r="H2" s="2">
        <v>43</v>
      </c>
      <c r="I2" s="2">
        <v>2</v>
      </c>
      <c r="J2" s="2">
        <v>7</v>
      </c>
      <c r="K2" s="2">
        <v>0</v>
      </c>
      <c r="L2" s="2">
        <v>1.0509999999999999</v>
      </c>
      <c r="M2" s="2">
        <v>2</v>
      </c>
    </row>
    <row r="3" spans="1:22" ht="14.25" customHeight="1">
      <c r="A3" s="2">
        <v>43</v>
      </c>
      <c r="B3" s="2">
        <v>2</v>
      </c>
      <c r="C3" s="2">
        <v>7</v>
      </c>
      <c r="D3" s="2">
        <v>0</v>
      </c>
      <c r="E3" s="2">
        <v>1.0509999999999999</v>
      </c>
      <c r="F3" s="2">
        <v>2</v>
      </c>
      <c r="H3" s="2">
        <v>43</v>
      </c>
      <c r="I3" s="2">
        <v>3</v>
      </c>
      <c r="J3" s="2">
        <v>6</v>
      </c>
      <c r="K3" s="2">
        <v>0</v>
      </c>
      <c r="L3" s="2">
        <v>0.82699999999999996</v>
      </c>
      <c r="M3" s="2">
        <v>1</v>
      </c>
    </row>
    <row r="4" spans="1:22" ht="14.25" customHeight="1">
      <c r="A4" s="2">
        <v>43</v>
      </c>
      <c r="B4" s="2">
        <v>3</v>
      </c>
      <c r="C4" s="2">
        <v>6</v>
      </c>
      <c r="D4" s="2">
        <v>0</v>
      </c>
      <c r="E4" s="2">
        <v>0.82699999999999996</v>
      </c>
      <c r="F4" s="2">
        <v>1</v>
      </c>
      <c r="H4" s="2">
        <v>43</v>
      </c>
      <c r="I4" s="2">
        <v>4</v>
      </c>
      <c r="J4" s="2">
        <v>4</v>
      </c>
      <c r="K4" s="2">
        <v>1</v>
      </c>
      <c r="L4" s="2">
        <v>1.083</v>
      </c>
      <c r="M4" s="2">
        <v>1</v>
      </c>
      <c r="O4" s="2" t="s">
        <v>6</v>
      </c>
    </row>
    <row r="5" spans="1:22" ht="14.25" customHeight="1">
      <c r="A5" s="2">
        <v>43</v>
      </c>
      <c r="B5" s="2">
        <v>4</v>
      </c>
      <c r="C5" s="2">
        <v>4</v>
      </c>
      <c r="D5" s="2">
        <v>1</v>
      </c>
      <c r="E5" s="2">
        <v>1.083</v>
      </c>
      <c r="F5" s="2">
        <v>1</v>
      </c>
      <c r="H5" s="2">
        <v>43</v>
      </c>
      <c r="I5" s="2">
        <v>5</v>
      </c>
      <c r="J5" s="2">
        <v>2</v>
      </c>
      <c r="K5" s="2">
        <v>0</v>
      </c>
      <c r="L5" s="2">
        <v>0.95599999999999996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43</v>
      </c>
      <c r="B6" s="2">
        <v>5</v>
      </c>
      <c r="C6" s="2">
        <v>2</v>
      </c>
      <c r="D6" s="2">
        <v>0</v>
      </c>
      <c r="E6" s="2">
        <v>0.95599999999999996</v>
      </c>
      <c r="F6" s="2">
        <v>2</v>
      </c>
      <c r="H6" s="2">
        <v>43</v>
      </c>
      <c r="I6" s="2">
        <v>6</v>
      </c>
      <c r="J6" s="2">
        <v>1</v>
      </c>
      <c r="K6" s="2">
        <v>0</v>
      </c>
      <c r="L6" s="2">
        <v>1.2290000000000001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43</v>
      </c>
      <c r="B7" s="2">
        <v>6</v>
      </c>
      <c r="C7" s="2">
        <v>1</v>
      </c>
      <c r="D7" s="2">
        <v>0</v>
      </c>
      <c r="E7" s="2">
        <v>1.2290000000000001</v>
      </c>
      <c r="F7" s="2">
        <v>1</v>
      </c>
      <c r="H7" s="2">
        <v>43</v>
      </c>
      <c r="I7" s="2">
        <v>7</v>
      </c>
      <c r="J7" s="2">
        <v>3</v>
      </c>
      <c r="K7" s="2">
        <v>0</v>
      </c>
      <c r="L7" s="2">
        <v>1.409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43</v>
      </c>
      <c r="B8" s="2">
        <v>7</v>
      </c>
      <c r="C8" s="2">
        <v>3</v>
      </c>
      <c r="D8" s="2">
        <v>0</v>
      </c>
      <c r="E8" s="2">
        <v>1.409</v>
      </c>
      <c r="F8" s="2">
        <v>1</v>
      </c>
      <c r="H8" s="2">
        <v>43</v>
      </c>
      <c r="I8" s="2">
        <v>8</v>
      </c>
      <c r="J8" s="2">
        <v>5</v>
      </c>
      <c r="K8" s="2">
        <v>1</v>
      </c>
      <c r="L8" s="2">
        <v>1.484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43</v>
      </c>
      <c r="B9" s="2">
        <v>8</v>
      </c>
      <c r="C9" s="2">
        <v>5</v>
      </c>
      <c r="D9" s="2">
        <v>1</v>
      </c>
      <c r="E9" s="2">
        <v>1.484</v>
      </c>
      <c r="F9" s="2">
        <v>2</v>
      </c>
      <c r="H9" s="2">
        <v>43</v>
      </c>
      <c r="I9" s="2">
        <v>9</v>
      </c>
      <c r="J9" s="2">
        <v>2</v>
      </c>
      <c r="K9" s="2">
        <v>0</v>
      </c>
      <c r="L9" s="2">
        <v>1.038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43</v>
      </c>
      <c r="B10" s="2">
        <v>9</v>
      </c>
      <c r="C10" s="2">
        <v>2</v>
      </c>
      <c r="D10" s="2">
        <v>0</v>
      </c>
      <c r="E10" s="2">
        <v>1.038</v>
      </c>
      <c r="F10" s="2">
        <v>2</v>
      </c>
      <c r="H10" s="2">
        <v>43</v>
      </c>
      <c r="I10" s="2">
        <v>10</v>
      </c>
      <c r="J10" s="2">
        <v>3</v>
      </c>
      <c r="K10" s="2">
        <v>0</v>
      </c>
      <c r="L10" s="2">
        <v>1.206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43</v>
      </c>
      <c r="B11" s="2">
        <v>10</v>
      </c>
      <c r="C11" s="2">
        <v>3</v>
      </c>
      <c r="D11" s="2">
        <v>0</v>
      </c>
      <c r="E11" s="2">
        <v>1.206</v>
      </c>
      <c r="F11" s="2">
        <v>1</v>
      </c>
      <c r="H11" s="2">
        <v>43</v>
      </c>
      <c r="I11" s="2">
        <v>11</v>
      </c>
      <c r="J11" s="2">
        <v>2</v>
      </c>
      <c r="K11" s="2">
        <v>0</v>
      </c>
      <c r="L11" s="2">
        <v>1.0349999999999999</v>
      </c>
      <c r="M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43</v>
      </c>
      <c r="B12" s="2">
        <v>11</v>
      </c>
      <c r="C12" s="2">
        <v>2</v>
      </c>
      <c r="D12" s="2">
        <v>0</v>
      </c>
      <c r="E12" s="2">
        <v>1.0349999999999999</v>
      </c>
      <c r="F12" s="2">
        <v>2</v>
      </c>
      <c r="H12" s="2">
        <v>43</v>
      </c>
      <c r="I12" s="2">
        <v>12</v>
      </c>
      <c r="J12" s="2">
        <v>6</v>
      </c>
      <c r="K12" s="2">
        <v>0</v>
      </c>
      <c r="L12" s="2">
        <v>0.85899999999999999</v>
      </c>
      <c r="M12" s="2">
        <v>1</v>
      </c>
    </row>
    <row r="13" spans="1:22" ht="14.25" customHeight="1">
      <c r="A13" s="2">
        <v>43</v>
      </c>
      <c r="B13" s="2">
        <v>12</v>
      </c>
      <c r="C13" s="2">
        <v>6</v>
      </c>
      <c r="D13" s="2">
        <v>0</v>
      </c>
      <c r="E13" s="2">
        <v>0.85899999999999999</v>
      </c>
      <c r="F13" s="2">
        <v>1</v>
      </c>
      <c r="H13" s="2">
        <v>43</v>
      </c>
      <c r="I13" s="2">
        <v>13</v>
      </c>
      <c r="J13" s="2">
        <v>8</v>
      </c>
      <c r="K13" s="2">
        <v>1</v>
      </c>
      <c r="L13" s="2">
        <v>1.0920000000000001</v>
      </c>
      <c r="M13" s="2">
        <v>1</v>
      </c>
    </row>
    <row r="14" spans="1:22" ht="14.25" customHeight="1">
      <c r="A14" s="2">
        <v>43</v>
      </c>
      <c r="B14" s="2">
        <v>13</v>
      </c>
      <c r="C14" s="2">
        <v>8</v>
      </c>
      <c r="D14" s="2">
        <v>1</v>
      </c>
      <c r="E14" s="2">
        <v>1.0920000000000001</v>
      </c>
      <c r="F14" s="2">
        <v>1</v>
      </c>
      <c r="H14" s="2">
        <v>43</v>
      </c>
      <c r="I14" s="2">
        <v>14</v>
      </c>
      <c r="J14" s="2">
        <v>1</v>
      </c>
      <c r="K14" s="2">
        <v>1</v>
      </c>
      <c r="L14" s="2">
        <v>1.69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43</v>
      </c>
      <c r="B15" s="2">
        <v>14</v>
      </c>
      <c r="C15" s="2">
        <v>1</v>
      </c>
      <c r="D15" s="2">
        <v>1</v>
      </c>
      <c r="E15" s="2">
        <v>1.69</v>
      </c>
      <c r="F15" s="2">
        <v>2</v>
      </c>
      <c r="H15" s="2">
        <v>43</v>
      </c>
      <c r="I15" s="2">
        <v>15</v>
      </c>
      <c r="J15" s="2">
        <v>3</v>
      </c>
      <c r="K15" s="2">
        <v>0</v>
      </c>
      <c r="L15" s="2">
        <v>1.419</v>
      </c>
      <c r="M15" s="2">
        <v>1</v>
      </c>
      <c r="O15" s="2" t="s">
        <v>9</v>
      </c>
    </row>
    <row r="16" spans="1:22" ht="14.25" customHeight="1">
      <c r="A16" s="2">
        <v>43</v>
      </c>
      <c r="B16" s="2">
        <v>15</v>
      </c>
      <c r="C16" s="2">
        <v>3</v>
      </c>
      <c r="D16" s="2">
        <v>0</v>
      </c>
      <c r="E16" s="2">
        <v>1.419</v>
      </c>
      <c r="F16" s="2">
        <v>1</v>
      </c>
      <c r="H16" s="2">
        <v>43</v>
      </c>
      <c r="I16" s="2">
        <v>16</v>
      </c>
      <c r="J16" s="2">
        <v>5</v>
      </c>
      <c r="K16" s="2">
        <v>0</v>
      </c>
      <c r="L16" s="2">
        <v>1.02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43</v>
      </c>
      <c r="B17" s="2">
        <v>16</v>
      </c>
      <c r="C17" s="2">
        <v>5</v>
      </c>
      <c r="D17" s="2">
        <v>0</v>
      </c>
      <c r="E17" s="2">
        <v>1.02</v>
      </c>
      <c r="F17" s="2">
        <v>1</v>
      </c>
      <c r="H17" s="2">
        <v>43</v>
      </c>
      <c r="I17" s="2">
        <v>17</v>
      </c>
      <c r="J17" s="2">
        <v>7</v>
      </c>
      <c r="K17" s="2">
        <v>0</v>
      </c>
      <c r="L17" s="2">
        <v>1.464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5.7599999999999936</v>
      </c>
      <c r="P17" s="2">
        <f t="shared" ref="P17:P22" si="1">(P6*COUNTIF($J$1:$J$100,P$16) - COUNTIFS($J$1:$J$100,P$16,$K$1:$K$100,"=0"))^2</f>
        <v>39.69</v>
      </c>
      <c r="Q17" s="2">
        <f t="shared" ref="Q17:Q22" si="2">(Q6*COUNTIF($J$1:$J$100,Q$16) - COUNTIFS($J$1:$J$100,Q$16,$K$1:$K$100,"=1"))^2</f>
        <v>29.159999999999986</v>
      </c>
      <c r="R17" s="2">
        <f t="shared" ref="R17:R22" si="3">(R6*COUNTIF($J$1:$J$100,R$16) - COUNTIFS($J$1:$J$100,R$16,$K$1:$K$100,"=0"))^2</f>
        <v>0.15999999999999992</v>
      </c>
      <c r="S17" s="2">
        <f t="shared" ref="S17:T17" si="4">(S6*COUNTIF($J$1:$J$100,S$16) - COUNTIFS($J$1:$J$100,S$16,$K$1:$K$100,"=1"))^2</f>
        <v>1.959999999999996</v>
      </c>
      <c r="T17" s="2">
        <f t="shared" si="4"/>
        <v>5.7599999999999936</v>
      </c>
      <c r="U17" s="2">
        <f t="shared" ref="U17:V17" si="5">(U6*COUNTIF($J$1:$J$100,U$16) - COUNTIFS($J$1:$J$100,U$16,$K$1:$K$100,"=0"))^2</f>
        <v>28.09</v>
      </c>
      <c r="V17" s="2">
        <f t="shared" si="5"/>
        <v>0.15999999999999992</v>
      </c>
    </row>
    <row r="18" spans="1:22" ht="14.25" customHeight="1">
      <c r="A18" s="2">
        <v>43</v>
      </c>
      <c r="B18" s="2">
        <v>17</v>
      </c>
      <c r="C18" s="2">
        <v>7</v>
      </c>
      <c r="D18" s="2">
        <v>0</v>
      </c>
      <c r="E18" s="2">
        <v>1.464</v>
      </c>
      <c r="F18" s="2">
        <v>2</v>
      </c>
      <c r="H18" s="2">
        <v>43</v>
      </c>
      <c r="I18" s="2">
        <v>18</v>
      </c>
      <c r="J18" s="2">
        <v>8</v>
      </c>
      <c r="K18" s="2">
        <v>1</v>
      </c>
      <c r="L18" s="2">
        <v>1.2669999999999999</v>
      </c>
      <c r="M18" s="2">
        <v>1</v>
      </c>
      <c r="N18" s="2">
        <v>2</v>
      </c>
      <c r="O18" s="2">
        <f t="shared" si="0"/>
        <v>5.7599999999999936</v>
      </c>
      <c r="P18" s="2">
        <f t="shared" si="1"/>
        <v>39.689999999999984</v>
      </c>
      <c r="Q18" s="2">
        <f t="shared" si="2"/>
        <v>29.160000000000004</v>
      </c>
      <c r="R18" s="2">
        <f t="shared" si="3"/>
        <v>0.15999999999999992</v>
      </c>
      <c r="S18" s="2">
        <f t="shared" ref="S18:T18" si="6">(S7*COUNTIF($J$1:$J$100,S$16) - COUNTIFS($J$1:$J$100,S$16,$K$1:$K$100,"=1"))^2</f>
        <v>1.959999999999996</v>
      </c>
      <c r="T18" s="2">
        <f t="shared" si="6"/>
        <v>5.7599999999999936</v>
      </c>
      <c r="U18" s="2">
        <f t="shared" ref="U18:V18" si="7">(U7*COUNTIF($J$1:$J$100,U$16) - COUNTIFS($J$1:$J$100,U$16,$K$1:$K$100,"=0"))^2</f>
        <v>28.09</v>
      </c>
      <c r="V18" s="2">
        <f t="shared" si="7"/>
        <v>0.15999999999999992</v>
      </c>
    </row>
    <row r="19" spans="1:22" ht="14.25" customHeight="1">
      <c r="A19" s="2">
        <v>43</v>
      </c>
      <c r="B19" s="2">
        <v>18</v>
      </c>
      <c r="C19" s="2">
        <v>8</v>
      </c>
      <c r="D19" s="2">
        <v>1</v>
      </c>
      <c r="E19" s="2">
        <v>1.2669999999999999</v>
      </c>
      <c r="F19" s="2">
        <v>1</v>
      </c>
      <c r="H19" s="2">
        <v>43</v>
      </c>
      <c r="I19" s="2">
        <v>19</v>
      </c>
      <c r="J19" s="2">
        <v>7</v>
      </c>
      <c r="K19" s="2">
        <v>0</v>
      </c>
      <c r="L19" s="2">
        <v>1.524</v>
      </c>
      <c r="M19" s="2">
        <v>2</v>
      </c>
      <c r="N19" s="2">
        <v>3</v>
      </c>
      <c r="O19" s="2">
        <f t="shared" si="0"/>
        <v>5.7599999999999936</v>
      </c>
      <c r="P19" s="2">
        <f t="shared" si="1"/>
        <v>39.69</v>
      </c>
      <c r="Q19" s="2">
        <f t="shared" si="2"/>
        <v>29.159999999999986</v>
      </c>
      <c r="R19" s="2">
        <f t="shared" si="3"/>
        <v>0.15999999999999992</v>
      </c>
      <c r="S19" s="2">
        <f t="shared" ref="S19:T19" si="8">(S8*COUNTIF($J$1:$J$100,S$16) - COUNTIFS($J$1:$J$100,S$16,$K$1:$K$100,"=1"))^2</f>
        <v>1.959999999999996</v>
      </c>
      <c r="T19" s="2">
        <f t="shared" si="8"/>
        <v>70.56</v>
      </c>
      <c r="U19" s="2">
        <f t="shared" ref="U19:V19" si="9">(U8*COUNTIF($J$1:$J$100,U$16) - COUNTIFS($J$1:$J$100,U$16,$K$1:$K$100,"=0"))^2</f>
        <v>53.289999999999985</v>
      </c>
      <c r="V19" s="2">
        <f t="shared" si="9"/>
        <v>0.15999999999999992</v>
      </c>
    </row>
    <row r="20" spans="1:22" ht="14.25" customHeight="1">
      <c r="A20" s="2">
        <v>43</v>
      </c>
      <c r="B20" s="2">
        <v>19</v>
      </c>
      <c r="C20" s="2">
        <v>7</v>
      </c>
      <c r="D20" s="2">
        <v>0</v>
      </c>
      <c r="E20" s="2">
        <v>1.524</v>
      </c>
      <c r="F20" s="2">
        <v>2</v>
      </c>
      <c r="H20" s="2">
        <v>43</v>
      </c>
      <c r="I20" s="2">
        <v>20</v>
      </c>
      <c r="J20" s="2">
        <v>1</v>
      </c>
      <c r="K20" s="2">
        <v>1</v>
      </c>
      <c r="L20" s="2">
        <v>1.22</v>
      </c>
      <c r="M20" s="2">
        <v>2</v>
      </c>
      <c r="N20" s="2">
        <v>4</v>
      </c>
      <c r="O20" s="2">
        <f t="shared" si="0"/>
        <v>9</v>
      </c>
      <c r="P20" s="2">
        <f t="shared" si="1"/>
        <v>0</v>
      </c>
      <c r="Q20" s="2">
        <f t="shared" si="2"/>
        <v>0</v>
      </c>
      <c r="R20" s="2">
        <f t="shared" si="3"/>
        <v>25</v>
      </c>
      <c r="S20" s="2">
        <f t="shared" ref="S20:T20" si="10">(S9*COUNTIF($J$1:$J$100,S$16) - COUNTIFS($J$1:$J$100,S$16,$K$1:$K$100,"=1"))^2</f>
        <v>1.959999999999996</v>
      </c>
      <c r="T20" s="2">
        <f t="shared" si="10"/>
        <v>5.7599999999999936</v>
      </c>
      <c r="U20" s="2">
        <f t="shared" ref="U20:V20" si="11">(U9*COUNTIF($J$1:$J$100,U$16) - COUNTIFS($J$1:$J$100,U$16,$K$1:$K$100,"=0"))^2</f>
        <v>28.09</v>
      </c>
      <c r="V20" s="2">
        <f t="shared" si="11"/>
        <v>0.15999999999999992</v>
      </c>
    </row>
    <row r="21" spans="1:22" ht="14.25" customHeight="1">
      <c r="A21" s="2">
        <v>43</v>
      </c>
      <c r="B21" s="2">
        <v>20</v>
      </c>
      <c r="C21" s="2">
        <v>1</v>
      </c>
      <c r="D21" s="2">
        <v>1</v>
      </c>
      <c r="E21" s="2">
        <v>1.22</v>
      </c>
      <c r="F21" s="2">
        <v>2</v>
      </c>
      <c r="H21" s="2">
        <v>43</v>
      </c>
      <c r="I21" s="2">
        <v>21</v>
      </c>
      <c r="J21" s="2">
        <v>6</v>
      </c>
      <c r="K21" s="2">
        <v>1</v>
      </c>
      <c r="L21" s="2">
        <v>1.3029999999999999</v>
      </c>
      <c r="M21" s="2">
        <v>2</v>
      </c>
      <c r="N21" s="2">
        <v>5</v>
      </c>
      <c r="O21" s="2">
        <f t="shared" si="0"/>
        <v>5.7599999999999936</v>
      </c>
      <c r="P21" s="2">
        <f t="shared" si="1"/>
        <v>39.69</v>
      </c>
      <c r="Q21" s="2">
        <f t="shared" si="2"/>
        <v>29.159999999999986</v>
      </c>
      <c r="R21" s="2">
        <f t="shared" si="3"/>
        <v>0.15999999999999992</v>
      </c>
      <c r="S21" s="2">
        <f t="shared" ref="S21:T21" si="12">(S10*COUNTIF($J$1:$J$100,S$16) - COUNTIFS($J$1:$J$100,S$16,$K$1:$K$100,"=1"))^2</f>
        <v>16</v>
      </c>
      <c r="T21" s="2">
        <f t="shared" si="12"/>
        <v>9</v>
      </c>
      <c r="U21" s="2">
        <f t="shared" ref="U21:V21" si="13">(U10*COUNTIF($J$1:$J$100,U$16) - COUNTIFS($J$1:$J$100,U$16,$K$1:$K$100,"=0"))^2</f>
        <v>1</v>
      </c>
      <c r="V21" s="2">
        <f t="shared" si="13"/>
        <v>25</v>
      </c>
    </row>
    <row r="22" spans="1:22" ht="14.25" customHeight="1">
      <c r="A22" s="2">
        <v>43</v>
      </c>
      <c r="B22" s="2">
        <v>21</v>
      </c>
      <c r="C22" s="2">
        <v>6</v>
      </c>
      <c r="D22" s="2">
        <v>1</v>
      </c>
      <c r="E22" s="2">
        <v>1.3029999999999999</v>
      </c>
      <c r="F22" s="2">
        <v>2</v>
      </c>
      <c r="H22" s="2">
        <v>43</v>
      </c>
      <c r="I22" s="2">
        <v>22</v>
      </c>
      <c r="J22" s="2">
        <v>1</v>
      </c>
      <c r="K22" s="2">
        <v>1</v>
      </c>
      <c r="L22" s="2">
        <v>0.79300000000000004</v>
      </c>
      <c r="M22" s="2">
        <v>2</v>
      </c>
      <c r="N22" s="2">
        <v>6</v>
      </c>
      <c r="O22" s="2">
        <f t="shared" si="0"/>
        <v>9</v>
      </c>
      <c r="P22" s="2">
        <f t="shared" si="1"/>
        <v>0</v>
      </c>
      <c r="Q22" s="2">
        <f t="shared" si="2"/>
        <v>0</v>
      </c>
      <c r="R22" s="2">
        <f t="shared" si="3"/>
        <v>25</v>
      </c>
      <c r="S22" s="2">
        <f t="shared" ref="S22:T22" si="14">(S11*COUNTIF($J$1:$J$100,S$16) - COUNTIFS($J$1:$J$100,S$16,$K$1:$K$100,"=1"))^2</f>
        <v>16</v>
      </c>
      <c r="T22" s="2">
        <f t="shared" si="14"/>
        <v>9</v>
      </c>
      <c r="U22" s="2">
        <f t="shared" ref="U22:V22" si="15">(U11*COUNTIF($J$1:$J$100,U$16) - COUNTIFS($J$1:$J$100,U$16,$K$1:$K$100,"=0"))^2</f>
        <v>1</v>
      </c>
      <c r="V22" s="2">
        <f t="shared" si="15"/>
        <v>25</v>
      </c>
    </row>
    <row r="23" spans="1:22" ht="14.25" customHeight="1">
      <c r="A23" s="2">
        <v>43</v>
      </c>
      <c r="B23" s="2">
        <v>22</v>
      </c>
      <c r="C23" s="2">
        <v>1</v>
      </c>
      <c r="D23" s="2">
        <v>1</v>
      </c>
      <c r="E23" s="2">
        <v>0.79300000000000004</v>
      </c>
      <c r="F23" s="2">
        <v>2</v>
      </c>
      <c r="H23" s="2">
        <v>43</v>
      </c>
      <c r="I23" s="2">
        <v>23</v>
      </c>
      <c r="J23" s="2">
        <v>7</v>
      </c>
      <c r="K23" s="2">
        <v>1</v>
      </c>
      <c r="L23" s="2">
        <v>0.64300000000000002</v>
      </c>
      <c r="M23" s="2">
        <v>1</v>
      </c>
    </row>
    <row r="24" spans="1:22" ht="14.25" customHeight="1">
      <c r="A24" s="2">
        <v>43</v>
      </c>
      <c r="B24" s="2">
        <v>23</v>
      </c>
      <c r="C24" s="2">
        <v>7</v>
      </c>
      <c r="D24" s="2">
        <v>1</v>
      </c>
      <c r="E24" s="2">
        <v>0.64300000000000002</v>
      </c>
      <c r="F24" s="2">
        <v>1</v>
      </c>
      <c r="H24" s="2">
        <v>43</v>
      </c>
      <c r="I24" s="2">
        <v>24</v>
      </c>
      <c r="J24" s="2">
        <v>4</v>
      </c>
      <c r="K24" s="2">
        <v>1</v>
      </c>
      <c r="L24" s="2">
        <v>0.92200000000000004</v>
      </c>
      <c r="M24" s="2">
        <v>1</v>
      </c>
    </row>
    <row r="25" spans="1:22" ht="14.25" customHeight="1">
      <c r="A25" s="2">
        <v>43</v>
      </c>
      <c r="B25" s="2">
        <v>24</v>
      </c>
      <c r="C25" s="2">
        <v>4</v>
      </c>
      <c r="D25" s="2">
        <v>1</v>
      </c>
      <c r="E25" s="2">
        <v>0.92200000000000004</v>
      </c>
      <c r="F25" s="2">
        <v>1</v>
      </c>
      <c r="H25" s="2">
        <v>43</v>
      </c>
      <c r="I25" s="2">
        <v>25</v>
      </c>
      <c r="J25" s="2">
        <v>7</v>
      </c>
      <c r="K25" s="2">
        <v>1</v>
      </c>
      <c r="L25" s="2">
        <v>0.93600000000000005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43</v>
      </c>
      <c r="B26" s="2">
        <v>25</v>
      </c>
      <c r="C26" s="2">
        <v>7</v>
      </c>
      <c r="D26" s="2">
        <v>1</v>
      </c>
      <c r="E26" s="2">
        <v>0.93600000000000005</v>
      </c>
      <c r="F26" s="2">
        <v>1</v>
      </c>
      <c r="H26" s="2">
        <v>43</v>
      </c>
      <c r="I26" s="2">
        <v>26</v>
      </c>
      <c r="J26" s="2">
        <v>4</v>
      </c>
      <c r="K26" s="2">
        <v>1</v>
      </c>
      <c r="L26" s="2">
        <v>0.70399999999999996</v>
      </c>
      <c r="M26" s="2">
        <v>1</v>
      </c>
      <c r="O26" s="2">
        <f t="shared" ref="O26:V26" si="16">COUNTIF($J$1:$J$100,O$16)^2</f>
        <v>144</v>
      </c>
      <c r="P26" s="2">
        <f t="shared" si="16"/>
        <v>196</v>
      </c>
      <c r="Q26" s="2">
        <f t="shared" si="16"/>
        <v>144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196</v>
      </c>
      <c r="V26" s="2">
        <f t="shared" si="16"/>
        <v>144</v>
      </c>
    </row>
    <row r="27" spans="1:22" ht="14.25" customHeight="1">
      <c r="A27" s="2">
        <v>43</v>
      </c>
      <c r="B27" s="2">
        <v>26</v>
      </c>
      <c r="C27" s="2">
        <v>4</v>
      </c>
      <c r="D27" s="2">
        <v>1</v>
      </c>
      <c r="E27" s="2">
        <v>0.70399999999999996</v>
      </c>
      <c r="F27" s="2">
        <v>1</v>
      </c>
      <c r="H27" s="2">
        <v>43</v>
      </c>
      <c r="I27" s="2">
        <v>27</v>
      </c>
      <c r="J27" s="2">
        <v>8</v>
      </c>
      <c r="K27" s="2">
        <v>1</v>
      </c>
      <c r="L27" s="2">
        <v>0.69799999999999995</v>
      </c>
      <c r="M27" s="2">
        <v>1</v>
      </c>
    </row>
    <row r="28" spans="1:22" ht="14.25" customHeight="1">
      <c r="A28" s="2">
        <v>43</v>
      </c>
      <c r="B28" s="2">
        <v>27</v>
      </c>
      <c r="C28" s="2">
        <v>8</v>
      </c>
      <c r="D28" s="2">
        <v>1</v>
      </c>
      <c r="E28" s="2">
        <v>0.69799999999999995</v>
      </c>
      <c r="F28" s="2">
        <v>1</v>
      </c>
      <c r="H28" s="2">
        <v>43</v>
      </c>
      <c r="I28" s="2">
        <v>28</v>
      </c>
      <c r="J28" s="2">
        <v>2</v>
      </c>
      <c r="K28" s="2">
        <v>0</v>
      </c>
      <c r="L28" s="2">
        <v>0.61599999999999999</v>
      </c>
      <c r="M28" s="2">
        <v>2</v>
      </c>
    </row>
    <row r="29" spans="1:22" ht="14.25" customHeight="1">
      <c r="A29" s="2">
        <v>43</v>
      </c>
      <c r="B29" s="2">
        <v>28</v>
      </c>
      <c r="C29" s="2">
        <v>2</v>
      </c>
      <c r="D29" s="2">
        <v>0</v>
      </c>
      <c r="E29" s="2">
        <v>0.61599999999999999</v>
      </c>
      <c r="F29" s="2">
        <v>2</v>
      </c>
      <c r="H29" s="2">
        <v>43</v>
      </c>
      <c r="I29" s="2">
        <v>29</v>
      </c>
      <c r="J29" s="2">
        <v>1</v>
      </c>
      <c r="K29" s="2">
        <v>1</v>
      </c>
      <c r="L29" s="2">
        <v>0.72</v>
      </c>
      <c r="M29" s="2">
        <v>2</v>
      </c>
    </row>
    <row r="30" spans="1:22" ht="14.25" customHeight="1">
      <c r="A30" s="2">
        <v>43</v>
      </c>
      <c r="B30" s="2">
        <v>29</v>
      </c>
      <c r="C30" s="2">
        <v>1</v>
      </c>
      <c r="D30" s="2">
        <v>1</v>
      </c>
      <c r="E30" s="2">
        <v>0.72</v>
      </c>
      <c r="F30" s="2">
        <v>2</v>
      </c>
      <c r="H30" s="2">
        <v>43</v>
      </c>
      <c r="I30" s="2">
        <v>30</v>
      </c>
      <c r="J30" s="2">
        <v>7</v>
      </c>
      <c r="K30" s="2">
        <v>1</v>
      </c>
      <c r="L30" s="2">
        <v>0.86099999999999999</v>
      </c>
      <c r="M30" s="2">
        <v>1</v>
      </c>
    </row>
    <row r="31" spans="1:22" ht="14.25" customHeight="1">
      <c r="A31" s="2">
        <v>43</v>
      </c>
      <c r="B31" s="2">
        <v>30</v>
      </c>
      <c r="C31" s="2">
        <v>7</v>
      </c>
      <c r="D31" s="2">
        <v>1</v>
      </c>
      <c r="E31" s="2">
        <v>0.86099999999999999</v>
      </c>
      <c r="F31" s="2">
        <v>1</v>
      </c>
      <c r="H31" s="2">
        <v>43</v>
      </c>
      <c r="I31" s="2">
        <v>31</v>
      </c>
      <c r="J31" s="2">
        <v>3</v>
      </c>
      <c r="K31" s="2">
        <v>0</v>
      </c>
      <c r="L31" s="2">
        <v>1.1910000000000001</v>
      </c>
      <c r="M31" s="2">
        <v>1</v>
      </c>
      <c r="N31" s="2">
        <v>1</v>
      </c>
      <c r="O31" s="2">
        <f t="shared" ref="O31:O36" si="17">SUM(O17:V17)/(SUM($O$26:$V$26))</f>
        <v>8.8168789808917153E-2</v>
      </c>
    </row>
    <row r="32" spans="1:22" ht="14.25" customHeight="1">
      <c r="A32" s="2">
        <v>43</v>
      </c>
      <c r="B32" s="2">
        <v>31</v>
      </c>
      <c r="C32" s="2">
        <v>3</v>
      </c>
      <c r="D32" s="2">
        <v>0</v>
      </c>
      <c r="E32" s="2">
        <v>1.1910000000000001</v>
      </c>
      <c r="F32" s="2">
        <v>1</v>
      </c>
      <c r="H32" s="2">
        <v>43</v>
      </c>
      <c r="I32" s="2">
        <v>32</v>
      </c>
      <c r="J32" s="2">
        <v>8</v>
      </c>
      <c r="K32" s="2">
        <v>1</v>
      </c>
      <c r="L32" s="2">
        <v>0.91300000000000003</v>
      </c>
      <c r="M32" s="2">
        <v>1</v>
      </c>
      <c r="N32" s="2">
        <v>2</v>
      </c>
      <c r="O32" s="2">
        <f t="shared" si="17"/>
        <v>8.8168789808917167E-2</v>
      </c>
    </row>
    <row r="33" spans="1:15" ht="14.25" customHeight="1">
      <c r="A33" s="2">
        <v>43</v>
      </c>
      <c r="B33" s="2">
        <v>32</v>
      </c>
      <c r="C33" s="2">
        <v>8</v>
      </c>
      <c r="D33" s="2">
        <v>1</v>
      </c>
      <c r="E33" s="2">
        <v>0.91300000000000003</v>
      </c>
      <c r="F33" s="2">
        <v>1</v>
      </c>
      <c r="H33" s="2">
        <v>43</v>
      </c>
      <c r="I33" s="2">
        <v>33</v>
      </c>
      <c r="J33" s="2">
        <v>4</v>
      </c>
      <c r="K33" s="2">
        <v>1</v>
      </c>
      <c r="L33" s="2">
        <v>0.79900000000000004</v>
      </c>
      <c r="M33" s="2">
        <v>1</v>
      </c>
      <c r="N33" s="2">
        <v>3</v>
      </c>
      <c r="O33" s="2">
        <f t="shared" si="17"/>
        <v>0.15982484076433118</v>
      </c>
    </row>
    <row r="34" spans="1:15" ht="14.25" customHeight="1">
      <c r="A34" s="2">
        <v>43</v>
      </c>
      <c r="B34" s="2">
        <v>33</v>
      </c>
      <c r="C34" s="2">
        <v>4</v>
      </c>
      <c r="D34" s="2">
        <v>1</v>
      </c>
      <c r="E34" s="2">
        <v>0.79900000000000004</v>
      </c>
      <c r="F34" s="2">
        <v>1</v>
      </c>
      <c r="H34" s="2">
        <v>43</v>
      </c>
      <c r="I34" s="2">
        <v>34</v>
      </c>
      <c r="J34" s="2">
        <v>8</v>
      </c>
      <c r="K34" s="2">
        <v>1</v>
      </c>
      <c r="L34" s="2">
        <v>0.78100000000000003</v>
      </c>
      <c r="M34" s="2">
        <v>1</v>
      </c>
      <c r="N34" s="2">
        <v>4</v>
      </c>
      <c r="O34" s="2">
        <f t="shared" si="17"/>
        <v>5.5708598726114639E-2</v>
      </c>
    </row>
    <row r="35" spans="1:15" ht="14.25" customHeight="1">
      <c r="A35" s="2">
        <v>43</v>
      </c>
      <c r="B35" s="2">
        <v>34</v>
      </c>
      <c r="C35" s="2">
        <v>8</v>
      </c>
      <c r="D35" s="2">
        <v>1</v>
      </c>
      <c r="E35" s="2">
        <v>0.78100000000000003</v>
      </c>
      <c r="F35" s="2">
        <v>1</v>
      </c>
      <c r="H35" s="2">
        <v>43</v>
      </c>
      <c r="I35" s="2">
        <v>35</v>
      </c>
      <c r="J35" s="2">
        <v>3</v>
      </c>
      <c r="K35" s="2">
        <v>1</v>
      </c>
      <c r="L35" s="2">
        <v>1.2490000000000001</v>
      </c>
      <c r="M35" s="2">
        <v>2</v>
      </c>
      <c r="N35" s="2">
        <v>5</v>
      </c>
      <c r="O35" s="2">
        <f t="shared" si="17"/>
        <v>0.10013535031847132</v>
      </c>
    </row>
    <row r="36" spans="1:15" ht="14.25" customHeight="1">
      <c r="A36" s="2">
        <v>43</v>
      </c>
      <c r="B36" s="2">
        <v>35</v>
      </c>
      <c r="C36" s="2">
        <v>3</v>
      </c>
      <c r="D36" s="2">
        <v>1</v>
      </c>
      <c r="E36" s="2">
        <v>1.2490000000000001</v>
      </c>
      <c r="F36" s="2">
        <v>2</v>
      </c>
      <c r="H36" s="2">
        <v>43</v>
      </c>
      <c r="I36" s="2">
        <v>36</v>
      </c>
      <c r="J36" s="2">
        <v>4</v>
      </c>
      <c r="K36" s="2">
        <v>1</v>
      </c>
      <c r="L36" s="2">
        <v>0.76400000000000001</v>
      </c>
      <c r="M36" s="2">
        <v>1</v>
      </c>
      <c r="N36" s="2">
        <v>6</v>
      </c>
      <c r="O36" s="2">
        <f t="shared" si="17"/>
        <v>6.7675159235668789E-2</v>
      </c>
    </row>
    <row r="37" spans="1:15" ht="14.25" customHeight="1">
      <c r="A37" s="2">
        <v>43</v>
      </c>
      <c r="B37" s="2">
        <v>36</v>
      </c>
      <c r="C37" s="2">
        <v>4</v>
      </c>
      <c r="D37" s="2">
        <v>1</v>
      </c>
      <c r="E37" s="2">
        <v>0.76400000000000001</v>
      </c>
      <c r="F37" s="2">
        <v>1</v>
      </c>
      <c r="H37" s="2">
        <v>43</v>
      </c>
      <c r="I37" s="2">
        <v>37</v>
      </c>
      <c r="J37" s="2">
        <v>2</v>
      </c>
      <c r="K37" s="2">
        <v>0</v>
      </c>
      <c r="L37" s="2">
        <v>0.91500000000000004</v>
      </c>
      <c r="M37" s="2">
        <v>2</v>
      </c>
    </row>
    <row r="38" spans="1:15" ht="14.25" customHeight="1">
      <c r="A38" s="2">
        <v>43</v>
      </c>
      <c r="B38" s="2">
        <v>37</v>
      </c>
      <c r="C38" s="2">
        <v>2</v>
      </c>
      <c r="D38" s="2">
        <v>0</v>
      </c>
      <c r="E38" s="2">
        <v>0.91500000000000004</v>
      </c>
      <c r="F38" s="2">
        <v>2</v>
      </c>
      <c r="H38" s="2">
        <v>43</v>
      </c>
      <c r="I38" s="2">
        <v>38</v>
      </c>
      <c r="J38" s="2">
        <v>5</v>
      </c>
      <c r="K38" s="2">
        <v>1</v>
      </c>
      <c r="L38" s="2">
        <v>1.472</v>
      </c>
      <c r="M38" s="2">
        <v>2</v>
      </c>
    </row>
    <row r="39" spans="1:15" ht="14.25" customHeight="1">
      <c r="A39" s="2">
        <v>43</v>
      </c>
      <c r="B39" s="2">
        <v>38</v>
      </c>
      <c r="C39" s="2">
        <v>5</v>
      </c>
      <c r="D39" s="2">
        <v>1</v>
      </c>
      <c r="E39" s="2">
        <v>1.472</v>
      </c>
      <c r="F39" s="2">
        <v>2</v>
      </c>
      <c r="H39" s="2">
        <v>43</v>
      </c>
      <c r="I39" s="2">
        <v>39</v>
      </c>
      <c r="J39" s="2">
        <v>6</v>
      </c>
      <c r="K39" s="2">
        <v>1</v>
      </c>
      <c r="L39" s="2">
        <v>1.2929999999999999</v>
      </c>
      <c r="M39" s="2">
        <v>2</v>
      </c>
    </row>
    <row r="40" spans="1:15" ht="14.25" customHeight="1">
      <c r="A40" s="2">
        <v>43</v>
      </c>
      <c r="B40" s="2">
        <v>39</v>
      </c>
      <c r="C40" s="2">
        <v>6</v>
      </c>
      <c r="D40" s="2">
        <v>1</v>
      </c>
      <c r="E40" s="2">
        <v>1.2929999999999999</v>
      </c>
      <c r="F40" s="2">
        <v>2</v>
      </c>
      <c r="H40" s="2">
        <v>43</v>
      </c>
      <c r="I40" s="2">
        <v>40</v>
      </c>
      <c r="J40" s="2">
        <v>2</v>
      </c>
      <c r="K40" s="2">
        <v>1</v>
      </c>
      <c r="L40" s="2">
        <v>1.4430000000000001</v>
      </c>
      <c r="M40" s="2">
        <v>1</v>
      </c>
    </row>
    <row r="41" spans="1:15" ht="14.25" customHeight="1">
      <c r="A41" s="2">
        <v>43</v>
      </c>
      <c r="B41" s="2">
        <v>40</v>
      </c>
      <c r="C41" s="2">
        <v>2</v>
      </c>
      <c r="D41" s="2">
        <v>1</v>
      </c>
      <c r="E41" s="2">
        <v>1.4430000000000001</v>
      </c>
      <c r="F41" s="2">
        <v>1</v>
      </c>
      <c r="H41" s="2">
        <v>43</v>
      </c>
      <c r="I41" s="2">
        <v>41</v>
      </c>
      <c r="J41" s="2">
        <v>5</v>
      </c>
      <c r="K41" s="2">
        <v>1</v>
      </c>
      <c r="L41" s="2">
        <v>1.2869999999999999</v>
      </c>
      <c r="M41" s="2">
        <v>2</v>
      </c>
    </row>
    <row r="42" spans="1:15" ht="14.25" customHeight="1">
      <c r="A42" s="2">
        <v>43</v>
      </c>
      <c r="B42" s="2">
        <v>41</v>
      </c>
      <c r="C42" s="2">
        <v>5</v>
      </c>
      <c r="D42" s="2">
        <v>1</v>
      </c>
      <c r="E42" s="2">
        <v>1.2869999999999999</v>
      </c>
      <c r="F42" s="2">
        <v>2</v>
      </c>
      <c r="H42" s="2">
        <v>43</v>
      </c>
      <c r="I42" s="2">
        <v>42</v>
      </c>
      <c r="J42" s="2">
        <v>6</v>
      </c>
      <c r="K42" s="2">
        <v>1</v>
      </c>
      <c r="L42" s="2">
        <v>0.90900000000000003</v>
      </c>
      <c r="M42" s="2">
        <v>2</v>
      </c>
    </row>
    <row r="43" spans="1:15" ht="14.25" customHeight="1">
      <c r="A43" s="2">
        <v>43</v>
      </c>
      <c r="B43" s="2">
        <v>42</v>
      </c>
      <c r="C43" s="2">
        <v>6</v>
      </c>
      <c r="D43" s="2">
        <v>1</v>
      </c>
      <c r="E43" s="2">
        <v>0.90900000000000003</v>
      </c>
      <c r="F43" s="2">
        <v>2</v>
      </c>
      <c r="H43" s="2">
        <v>43</v>
      </c>
      <c r="I43" s="2">
        <v>43</v>
      </c>
      <c r="J43" s="2">
        <v>8</v>
      </c>
      <c r="K43" s="2">
        <v>1</v>
      </c>
      <c r="L43" s="2">
        <v>0.64700000000000002</v>
      </c>
      <c r="M43" s="2">
        <v>1</v>
      </c>
    </row>
    <row r="44" spans="1:15" ht="14.25" customHeight="1">
      <c r="A44" s="2">
        <v>43</v>
      </c>
      <c r="B44" s="2">
        <v>43</v>
      </c>
      <c r="C44" s="2">
        <v>8</v>
      </c>
      <c r="D44" s="2">
        <v>1</v>
      </c>
      <c r="E44" s="2">
        <v>0.64700000000000002</v>
      </c>
      <c r="F44" s="2">
        <v>1</v>
      </c>
      <c r="H44" s="2">
        <v>43</v>
      </c>
      <c r="I44" s="2">
        <v>44</v>
      </c>
      <c r="J44" s="2">
        <v>2</v>
      </c>
      <c r="K44" s="2">
        <v>1</v>
      </c>
      <c r="L44" s="2">
        <v>1.2869999999999999</v>
      </c>
      <c r="M44" s="2">
        <v>1</v>
      </c>
    </row>
    <row r="45" spans="1:15" ht="14.25" customHeight="1">
      <c r="A45" s="2">
        <v>43</v>
      </c>
      <c r="B45" s="2">
        <v>44</v>
      </c>
      <c r="C45" s="2">
        <v>2</v>
      </c>
      <c r="D45" s="2">
        <v>1</v>
      </c>
      <c r="E45" s="2">
        <v>1.2869999999999999</v>
      </c>
      <c r="F45" s="2">
        <v>1</v>
      </c>
      <c r="H45" s="2">
        <v>43</v>
      </c>
      <c r="I45" s="2">
        <v>45</v>
      </c>
      <c r="J45" s="2">
        <v>6</v>
      </c>
      <c r="K45" s="2">
        <v>1</v>
      </c>
      <c r="L45" s="2">
        <v>1.01</v>
      </c>
      <c r="M45" s="2">
        <v>2</v>
      </c>
    </row>
    <row r="46" spans="1:15" ht="14.25" customHeight="1">
      <c r="A46" s="2">
        <v>43</v>
      </c>
      <c r="B46" s="2">
        <v>45</v>
      </c>
      <c r="C46" s="2">
        <v>6</v>
      </c>
      <c r="D46" s="2">
        <v>1</v>
      </c>
      <c r="E46" s="2">
        <v>1.01</v>
      </c>
      <c r="F46" s="2">
        <v>2</v>
      </c>
      <c r="H46" s="2">
        <v>43</v>
      </c>
      <c r="I46" s="2">
        <v>46</v>
      </c>
      <c r="J46" s="2">
        <v>3</v>
      </c>
      <c r="K46" s="2">
        <v>0</v>
      </c>
      <c r="L46" s="2">
        <v>1.286</v>
      </c>
      <c r="M46" s="2">
        <v>1</v>
      </c>
    </row>
    <row r="47" spans="1:15" ht="14.25" customHeight="1">
      <c r="A47" s="2">
        <v>43</v>
      </c>
      <c r="B47" s="2">
        <v>46</v>
      </c>
      <c r="C47" s="2">
        <v>3</v>
      </c>
      <c r="D47" s="2">
        <v>0</v>
      </c>
      <c r="E47" s="2">
        <v>1.286</v>
      </c>
      <c r="F47" s="2">
        <v>1</v>
      </c>
      <c r="H47" s="2">
        <v>43</v>
      </c>
      <c r="I47" s="2">
        <v>47</v>
      </c>
      <c r="J47" s="2">
        <v>5</v>
      </c>
      <c r="K47" s="2">
        <v>1</v>
      </c>
      <c r="L47" s="2">
        <v>1.204</v>
      </c>
      <c r="M47" s="2">
        <v>2</v>
      </c>
    </row>
    <row r="48" spans="1:15" ht="14.25" customHeight="1">
      <c r="A48" s="2">
        <v>43</v>
      </c>
      <c r="B48" s="2">
        <v>47</v>
      </c>
      <c r="C48" s="2">
        <v>5</v>
      </c>
      <c r="D48" s="2">
        <v>1</v>
      </c>
      <c r="E48" s="2">
        <v>1.204</v>
      </c>
      <c r="F48" s="2">
        <v>2</v>
      </c>
      <c r="H48" s="2">
        <v>43</v>
      </c>
      <c r="I48" s="2">
        <v>48</v>
      </c>
      <c r="J48" s="2">
        <v>7</v>
      </c>
      <c r="K48" s="2">
        <v>1</v>
      </c>
      <c r="L48" s="2">
        <v>0.77600000000000002</v>
      </c>
      <c r="M48" s="2">
        <v>1</v>
      </c>
    </row>
    <row r="49" spans="1:13" ht="14.25" customHeight="1">
      <c r="A49" s="2">
        <v>43</v>
      </c>
      <c r="B49" s="2">
        <v>48</v>
      </c>
      <c r="C49" s="2">
        <v>7</v>
      </c>
      <c r="D49" s="2">
        <v>1</v>
      </c>
      <c r="E49" s="2">
        <v>0.77600000000000002</v>
      </c>
      <c r="F49" s="2">
        <v>1</v>
      </c>
      <c r="H49" s="2">
        <v>43</v>
      </c>
      <c r="I49" s="2">
        <v>49</v>
      </c>
      <c r="J49" s="2">
        <v>1</v>
      </c>
      <c r="K49" s="2">
        <v>1</v>
      </c>
      <c r="L49" s="2">
        <v>0.77200000000000002</v>
      </c>
      <c r="M49" s="2">
        <v>2</v>
      </c>
    </row>
    <row r="50" spans="1:13" ht="14.25" customHeight="1">
      <c r="A50" s="2">
        <v>43</v>
      </c>
      <c r="B50" s="2">
        <v>49</v>
      </c>
      <c r="C50" s="2">
        <v>1</v>
      </c>
      <c r="D50" s="2">
        <v>1</v>
      </c>
      <c r="E50" s="2">
        <v>0.77200000000000002</v>
      </c>
      <c r="F50" s="2">
        <v>2</v>
      </c>
      <c r="H50" s="2">
        <v>43</v>
      </c>
      <c r="I50" s="2">
        <v>50</v>
      </c>
      <c r="J50" s="2">
        <v>5</v>
      </c>
      <c r="K50" s="2">
        <v>1</v>
      </c>
      <c r="L50" s="2">
        <v>1.1140000000000001</v>
      </c>
      <c r="M50" s="2">
        <v>2</v>
      </c>
    </row>
    <row r="51" spans="1:13" ht="14.25" customHeight="1">
      <c r="A51" s="2">
        <v>43</v>
      </c>
      <c r="B51" s="2">
        <v>50</v>
      </c>
      <c r="C51" s="2">
        <v>5</v>
      </c>
      <c r="D51" s="2">
        <v>1</v>
      </c>
      <c r="E51" s="2">
        <v>1.1140000000000001</v>
      </c>
      <c r="F51" s="2">
        <v>2</v>
      </c>
      <c r="H51" s="2">
        <v>43</v>
      </c>
      <c r="I51" s="2">
        <v>51</v>
      </c>
      <c r="J51" s="2">
        <v>7</v>
      </c>
      <c r="K51" s="2">
        <v>0</v>
      </c>
      <c r="L51" s="2">
        <v>1.528</v>
      </c>
      <c r="M51" s="2">
        <v>2</v>
      </c>
    </row>
    <row r="52" spans="1:13" ht="14.25" customHeight="1">
      <c r="A52" s="2">
        <v>43</v>
      </c>
      <c r="B52" s="2">
        <v>51</v>
      </c>
      <c r="C52" s="2">
        <v>7</v>
      </c>
      <c r="D52" s="2">
        <v>0</v>
      </c>
      <c r="E52" s="2">
        <v>1.528</v>
      </c>
      <c r="F52" s="2">
        <v>2</v>
      </c>
      <c r="H52" s="2">
        <v>43</v>
      </c>
      <c r="I52" s="2">
        <v>52</v>
      </c>
      <c r="J52" s="2">
        <v>8</v>
      </c>
      <c r="K52" s="2">
        <v>1</v>
      </c>
      <c r="L52" s="2">
        <v>1.286</v>
      </c>
      <c r="M52" s="2">
        <v>1</v>
      </c>
    </row>
    <row r="53" spans="1:13" ht="14.25" customHeight="1">
      <c r="A53" s="2">
        <v>43</v>
      </c>
      <c r="B53" s="2">
        <v>52</v>
      </c>
      <c r="C53" s="2">
        <v>8</v>
      </c>
      <c r="D53" s="2">
        <v>1</v>
      </c>
      <c r="E53" s="2">
        <v>1.286</v>
      </c>
      <c r="F53" s="2">
        <v>1</v>
      </c>
      <c r="H53" s="2">
        <v>43</v>
      </c>
      <c r="I53" s="2">
        <v>53</v>
      </c>
      <c r="J53" s="2">
        <v>2</v>
      </c>
      <c r="K53" s="2">
        <v>1</v>
      </c>
      <c r="L53" s="2">
        <v>0.86799999999999999</v>
      </c>
      <c r="M53" s="2">
        <v>2</v>
      </c>
    </row>
    <row r="54" spans="1:13" ht="14.25" customHeight="1">
      <c r="A54" s="2">
        <v>43</v>
      </c>
      <c r="B54" s="2">
        <v>53</v>
      </c>
      <c r="C54" s="2">
        <v>2</v>
      </c>
      <c r="D54" s="2">
        <v>1</v>
      </c>
      <c r="E54" s="2">
        <v>0.86799999999999999</v>
      </c>
      <c r="F54" s="2">
        <v>2</v>
      </c>
      <c r="H54" s="2">
        <v>43</v>
      </c>
      <c r="I54" s="2">
        <v>54</v>
      </c>
      <c r="J54" s="2">
        <v>1</v>
      </c>
      <c r="K54" s="2">
        <v>1</v>
      </c>
      <c r="L54" s="2">
        <v>0.97</v>
      </c>
      <c r="M54" s="2">
        <v>1</v>
      </c>
    </row>
    <row r="55" spans="1:13" ht="14.25" customHeight="1">
      <c r="A55" s="2">
        <v>43</v>
      </c>
      <c r="B55" s="2">
        <v>54</v>
      </c>
      <c r="C55" s="2">
        <v>1</v>
      </c>
      <c r="D55" s="2">
        <v>1</v>
      </c>
      <c r="E55" s="2">
        <v>0.97</v>
      </c>
      <c r="F55" s="2">
        <v>1</v>
      </c>
      <c r="H55" s="2">
        <v>43</v>
      </c>
      <c r="I55" s="2">
        <v>55</v>
      </c>
      <c r="J55" s="2">
        <v>7</v>
      </c>
      <c r="K55" s="2">
        <v>0</v>
      </c>
      <c r="L55" s="2">
        <v>0.81299999999999994</v>
      </c>
      <c r="M55" s="2">
        <v>2</v>
      </c>
    </row>
    <row r="56" spans="1:13" ht="14.25" customHeight="1">
      <c r="A56" s="2">
        <v>43</v>
      </c>
      <c r="B56" s="2">
        <v>55</v>
      </c>
      <c r="C56" s="2">
        <v>7</v>
      </c>
      <c r="D56" s="2">
        <v>0</v>
      </c>
      <c r="E56" s="2">
        <v>0.81299999999999994</v>
      </c>
      <c r="F56" s="2">
        <v>2</v>
      </c>
      <c r="H56" s="2">
        <v>43</v>
      </c>
      <c r="I56" s="2">
        <v>56</v>
      </c>
      <c r="J56" s="2">
        <v>6</v>
      </c>
      <c r="K56" s="2">
        <v>1</v>
      </c>
      <c r="L56" s="2">
        <v>0.90600000000000003</v>
      </c>
      <c r="M56" s="2">
        <v>2</v>
      </c>
    </row>
    <row r="57" spans="1:13" ht="14.25" customHeight="1">
      <c r="A57" s="2">
        <v>43</v>
      </c>
      <c r="B57" s="2">
        <v>56</v>
      </c>
      <c r="C57" s="2">
        <v>6</v>
      </c>
      <c r="D57" s="2">
        <v>1</v>
      </c>
      <c r="E57" s="2">
        <v>0.90600000000000003</v>
      </c>
      <c r="F57" s="2">
        <v>2</v>
      </c>
      <c r="H57" s="2">
        <v>43</v>
      </c>
      <c r="I57" s="2">
        <v>57</v>
      </c>
      <c r="J57" s="2">
        <v>4</v>
      </c>
      <c r="K57" s="2">
        <v>0</v>
      </c>
      <c r="L57" s="2">
        <v>1.7250000000000001</v>
      </c>
      <c r="M57" s="2">
        <v>1</v>
      </c>
    </row>
    <row r="58" spans="1:13" ht="14.25" customHeight="1">
      <c r="A58" s="2">
        <v>43</v>
      </c>
      <c r="B58" s="2">
        <v>57</v>
      </c>
      <c r="C58" s="2">
        <v>4</v>
      </c>
      <c r="D58" s="2">
        <v>0</v>
      </c>
      <c r="E58" s="2">
        <v>1.7250000000000001</v>
      </c>
      <c r="F58" s="2">
        <v>1</v>
      </c>
      <c r="H58" s="2">
        <v>43</v>
      </c>
      <c r="I58" s="2">
        <v>58</v>
      </c>
      <c r="J58" s="2">
        <v>3</v>
      </c>
      <c r="K58" s="2">
        <v>1</v>
      </c>
      <c r="L58" s="2">
        <v>0.96899999999999997</v>
      </c>
      <c r="M58" s="2">
        <v>2</v>
      </c>
    </row>
    <row r="59" spans="1:13" ht="14.25" customHeight="1">
      <c r="A59" s="2">
        <v>43</v>
      </c>
      <c r="B59" s="2">
        <v>58</v>
      </c>
      <c r="C59" s="2">
        <v>3</v>
      </c>
      <c r="D59" s="2">
        <v>1</v>
      </c>
      <c r="E59" s="2">
        <v>0.96899999999999997</v>
      </c>
      <c r="F59" s="2">
        <v>2</v>
      </c>
      <c r="H59" s="2">
        <v>43</v>
      </c>
      <c r="I59" s="2">
        <v>59</v>
      </c>
      <c r="J59" s="2">
        <v>1</v>
      </c>
      <c r="K59" s="2">
        <v>0</v>
      </c>
      <c r="L59" s="2">
        <v>1.333</v>
      </c>
      <c r="M59" s="2">
        <v>2</v>
      </c>
    </row>
    <row r="60" spans="1:13" ht="14.25" customHeight="1">
      <c r="A60" s="2">
        <v>43</v>
      </c>
      <c r="B60" s="2">
        <v>59</v>
      </c>
      <c r="C60" s="2">
        <v>1</v>
      </c>
      <c r="D60" s="2">
        <v>0</v>
      </c>
      <c r="E60" s="2">
        <v>1.333</v>
      </c>
      <c r="F60" s="2">
        <v>2</v>
      </c>
      <c r="H60" s="2">
        <v>43</v>
      </c>
      <c r="I60" s="2">
        <v>60</v>
      </c>
      <c r="J60" s="2">
        <v>2</v>
      </c>
      <c r="K60" s="2">
        <v>0</v>
      </c>
      <c r="L60" s="2">
        <v>0.92800000000000005</v>
      </c>
      <c r="M60" s="2">
        <v>1</v>
      </c>
    </row>
    <row r="61" spans="1:13" ht="14.25" customHeight="1">
      <c r="A61" s="2">
        <v>43</v>
      </c>
      <c r="B61" s="2">
        <v>60</v>
      </c>
      <c r="C61" s="2">
        <v>2</v>
      </c>
      <c r="D61" s="2">
        <v>0</v>
      </c>
      <c r="E61" s="2">
        <v>0.92800000000000005</v>
      </c>
      <c r="F61" s="2">
        <v>1</v>
      </c>
      <c r="H61" s="2">
        <v>43</v>
      </c>
      <c r="I61" s="2">
        <v>61</v>
      </c>
      <c r="J61" s="2">
        <v>1</v>
      </c>
      <c r="K61" s="2">
        <v>0</v>
      </c>
      <c r="L61" s="2">
        <v>0.95599999999999996</v>
      </c>
      <c r="M61" s="2">
        <v>2</v>
      </c>
    </row>
    <row r="62" spans="1:13" ht="14.25" customHeight="1">
      <c r="A62" s="2">
        <v>43</v>
      </c>
      <c r="B62" s="2">
        <v>61</v>
      </c>
      <c r="C62" s="2">
        <v>1</v>
      </c>
      <c r="D62" s="2">
        <v>0</v>
      </c>
      <c r="E62" s="2">
        <v>0.95599999999999996</v>
      </c>
      <c r="F62" s="2">
        <v>2</v>
      </c>
      <c r="H62" s="2">
        <v>43</v>
      </c>
      <c r="I62" s="2">
        <v>62</v>
      </c>
      <c r="J62" s="2">
        <v>4</v>
      </c>
      <c r="K62" s="2">
        <v>1</v>
      </c>
      <c r="L62" s="2">
        <v>1.7090000000000001</v>
      </c>
      <c r="M62" s="2">
        <v>2</v>
      </c>
    </row>
    <row r="63" spans="1:13" ht="14.25" customHeight="1">
      <c r="A63" s="2">
        <v>43</v>
      </c>
      <c r="B63" s="2">
        <v>62</v>
      </c>
      <c r="C63" s="2">
        <v>4</v>
      </c>
      <c r="D63" s="2">
        <v>1</v>
      </c>
      <c r="E63" s="2">
        <v>1.7090000000000001</v>
      </c>
      <c r="F63" s="2">
        <v>2</v>
      </c>
      <c r="H63" s="2">
        <v>43</v>
      </c>
      <c r="I63" s="2">
        <v>63</v>
      </c>
      <c r="J63" s="2">
        <v>2</v>
      </c>
      <c r="K63" s="2">
        <v>1</v>
      </c>
      <c r="L63" s="2">
        <v>1.0409999999999999</v>
      </c>
      <c r="M63" s="2">
        <v>1</v>
      </c>
    </row>
    <row r="64" spans="1:13" ht="14.25" customHeight="1">
      <c r="A64" s="2">
        <v>43</v>
      </c>
      <c r="B64" s="2">
        <v>63</v>
      </c>
      <c r="C64" s="2">
        <v>2</v>
      </c>
      <c r="D64" s="2">
        <v>1</v>
      </c>
      <c r="E64" s="2">
        <v>1.0409999999999999</v>
      </c>
      <c r="F64" s="2">
        <v>1</v>
      </c>
      <c r="H64" s="2">
        <v>43</v>
      </c>
      <c r="I64" s="2">
        <v>64</v>
      </c>
      <c r="J64" s="2">
        <v>7</v>
      </c>
      <c r="K64" s="2">
        <v>1</v>
      </c>
      <c r="L64" s="2">
        <v>0.86599999999999999</v>
      </c>
      <c r="M64" s="2">
        <v>2</v>
      </c>
    </row>
    <row r="65" spans="1:13" ht="14.25" customHeight="1">
      <c r="A65" s="2">
        <v>43</v>
      </c>
      <c r="B65" s="2">
        <v>64</v>
      </c>
      <c r="C65" s="2">
        <v>7</v>
      </c>
      <c r="D65" s="2">
        <v>1</v>
      </c>
      <c r="E65" s="2">
        <v>0.86599999999999999</v>
      </c>
      <c r="F65" s="2">
        <v>2</v>
      </c>
      <c r="H65" s="2">
        <v>43</v>
      </c>
      <c r="I65" s="2">
        <v>65</v>
      </c>
      <c r="J65" s="2">
        <v>8</v>
      </c>
      <c r="K65" s="2">
        <v>0</v>
      </c>
      <c r="L65" s="2">
        <v>1.369</v>
      </c>
      <c r="M65" s="2">
        <v>1</v>
      </c>
    </row>
    <row r="66" spans="1:13" ht="14.25" customHeight="1">
      <c r="A66" s="2">
        <v>43</v>
      </c>
      <c r="B66" s="2">
        <v>65</v>
      </c>
      <c r="C66" s="2">
        <v>8</v>
      </c>
      <c r="D66" s="2">
        <v>0</v>
      </c>
      <c r="E66" s="2">
        <v>1.369</v>
      </c>
      <c r="F66" s="2">
        <v>1</v>
      </c>
      <c r="H66" s="2">
        <v>43</v>
      </c>
      <c r="I66" s="2">
        <v>66</v>
      </c>
      <c r="J66" s="2">
        <v>3</v>
      </c>
      <c r="K66" s="2">
        <v>1</v>
      </c>
      <c r="L66" s="2">
        <v>1.056</v>
      </c>
      <c r="M66" s="2">
        <v>2</v>
      </c>
    </row>
    <row r="67" spans="1:13" ht="14.25" customHeight="1">
      <c r="A67" s="2">
        <v>43</v>
      </c>
      <c r="B67" s="2">
        <v>66</v>
      </c>
      <c r="C67" s="2">
        <v>3</v>
      </c>
      <c r="D67" s="2">
        <v>1</v>
      </c>
      <c r="E67" s="2">
        <v>1.056</v>
      </c>
      <c r="F67" s="2">
        <v>2</v>
      </c>
      <c r="H67" s="2">
        <v>43</v>
      </c>
      <c r="I67" s="2">
        <v>67</v>
      </c>
      <c r="J67" s="2">
        <v>5</v>
      </c>
      <c r="K67" s="2">
        <v>1</v>
      </c>
      <c r="L67" s="2">
        <v>1.0089999999999999</v>
      </c>
      <c r="M67" s="2">
        <v>1</v>
      </c>
    </row>
    <row r="68" spans="1:13" ht="14.25" customHeight="1">
      <c r="A68" s="2">
        <v>43</v>
      </c>
      <c r="B68" s="2">
        <v>67</v>
      </c>
      <c r="C68" s="2">
        <v>5</v>
      </c>
      <c r="D68" s="2">
        <v>1</v>
      </c>
      <c r="E68" s="2">
        <v>1.0089999999999999</v>
      </c>
      <c r="F68" s="2">
        <v>1</v>
      </c>
      <c r="H68" s="2">
        <v>43</v>
      </c>
      <c r="I68" s="2">
        <v>68</v>
      </c>
      <c r="J68" s="2">
        <v>4</v>
      </c>
      <c r="K68" s="2">
        <v>1</v>
      </c>
      <c r="L68" s="2">
        <v>1.1759999999999999</v>
      </c>
      <c r="M68" s="2">
        <v>1</v>
      </c>
    </row>
    <row r="69" spans="1:13" ht="14.25" customHeight="1">
      <c r="A69" s="2">
        <v>43</v>
      </c>
      <c r="B69" s="2">
        <v>68</v>
      </c>
      <c r="C69" s="2">
        <v>4</v>
      </c>
      <c r="D69" s="2">
        <v>1</v>
      </c>
      <c r="E69" s="2">
        <v>1.1759999999999999</v>
      </c>
      <c r="F69" s="2">
        <v>1</v>
      </c>
      <c r="H69" s="2">
        <v>43</v>
      </c>
      <c r="I69" s="2">
        <v>69</v>
      </c>
      <c r="J69" s="2">
        <v>6</v>
      </c>
      <c r="K69" s="2">
        <v>1</v>
      </c>
      <c r="L69" s="2">
        <v>0.88</v>
      </c>
      <c r="M69" s="2">
        <v>1</v>
      </c>
    </row>
    <row r="70" spans="1:13" ht="14.25" customHeight="1">
      <c r="A70" s="2">
        <v>43</v>
      </c>
      <c r="B70" s="2">
        <v>69</v>
      </c>
      <c r="C70" s="2">
        <v>6</v>
      </c>
      <c r="D70" s="2">
        <v>1</v>
      </c>
      <c r="E70" s="2">
        <v>0.88</v>
      </c>
      <c r="F70" s="2">
        <v>1</v>
      </c>
      <c r="H70" s="2">
        <v>43</v>
      </c>
      <c r="I70" s="2">
        <v>70</v>
      </c>
      <c r="J70" s="2">
        <v>1</v>
      </c>
      <c r="K70" s="2">
        <v>1</v>
      </c>
      <c r="L70" s="2">
        <v>0.79300000000000004</v>
      </c>
      <c r="M70" s="2">
        <v>2</v>
      </c>
    </row>
    <row r="71" spans="1:13" ht="14.25" customHeight="1">
      <c r="A71" s="2">
        <v>43</v>
      </c>
      <c r="B71" s="2">
        <v>70</v>
      </c>
      <c r="C71" s="2">
        <v>1</v>
      </c>
      <c r="D71" s="2">
        <v>1</v>
      </c>
      <c r="E71" s="2">
        <v>0.79300000000000004</v>
      </c>
      <c r="F71" s="2">
        <v>2</v>
      </c>
      <c r="H71" s="2">
        <v>43</v>
      </c>
      <c r="I71" s="2">
        <v>71</v>
      </c>
      <c r="J71" s="2">
        <v>5</v>
      </c>
      <c r="K71" s="2">
        <v>0</v>
      </c>
      <c r="L71" s="2">
        <v>1.4910000000000001</v>
      </c>
      <c r="M71" s="2">
        <v>1</v>
      </c>
    </row>
    <row r="72" spans="1:13" ht="14.25" customHeight="1">
      <c r="A72" s="2">
        <v>43</v>
      </c>
      <c r="B72" s="2">
        <v>71</v>
      </c>
      <c r="C72" s="2">
        <v>5</v>
      </c>
      <c r="D72" s="2">
        <v>0</v>
      </c>
      <c r="E72" s="2">
        <v>1.4910000000000001</v>
      </c>
      <c r="F72" s="2">
        <v>1</v>
      </c>
      <c r="H72" s="2">
        <v>43</v>
      </c>
      <c r="I72" s="2">
        <v>72</v>
      </c>
      <c r="J72" s="2">
        <v>1</v>
      </c>
      <c r="K72" s="2">
        <v>1</v>
      </c>
      <c r="L72" s="2">
        <v>0.69499999999999995</v>
      </c>
      <c r="M72" s="2">
        <v>2</v>
      </c>
    </row>
    <row r="73" spans="1:13" ht="14.25" customHeight="1">
      <c r="A73" s="2">
        <v>43</v>
      </c>
      <c r="B73" s="2">
        <v>72</v>
      </c>
      <c r="C73" s="2">
        <v>1</v>
      </c>
      <c r="D73" s="2">
        <v>1</v>
      </c>
      <c r="E73" s="2">
        <v>0.69499999999999995</v>
      </c>
      <c r="F73" s="2">
        <v>2</v>
      </c>
      <c r="H73" s="2">
        <v>43</v>
      </c>
      <c r="I73" s="2">
        <v>73</v>
      </c>
      <c r="J73" s="2">
        <v>3</v>
      </c>
      <c r="K73" s="2">
        <v>1</v>
      </c>
      <c r="L73" s="2">
        <v>0.94499999999999995</v>
      </c>
      <c r="M73" s="2">
        <v>1</v>
      </c>
    </row>
    <row r="74" spans="1:13" ht="14.25" customHeight="1">
      <c r="A74" s="2">
        <v>43</v>
      </c>
      <c r="B74" s="2">
        <v>73</v>
      </c>
      <c r="C74" s="2">
        <v>3</v>
      </c>
      <c r="D74" s="2">
        <v>1</v>
      </c>
      <c r="E74" s="2">
        <v>0.94499999999999995</v>
      </c>
      <c r="F74" s="2">
        <v>1</v>
      </c>
      <c r="H74" s="2">
        <v>43</v>
      </c>
      <c r="I74" s="2">
        <v>74</v>
      </c>
      <c r="J74" s="2">
        <v>1</v>
      </c>
      <c r="K74" s="2">
        <v>1</v>
      </c>
      <c r="L74" s="2">
        <v>1.321</v>
      </c>
      <c r="M74" s="2">
        <v>1</v>
      </c>
    </row>
    <row r="75" spans="1:13" ht="14.25" customHeight="1">
      <c r="A75" s="2">
        <v>43</v>
      </c>
      <c r="B75" s="2">
        <v>74</v>
      </c>
      <c r="C75" s="2">
        <v>1</v>
      </c>
      <c r="D75" s="2">
        <v>1</v>
      </c>
      <c r="E75" s="2">
        <v>1.321</v>
      </c>
      <c r="F75" s="2">
        <v>1</v>
      </c>
      <c r="H75" s="2">
        <v>43</v>
      </c>
      <c r="I75" s="2">
        <v>75</v>
      </c>
      <c r="J75" s="2">
        <v>7</v>
      </c>
      <c r="K75" s="2">
        <v>1</v>
      </c>
      <c r="L75" s="2">
        <v>1.0720000000000001</v>
      </c>
      <c r="M75" s="2">
        <v>1</v>
      </c>
    </row>
    <row r="76" spans="1:13" ht="14.25" customHeight="1">
      <c r="A76" s="2">
        <v>43</v>
      </c>
      <c r="B76" s="2">
        <v>75</v>
      </c>
      <c r="C76" s="2">
        <v>7</v>
      </c>
      <c r="D76" s="2">
        <v>1</v>
      </c>
      <c r="E76" s="2">
        <v>1.0720000000000001</v>
      </c>
      <c r="F76" s="2">
        <v>1</v>
      </c>
      <c r="H76" s="2">
        <v>43</v>
      </c>
      <c r="I76" s="2">
        <v>76</v>
      </c>
      <c r="J76" s="2">
        <v>4</v>
      </c>
      <c r="K76" s="2">
        <v>1</v>
      </c>
      <c r="L76" s="2">
        <v>1.403</v>
      </c>
      <c r="M76" s="2">
        <v>1</v>
      </c>
    </row>
    <row r="77" spans="1:13" ht="14.25" customHeight="1">
      <c r="A77" s="2">
        <v>43</v>
      </c>
      <c r="B77" s="2">
        <v>76</v>
      </c>
      <c r="C77" s="2">
        <v>4</v>
      </c>
      <c r="D77" s="2">
        <v>1</v>
      </c>
      <c r="E77" s="2">
        <v>1.403</v>
      </c>
      <c r="F77" s="2">
        <v>1</v>
      </c>
      <c r="H77" s="2">
        <v>43</v>
      </c>
      <c r="I77" s="2">
        <v>77</v>
      </c>
      <c r="J77" s="2">
        <v>5</v>
      </c>
      <c r="K77" s="2">
        <v>1</v>
      </c>
      <c r="L77" s="2">
        <v>0.86899999999999999</v>
      </c>
      <c r="M77" s="2">
        <v>1</v>
      </c>
    </row>
    <row r="78" spans="1:13" ht="14.25" customHeight="1">
      <c r="A78" s="2">
        <v>43</v>
      </c>
      <c r="B78" s="2">
        <v>77</v>
      </c>
      <c r="C78" s="2">
        <v>5</v>
      </c>
      <c r="D78" s="2">
        <v>1</v>
      </c>
      <c r="E78" s="2">
        <v>0.86899999999999999</v>
      </c>
      <c r="F78" s="2">
        <v>1</v>
      </c>
      <c r="H78" s="2">
        <v>43</v>
      </c>
      <c r="I78" s="2">
        <v>78</v>
      </c>
      <c r="J78" s="2">
        <v>2</v>
      </c>
      <c r="K78" s="2">
        <v>0</v>
      </c>
      <c r="L78" s="2">
        <v>1.3089999999999999</v>
      </c>
      <c r="M78" s="2">
        <v>2</v>
      </c>
    </row>
    <row r="79" spans="1:13" ht="14.25" customHeight="1">
      <c r="A79" s="2">
        <v>43</v>
      </c>
      <c r="B79" s="2">
        <v>78</v>
      </c>
      <c r="C79" s="2">
        <v>2</v>
      </c>
      <c r="D79" s="2">
        <v>0</v>
      </c>
      <c r="E79" s="2">
        <v>1.3089999999999999</v>
      </c>
      <c r="F79" s="2">
        <v>2</v>
      </c>
      <c r="H79" s="2">
        <v>43</v>
      </c>
      <c r="I79" s="2">
        <v>79</v>
      </c>
      <c r="J79" s="2">
        <v>8</v>
      </c>
      <c r="K79" s="2">
        <v>1</v>
      </c>
      <c r="L79" s="2">
        <v>1.198</v>
      </c>
      <c r="M79" s="2">
        <v>2</v>
      </c>
    </row>
    <row r="80" spans="1:13" ht="14.25" customHeight="1">
      <c r="A80" s="2">
        <v>43</v>
      </c>
      <c r="B80" s="2">
        <v>79</v>
      </c>
      <c r="C80" s="2">
        <v>8</v>
      </c>
      <c r="D80" s="2">
        <v>1</v>
      </c>
      <c r="E80" s="2">
        <v>1.198</v>
      </c>
      <c r="F80" s="2">
        <v>2</v>
      </c>
      <c r="H80" s="2">
        <v>43</v>
      </c>
      <c r="I80" s="2">
        <v>80</v>
      </c>
      <c r="J80" s="2">
        <v>7</v>
      </c>
      <c r="K80" s="2">
        <v>1</v>
      </c>
      <c r="L80" s="2">
        <v>1.044</v>
      </c>
      <c r="M80" s="2">
        <v>1</v>
      </c>
    </row>
    <row r="81" spans="1:13" ht="14.25" customHeight="1">
      <c r="A81" s="2">
        <v>43</v>
      </c>
      <c r="B81" s="2">
        <v>80</v>
      </c>
      <c r="C81" s="2">
        <v>7</v>
      </c>
      <c r="D81" s="2">
        <v>1</v>
      </c>
      <c r="E81" s="2">
        <v>1.044</v>
      </c>
      <c r="F81" s="2">
        <v>1</v>
      </c>
      <c r="H81" s="2">
        <v>43</v>
      </c>
      <c r="I81" s="2">
        <v>81</v>
      </c>
      <c r="J81" s="2">
        <v>5</v>
      </c>
      <c r="K81" s="2">
        <v>1</v>
      </c>
      <c r="L81" s="2">
        <v>1.262</v>
      </c>
      <c r="M81" s="2">
        <v>2</v>
      </c>
    </row>
    <row r="82" spans="1:13" ht="14.25" customHeight="1">
      <c r="A82" s="2">
        <v>43</v>
      </c>
      <c r="B82" s="2">
        <v>81</v>
      </c>
      <c r="C82" s="2">
        <v>5</v>
      </c>
      <c r="D82" s="2">
        <v>1</v>
      </c>
      <c r="E82" s="2">
        <v>1.262</v>
      </c>
      <c r="F82" s="2">
        <v>2</v>
      </c>
      <c r="H82" s="2">
        <v>43</v>
      </c>
      <c r="I82" s="2">
        <v>82</v>
      </c>
      <c r="J82" s="2">
        <v>7</v>
      </c>
      <c r="K82" s="2">
        <v>1</v>
      </c>
      <c r="L82" s="2">
        <v>0.76800000000000002</v>
      </c>
      <c r="M82" s="2">
        <v>1</v>
      </c>
    </row>
    <row r="83" spans="1:13" ht="14.25" customHeight="1">
      <c r="A83" s="2">
        <v>43</v>
      </c>
      <c r="B83" s="2">
        <v>82</v>
      </c>
      <c r="C83" s="2">
        <v>7</v>
      </c>
      <c r="D83" s="2">
        <v>1</v>
      </c>
      <c r="E83" s="2">
        <v>0.76800000000000002</v>
      </c>
      <c r="F83" s="2">
        <v>1</v>
      </c>
      <c r="H83" s="2">
        <v>43</v>
      </c>
      <c r="I83" s="2">
        <v>83</v>
      </c>
      <c r="J83" s="2">
        <v>2</v>
      </c>
      <c r="K83" s="2">
        <v>1</v>
      </c>
      <c r="L83" s="2">
        <v>0.79</v>
      </c>
      <c r="M83" s="2">
        <v>1</v>
      </c>
    </row>
    <row r="84" spans="1:13" ht="14.25" customHeight="1">
      <c r="A84" s="2">
        <v>43</v>
      </c>
      <c r="B84" s="2">
        <v>83</v>
      </c>
      <c r="C84" s="2">
        <v>2</v>
      </c>
      <c r="D84" s="2">
        <v>1</v>
      </c>
      <c r="E84" s="2">
        <v>0.79</v>
      </c>
      <c r="F84" s="2">
        <v>1</v>
      </c>
      <c r="H84" s="2">
        <v>43</v>
      </c>
      <c r="I84" s="2">
        <v>84</v>
      </c>
      <c r="J84" s="2">
        <v>8</v>
      </c>
      <c r="K84" s="2">
        <v>1</v>
      </c>
      <c r="L84" s="2">
        <v>0.90100000000000002</v>
      </c>
      <c r="M84" s="2">
        <v>1</v>
      </c>
    </row>
    <row r="85" spans="1:13" ht="14.25" customHeight="1">
      <c r="A85" s="2">
        <v>43</v>
      </c>
      <c r="B85" s="2">
        <v>84</v>
      </c>
      <c r="C85" s="2">
        <v>8</v>
      </c>
      <c r="D85" s="2">
        <v>1</v>
      </c>
      <c r="E85" s="2">
        <v>0.90100000000000002</v>
      </c>
      <c r="F85" s="2">
        <v>1</v>
      </c>
      <c r="H85" s="2">
        <v>43</v>
      </c>
      <c r="I85" s="2">
        <v>85</v>
      </c>
      <c r="J85" s="2">
        <v>6</v>
      </c>
      <c r="K85" s="2">
        <v>1</v>
      </c>
      <c r="L85" s="2">
        <v>1.325</v>
      </c>
      <c r="M85" s="2">
        <v>2</v>
      </c>
    </row>
    <row r="86" spans="1:13" ht="14.25" customHeight="1">
      <c r="A86" s="2">
        <v>43</v>
      </c>
      <c r="B86" s="2">
        <v>85</v>
      </c>
      <c r="C86" s="2">
        <v>6</v>
      </c>
      <c r="D86" s="2">
        <v>1</v>
      </c>
      <c r="E86" s="2">
        <v>1.325</v>
      </c>
      <c r="F86" s="2">
        <v>2</v>
      </c>
      <c r="H86" s="2">
        <v>43</v>
      </c>
      <c r="I86" s="2">
        <v>86</v>
      </c>
      <c r="J86" s="2">
        <v>3</v>
      </c>
      <c r="K86" s="2">
        <v>1</v>
      </c>
      <c r="L86" s="2">
        <v>1.0449999999999999</v>
      </c>
      <c r="M86" s="2">
        <v>1</v>
      </c>
    </row>
    <row r="87" spans="1:13" ht="14.25" customHeight="1">
      <c r="A87" s="2">
        <v>43</v>
      </c>
      <c r="B87" s="2">
        <v>86</v>
      </c>
      <c r="C87" s="2">
        <v>3</v>
      </c>
      <c r="D87" s="2">
        <v>1</v>
      </c>
      <c r="E87" s="2">
        <v>1.0449999999999999</v>
      </c>
      <c r="F87" s="2">
        <v>1</v>
      </c>
      <c r="H87" s="2">
        <v>43</v>
      </c>
      <c r="I87" s="2">
        <v>87</v>
      </c>
      <c r="J87" s="2">
        <v>6</v>
      </c>
      <c r="K87" s="2">
        <v>1</v>
      </c>
      <c r="L87" s="2">
        <v>1.458</v>
      </c>
      <c r="M87" s="2">
        <v>1</v>
      </c>
    </row>
    <row r="88" spans="1:13" ht="14.25" customHeight="1">
      <c r="A88" s="2">
        <v>43</v>
      </c>
      <c r="B88" s="2">
        <v>87</v>
      </c>
      <c r="C88" s="2">
        <v>6</v>
      </c>
      <c r="D88" s="2">
        <v>1</v>
      </c>
      <c r="E88" s="2">
        <v>1.458</v>
      </c>
      <c r="F88" s="2">
        <v>1</v>
      </c>
      <c r="H88" s="2">
        <v>43</v>
      </c>
      <c r="I88" s="2">
        <v>88</v>
      </c>
      <c r="J88" s="2">
        <v>8</v>
      </c>
      <c r="K88" s="2">
        <v>1</v>
      </c>
      <c r="L88" s="2">
        <v>0.91900000000000004</v>
      </c>
      <c r="M88" s="2">
        <v>2</v>
      </c>
    </row>
    <row r="89" spans="1:13" ht="14.25" customHeight="1">
      <c r="A89" s="2">
        <v>43</v>
      </c>
      <c r="B89" s="2">
        <v>88</v>
      </c>
      <c r="C89" s="2">
        <v>8</v>
      </c>
      <c r="D89" s="2">
        <v>1</v>
      </c>
      <c r="E89" s="2">
        <v>0.91900000000000004</v>
      </c>
      <c r="F89" s="2">
        <v>2</v>
      </c>
      <c r="H89" s="2">
        <v>43</v>
      </c>
      <c r="I89" s="2">
        <v>89</v>
      </c>
      <c r="J89" s="2">
        <v>3</v>
      </c>
      <c r="K89" s="2">
        <v>0</v>
      </c>
      <c r="L89" s="2">
        <v>1.417</v>
      </c>
      <c r="M89" s="2">
        <v>1</v>
      </c>
    </row>
    <row r="90" spans="1:13" ht="14.25" customHeight="1">
      <c r="A90" s="2">
        <v>43</v>
      </c>
      <c r="B90" s="2">
        <v>89</v>
      </c>
      <c r="C90" s="2">
        <v>3</v>
      </c>
      <c r="D90" s="2">
        <v>0</v>
      </c>
      <c r="E90" s="2">
        <v>1.417</v>
      </c>
      <c r="F90" s="2">
        <v>1</v>
      </c>
      <c r="H90" s="2">
        <v>43</v>
      </c>
      <c r="I90" s="2">
        <v>90</v>
      </c>
      <c r="J90" s="2">
        <v>4</v>
      </c>
      <c r="K90" s="2">
        <v>1</v>
      </c>
      <c r="L90" s="2">
        <v>1.1839999999999999</v>
      </c>
      <c r="M90" s="2">
        <v>1</v>
      </c>
    </row>
    <row r="91" spans="1:13" ht="14.25" customHeight="1">
      <c r="A91" s="2">
        <v>43</v>
      </c>
      <c r="B91" s="2">
        <v>90</v>
      </c>
      <c r="C91" s="2">
        <v>4</v>
      </c>
      <c r="D91" s="2">
        <v>1</v>
      </c>
      <c r="E91" s="2">
        <v>1.1839999999999999</v>
      </c>
      <c r="F91" s="2">
        <v>1</v>
      </c>
      <c r="H91" s="2">
        <v>43</v>
      </c>
      <c r="I91" s="2">
        <v>91</v>
      </c>
      <c r="J91" s="2">
        <v>5</v>
      </c>
      <c r="K91" s="2">
        <v>1</v>
      </c>
      <c r="L91" s="2">
        <v>1.3109999999999999</v>
      </c>
      <c r="M91" s="2">
        <v>2</v>
      </c>
    </row>
    <row r="92" spans="1:13" ht="14.25" customHeight="1">
      <c r="A92" s="2">
        <v>43</v>
      </c>
      <c r="B92" s="2">
        <v>91</v>
      </c>
      <c r="C92" s="2">
        <v>5</v>
      </c>
      <c r="D92" s="2">
        <v>1</v>
      </c>
      <c r="E92" s="2">
        <v>1.3109999999999999</v>
      </c>
      <c r="F92" s="2">
        <v>2</v>
      </c>
      <c r="H92" s="2">
        <v>43</v>
      </c>
      <c r="I92" s="2">
        <v>92</v>
      </c>
      <c r="J92" s="2">
        <v>7</v>
      </c>
      <c r="K92" s="2">
        <v>0</v>
      </c>
      <c r="L92" s="2">
        <v>1.323</v>
      </c>
      <c r="M92" s="2">
        <v>1</v>
      </c>
    </row>
    <row r="93" spans="1:13" ht="14.25" customHeight="1">
      <c r="A93" s="2">
        <v>43</v>
      </c>
      <c r="B93" s="2">
        <v>92</v>
      </c>
      <c r="C93" s="2">
        <v>7</v>
      </c>
      <c r="D93" s="2">
        <v>0</v>
      </c>
      <c r="E93" s="2">
        <v>1.323</v>
      </c>
      <c r="F93" s="2">
        <v>1</v>
      </c>
      <c r="H93" s="2">
        <v>43</v>
      </c>
      <c r="I93" s="2">
        <v>93</v>
      </c>
      <c r="J93" s="2">
        <v>2</v>
      </c>
      <c r="K93" s="2">
        <v>1</v>
      </c>
      <c r="L93" s="2">
        <v>1.123</v>
      </c>
      <c r="M93" s="2">
        <v>1</v>
      </c>
    </row>
    <row r="94" spans="1:13" ht="14.25" customHeight="1">
      <c r="A94" s="2">
        <v>43</v>
      </c>
      <c r="B94" s="2">
        <v>93</v>
      </c>
      <c r="C94" s="2">
        <v>2</v>
      </c>
      <c r="D94" s="2">
        <v>1</v>
      </c>
      <c r="E94" s="2">
        <v>1.123</v>
      </c>
      <c r="F94" s="2">
        <v>1</v>
      </c>
      <c r="H94" s="2">
        <v>43</v>
      </c>
      <c r="I94" s="2">
        <v>94</v>
      </c>
      <c r="J94" s="2">
        <v>8</v>
      </c>
      <c r="K94" s="2">
        <v>1</v>
      </c>
      <c r="L94" s="2">
        <v>1.41</v>
      </c>
      <c r="M94" s="2">
        <v>1</v>
      </c>
    </row>
    <row r="95" spans="1:13" ht="14.25" customHeight="1">
      <c r="A95" s="2">
        <v>43</v>
      </c>
      <c r="B95" s="2">
        <v>94</v>
      </c>
      <c r="C95" s="2">
        <v>8</v>
      </c>
      <c r="D95" s="2">
        <v>1</v>
      </c>
      <c r="E95" s="2">
        <v>1.41</v>
      </c>
      <c r="F95" s="2">
        <v>1</v>
      </c>
      <c r="H95" s="2">
        <v>43</v>
      </c>
      <c r="I95" s="2">
        <v>95</v>
      </c>
      <c r="J95" s="2">
        <v>6</v>
      </c>
      <c r="K95" s="2">
        <v>1</v>
      </c>
      <c r="L95" s="2">
        <v>1.99</v>
      </c>
      <c r="M95" s="2">
        <v>2</v>
      </c>
    </row>
    <row r="96" spans="1:13" ht="14.25" customHeight="1">
      <c r="A96" s="2">
        <v>43</v>
      </c>
      <c r="B96" s="2">
        <v>95</v>
      </c>
      <c r="C96" s="2">
        <v>6</v>
      </c>
      <c r="D96" s="2">
        <v>1</v>
      </c>
      <c r="E96" s="2">
        <v>1.99</v>
      </c>
      <c r="F96" s="2">
        <v>2</v>
      </c>
      <c r="H96" s="2">
        <v>43</v>
      </c>
      <c r="I96" s="2">
        <v>96</v>
      </c>
      <c r="J96" s="2">
        <v>2</v>
      </c>
      <c r="K96" s="2">
        <v>1</v>
      </c>
      <c r="L96" s="2">
        <v>1.208</v>
      </c>
      <c r="M96" s="2">
        <v>2</v>
      </c>
    </row>
    <row r="97" spans="1:13" ht="14.25" customHeight="1">
      <c r="A97" s="2">
        <v>43</v>
      </c>
      <c r="B97" s="2">
        <v>96</v>
      </c>
      <c r="C97" s="2">
        <v>2</v>
      </c>
      <c r="D97" s="2">
        <v>1</v>
      </c>
      <c r="E97" s="2">
        <v>1.208</v>
      </c>
      <c r="F97" s="2">
        <v>2</v>
      </c>
      <c r="H97" s="2">
        <v>43</v>
      </c>
      <c r="I97" s="2">
        <v>97</v>
      </c>
      <c r="J97" s="2">
        <v>4</v>
      </c>
      <c r="K97" s="2">
        <v>1</v>
      </c>
      <c r="L97" s="2">
        <v>1.153</v>
      </c>
      <c r="M97" s="2">
        <v>2</v>
      </c>
    </row>
    <row r="98" spans="1:13" ht="14.25" customHeight="1">
      <c r="A98" s="2">
        <v>43</v>
      </c>
      <c r="B98" s="2">
        <v>97</v>
      </c>
      <c r="C98" s="2">
        <v>4</v>
      </c>
      <c r="D98" s="2">
        <v>1</v>
      </c>
      <c r="E98" s="2">
        <v>1.153</v>
      </c>
      <c r="F98" s="2">
        <v>2</v>
      </c>
      <c r="H98" s="2">
        <v>43</v>
      </c>
      <c r="I98" s="2">
        <v>98</v>
      </c>
      <c r="J98" s="2">
        <v>3</v>
      </c>
      <c r="K98" s="2">
        <v>1</v>
      </c>
      <c r="L98" s="2">
        <v>0.64800000000000002</v>
      </c>
      <c r="M98" s="2">
        <v>1</v>
      </c>
    </row>
    <row r="99" spans="1:13" ht="14.25" customHeight="1">
      <c r="A99" s="2">
        <v>43</v>
      </c>
      <c r="B99" s="2">
        <v>98</v>
      </c>
      <c r="C99" s="2">
        <v>3</v>
      </c>
      <c r="D99" s="2">
        <v>1</v>
      </c>
      <c r="E99" s="2">
        <v>0.64800000000000002</v>
      </c>
      <c r="F99" s="2">
        <v>1</v>
      </c>
      <c r="H99" s="2">
        <v>43</v>
      </c>
      <c r="I99" s="2">
        <v>99</v>
      </c>
      <c r="J99" s="2">
        <v>5</v>
      </c>
      <c r="K99" s="2">
        <v>1</v>
      </c>
      <c r="L99" s="2">
        <v>0.998</v>
      </c>
      <c r="M99" s="2">
        <v>2</v>
      </c>
    </row>
    <row r="100" spans="1:13" ht="14.25" customHeight="1">
      <c r="A100" s="2">
        <v>43</v>
      </c>
      <c r="B100" s="2">
        <v>99</v>
      </c>
      <c r="C100" s="2">
        <v>5</v>
      </c>
      <c r="D100" s="2">
        <v>1</v>
      </c>
      <c r="E100" s="2">
        <v>0.998</v>
      </c>
      <c r="F100" s="2">
        <v>2</v>
      </c>
      <c r="H100" s="2">
        <v>43</v>
      </c>
      <c r="I100" s="2">
        <v>100</v>
      </c>
      <c r="J100" s="2">
        <v>6</v>
      </c>
      <c r="K100" s="2">
        <v>0</v>
      </c>
      <c r="L100" s="2">
        <v>1.327</v>
      </c>
      <c r="M100" s="2">
        <v>1</v>
      </c>
    </row>
    <row r="101" spans="1:13" ht="14.25" customHeight="1">
      <c r="A101" s="2">
        <v>43</v>
      </c>
      <c r="B101" s="2">
        <v>100</v>
      </c>
      <c r="C101" s="2">
        <v>6</v>
      </c>
      <c r="D101" s="2">
        <v>0</v>
      </c>
      <c r="E101" s="2">
        <v>1.327</v>
      </c>
      <c r="F101" s="2">
        <v>1</v>
      </c>
    </row>
    <row r="102" spans="1:13" ht="14.25" customHeight="1">
      <c r="A102" s="2">
        <v>43</v>
      </c>
      <c r="B102" s="2">
        <v>101</v>
      </c>
      <c r="C102" s="2">
        <v>1</v>
      </c>
      <c r="D102" s="2">
        <v>1</v>
      </c>
      <c r="E102" s="2">
        <v>1.8029999999999999</v>
      </c>
      <c r="F102" s="2">
        <v>1</v>
      </c>
    </row>
    <row r="103" spans="1:13" ht="14.25" customHeight="1">
      <c r="A103" s="2">
        <v>43</v>
      </c>
      <c r="B103" s="2">
        <v>102</v>
      </c>
      <c r="C103" s="2">
        <v>8</v>
      </c>
      <c r="D103" s="2">
        <v>1</v>
      </c>
      <c r="E103" s="2">
        <v>1.123</v>
      </c>
      <c r="F103" s="2">
        <v>1</v>
      </c>
    </row>
    <row r="104" spans="1:13" ht="14.25" customHeight="1">
      <c r="A104" s="2">
        <v>43</v>
      </c>
      <c r="B104" s="2">
        <v>103</v>
      </c>
      <c r="C104" s="2">
        <v>3</v>
      </c>
      <c r="D104" s="2">
        <v>0</v>
      </c>
      <c r="E104" s="2">
        <v>1.4410000000000001</v>
      </c>
      <c r="F104" s="2">
        <v>1</v>
      </c>
    </row>
    <row r="105" spans="1:13" ht="14.25" customHeight="1">
      <c r="A105" s="2">
        <v>43</v>
      </c>
      <c r="B105" s="2">
        <v>104</v>
      </c>
      <c r="C105" s="2">
        <v>4</v>
      </c>
      <c r="D105" s="2">
        <v>1</v>
      </c>
      <c r="E105" s="2">
        <v>0.66900000000000004</v>
      </c>
      <c r="F105" s="2">
        <v>1</v>
      </c>
    </row>
    <row r="106" spans="1:13" ht="14.25" customHeight="1">
      <c r="A106" s="2">
        <v>43</v>
      </c>
      <c r="B106" s="2">
        <v>105</v>
      </c>
      <c r="C106" s="2">
        <v>6</v>
      </c>
      <c r="D106" s="2">
        <v>0</v>
      </c>
      <c r="E106" s="2">
        <v>1.1419999999999999</v>
      </c>
      <c r="F106" s="2">
        <v>2</v>
      </c>
    </row>
    <row r="107" spans="1:13" ht="14.25" customHeight="1">
      <c r="A107" s="2">
        <v>43</v>
      </c>
      <c r="B107" s="2">
        <v>106</v>
      </c>
      <c r="C107" s="2">
        <v>8</v>
      </c>
      <c r="D107" s="2">
        <v>1</v>
      </c>
      <c r="E107" s="2">
        <v>0.91200000000000003</v>
      </c>
      <c r="F107" s="2">
        <v>2</v>
      </c>
    </row>
    <row r="108" spans="1:13" ht="14.25" customHeight="1">
      <c r="A108" s="2">
        <v>43</v>
      </c>
      <c r="B108" s="2">
        <v>107</v>
      </c>
      <c r="C108" s="2">
        <v>2</v>
      </c>
      <c r="D108" s="2">
        <v>1</v>
      </c>
      <c r="E108" s="2">
        <v>1.3440000000000001</v>
      </c>
      <c r="F108" s="2">
        <v>2</v>
      </c>
    </row>
    <row r="109" spans="1:13" ht="14.25" customHeight="1">
      <c r="A109" s="2">
        <v>43</v>
      </c>
      <c r="B109" s="2">
        <v>108</v>
      </c>
      <c r="C109" s="2">
        <v>3</v>
      </c>
      <c r="D109" s="2">
        <v>1</v>
      </c>
      <c r="E109" s="2">
        <v>1.7909999999999999</v>
      </c>
      <c r="F109" s="2">
        <v>2</v>
      </c>
    </row>
    <row r="110" spans="1:13" ht="14.25" customHeight="1">
      <c r="A110" s="2">
        <v>43</v>
      </c>
      <c r="B110" s="2">
        <v>109</v>
      </c>
      <c r="C110" s="2">
        <v>2</v>
      </c>
      <c r="D110" s="2">
        <v>1</v>
      </c>
      <c r="E110" s="2">
        <v>1.272</v>
      </c>
      <c r="F110" s="2">
        <v>1</v>
      </c>
    </row>
    <row r="111" spans="1:13" ht="14.25" customHeight="1">
      <c r="A111" s="2">
        <v>43</v>
      </c>
      <c r="B111" s="2">
        <v>110</v>
      </c>
      <c r="C111" s="2">
        <v>5</v>
      </c>
      <c r="D111" s="2">
        <v>1</v>
      </c>
      <c r="E111" s="2">
        <v>1.68</v>
      </c>
      <c r="F111" s="2">
        <v>2</v>
      </c>
    </row>
    <row r="112" spans="1:13" ht="14.25" customHeight="1">
      <c r="A112" s="2">
        <v>43</v>
      </c>
      <c r="B112" s="2">
        <v>111</v>
      </c>
      <c r="C112" s="2">
        <v>1</v>
      </c>
      <c r="D112" s="2">
        <v>1</v>
      </c>
      <c r="E112" s="2">
        <v>1.256</v>
      </c>
      <c r="F112" s="2">
        <v>1</v>
      </c>
    </row>
    <row r="113" spans="1:6" ht="14.25" customHeight="1">
      <c r="A113" s="2">
        <v>43</v>
      </c>
      <c r="B113" s="2">
        <v>112</v>
      </c>
      <c r="C113" s="2">
        <v>7</v>
      </c>
      <c r="D113" s="2">
        <v>0</v>
      </c>
      <c r="E113" s="2">
        <v>1.319</v>
      </c>
      <c r="F113" s="2">
        <v>1</v>
      </c>
    </row>
    <row r="114" spans="1:6" ht="14.25" customHeight="1">
      <c r="A114" s="2">
        <v>43</v>
      </c>
      <c r="B114" s="2">
        <v>113</v>
      </c>
      <c r="C114" s="2">
        <v>1</v>
      </c>
      <c r="D114" s="2">
        <v>1</v>
      </c>
      <c r="E114" s="2">
        <v>0.996</v>
      </c>
      <c r="F114" s="2">
        <v>1</v>
      </c>
    </row>
    <row r="115" spans="1:6" ht="14.25" customHeight="1">
      <c r="A115" s="2">
        <v>43</v>
      </c>
      <c r="B115" s="2">
        <v>114</v>
      </c>
      <c r="C115" s="2">
        <v>2</v>
      </c>
      <c r="D115" s="2">
        <v>1</v>
      </c>
      <c r="E115" s="2">
        <v>1.048</v>
      </c>
      <c r="F115" s="2">
        <v>2</v>
      </c>
    </row>
    <row r="116" spans="1:6" ht="14.25" customHeight="1">
      <c r="A116" s="2">
        <v>43</v>
      </c>
      <c r="B116" s="2">
        <v>115</v>
      </c>
      <c r="C116" s="2">
        <v>7</v>
      </c>
      <c r="D116" s="2">
        <v>0</v>
      </c>
      <c r="E116" s="2">
        <v>0.878</v>
      </c>
      <c r="F116" s="2">
        <v>1</v>
      </c>
    </row>
    <row r="117" spans="1:6" ht="14.25" customHeight="1">
      <c r="A117" s="2">
        <v>43</v>
      </c>
      <c r="B117" s="2">
        <v>116</v>
      </c>
      <c r="C117" s="2">
        <v>8</v>
      </c>
      <c r="D117" s="2">
        <v>1</v>
      </c>
      <c r="E117" s="2">
        <v>1.849</v>
      </c>
      <c r="F117" s="2">
        <v>2</v>
      </c>
    </row>
    <row r="118" spans="1:6" ht="14.25" customHeight="1">
      <c r="A118" s="2">
        <v>43</v>
      </c>
      <c r="B118" s="2">
        <v>117</v>
      </c>
      <c r="C118" s="2">
        <v>2</v>
      </c>
      <c r="D118" s="2">
        <v>1</v>
      </c>
      <c r="E118" s="2">
        <v>1.254</v>
      </c>
      <c r="F118" s="2">
        <v>1</v>
      </c>
    </row>
    <row r="119" spans="1:6" ht="14.25" customHeight="1">
      <c r="A119" s="2">
        <v>43</v>
      </c>
      <c r="B119" s="2">
        <v>118</v>
      </c>
      <c r="C119" s="2">
        <v>7</v>
      </c>
      <c r="D119" s="2">
        <v>1</v>
      </c>
      <c r="E119" s="2">
        <v>1.1890000000000001</v>
      </c>
      <c r="F119" s="2">
        <v>1</v>
      </c>
    </row>
    <row r="120" spans="1:6" ht="14.25" customHeight="1">
      <c r="A120" s="2">
        <v>43</v>
      </c>
      <c r="B120" s="2">
        <v>119</v>
      </c>
      <c r="C120" s="2">
        <v>6</v>
      </c>
      <c r="D120" s="2">
        <v>1</v>
      </c>
      <c r="E120" s="2">
        <v>0.72799999999999998</v>
      </c>
      <c r="F120" s="2">
        <v>1</v>
      </c>
    </row>
    <row r="121" spans="1:6" ht="14.25" customHeight="1">
      <c r="A121" s="2">
        <v>43</v>
      </c>
      <c r="B121" s="2">
        <v>120</v>
      </c>
      <c r="C121" s="2">
        <v>7</v>
      </c>
      <c r="D121" s="2">
        <v>1</v>
      </c>
      <c r="E121" s="2">
        <v>0.58499999999999996</v>
      </c>
      <c r="F121" s="2">
        <v>2</v>
      </c>
    </row>
    <row r="122" spans="1:6" ht="14.25" customHeight="1">
      <c r="A122" s="2">
        <v>43</v>
      </c>
      <c r="B122" s="2">
        <v>121</v>
      </c>
      <c r="C122" s="2">
        <v>4</v>
      </c>
      <c r="D122" s="2">
        <v>0</v>
      </c>
      <c r="E122" s="2">
        <v>1.256</v>
      </c>
      <c r="F122" s="2">
        <v>1</v>
      </c>
    </row>
    <row r="123" spans="1:6" ht="14.25" customHeight="1">
      <c r="A123" s="2">
        <v>43</v>
      </c>
      <c r="B123" s="2">
        <v>122</v>
      </c>
      <c r="C123" s="2">
        <v>6</v>
      </c>
      <c r="D123" s="2">
        <v>1</v>
      </c>
      <c r="E123" s="2">
        <v>1.2270000000000001</v>
      </c>
      <c r="F123" s="2">
        <v>2</v>
      </c>
    </row>
    <row r="124" spans="1:6" ht="14.25" customHeight="1">
      <c r="A124" s="2">
        <v>43</v>
      </c>
      <c r="B124" s="2">
        <v>123</v>
      </c>
      <c r="C124" s="2">
        <v>3</v>
      </c>
      <c r="D124" s="2">
        <v>1</v>
      </c>
      <c r="E124" s="2">
        <v>0.71</v>
      </c>
      <c r="F124" s="2">
        <v>1</v>
      </c>
    </row>
    <row r="125" spans="1:6" ht="14.25" customHeight="1">
      <c r="A125" s="2">
        <v>43</v>
      </c>
      <c r="B125" s="2">
        <v>124</v>
      </c>
      <c r="C125" s="2">
        <v>2</v>
      </c>
      <c r="D125" s="2">
        <v>1</v>
      </c>
      <c r="E125" s="2">
        <v>1.494</v>
      </c>
      <c r="F125" s="2">
        <v>1</v>
      </c>
    </row>
    <row r="126" spans="1:6" ht="14.25" customHeight="1">
      <c r="A126" s="2">
        <v>43</v>
      </c>
      <c r="B126" s="2">
        <v>125</v>
      </c>
      <c r="C126" s="2">
        <v>5</v>
      </c>
      <c r="D126" s="2">
        <v>1</v>
      </c>
      <c r="E126" s="2">
        <v>0.95399999999999996</v>
      </c>
      <c r="F126" s="2">
        <v>1</v>
      </c>
    </row>
    <row r="127" spans="1:6" ht="14.25" customHeight="1">
      <c r="A127" s="2">
        <v>43</v>
      </c>
      <c r="B127" s="2">
        <v>126</v>
      </c>
      <c r="C127" s="2">
        <v>4</v>
      </c>
      <c r="D127" s="2">
        <v>1</v>
      </c>
      <c r="E127" s="2">
        <v>0.76300000000000001</v>
      </c>
      <c r="F127" s="2">
        <v>1</v>
      </c>
    </row>
    <row r="128" spans="1:6" ht="14.25" customHeight="1">
      <c r="A128" s="2">
        <v>43</v>
      </c>
      <c r="B128" s="2">
        <v>127</v>
      </c>
      <c r="C128" s="2">
        <v>5</v>
      </c>
      <c r="D128" s="2">
        <v>1</v>
      </c>
      <c r="E128" s="2">
        <v>0.71399999999999997</v>
      </c>
      <c r="F128" s="2">
        <v>1</v>
      </c>
    </row>
    <row r="129" spans="1:6" ht="14.25" customHeight="1">
      <c r="A129" s="2">
        <v>43</v>
      </c>
      <c r="B129" s="2">
        <v>128</v>
      </c>
      <c r="C129" s="2">
        <v>1</v>
      </c>
      <c r="D129" s="2">
        <v>1</v>
      </c>
      <c r="E129" s="2">
        <v>1.7410000000000001</v>
      </c>
      <c r="F129" s="2">
        <v>1</v>
      </c>
    </row>
    <row r="130" spans="1:6" ht="14.25" customHeight="1">
      <c r="A130" s="2">
        <v>43</v>
      </c>
      <c r="B130" s="2">
        <v>129</v>
      </c>
      <c r="C130" s="2">
        <v>7</v>
      </c>
      <c r="D130" s="2">
        <v>1</v>
      </c>
      <c r="E130" s="2">
        <v>0.873</v>
      </c>
      <c r="F130" s="2">
        <v>2</v>
      </c>
    </row>
    <row r="131" spans="1:6" ht="14.25" customHeight="1">
      <c r="A131" s="2">
        <v>43</v>
      </c>
      <c r="B131" s="2">
        <v>130</v>
      </c>
      <c r="C131" s="2">
        <v>8</v>
      </c>
      <c r="D131" s="2">
        <v>1</v>
      </c>
      <c r="E131" s="2">
        <v>1.177</v>
      </c>
      <c r="F131" s="2">
        <v>1</v>
      </c>
    </row>
    <row r="132" spans="1:6" ht="14.25" customHeight="1">
      <c r="A132" s="2">
        <v>43</v>
      </c>
      <c r="B132" s="2">
        <v>131</v>
      </c>
      <c r="C132" s="2">
        <v>1</v>
      </c>
      <c r="D132" s="2">
        <v>0</v>
      </c>
      <c r="E132" s="2">
        <v>1.272</v>
      </c>
      <c r="F132" s="2">
        <v>1</v>
      </c>
    </row>
    <row r="133" spans="1:6" ht="14.25" customHeight="1">
      <c r="A133" s="2">
        <v>43</v>
      </c>
      <c r="B133" s="2">
        <v>132</v>
      </c>
      <c r="C133" s="2">
        <v>5</v>
      </c>
      <c r="D133" s="2">
        <v>1</v>
      </c>
      <c r="E133" s="2">
        <v>0.68200000000000005</v>
      </c>
      <c r="F133" s="2">
        <v>1</v>
      </c>
    </row>
    <row r="134" spans="1:6" ht="14.25" customHeight="1">
      <c r="A134" s="2">
        <v>43</v>
      </c>
      <c r="B134" s="2">
        <v>133</v>
      </c>
      <c r="C134" s="2">
        <v>8</v>
      </c>
      <c r="D134" s="2">
        <v>1</v>
      </c>
      <c r="E134" s="2">
        <v>0.92900000000000005</v>
      </c>
      <c r="F134" s="2">
        <v>1</v>
      </c>
    </row>
    <row r="135" spans="1:6" ht="14.25" customHeight="1">
      <c r="A135" s="2">
        <v>43</v>
      </c>
      <c r="B135" s="2">
        <v>134</v>
      </c>
      <c r="C135" s="2">
        <v>4</v>
      </c>
      <c r="D135" s="2">
        <v>1</v>
      </c>
      <c r="E135" s="2">
        <v>0.57199999999999995</v>
      </c>
      <c r="F135" s="2">
        <v>1</v>
      </c>
    </row>
    <row r="136" spans="1:6" ht="14.25" customHeight="1">
      <c r="A136" s="2">
        <v>43</v>
      </c>
      <c r="B136" s="2">
        <v>135</v>
      </c>
      <c r="C136" s="2">
        <v>6</v>
      </c>
      <c r="D136" s="2">
        <v>1</v>
      </c>
      <c r="E136" s="2">
        <v>1.054</v>
      </c>
      <c r="F136" s="2">
        <v>2</v>
      </c>
    </row>
    <row r="137" spans="1:6" ht="14.25" customHeight="1">
      <c r="A137" s="2">
        <v>43</v>
      </c>
      <c r="B137" s="2">
        <v>136</v>
      </c>
      <c r="C137" s="2">
        <v>7</v>
      </c>
      <c r="D137" s="2">
        <v>1</v>
      </c>
      <c r="E137" s="2">
        <v>0.94499999999999995</v>
      </c>
      <c r="F137" s="2">
        <v>1</v>
      </c>
    </row>
    <row r="138" spans="1:6" ht="14.25" customHeight="1">
      <c r="A138" s="2">
        <v>43</v>
      </c>
      <c r="B138" s="2">
        <v>137</v>
      </c>
      <c r="C138" s="2">
        <v>8</v>
      </c>
      <c r="D138" s="2">
        <v>1</v>
      </c>
      <c r="E138" s="2">
        <v>1.405</v>
      </c>
      <c r="F138" s="2">
        <v>1</v>
      </c>
    </row>
    <row r="139" spans="1:6" ht="14.25" customHeight="1">
      <c r="A139" s="2">
        <v>43</v>
      </c>
      <c r="B139" s="2">
        <v>138</v>
      </c>
      <c r="C139" s="2">
        <v>6</v>
      </c>
      <c r="D139" s="2">
        <v>1</v>
      </c>
      <c r="E139" s="2">
        <v>0.79800000000000004</v>
      </c>
      <c r="F139" s="2">
        <v>2</v>
      </c>
    </row>
    <row r="140" spans="1:6" ht="14.25" customHeight="1">
      <c r="A140" s="2">
        <v>43</v>
      </c>
      <c r="B140" s="2">
        <v>139</v>
      </c>
      <c r="C140" s="2">
        <v>3</v>
      </c>
      <c r="D140" s="2">
        <v>1</v>
      </c>
      <c r="E140" s="2">
        <v>0.71099999999999997</v>
      </c>
      <c r="F140" s="2">
        <v>2</v>
      </c>
    </row>
    <row r="141" spans="1:6" ht="14.25" customHeight="1">
      <c r="A141" s="2">
        <v>43</v>
      </c>
      <c r="B141" s="2">
        <v>140</v>
      </c>
      <c r="C141" s="2">
        <v>5</v>
      </c>
      <c r="D141" s="2">
        <v>1</v>
      </c>
      <c r="E141" s="2">
        <v>1.353</v>
      </c>
      <c r="F141" s="2">
        <v>1</v>
      </c>
    </row>
    <row r="142" spans="1:6" ht="14.25" customHeight="1">
      <c r="A142" s="2">
        <v>43</v>
      </c>
      <c r="B142" s="2">
        <v>141</v>
      </c>
      <c r="C142" s="2">
        <v>2</v>
      </c>
      <c r="D142" s="2">
        <v>1</v>
      </c>
      <c r="E142" s="2">
        <v>1.2769999999999999</v>
      </c>
      <c r="F142" s="2">
        <v>2</v>
      </c>
    </row>
    <row r="143" spans="1:6" ht="14.25" customHeight="1">
      <c r="A143" s="2">
        <v>43</v>
      </c>
      <c r="B143" s="2">
        <v>142</v>
      </c>
      <c r="C143" s="2">
        <v>3</v>
      </c>
      <c r="D143" s="2">
        <v>0</v>
      </c>
      <c r="E143" s="2">
        <v>1.1859999999999999</v>
      </c>
      <c r="F143" s="2">
        <v>1</v>
      </c>
    </row>
    <row r="144" spans="1:6" ht="14.25" customHeight="1">
      <c r="A144" s="2">
        <v>43</v>
      </c>
      <c r="B144" s="2">
        <v>143</v>
      </c>
      <c r="C144" s="2">
        <v>4</v>
      </c>
      <c r="D144" s="2">
        <v>1</v>
      </c>
      <c r="E144" s="2">
        <v>0.84799999999999998</v>
      </c>
      <c r="F144" s="2">
        <v>1</v>
      </c>
    </row>
    <row r="145" spans="1:6" ht="14.25" customHeight="1">
      <c r="A145" s="2">
        <v>43</v>
      </c>
      <c r="B145" s="2">
        <v>144</v>
      </c>
      <c r="C145" s="2">
        <v>1</v>
      </c>
      <c r="D145" s="2">
        <v>1</v>
      </c>
      <c r="E145" s="2">
        <v>1.208</v>
      </c>
      <c r="F145" s="2">
        <v>1</v>
      </c>
    </row>
    <row r="146" spans="1:6" ht="14.25" customHeight="1">
      <c r="A146" s="2">
        <v>43</v>
      </c>
      <c r="B146" s="2">
        <v>145</v>
      </c>
      <c r="C146" s="2">
        <v>6</v>
      </c>
      <c r="D146" s="2">
        <v>1</v>
      </c>
      <c r="E146" s="2">
        <v>1.129</v>
      </c>
      <c r="F146" s="2">
        <v>2</v>
      </c>
    </row>
    <row r="147" spans="1:6" ht="14.25" customHeight="1">
      <c r="A147" s="2">
        <v>43</v>
      </c>
      <c r="B147" s="2">
        <v>146</v>
      </c>
      <c r="C147" s="2">
        <v>3</v>
      </c>
      <c r="E147" s="2">
        <v>2</v>
      </c>
    </row>
    <row r="148" spans="1:6" ht="14.25" customHeight="1">
      <c r="A148" s="2">
        <v>43</v>
      </c>
      <c r="B148" s="2">
        <v>147</v>
      </c>
      <c r="C148" s="2">
        <v>4</v>
      </c>
      <c r="D148" s="2">
        <v>1</v>
      </c>
      <c r="E148" s="2">
        <v>1.556</v>
      </c>
      <c r="F148" s="2">
        <v>2</v>
      </c>
    </row>
    <row r="149" spans="1:6" ht="14.25" customHeight="1">
      <c r="A149" s="2">
        <v>43</v>
      </c>
      <c r="B149" s="2">
        <v>148</v>
      </c>
      <c r="C149" s="2">
        <v>2</v>
      </c>
      <c r="D149" s="2">
        <v>1</v>
      </c>
      <c r="E149" s="2">
        <v>1.22</v>
      </c>
      <c r="F149" s="2">
        <v>1</v>
      </c>
    </row>
    <row r="150" spans="1:6" ht="14.25" customHeight="1">
      <c r="A150" s="2">
        <v>43</v>
      </c>
      <c r="B150" s="2">
        <v>149</v>
      </c>
      <c r="C150" s="2">
        <v>7</v>
      </c>
      <c r="D150" s="2">
        <v>1</v>
      </c>
      <c r="E150" s="2">
        <v>0.70699999999999996</v>
      </c>
      <c r="F150" s="2">
        <v>2</v>
      </c>
    </row>
    <row r="151" spans="1:6" ht="14.25" customHeight="1">
      <c r="A151" s="2">
        <v>43</v>
      </c>
      <c r="B151" s="2">
        <v>150</v>
      </c>
      <c r="C151" s="2">
        <v>5</v>
      </c>
      <c r="D151" s="2">
        <v>1</v>
      </c>
      <c r="E151" s="2">
        <v>1.4870000000000001</v>
      </c>
      <c r="F151" s="2">
        <v>2</v>
      </c>
    </row>
    <row r="152" spans="1:6" ht="14.25" customHeight="1">
      <c r="A152" s="2">
        <v>43</v>
      </c>
      <c r="B152" s="2">
        <v>151</v>
      </c>
      <c r="C152" s="2">
        <v>7</v>
      </c>
      <c r="D152" s="2">
        <v>1</v>
      </c>
      <c r="E152" s="2">
        <v>1.173</v>
      </c>
      <c r="F152" s="2">
        <v>1</v>
      </c>
    </row>
    <row r="153" spans="1:6" ht="14.25" customHeight="1">
      <c r="A153" s="2">
        <v>43</v>
      </c>
      <c r="B153" s="2">
        <v>152</v>
      </c>
      <c r="C153" s="2">
        <v>1</v>
      </c>
      <c r="D153" s="2">
        <v>0</v>
      </c>
      <c r="E153" s="2">
        <v>1.1279999999999999</v>
      </c>
      <c r="F153" s="2">
        <v>2</v>
      </c>
    </row>
    <row r="154" spans="1:6" ht="14.25" customHeight="1">
      <c r="A154" s="2">
        <v>43</v>
      </c>
      <c r="B154" s="2">
        <v>153</v>
      </c>
      <c r="C154" s="2">
        <v>2</v>
      </c>
      <c r="D154" s="2">
        <v>0</v>
      </c>
      <c r="E154" s="2">
        <v>1.5089999999999999</v>
      </c>
      <c r="F154" s="2">
        <v>1</v>
      </c>
    </row>
    <row r="155" spans="1:6" ht="14.25" customHeight="1">
      <c r="A155" s="2">
        <v>43</v>
      </c>
      <c r="B155" s="2">
        <v>154</v>
      </c>
      <c r="C155" s="2">
        <v>1</v>
      </c>
      <c r="D155" s="2">
        <v>1</v>
      </c>
      <c r="E155" s="2">
        <v>0.73799999999999999</v>
      </c>
      <c r="F155" s="2">
        <v>1</v>
      </c>
    </row>
    <row r="156" spans="1:6" ht="14.25" customHeight="1">
      <c r="A156" s="2">
        <v>43</v>
      </c>
      <c r="B156" s="2">
        <v>155</v>
      </c>
      <c r="C156" s="2">
        <v>8</v>
      </c>
      <c r="D156" s="2">
        <v>1</v>
      </c>
      <c r="E156" s="2">
        <v>1.524</v>
      </c>
      <c r="F156" s="2">
        <v>1</v>
      </c>
    </row>
    <row r="157" spans="1:6" ht="14.25" customHeight="1">
      <c r="A157" s="2">
        <v>43</v>
      </c>
      <c r="B157" s="2">
        <v>156</v>
      </c>
      <c r="C157" s="2">
        <v>7</v>
      </c>
      <c r="D157" s="2">
        <v>1</v>
      </c>
      <c r="E157" s="2">
        <v>1.0940000000000001</v>
      </c>
      <c r="F157" s="2">
        <v>2</v>
      </c>
    </row>
    <row r="158" spans="1:6" ht="14.25" customHeight="1">
      <c r="A158" s="2">
        <v>43</v>
      </c>
      <c r="B158" s="2">
        <v>157</v>
      </c>
      <c r="C158" s="2">
        <v>2</v>
      </c>
      <c r="D158" s="2">
        <v>1</v>
      </c>
      <c r="E158" s="2">
        <v>0.878</v>
      </c>
      <c r="F158" s="2">
        <v>2</v>
      </c>
    </row>
    <row r="159" spans="1:6" ht="14.25" customHeight="1">
      <c r="A159" s="2">
        <v>43</v>
      </c>
      <c r="B159" s="2">
        <v>158</v>
      </c>
      <c r="C159" s="2">
        <v>7</v>
      </c>
      <c r="D159" s="2">
        <v>1</v>
      </c>
      <c r="E159" s="2">
        <v>1.631</v>
      </c>
      <c r="F159" s="2">
        <v>2</v>
      </c>
    </row>
    <row r="160" spans="1:6" ht="14.25" customHeight="1">
      <c r="A160" s="2">
        <v>43</v>
      </c>
      <c r="B160" s="2">
        <v>159</v>
      </c>
      <c r="C160" s="2">
        <v>4</v>
      </c>
      <c r="D160" s="2">
        <v>1</v>
      </c>
      <c r="E160" s="2">
        <v>1.1100000000000001</v>
      </c>
      <c r="F160" s="2">
        <v>1</v>
      </c>
    </row>
    <row r="161" spans="1:6" ht="14.25" customHeight="1">
      <c r="A161" s="2">
        <v>43</v>
      </c>
      <c r="B161" s="2">
        <v>160</v>
      </c>
      <c r="C161" s="2">
        <v>5</v>
      </c>
      <c r="D161" s="2">
        <v>1</v>
      </c>
      <c r="E161" s="2">
        <v>1.1619999999999999</v>
      </c>
      <c r="F161" s="2">
        <v>2</v>
      </c>
    </row>
    <row r="162" spans="1:6" ht="14.25" customHeight="1">
      <c r="A162" s="2">
        <v>43</v>
      </c>
      <c r="B162" s="2">
        <v>161</v>
      </c>
      <c r="C162" s="2">
        <v>6</v>
      </c>
      <c r="D162" s="2">
        <v>1</v>
      </c>
      <c r="E162" s="2">
        <v>1.1930000000000001</v>
      </c>
      <c r="F162" s="2">
        <v>1</v>
      </c>
    </row>
    <row r="163" spans="1:6" ht="14.25" customHeight="1">
      <c r="A163" s="2">
        <v>43</v>
      </c>
      <c r="B163" s="2">
        <v>162</v>
      </c>
      <c r="C163" s="2">
        <v>3</v>
      </c>
      <c r="D163" s="2">
        <v>0</v>
      </c>
      <c r="E163" s="2">
        <v>1.6459999999999999</v>
      </c>
      <c r="F163" s="2">
        <v>1</v>
      </c>
    </row>
    <row r="164" spans="1:6" ht="14.25" customHeight="1">
      <c r="A164" s="2">
        <v>43</v>
      </c>
      <c r="B164" s="2">
        <v>163</v>
      </c>
      <c r="C164" s="2">
        <v>8</v>
      </c>
      <c r="D164" s="2">
        <v>1</v>
      </c>
      <c r="E164" s="2">
        <v>0.75800000000000001</v>
      </c>
      <c r="F164" s="2">
        <v>1</v>
      </c>
    </row>
    <row r="165" spans="1:6" ht="14.25" customHeight="1">
      <c r="A165" s="2">
        <v>43</v>
      </c>
      <c r="B165" s="2">
        <v>164</v>
      </c>
      <c r="C165" s="2">
        <v>5</v>
      </c>
      <c r="D165" s="2">
        <v>1</v>
      </c>
      <c r="E165" s="2">
        <v>0.79700000000000004</v>
      </c>
      <c r="F165" s="2">
        <v>2</v>
      </c>
    </row>
    <row r="166" spans="1:6" ht="14.25" customHeight="1">
      <c r="A166" s="2">
        <v>43</v>
      </c>
      <c r="B166" s="2">
        <v>165</v>
      </c>
      <c r="C166" s="2">
        <v>3</v>
      </c>
      <c r="D166" s="2">
        <v>1</v>
      </c>
      <c r="E166" s="2">
        <v>1.704</v>
      </c>
      <c r="F166" s="2">
        <v>2</v>
      </c>
    </row>
    <row r="167" spans="1:6" ht="14.25" customHeight="1">
      <c r="A167" s="2">
        <v>43</v>
      </c>
      <c r="B167" s="2">
        <v>166</v>
      </c>
      <c r="C167" s="2">
        <v>2</v>
      </c>
      <c r="D167" s="2">
        <v>1</v>
      </c>
      <c r="E167" s="2">
        <v>1.9179999999999999</v>
      </c>
      <c r="F167" s="2">
        <v>2</v>
      </c>
    </row>
    <row r="168" spans="1:6" ht="14.25" customHeight="1">
      <c r="A168" s="2">
        <v>43</v>
      </c>
      <c r="B168" s="2">
        <v>167</v>
      </c>
      <c r="C168" s="2">
        <v>4</v>
      </c>
      <c r="D168" s="2">
        <v>1</v>
      </c>
      <c r="E168" s="2">
        <v>1.083</v>
      </c>
      <c r="F168" s="2">
        <v>1</v>
      </c>
    </row>
    <row r="169" spans="1:6" ht="14.25" customHeight="1">
      <c r="A169" s="2">
        <v>43</v>
      </c>
      <c r="B169" s="2">
        <v>168</v>
      </c>
      <c r="C169" s="2">
        <v>3</v>
      </c>
      <c r="D169" s="2">
        <v>1</v>
      </c>
      <c r="E169" s="2">
        <v>0.752</v>
      </c>
      <c r="F169" s="2">
        <v>1</v>
      </c>
    </row>
    <row r="170" spans="1:6" ht="14.25" customHeight="1">
      <c r="A170" s="2">
        <v>43</v>
      </c>
      <c r="B170" s="2">
        <v>169</v>
      </c>
      <c r="C170" s="2">
        <v>5</v>
      </c>
      <c r="D170" s="2">
        <v>1</v>
      </c>
      <c r="E170" s="2">
        <v>0.96599999999999997</v>
      </c>
      <c r="F170" s="2">
        <v>1</v>
      </c>
    </row>
    <row r="171" spans="1:6" ht="14.25" customHeight="1">
      <c r="A171" s="2">
        <v>43</v>
      </c>
      <c r="B171" s="2">
        <v>170</v>
      </c>
      <c r="C171" s="2">
        <v>6</v>
      </c>
      <c r="D171" s="2">
        <v>1</v>
      </c>
      <c r="E171" s="2">
        <v>0.81</v>
      </c>
      <c r="F171" s="2">
        <v>2</v>
      </c>
    </row>
    <row r="172" spans="1:6" ht="14.25" customHeight="1">
      <c r="A172" s="2">
        <v>43</v>
      </c>
      <c r="B172" s="2">
        <v>171</v>
      </c>
      <c r="C172" s="2">
        <v>7</v>
      </c>
      <c r="D172" s="2">
        <v>0</v>
      </c>
      <c r="E172" s="2">
        <v>0.93500000000000005</v>
      </c>
      <c r="F172" s="2">
        <v>1</v>
      </c>
    </row>
    <row r="173" spans="1:6" ht="14.25" customHeight="1">
      <c r="A173" s="2">
        <v>43</v>
      </c>
      <c r="B173" s="2">
        <v>172</v>
      </c>
      <c r="C173" s="2">
        <v>8</v>
      </c>
      <c r="D173" s="2">
        <v>1</v>
      </c>
      <c r="E173" s="2">
        <v>0.82</v>
      </c>
      <c r="F173" s="2">
        <v>2</v>
      </c>
    </row>
    <row r="174" spans="1:6" ht="14.25" customHeight="1">
      <c r="A174" s="2">
        <v>43</v>
      </c>
      <c r="B174" s="2">
        <v>173</v>
      </c>
      <c r="C174" s="2">
        <v>6</v>
      </c>
      <c r="D174" s="2">
        <v>1</v>
      </c>
      <c r="E174" s="2">
        <v>0.98</v>
      </c>
      <c r="F174" s="2">
        <v>1</v>
      </c>
    </row>
    <row r="175" spans="1:6" ht="14.25" customHeight="1">
      <c r="A175" s="2">
        <v>43</v>
      </c>
      <c r="B175" s="2">
        <v>174</v>
      </c>
      <c r="C175" s="2">
        <v>3</v>
      </c>
      <c r="D175" s="2">
        <v>1</v>
      </c>
      <c r="E175" s="2">
        <v>1.121</v>
      </c>
      <c r="F175" s="2">
        <v>1</v>
      </c>
    </row>
    <row r="176" spans="1:6" ht="14.25" customHeight="1">
      <c r="A176" s="2">
        <v>43</v>
      </c>
      <c r="B176" s="2">
        <v>175</v>
      </c>
      <c r="C176" s="2">
        <v>1</v>
      </c>
      <c r="D176" s="2">
        <v>1</v>
      </c>
      <c r="E176" s="2">
        <v>0.66</v>
      </c>
      <c r="F176" s="2">
        <v>1</v>
      </c>
    </row>
    <row r="177" spans="1:6" ht="14.25" customHeight="1">
      <c r="A177" s="2">
        <v>43</v>
      </c>
      <c r="B177" s="2">
        <v>176</v>
      </c>
      <c r="C177" s="2">
        <v>4</v>
      </c>
      <c r="D177" s="2">
        <v>1</v>
      </c>
      <c r="E177" s="2">
        <v>1.1060000000000001</v>
      </c>
      <c r="F177" s="2">
        <v>1</v>
      </c>
    </row>
    <row r="178" spans="1:6" ht="14.25" customHeight="1">
      <c r="A178" s="2">
        <v>43</v>
      </c>
      <c r="B178" s="2">
        <v>177</v>
      </c>
      <c r="C178" s="2">
        <v>1</v>
      </c>
      <c r="D178" s="2">
        <v>1</v>
      </c>
      <c r="E178" s="2">
        <v>0.80600000000000005</v>
      </c>
      <c r="F178" s="2">
        <v>1</v>
      </c>
    </row>
    <row r="179" spans="1:6" ht="14.25" customHeight="1">
      <c r="A179" s="2">
        <v>43</v>
      </c>
      <c r="B179" s="2">
        <v>178</v>
      </c>
      <c r="C179" s="2">
        <v>7</v>
      </c>
      <c r="D179" s="2">
        <v>1</v>
      </c>
      <c r="E179" s="2">
        <v>1.1930000000000001</v>
      </c>
      <c r="F179" s="2">
        <v>1</v>
      </c>
    </row>
    <row r="180" spans="1:6" ht="14.25" customHeight="1">
      <c r="A180" s="2">
        <v>43</v>
      </c>
      <c r="B180" s="2">
        <v>179</v>
      </c>
      <c r="C180" s="2">
        <v>5</v>
      </c>
      <c r="D180" s="2">
        <v>1</v>
      </c>
      <c r="E180" s="2">
        <v>0.88900000000000001</v>
      </c>
      <c r="F180" s="2">
        <v>2</v>
      </c>
    </row>
    <row r="181" spans="1:6" ht="14.25" customHeight="1">
      <c r="A181" s="2">
        <v>43</v>
      </c>
      <c r="B181" s="2">
        <v>180</v>
      </c>
      <c r="C181" s="2">
        <v>2</v>
      </c>
      <c r="D181" s="2">
        <v>0</v>
      </c>
      <c r="E181" s="2">
        <v>1.329</v>
      </c>
      <c r="F181" s="2">
        <v>2</v>
      </c>
    </row>
    <row r="182" spans="1:6" ht="14.25" customHeight="1">
      <c r="A182" s="2">
        <v>43</v>
      </c>
      <c r="B182" s="2">
        <v>181</v>
      </c>
      <c r="C182" s="2">
        <v>5</v>
      </c>
      <c r="D182" s="2">
        <v>1</v>
      </c>
      <c r="E182" s="2">
        <v>0.83199999999999996</v>
      </c>
      <c r="F182" s="2">
        <v>2</v>
      </c>
    </row>
    <row r="183" spans="1:6" ht="14.25" customHeight="1">
      <c r="A183" s="2">
        <v>43</v>
      </c>
      <c r="B183" s="2">
        <v>182</v>
      </c>
      <c r="C183" s="2">
        <v>2</v>
      </c>
      <c r="D183" s="2">
        <v>1</v>
      </c>
      <c r="E183" s="2">
        <v>0.65100000000000002</v>
      </c>
      <c r="F183" s="2">
        <v>1</v>
      </c>
    </row>
    <row r="184" spans="1:6" ht="14.25" customHeight="1">
      <c r="A184" s="2">
        <v>43</v>
      </c>
      <c r="B184" s="2">
        <v>183</v>
      </c>
      <c r="C184" s="2">
        <v>5</v>
      </c>
      <c r="D184" s="2">
        <v>0</v>
      </c>
      <c r="E184" s="2">
        <v>0.71</v>
      </c>
      <c r="F184" s="2">
        <v>2</v>
      </c>
    </row>
    <row r="185" spans="1:6" ht="14.25" customHeight="1">
      <c r="A185" s="2">
        <v>43</v>
      </c>
      <c r="B185" s="2">
        <v>184</v>
      </c>
      <c r="C185" s="2">
        <v>6</v>
      </c>
      <c r="D185" s="2">
        <v>1</v>
      </c>
      <c r="E185" s="2">
        <v>1.0269999999999999</v>
      </c>
      <c r="F185" s="2">
        <v>1</v>
      </c>
    </row>
    <row r="186" spans="1:6" ht="14.25" customHeight="1">
      <c r="A186" s="2">
        <v>43</v>
      </c>
      <c r="B186" s="2">
        <v>185</v>
      </c>
      <c r="C186" s="2">
        <v>7</v>
      </c>
      <c r="D186" s="2">
        <v>1</v>
      </c>
      <c r="E186" s="2">
        <v>0.82499999999999996</v>
      </c>
      <c r="F186" s="2">
        <v>2</v>
      </c>
    </row>
    <row r="187" spans="1:6" ht="14.25" customHeight="1">
      <c r="A187" s="2">
        <v>43</v>
      </c>
      <c r="B187" s="2">
        <v>186</v>
      </c>
      <c r="C187" s="2">
        <v>3</v>
      </c>
      <c r="D187" s="2">
        <v>1</v>
      </c>
      <c r="E187" s="2">
        <v>0.85799999999999998</v>
      </c>
      <c r="F187" s="2">
        <v>1</v>
      </c>
    </row>
    <row r="188" spans="1:6" ht="14.25" customHeight="1">
      <c r="A188" s="2">
        <v>43</v>
      </c>
      <c r="B188" s="2">
        <v>187</v>
      </c>
      <c r="C188" s="2">
        <v>2</v>
      </c>
      <c r="D188" s="2">
        <v>1</v>
      </c>
      <c r="E188" s="2">
        <v>1.294</v>
      </c>
      <c r="F188" s="2">
        <v>1</v>
      </c>
    </row>
    <row r="189" spans="1:6" ht="14.25" customHeight="1">
      <c r="A189" s="2">
        <v>43</v>
      </c>
      <c r="B189" s="2">
        <v>188</v>
      </c>
      <c r="C189" s="2">
        <v>4</v>
      </c>
      <c r="D189" s="2">
        <v>1</v>
      </c>
      <c r="E189" s="2">
        <v>1.5760000000000001</v>
      </c>
      <c r="F189" s="2">
        <v>2</v>
      </c>
    </row>
    <row r="190" spans="1:6" ht="14.25" customHeight="1">
      <c r="A190" s="2">
        <v>43</v>
      </c>
      <c r="B190" s="2">
        <v>189</v>
      </c>
      <c r="C190" s="2">
        <v>8</v>
      </c>
      <c r="D190" s="2">
        <v>0</v>
      </c>
      <c r="E190" s="2">
        <v>1.379</v>
      </c>
      <c r="F190" s="2">
        <v>1</v>
      </c>
    </row>
    <row r="191" spans="1:6" ht="14.25" customHeight="1">
      <c r="A191" s="2">
        <v>43</v>
      </c>
      <c r="B191" s="2">
        <v>190</v>
      </c>
      <c r="C191" s="2">
        <v>6</v>
      </c>
      <c r="D191" s="2">
        <v>1</v>
      </c>
      <c r="E191" s="2">
        <v>1.1519999999999999</v>
      </c>
      <c r="F191" s="2">
        <v>1</v>
      </c>
    </row>
    <row r="192" spans="1:6" ht="14.25" customHeight="1">
      <c r="A192" s="2">
        <v>43</v>
      </c>
      <c r="B192" s="2">
        <v>191</v>
      </c>
      <c r="C192" s="2">
        <v>8</v>
      </c>
      <c r="D192" s="2">
        <v>1</v>
      </c>
      <c r="E192" s="2">
        <v>0.82899999999999996</v>
      </c>
      <c r="F192" s="2">
        <v>2</v>
      </c>
    </row>
    <row r="193" spans="1:6" ht="14.25" customHeight="1">
      <c r="A193" s="2">
        <v>43</v>
      </c>
      <c r="B193" s="2">
        <v>192</v>
      </c>
      <c r="C193" s="2">
        <v>7</v>
      </c>
      <c r="D193" s="2">
        <v>1</v>
      </c>
      <c r="E193" s="2">
        <v>0.748</v>
      </c>
      <c r="F193" s="2">
        <v>2</v>
      </c>
    </row>
    <row r="194" spans="1:6" ht="14.25" customHeight="1">
      <c r="A194" s="2">
        <v>43</v>
      </c>
      <c r="B194" s="2">
        <v>193</v>
      </c>
      <c r="C194" s="2">
        <v>8</v>
      </c>
      <c r="D194" s="2">
        <v>1</v>
      </c>
      <c r="E194" s="2">
        <v>0.82399999999999995</v>
      </c>
      <c r="F194" s="2">
        <v>1</v>
      </c>
    </row>
    <row r="195" spans="1:6" ht="14.25" customHeight="1">
      <c r="A195" s="2">
        <v>43</v>
      </c>
      <c r="B195" s="2">
        <v>194</v>
      </c>
      <c r="C195" s="2">
        <v>1</v>
      </c>
      <c r="D195" s="2">
        <v>1</v>
      </c>
      <c r="E195" s="2">
        <v>1.4910000000000001</v>
      </c>
      <c r="F195" s="2">
        <v>1</v>
      </c>
    </row>
    <row r="196" spans="1:6" ht="14.25" customHeight="1">
      <c r="A196" s="2">
        <v>43</v>
      </c>
      <c r="B196" s="2">
        <v>195</v>
      </c>
      <c r="C196" s="2">
        <v>4</v>
      </c>
      <c r="D196" s="2">
        <v>1</v>
      </c>
      <c r="E196" s="2">
        <v>1.452</v>
      </c>
      <c r="F196" s="2">
        <v>2</v>
      </c>
    </row>
    <row r="197" spans="1:6" ht="14.25" customHeight="1">
      <c r="A197" s="2">
        <v>43</v>
      </c>
      <c r="B197" s="2">
        <v>196</v>
      </c>
      <c r="C197" s="2">
        <v>6</v>
      </c>
      <c r="D197" s="2">
        <v>1</v>
      </c>
      <c r="E197" s="2">
        <v>1.2330000000000001</v>
      </c>
      <c r="F197" s="2">
        <v>2</v>
      </c>
    </row>
    <row r="198" spans="1:6" ht="14.25" customHeight="1">
      <c r="A198" s="2">
        <v>43</v>
      </c>
      <c r="B198" s="2">
        <v>197</v>
      </c>
      <c r="C198" s="2">
        <v>1</v>
      </c>
      <c r="D198" s="2">
        <v>1</v>
      </c>
      <c r="E198" s="2">
        <v>0.76300000000000001</v>
      </c>
      <c r="F198" s="2">
        <v>2</v>
      </c>
    </row>
    <row r="199" spans="1:6" ht="14.25" customHeight="1">
      <c r="A199" s="2">
        <v>43</v>
      </c>
      <c r="B199" s="2">
        <v>198</v>
      </c>
      <c r="C199" s="2">
        <v>3</v>
      </c>
      <c r="D199" s="2">
        <v>1</v>
      </c>
      <c r="E199" s="2">
        <v>0.872</v>
      </c>
      <c r="F199" s="2">
        <v>1</v>
      </c>
    </row>
    <row r="200" spans="1:6" ht="14.25" customHeight="1">
      <c r="A200" s="2">
        <v>43</v>
      </c>
      <c r="B200" s="2">
        <v>199</v>
      </c>
      <c r="C200" s="2">
        <v>4</v>
      </c>
      <c r="D200" s="2">
        <v>1</v>
      </c>
      <c r="E200" s="2">
        <v>1.044</v>
      </c>
      <c r="F200" s="2">
        <v>2</v>
      </c>
    </row>
    <row r="201" spans="1:6" ht="14.25" customHeight="1">
      <c r="A201" s="2">
        <v>43</v>
      </c>
      <c r="B201" s="2">
        <v>200</v>
      </c>
      <c r="C201" s="2">
        <v>2</v>
      </c>
      <c r="D201" s="2">
        <v>1</v>
      </c>
      <c r="E201" s="2">
        <v>1.3660000000000001</v>
      </c>
      <c r="F201" s="2">
        <v>2</v>
      </c>
    </row>
    <row r="202" spans="1:6" ht="14.25" customHeight="1">
      <c r="A202" s="2">
        <v>43</v>
      </c>
      <c r="B202" s="2">
        <v>201</v>
      </c>
      <c r="C202" s="2">
        <v>2</v>
      </c>
      <c r="D202" s="2">
        <v>1</v>
      </c>
      <c r="E202" s="2">
        <v>1.42</v>
      </c>
      <c r="F202" s="2">
        <v>1</v>
      </c>
    </row>
    <row r="203" spans="1:6" ht="14.25" customHeight="1">
      <c r="A203" s="2">
        <v>43</v>
      </c>
      <c r="B203" s="2">
        <v>202</v>
      </c>
      <c r="C203" s="2">
        <v>5</v>
      </c>
      <c r="D203" s="2">
        <v>1</v>
      </c>
      <c r="E203" s="2">
        <v>1.0289999999999999</v>
      </c>
      <c r="F203" s="2">
        <v>1</v>
      </c>
    </row>
    <row r="204" spans="1:6" ht="14.25" customHeight="1">
      <c r="A204" s="2">
        <v>43</v>
      </c>
      <c r="B204" s="2">
        <v>203</v>
      </c>
      <c r="C204" s="2">
        <v>4</v>
      </c>
      <c r="D204" s="2">
        <v>1</v>
      </c>
      <c r="E204" s="2">
        <v>1.5669999999999999</v>
      </c>
      <c r="F204" s="2">
        <v>2</v>
      </c>
    </row>
    <row r="205" spans="1:6" ht="14.25" customHeight="1">
      <c r="A205" s="2">
        <v>43</v>
      </c>
      <c r="B205" s="2">
        <v>204</v>
      </c>
      <c r="C205" s="2">
        <v>6</v>
      </c>
      <c r="D205" s="2">
        <v>1</v>
      </c>
      <c r="E205" s="2">
        <v>0.96099999999999997</v>
      </c>
      <c r="F205" s="2">
        <v>1</v>
      </c>
    </row>
    <row r="206" spans="1:6" ht="14.25" customHeight="1">
      <c r="A206" s="2">
        <v>43</v>
      </c>
      <c r="B206" s="2">
        <v>205</v>
      </c>
      <c r="C206" s="2">
        <v>7</v>
      </c>
      <c r="D206" s="2">
        <v>1</v>
      </c>
      <c r="E206" s="2">
        <v>1.371</v>
      </c>
      <c r="F206" s="2">
        <v>1</v>
      </c>
    </row>
    <row r="207" spans="1:6" ht="14.25" customHeight="1">
      <c r="A207" s="2">
        <v>43</v>
      </c>
      <c r="B207" s="2">
        <v>206</v>
      </c>
      <c r="C207" s="2">
        <v>6</v>
      </c>
      <c r="D207" s="2">
        <v>1</v>
      </c>
      <c r="E207" s="2">
        <v>1.1579999999999999</v>
      </c>
      <c r="F207" s="2">
        <v>2</v>
      </c>
    </row>
    <row r="208" spans="1:6" ht="14.25" customHeight="1">
      <c r="A208" s="2">
        <v>43</v>
      </c>
      <c r="B208" s="2">
        <v>207</v>
      </c>
      <c r="C208" s="2">
        <v>7</v>
      </c>
      <c r="D208" s="2">
        <v>1</v>
      </c>
      <c r="E208" s="2">
        <v>1.236</v>
      </c>
      <c r="F208" s="2">
        <v>2</v>
      </c>
    </row>
    <row r="209" spans="1:6" ht="14.25" customHeight="1">
      <c r="A209" s="2">
        <v>43</v>
      </c>
      <c r="B209" s="2">
        <v>208</v>
      </c>
      <c r="C209" s="2">
        <v>6</v>
      </c>
      <c r="D209" s="2">
        <v>1</v>
      </c>
      <c r="E209" s="2">
        <v>1.21</v>
      </c>
      <c r="F209" s="2">
        <v>2</v>
      </c>
    </row>
    <row r="210" spans="1:6" ht="14.25" customHeight="1">
      <c r="A210" s="2">
        <v>43</v>
      </c>
      <c r="B210" s="2">
        <v>209</v>
      </c>
      <c r="C210" s="2">
        <v>2</v>
      </c>
      <c r="D210" s="2">
        <v>1</v>
      </c>
      <c r="E210" s="2">
        <v>1.3819999999999999</v>
      </c>
      <c r="F210" s="2">
        <v>1</v>
      </c>
    </row>
    <row r="211" spans="1:6" ht="14.25" customHeight="1">
      <c r="A211" s="2">
        <v>43</v>
      </c>
      <c r="B211" s="2">
        <v>210</v>
      </c>
      <c r="C211" s="2">
        <v>3</v>
      </c>
      <c r="D211" s="2">
        <v>1</v>
      </c>
      <c r="E211" s="2">
        <v>1.073</v>
      </c>
      <c r="F211" s="2">
        <v>2</v>
      </c>
    </row>
    <row r="212" spans="1:6" ht="14.25" customHeight="1">
      <c r="A212" s="2">
        <v>43</v>
      </c>
      <c r="B212" s="2">
        <v>211</v>
      </c>
      <c r="C212" s="2">
        <v>1</v>
      </c>
      <c r="D212" s="2">
        <v>1</v>
      </c>
      <c r="E212" s="2">
        <v>1.2709999999999999</v>
      </c>
      <c r="F212" s="2">
        <v>1</v>
      </c>
    </row>
    <row r="213" spans="1:6" ht="14.25" customHeight="1">
      <c r="A213" s="2">
        <v>43</v>
      </c>
      <c r="B213" s="2">
        <v>212</v>
      </c>
      <c r="C213" s="2">
        <v>8</v>
      </c>
      <c r="D213" s="2">
        <v>0</v>
      </c>
      <c r="E213" s="2">
        <v>1.099</v>
      </c>
      <c r="F213" s="2">
        <v>1</v>
      </c>
    </row>
    <row r="214" spans="1:6" ht="14.25" customHeight="1">
      <c r="A214" s="2">
        <v>43</v>
      </c>
      <c r="B214" s="2">
        <v>213</v>
      </c>
      <c r="C214" s="2">
        <v>6</v>
      </c>
      <c r="D214" s="2">
        <v>1</v>
      </c>
      <c r="E214" s="2">
        <v>0.73199999999999998</v>
      </c>
      <c r="F214" s="2">
        <v>1</v>
      </c>
    </row>
    <row r="215" spans="1:6" ht="14.25" customHeight="1">
      <c r="A215" s="2">
        <v>43</v>
      </c>
      <c r="B215" s="2">
        <v>214</v>
      </c>
      <c r="C215" s="2">
        <v>2</v>
      </c>
      <c r="D215" s="2">
        <v>1</v>
      </c>
      <c r="E215" s="2">
        <v>0.76100000000000001</v>
      </c>
      <c r="F215" s="2">
        <v>2</v>
      </c>
    </row>
    <row r="216" spans="1:6" ht="14.25" customHeight="1">
      <c r="A216" s="2">
        <v>43</v>
      </c>
      <c r="B216" s="2">
        <v>215</v>
      </c>
      <c r="C216" s="2">
        <v>7</v>
      </c>
      <c r="D216" s="2">
        <v>1</v>
      </c>
      <c r="E216" s="2">
        <v>1.21</v>
      </c>
      <c r="F216" s="2">
        <v>2</v>
      </c>
    </row>
    <row r="217" spans="1:6" ht="14.25" customHeight="1">
      <c r="A217" s="2">
        <v>43</v>
      </c>
      <c r="B217" s="2">
        <v>216</v>
      </c>
      <c r="C217" s="2">
        <v>4</v>
      </c>
      <c r="D217" s="2">
        <v>1</v>
      </c>
      <c r="E217" s="2">
        <v>1.046</v>
      </c>
      <c r="F217" s="2">
        <v>2</v>
      </c>
    </row>
    <row r="218" spans="1:6" ht="14.25" customHeight="1">
      <c r="A218" s="2">
        <v>43</v>
      </c>
      <c r="B218" s="2">
        <v>217</v>
      </c>
      <c r="C218" s="2">
        <v>3</v>
      </c>
      <c r="D218" s="2">
        <v>0</v>
      </c>
      <c r="E218" s="2">
        <v>1.52</v>
      </c>
      <c r="F218" s="2">
        <v>2</v>
      </c>
    </row>
    <row r="219" spans="1:6" ht="14.25" customHeight="1">
      <c r="A219" s="2">
        <v>43</v>
      </c>
      <c r="B219" s="2">
        <v>218</v>
      </c>
      <c r="C219" s="2">
        <v>8</v>
      </c>
      <c r="D219" s="2">
        <v>1</v>
      </c>
      <c r="E219" s="2">
        <v>0.67400000000000004</v>
      </c>
      <c r="F219" s="2">
        <v>1</v>
      </c>
    </row>
    <row r="220" spans="1:6" ht="14.25" customHeight="1">
      <c r="A220" s="2">
        <v>43</v>
      </c>
      <c r="B220" s="2">
        <v>219</v>
      </c>
      <c r="C220" s="2">
        <v>7</v>
      </c>
      <c r="D220" s="2">
        <v>1</v>
      </c>
      <c r="E220" s="2">
        <v>0.76300000000000001</v>
      </c>
      <c r="F220" s="2">
        <v>1</v>
      </c>
    </row>
    <row r="221" spans="1:6" ht="14.25" customHeight="1">
      <c r="A221" s="2">
        <v>43</v>
      </c>
      <c r="B221" s="2">
        <v>220</v>
      </c>
      <c r="C221" s="2">
        <v>1</v>
      </c>
      <c r="D221" s="2">
        <v>1</v>
      </c>
      <c r="E221" s="2">
        <v>1.331</v>
      </c>
      <c r="F221" s="2">
        <v>2</v>
      </c>
    </row>
    <row r="222" spans="1:6" ht="14.25" customHeight="1">
      <c r="A222" s="2">
        <v>43</v>
      </c>
      <c r="B222" s="2">
        <v>221</v>
      </c>
      <c r="C222" s="2">
        <v>5</v>
      </c>
      <c r="D222" s="2">
        <v>1</v>
      </c>
      <c r="E222" s="2">
        <v>1.631</v>
      </c>
      <c r="F222" s="2">
        <v>2</v>
      </c>
    </row>
    <row r="223" spans="1:6" ht="14.25" customHeight="1">
      <c r="A223" s="2">
        <v>43</v>
      </c>
      <c r="B223" s="2">
        <v>222</v>
      </c>
      <c r="C223" s="2">
        <v>4</v>
      </c>
      <c r="D223" s="2">
        <v>1</v>
      </c>
      <c r="E223" s="2">
        <v>1.115</v>
      </c>
      <c r="F223" s="2">
        <v>2</v>
      </c>
    </row>
    <row r="224" spans="1:6" ht="14.25" customHeight="1">
      <c r="A224" s="2">
        <v>43</v>
      </c>
      <c r="B224" s="2">
        <v>223</v>
      </c>
      <c r="C224" s="2">
        <v>3</v>
      </c>
      <c r="D224" s="2">
        <v>1</v>
      </c>
      <c r="E224" s="2">
        <v>1.6819999999999999</v>
      </c>
      <c r="F224" s="2">
        <v>1</v>
      </c>
    </row>
    <row r="225" spans="1:6" ht="14.25" customHeight="1">
      <c r="A225" s="2">
        <v>43</v>
      </c>
      <c r="B225" s="2">
        <v>224</v>
      </c>
      <c r="C225" s="2">
        <v>1</v>
      </c>
      <c r="D225" s="2">
        <v>1</v>
      </c>
      <c r="E225" s="2">
        <v>1.5820000000000001</v>
      </c>
      <c r="F225" s="2">
        <v>1</v>
      </c>
    </row>
    <row r="226" spans="1:6" ht="14.25" customHeight="1">
      <c r="A226" s="2">
        <v>43</v>
      </c>
      <c r="B226" s="2">
        <v>225</v>
      </c>
      <c r="C226" s="2">
        <v>8</v>
      </c>
      <c r="D226" s="2">
        <v>0</v>
      </c>
      <c r="E226" s="2">
        <v>1.278</v>
      </c>
      <c r="F226" s="2">
        <v>2</v>
      </c>
    </row>
    <row r="227" spans="1:6" ht="14.25" customHeight="1">
      <c r="A227" s="2">
        <v>43</v>
      </c>
      <c r="B227" s="2">
        <v>226</v>
      </c>
      <c r="C227" s="2">
        <v>5</v>
      </c>
      <c r="D227" s="2">
        <v>1</v>
      </c>
      <c r="E227" s="2">
        <v>1.486</v>
      </c>
      <c r="F227" s="2">
        <v>1</v>
      </c>
    </row>
    <row r="228" spans="1:6" ht="14.25" customHeight="1">
      <c r="A228" s="2">
        <v>43</v>
      </c>
      <c r="B228" s="2">
        <v>227</v>
      </c>
      <c r="C228" s="2">
        <v>3</v>
      </c>
      <c r="D228" s="2">
        <v>1</v>
      </c>
      <c r="E228" s="2">
        <v>1.032</v>
      </c>
      <c r="F228" s="2">
        <v>1</v>
      </c>
    </row>
    <row r="229" spans="1:6" ht="14.25" customHeight="1">
      <c r="A229" s="2">
        <v>43</v>
      </c>
      <c r="B229" s="2">
        <v>228</v>
      </c>
      <c r="C229" s="2">
        <v>5</v>
      </c>
      <c r="D229" s="2">
        <v>1</v>
      </c>
      <c r="E229" s="2">
        <v>1.1619999999999999</v>
      </c>
      <c r="F229" s="2">
        <v>1</v>
      </c>
    </row>
    <row r="230" spans="1:6" ht="14.25" customHeight="1">
      <c r="A230" s="2">
        <v>43</v>
      </c>
      <c r="B230" s="2">
        <v>229</v>
      </c>
      <c r="C230" s="2">
        <v>4</v>
      </c>
      <c r="D230" s="2">
        <v>1</v>
      </c>
      <c r="E230" s="2">
        <v>0.874</v>
      </c>
      <c r="F230" s="2">
        <v>2</v>
      </c>
    </row>
    <row r="231" spans="1:6" ht="14.25" customHeight="1">
      <c r="A231" s="2">
        <v>43</v>
      </c>
      <c r="B231" s="2">
        <v>230</v>
      </c>
      <c r="C231" s="2">
        <v>8</v>
      </c>
      <c r="D231" s="2">
        <v>1</v>
      </c>
      <c r="E231" s="2">
        <v>1.613</v>
      </c>
      <c r="F231" s="2">
        <v>1</v>
      </c>
    </row>
    <row r="232" spans="1:6" ht="14.25" customHeight="1">
      <c r="A232" s="2">
        <v>43</v>
      </c>
      <c r="B232" s="2">
        <v>231</v>
      </c>
      <c r="C232" s="2">
        <v>5</v>
      </c>
      <c r="D232" s="2">
        <v>1</v>
      </c>
      <c r="E232" s="2">
        <v>1.0149999999999999</v>
      </c>
      <c r="F232" s="2">
        <v>2</v>
      </c>
    </row>
    <row r="233" spans="1:6" ht="14.25" customHeight="1">
      <c r="A233" s="2">
        <v>43</v>
      </c>
      <c r="B233" s="2">
        <v>232</v>
      </c>
      <c r="C233" s="2">
        <v>8</v>
      </c>
      <c r="D233" s="2">
        <v>1</v>
      </c>
      <c r="E233" s="2">
        <v>1.337</v>
      </c>
      <c r="F233" s="2">
        <v>1</v>
      </c>
    </row>
    <row r="234" spans="1:6" ht="14.25" customHeight="1">
      <c r="A234" s="2">
        <v>43</v>
      </c>
      <c r="B234" s="2">
        <v>233</v>
      </c>
      <c r="C234" s="2">
        <v>3</v>
      </c>
      <c r="D234" s="2">
        <v>1</v>
      </c>
      <c r="E234" s="2">
        <v>1.125</v>
      </c>
      <c r="F234" s="2">
        <v>1</v>
      </c>
    </row>
    <row r="235" spans="1:6" ht="14.25" customHeight="1">
      <c r="A235" s="2">
        <v>43</v>
      </c>
      <c r="B235" s="2">
        <v>234</v>
      </c>
      <c r="C235" s="2">
        <v>1</v>
      </c>
      <c r="D235" s="2">
        <v>1</v>
      </c>
      <c r="E235" s="2">
        <v>1.111</v>
      </c>
      <c r="F235" s="2">
        <v>1</v>
      </c>
    </row>
    <row r="236" spans="1:6" ht="14.25" customHeight="1">
      <c r="A236" s="2">
        <v>43</v>
      </c>
      <c r="B236" s="2">
        <v>235</v>
      </c>
      <c r="C236" s="2">
        <v>4</v>
      </c>
      <c r="D236" s="2">
        <v>1</v>
      </c>
      <c r="E236" s="2">
        <v>1.0369999999999999</v>
      </c>
      <c r="F236" s="2">
        <v>2</v>
      </c>
    </row>
    <row r="237" spans="1:6" ht="14.25" customHeight="1">
      <c r="A237" s="2">
        <v>43</v>
      </c>
      <c r="B237" s="2">
        <v>236</v>
      </c>
      <c r="C237" s="2">
        <v>2</v>
      </c>
      <c r="D237" s="2">
        <v>1</v>
      </c>
      <c r="E237" s="2">
        <v>1.3280000000000001</v>
      </c>
      <c r="F237" s="2">
        <v>1</v>
      </c>
    </row>
    <row r="238" spans="1:6" ht="14.25" customHeight="1">
      <c r="A238" s="2">
        <v>43</v>
      </c>
      <c r="B238" s="2">
        <v>237</v>
      </c>
      <c r="C238" s="2">
        <v>8</v>
      </c>
      <c r="D238" s="2">
        <v>0</v>
      </c>
      <c r="E238" s="2">
        <v>1</v>
      </c>
      <c r="F238" s="2">
        <v>2</v>
      </c>
    </row>
    <row r="239" spans="1:6" ht="14.25" customHeight="1">
      <c r="A239" s="2">
        <v>43</v>
      </c>
      <c r="B239" s="2">
        <v>238</v>
      </c>
      <c r="C239" s="2">
        <v>5</v>
      </c>
      <c r="D239" s="2">
        <v>1</v>
      </c>
      <c r="E239" s="2">
        <v>1.5720000000000001</v>
      </c>
      <c r="F239" s="2">
        <v>2</v>
      </c>
    </row>
    <row r="240" spans="1:6" ht="14.25" customHeight="1">
      <c r="A240" s="2">
        <v>43</v>
      </c>
      <c r="B240" s="2">
        <v>239</v>
      </c>
      <c r="C240" s="2">
        <v>7</v>
      </c>
      <c r="D240" s="2">
        <v>1</v>
      </c>
      <c r="E240" s="2">
        <v>0.873</v>
      </c>
      <c r="F240" s="2">
        <v>2</v>
      </c>
    </row>
    <row r="241" spans="1:6" ht="14.25" customHeight="1">
      <c r="A241" s="2">
        <v>43</v>
      </c>
      <c r="B241" s="2">
        <v>240</v>
      </c>
      <c r="C241" s="2">
        <v>2</v>
      </c>
      <c r="D241" s="2">
        <v>1</v>
      </c>
      <c r="E241" s="2">
        <v>1.214</v>
      </c>
      <c r="F241" s="2">
        <v>1</v>
      </c>
    </row>
    <row r="242" spans="1:6" ht="14.25" customHeight="1">
      <c r="A242" s="2">
        <v>43</v>
      </c>
      <c r="B242" s="2">
        <v>241</v>
      </c>
      <c r="C242" s="2">
        <v>1</v>
      </c>
      <c r="D242" s="2">
        <v>1</v>
      </c>
      <c r="E242" s="2">
        <v>1.196</v>
      </c>
      <c r="F242" s="2">
        <v>2</v>
      </c>
    </row>
    <row r="243" spans="1:6" ht="14.25" customHeight="1">
      <c r="A243" s="2">
        <v>43</v>
      </c>
      <c r="B243" s="2">
        <v>242</v>
      </c>
      <c r="C243" s="2">
        <v>7</v>
      </c>
      <c r="D243" s="2">
        <v>1</v>
      </c>
      <c r="E243" s="2">
        <v>1.587</v>
      </c>
      <c r="F243" s="2">
        <v>2</v>
      </c>
    </row>
    <row r="244" spans="1:6" ht="14.25" customHeight="1">
      <c r="A244" s="2">
        <v>43</v>
      </c>
      <c r="B244" s="2">
        <v>243</v>
      </c>
      <c r="C244" s="2">
        <v>3</v>
      </c>
      <c r="D244" s="2">
        <v>1</v>
      </c>
      <c r="E244" s="2">
        <v>1.391</v>
      </c>
      <c r="F244" s="2">
        <v>1</v>
      </c>
    </row>
    <row r="245" spans="1:6" ht="14.25" customHeight="1">
      <c r="A245" s="2">
        <v>43</v>
      </c>
      <c r="B245" s="2">
        <v>244</v>
      </c>
      <c r="C245" s="2">
        <v>4</v>
      </c>
      <c r="D245" s="2">
        <v>1</v>
      </c>
      <c r="E245" s="2">
        <v>1.3680000000000001</v>
      </c>
      <c r="F245" s="2">
        <v>1</v>
      </c>
    </row>
    <row r="246" spans="1:6" ht="14.25" customHeight="1">
      <c r="A246" s="2">
        <v>43</v>
      </c>
      <c r="B246" s="2">
        <v>245</v>
      </c>
      <c r="C246" s="2">
        <v>2</v>
      </c>
      <c r="D246" s="2">
        <v>1</v>
      </c>
      <c r="E246" s="2">
        <v>1.423</v>
      </c>
      <c r="F246" s="2">
        <v>2</v>
      </c>
    </row>
    <row r="247" spans="1:6" ht="14.25" customHeight="1">
      <c r="A247" s="2">
        <v>43</v>
      </c>
      <c r="B247" s="2">
        <v>246</v>
      </c>
      <c r="C247" s="2">
        <v>1</v>
      </c>
      <c r="D247" s="2">
        <v>1</v>
      </c>
      <c r="E247" s="2">
        <v>1.196</v>
      </c>
      <c r="F247" s="2">
        <v>2</v>
      </c>
    </row>
    <row r="248" spans="1:6" ht="14.25" customHeight="1">
      <c r="A248" s="2">
        <v>43</v>
      </c>
      <c r="B248" s="2">
        <v>247</v>
      </c>
      <c r="C248" s="2">
        <v>2</v>
      </c>
      <c r="D248" s="2">
        <v>1</v>
      </c>
      <c r="E248" s="2">
        <v>1.41</v>
      </c>
      <c r="F248" s="2">
        <v>2</v>
      </c>
    </row>
    <row r="249" spans="1:6" ht="14.25" customHeight="1">
      <c r="A249" s="2">
        <v>43</v>
      </c>
      <c r="B249" s="2">
        <v>248</v>
      </c>
      <c r="C249" s="2">
        <v>6</v>
      </c>
      <c r="D249" s="2">
        <v>1</v>
      </c>
      <c r="E249" s="2">
        <v>1.0629999999999999</v>
      </c>
      <c r="F249" s="2">
        <v>1</v>
      </c>
    </row>
    <row r="250" spans="1:6" ht="14.25" customHeight="1">
      <c r="A250" s="2">
        <v>43</v>
      </c>
      <c r="B250" s="2">
        <v>249</v>
      </c>
      <c r="C250" s="2">
        <v>7</v>
      </c>
      <c r="D250" s="2">
        <v>1</v>
      </c>
      <c r="E250" s="2">
        <v>0.97799999999999998</v>
      </c>
      <c r="F250" s="2">
        <v>2</v>
      </c>
    </row>
    <row r="251" spans="1:6" ht="14.25" customHeight="1">
      <c r="A251" s="2">
        <v>43</v>
      </c>
      <c r="B251" s="2">
        <v>250</v>
      </c>
      <c r="C251" s="2">
        <v>6</v>
      </c>
      <c r="E251" s="2">
        <v>2</v>
      </c>
    </row>
    <row r="252" spans="1:6" ht="14.25" customHeight="1">
      <c r="A252" s="2">
        <v>43</v>
      </c>
      <c r="B252" s="2">
        <v>251</v>
      </c>
      <c r="C252" s="2">
        <v>5</v>
      </c>
      <c r="E252" s="2">
        <v>2</v>
      </c>
    </row>
    <row r="253" spans="1:6" ht="14.25" customHeight="1">
      <c r="A253" s="2">
        <v>43</v>
      </c>
      <c r="B253" s="2">
        <v>252</v>
      </c>
      <c r="C253" s="2">
        <v>1</v>
      </c>
      <c r="D253" s="2">
        <v>1</v>
      </c>
      <c r="E253" s="2">
        <v>1.111</v>
      </c>
      <c r="F253" s="2">
        <v>1</v>
      </c>
    </row>
    <row r="254" spans="1:6" ht="14.25" customHeight="1">
      <c r="A254" s="2">
        <v>43</v>
      </c>
      <c r="B254" s="2">
        <v>253</v>
      </c>
      <c r="C254" s="2">
        <v>3</v>
      </c>
      <c r="D254" s="2">
        <v>1</v>
      </c>
      <c r="E254" s="2">
        <v>1.0900000000000001</v>
      </c>
      <c r="F254" s="2">
        <v>2</v>
      </c>
    </row>
    <row r="255" spans="1:6" ht="14.25" customHeight="1">
      <c r="A255" s="2">
        <v>43</v>
      </c>
      <c r="B255" s="2">
        <v>254</v>
      </c>
      <c r="C255" s="2">
        <v>1</v>
      </c>
      <c r="D255" s="2">
        <v>1</v>
      </c>
      <c r="E255" s="2">
        <v>1.452</v>
      </c>
      <c r="F255" s="2">
        <v>1</v>
      </c>
    </row>
    <row r="256" spans="1:6" ht="14.25" customHeight="1">
      <c r="A256" s="2">
        <v>43</v>
      </c>
      <c r="B256" s="2">
        <v>255</v>
      </c>
      <c r="C256" s="2">
        <v>3</v>
      </c>
      <c r="D256" s="2">
        <v>1</v>
      </c>
      <c r="E256" s="2">
        <v>1.5940000000000001</v>
      </c>
      <c r="F256" s="2">
        <v>1</v>
      </c>
    </row>
    <row r="257" spans="1:6" ht="14.25" customHeight="1">
      <c r="A257" s="2">
        <v>43</v>
      </c>
      <c r="B257" s="2">
        <v>256</v>
      </c>
      <c r="C257" s="2">
        <v>7</v>
      </c>
      <c r="D257" s="2">
        <v>1</v>
      </c>
      <c r="E257" s="2">
        <v>0.84299999999999997</v>
      </c>
      <c r="F257" s="2">
        <v>2</v>
      </c>
    </row>
    <row r="258" spans="1:6" ht="14.25" customHeight="1">
      <c r="A258" s="2">
        <v>43</v>
      </c>
      <c r="B258" s="2">
        <v>257</v>
      </c>
      <c r="C258" s="2">
        <v>3</v>
      </c>
      <c r="D258" s="2">
        <v>1</v>
      </c>
      <c r="E258" s="2">
        <v>1.29</v>
      </c>
      <c r="F258" s="2">
        <v>2</v>
      </c>
    </row>
    <row r="259" spans="1:6" ht="14.25" customHeight="1">
      <c r="A259" s="2">
        <v>43</v>
      </c>
      <c r="B259" s="2">
        <v>258</v>
      </c>
      <c r="C259" s="2">
        <v>6</v>
      </c>
      <c r="D259" s="2">
        <v>1</v>
      </c>
      <c r="E259" s="2">
        <v>1.403</v>
      </c>
      <c r="F259" s="2">
        <v>2</v>
      </c>
    </row>
    <row r="260" spans="1:6" ht="14.25" customHeight="1">
      <c r="A260" s="2">
        <v>43</v>
      </c>
      <c r="B260" s="2">
        <v>259</v>
      </c>
      <c r="C260" s="2">
        <v>4</v>
      </c>
      <c r="D260" s="2">
        <v>1</v>
      </c>
      <c r="E260" s="2">
        <v>1.0489999999999999</v>
      </c>
      <c r="F260" s="2">
        <v>1</v>
      </c>
    </row>
    <row r="261" spans="1:6" ht="14.25" customHeight="1">
      <c r="A261" s="2">
        <v>43</v>
      </c>
      <c r="B261" s="2">
        <v>260</v>
      </c>
      <c r="C261" s="2">
        <v>2</v>
      </c>
      <c r="D261" s="2">
        <v>1</v>
      </c>
      <c r="E261" s="2">
        <v>0.95699999999999996</v>
      </c>
      <c r="F261" s="2">
        <v>2</v>
      </c>
    </row>
    <row r="262" spans="1:6" ht="14.25" customHeight="1">
      <c r="A262" s="2">
        <v>43</v>
      </c>
      <c r="B262" s="2">
        <v>261</v>
      </c>
      <c r="C262" s="2">
        <v>8</v>
      </c>
      <c r="D262" s="2">
        <v>1</v>
      </c>
      <c r="E262" s="2">
        <v>1.276</v>
      </c>
      <c r="F262" s="2">
        <v>1</v>
      </c>
    </row>
    <row r="263" spans="1:6" ht="14.25" customHeight="1">
      <c r="A263" s="2">
        <v>43</v>
      </c>
      <c r="B263" s="2">
        <v>262</v>
      </c>
      <c r="C263" s="2">
        <v>4</v>
      </c>
      <c r="D263" s="2">
        <v>1</v>
      </c>
      <c r="E263" s="2">
        <v>1.39</v>
      </c>
      <c r="F263" s="2">
        <v>2</v>
      </c>
    </row>
    <row r="264" spans="1:6" ht="14.25" customHeight="1">
      <c r="A264" s="2">
        <v>43</v>
      </c>
      <c r="B264" s="2">
        <v>263</v>
      </c>
      <c r="C264" s="2">
        <v>3</v>
      </c>
      <c r="D264" s="2">
        <v>1</v>
      </c>
      <c r="E264" s="2">
        <v>0.99099999999999999</v>
      </c>
      <c r="F264" s="2">
        <v>1</v>
      </c>
    </row>
    <row r="265" spans="1:6" ht="14.25" customHeight="1">
      <c r="A265" s="2">
        <v>43</v>
      </c>
      <c r="B265" s="2">
        <v>264</v>
      </c>
      <c r="C265" s="2">
        <v>7</v>
      </c>
      <c r="D265" s="2">
        <v>1</v>
      </c>
      <c r="E265" s="2">
        <v>0.85699999999999998</v>
      </c>
      <c r="F265" s="2">
        <v>2</v>
      </c>
    </row>
    <row r="266" spans="1:6" ht="14.25" customHeight="1">
      <c r="A266" s="2">
        <v>43</v>
      </c>
      <c r="B266" s="2">
        <v>265</v>
      </c>
      <c r="C266" s="2">
        <v>1</v>
      </c>
      <c r="D266" s="2">
        <v>1</v>
      </c>
      <c r="E266" s="2">
        <v>0.86399999999999999</v>
      </c>
      <c r="F266" s="2">
        <v>2</v>
      </c>
    </row>
    <row r="267" spans="1:6" ht="14.25" customHeight="1">
      <c r="A267" s="2">
        <v>43</v>
      </c>
      <c r="B267" s="2">
        <v>266</v>
      </c>
      <c r="C267" s="2">
        <v>4</v>
      </c>
      <c r="D267" s="2">
        <v>1</v>
      </c>
      <c r="E267" s="2">
        <v>0.75600000000000001</v>
      </c>
      <c r="F267" s="2">
        <v>2</v>
      </c>
    </row>
    <row r="268" spans="1:6" ht="14.25" customHeight="1">
      <c r="A268" s="2">
        <v>43</v>
      </c>
      <c r="B268" s="2">
        <v>267</v>
      </c>
      <c r="C268" s="2">
        <v>3</v>
      </c>
      <c r="D268" s="2">
        <v>1</v>
      </c>
      <c r="E268" s="2">
        <v>0.77300000000000002</v>
      </c>
      <c r="F268" s="2">
        <v>1</v>
      </c>
    </row>
    <row r="269" spans="1:6" ht="14.25" customHeight="1">
      <c r="A269" s="2">
        <v>43</v>
      </c>
      <c r="B269" s="2">
        <v>268</v>
      </c>
      <c r="C269" s="2">
        <v>8</v>
      </c>
      <c r="D269" s="2">
        <v>1</v>
      </c>
      <c r="E269" s="2">
        <v>0.75800000000000001</v>
      </c>
      <c r="F269" s="2">
        <v>1</v>
      </c>
    </row>
    <row r="270" spans="1:6" ht="14.25" customHeight="1">
      <c r="A270" s="2">
        <v>43</v>
      </c>
      <c r="B270" s="2">
        <v>269</v>
      </c>
      <c r="C270" s="2">
        <v>2</v>
      </c>
      <c r="D270" s="2">
        <v>1</v>
      </c>
      <c r="E270" s="2">
        <v>0.82899999999999996</v>
      </c>
      <c r="F270" s="2">
        <v>1</v>
      </c>
    </row>
    <row r="271" spans="1:6" ht="14.25" customHeight="1">
      <c r="A271" s="2">
        <v>43</v>
      </c>
      <c r="B271" s="2">
        <v>270</v>
      </c>
      <c r="C271" s="2">
        <v>8</v>
      </c>
      <c r="D271" s="2">
        <v>1</v>
      </c>
      <c r="E271" s="2">
        <v>0.755</v>
      </c>
      <c r="F271" s="2">
        <v>2</v>
      </c>
    </row>
    <row r="272" spans="1:6" ht="14.25" customHeight="1">
      <c r="A272" s="2">
        <v>43</v>
      </c>
      <c r="B272" s="2">
        <v>271</v>
      </c>
      <c r="C272" s="2">
        <v>5</v>
      </c>
      <c r="D272" s="2">
        <v>0</v>
      </c>
      <c r="E272" s="2">
        <v>0.77900000000000003</v>
      </c>
      <c r="F272" s="2">
        <v>1</v>
      </c>
    </row>
    <row r="273" spans="1:6" ht="14.25" customHeight="1">
      <c r="A273" s="2">
        <v>43</v>
      </c>
      <c r="B273" s="2">
        <v>272</v>
      </c>
      <c r="C273" s="2">
        <v>6</v>
      </c>
      <c r="D273" s="2">
        <v>1</v>
      </c>
      <c r="E273" s="2">
        <v>0.79500000000000004</v>
      </c>
      <c r="F273" s="2">
        <v>2</v>
      </c>
    </row>
    <row r="274" spans="1:6" ht="14.25" customHeight="1">
      <c r="A274" s="2">
        <v>43</v>
      </c>
      <c r="B274" s="2">
        <v>273</v>
      </c>
      <c r="C274" s="2">
        <v>8</v>
      </c>
      <c r="D274" s="2">
        <v>1</v>
      </c>
      <c r="E274" s="2">
        <v>1.1060000000000001</v>
      </c>
      <c r="F274" s="2">
        <v>1</v>
      </c>
    </row>
    <row r="275" spans="1:6" ht="14.25" customHeight="1">
      <c r="A275" s="2">
        <v>43</v>
      </c>
      <c r="B275" s="2">
        <v>274</v>
      </c>
      <c r="C275" s="2">
        <v>4</v>
      </c>
      <c r="D275" s="2">
        <v>1</v>
      </c>
      <c r="E275" s="2">
        <v>1.3660000000000001</v>
      </c>
      <c r="F275" s="2">
        <v>1</v>
      </c>
    </row>
    <row r="276" spans="1:6" ht="14.25" customHeight="1">
      <c r="A276" s="2">
        <v>43</v>
      </c>
      <c r="B276" s="2">
        <v>275</v>
      </c>
      <c r="C276" s="2">
        <v>6</v>
      </c>
      <c r="D276" s="2">
        <v>1</v>
      </c>
      <c r="E276" s="2">
        <v>1.2789999999999999</v>
      </c>
      <c r="F276" s="2">
        <v>1</v>
      </c>
    </row>
    <row r="277" spans="1:6" ht="14.25" customHeight="1">
      <c r="A277" s="2">
        <v>43</v>
      </c>
      <c r="B277" s="2">
        <v>276</v>
      </c>
      <c r="C277" s="2">
        <v>7</v>
      </c>
      <c r="D277" s="2">
        <v>1</v>
      </c>
      <c r="E277" s="2">
        <v>1.079</v>
      </c>
      <c r="F277" s="2">
        <v>1</v>
      </c>
    </row>
    <row r="278" spans="1:6" ht="14.25" customHeight="1">
      <c r="A278" s="2">
        <v>43</v>
      </c>
      <c r="B278" s="2">
        <v>277</v>
      </c>
      <c r="C278" s="2">
        <v>1</v>
      </c>
      <c r="D278" s="2">
        <v>1</v>
      </c>
      <c r="E278" s="2">
        <v>0.89400000000000002</v>
      </c>
      <c r="F278" s="2">
        <v>1</v>
      </c>
    </row>
    <row r="279" spans="1:6" ht="14.25" customHeight="1">
      <c r="A279" s="2">
        <v>43</v>
      </c>
      <c r="B279" s="2">
        <v>278</v>
      </c>
      <c r="C279" s="2">
        <v>6</v>
      </c>
      <c r="D279" s="2">
        <v>1</v>
      </c>
      <c r="E279" s="2">
        <v>1.3169999999999999</v>
      </c>
      <c r="F279" s="2">
        <v>1</v>
      </c>
    </row>
    <row r="280" spans="1:6" ht="14.25" customHeight="1">
      <c r="A280" s="2">
        <v>43</v>
      </c>
      <c r="B280" s="2">
        <v>279</v>
      </c>
      <c r="C280" s="2">
        <v>7</v>
      </c>
      <c r="D280" s="2">
        <v>1</v>
      </c>
      <c r="E280" s="2">
        <v>0.78600000000000003</v>
      </c>
      <c r="F280" s="2">
        <v>2</v>
      </c>
    </row>
    <row r="281" spans="1:6" ht="14.25" customHeight="1">
      <c r="A281" s="2">
        <v>43</v>
      </c>
      <c r="B281" s="2">
        <v>280</v>
      </c>
      <c r="C281" s="2">
        <v>6</v>
      </c>
      <c r="D281" s="2">
        <v>1</v>
      </c>
      <c r="E281" s="2">
        <v>1.107</v>
      </c>
      <c r="F281" s="2">
        <v>1</v>
      </c>
    </row>
    <row r="282" spans="1:6" ht="14.25" customHeight="1">
      <c r="A282" s="2">
        <v>43</v>
      </c>
      <c r="B282" s="2">
        <v>281</v>
      </c>
      <c r="C282" s="2">
        <v>5</v>
      </c>
      <c r="D282" s="2">
        <v>1</v>
      </c>
      <c r="E282" s="2">
        <v>1.2949999999999999</v>
      </c>
      <c r="F282" s="2">
        <v>2</v>
      </c>
    </row>
    <row r="283" spans="1:6" ht="14.25" customHeight="1">
      <c r="A283" s="2">
        <v>43</v>
      </c>
      <c r="B283" s="2">
        <v>282</v>
      </c>
      <c r="C283" s="2">
        <v>7</v>
      </c>
      <c r="D283" s="2">
        <v>1</v>
      </c>
      <c r="E283" s="2">
        <v>0.85199999999999998</v>
      </c>
      <c r="F283" s="2">
        <v>1</v>
      </c>
    </row>
    <row r="284" spans="1:6" ht="14.25" customHeight="1">
      <c r="A284" s="2">
        <v>43</v>
      </c>
      <c r="B284" s="2">
        <v>283</v>
      </c>
      <c r="C284" s="2">
        <v>5</v>
      </c>
      <c r="D284" s="2">
        <v>1</v>
      </c>
      <c r="E284" s="2">
        <v>0.94399999999999995</v>
      </c>
      <c r="F284" s="2">
        <v>1</v>
      </c>
    </row>
    <row r="285" spans="1:6" ht="14.25" customHeight="1">
      <c r="A285" s="2">
        <v>43</v>
      </c>
      <c r="B285" s="2">
        <v>284</v>
      </c>
      <c r="C285" s="2">
        <v>2</v>
      </c>
      <c r="D285" s="2">
        <v>1</v>
      </c>
      <c r="E285" s="2">
        <v>0.91100000000000003</v>
      </c>
      <c r="F285" s="2">
        <v>1</v>
      </c>
    </row>
    <row r="286" spans="1:6" ht="14.25" customHeight="1">
      <c r="A286" s="2">
        <v>43</v>
      </c>
      <c r="B286" s="2">
        <v>285</v>
      </c>
      <c r="C286" s="2">
        <v>1</v>
      </c>
      <c r="D286" s="2">
        <v>1</v>
      </c>
      <c r="E286" s="2">
        <v>0.72799999999999998</v>
      </c>
      <c r="F286" s="2">
        <v>2</v>
      </c>
    </row>
    <row r="287" spans="1:6" ht="14.25" customHeight="1">
      <c r="A287" s="2">
        <v>43</v>
      </c>
      <c r="B287" s="2">
        <v>286</v>
      </c>
      <c r="C287" s="2">
        <v>2</v>
      </c>
      <c r="D287" s="2">
        <v>1</v>
      </c>
      <c r="E287" s="2">
        <v>0.88800000000000001</v>
      </c>
      <c r="F287" s="2">
        <v>1</v>
      </c>
    </row>
    <row r="288" spans="1:6" ht="14.25" customHeight="1">
      <c r="A288" s="2">
        <v>43</v>
      </c>
      <c r="B288" s="2">
        <v>287</v>
      </c>
      <c r="C288" s="2">
        <v>5</v>
      </c>
      <c r="D288" s="2">
        <v>1</v>
      </c>
      <c r="E288" s="2">
        <v>1.53</v>
      </c>
      <c r="F288" s="2">
        <v>1</v>
      </c>
    </row>
    <row r="289" spans="1:6" ht="14.25" customHeight="1">
      <c r="A289" s="2">
        <v>43</v>
      </c>
      <c r="B289" s="2">
        <v>288</v>
      </c>
      <c r="C289" s="2">
        <v>7</v>
      </c>
      <c r="D289" s="2">
        <v>1</v>
      </c>
      <c r="E289" s="2">
        <v>1.2170000000000001</v>
      </c>
      <c r="F289" s="2">
        <v>2</v>
      </c>
    </row>
    <row r="290" spans="1:6" ht="14.25" customHeight="1">
      <c r="A290" s="2">
        <v>43</v>
      </c>
      <c r="B290" s="2">
        <v>289</v>
      </c>
      <c r="C290" s="2">
        <v>5</v>
      </c>
      <c r="D290" s="2">
        <v>1</v>
      </c>
      <c r="E290" s="2">
        <v>1.5409999999999999</v>
      </c>
      <c r="F290" s="2">
        <v>2</v>
      </c>
    </row>
    <row r="291" spans="1:6" ht="14.25" customHeight="1">
      <c r="A291" s="2">
        <v>43</v>
      </c>
      <c r="B291" s="2">
        <v>290</v>
      </c>
      <c r="C291" s="2">
        <v>6</v>
      </c>
      <c r="D291" s="2">
        <v>1</v>
      </c>
      <c r="E291" s="2">
        <v>1.264</v>
      </c>
      <c r="F291" s="2">
        <v>1</v>
      </c>
    </row>
    <row r="292" spans="1:6" ht="14.25" customHeight="1">
      <c r="A292" s="2">
        <v>43</v>
      </c>
      <c r="B292" s="2">
        <v>291</v>
      </c>
      <c r="C292" s="2">
        <v>4</v>
      </c>
      <c r="D292" s="2">
        <v>1</v>
      </c>
      <c r="E292" s="2">
        <v>0.80700000000000005</v>
      </c>
      <c r="F292" s="2">
        <v>2</v>
      </c>
    </row>
    <row r="293" spans="1:6" ht="14.25" customHeight="1">
      <c r="A293" s="2">
        <v>43</v>
      </c>
      <c r="B293" s="2">
        <v>292</v>
      </c>
      <c r="C293" s="2">
        <v>2</v>
      </c>
      <c r="D293" s="2">
        <v>1</v>
      </c>
      <c r="E293" s="2">
        <v>0.76900000000000002</v>
      </c>
      <c r="F293" s="2">
        <v>2</v>
      </c>
    </row>
    <row r="294" spans="1:6" ht="14.25" customHeight="1">
      <c r="A294" s="2">
        <v>43</v>
      </c>
      <c r="B294" s="2">
        <v>293</v>
      </c>
      <c r="C294" s="2">
        <v>8</v>
      </c>
      <c r="D294" s="2">
        <v>1</v>
      </c>
      <c r="E294" s="2">
        <v>1.06</v>
      </c>
      <c r="F294" s="2">
        <v>1</v>
      </c>
    </row>
    <row r="295" spans="1:6" ht="14.25" customHeight="1">
      <c r="A295" s="2">
        <v>43</v>
      </c>
      <c r="B295" s="2">
        <v>294</v>
      </c>
      <c r="C295" s="2">
        <v>2</v>
      </c>
      <c r="D295" s="2">
        <v>1</v>
      </c>
      <c r="E295" s="2">
        <v>1.2210000000000001</v>
      </c>
      <c r="F295" s="2">
        <v>1</v>
      </c>
    </row>
    <row r="296" spans="1:6" ht="14.25" customHeight="1">
      <c r="A296" s="2">
        <v>43</v>
      </c>
      <c r="B296" s="2">
        <v>295</v>
      </c>
      <c r="C296" s="2">
        <v>7</v>
      </c>
      <c r="D296" s="2">
        <v>0</v>
      </c>
      <c r="E296" s="2">
        <v>0.81599999999999995</v>
      </c>
      <c r="F296" s="2">
        <v>1</v>
      </c>
    </row>
    <row r="297" spans="1:6" ht="14.25" customHeight="1">
      <c r="A297" s="2">
        <v>43</v>
      </c>
      <c r="B297" s="2">
        <v>296</v>
      </c>
      <c r="C297" s="2">
        <v>8</v>
      </c>
      <c r="D297" s="2">
        <v>1</v>
      </c>
      <c r="E297" s="2">
        <v>1.587</v>
      </c>
      <c r="F297" s="2">
        <v>2</v>
      </c>
    </row>
    <row r="298" spans="1:6" ht="14.25" customHeight="1">
      <c r="A298" s="2">
        <v>43</v>
      </c>
      <c r="B298" s="2">
        <v>297</v>
      </c>
      <c r="C298" s="2">
        <v>1</v>
      </c>
      <c r="D298" s="2">
        <v>1</v>
      </c>
      <c r="E298" s="2">
        <v>0.78200000000000003</v>
      </c>
      <c r="F298" s="2">
        <v>2</v>
      </c>
    </row>
    <row r="299" spans="1:6" ht="14.25" customHeight="1">
      <c r="A299" s="2">
        <v>43</v>
      </c>
      <c r="B299" s="2">
        <v>298</v>
      </c>
      <c r="C299" s="2">
        <v>3</v>
      </c>
      <c r="D299" s="2">
        <v>1</v>
      </c>
      <c r="E299" s="2">
        <v>1.621</v>
      </c>
      <c r="F299" s="2">
        <v>1</v>
      </c>
    </row>
    <row r="300" spans="1:6" ht="14.25" customHeight="1">
      <c r="A300" s="2">
        <v>43</v>
      </c>
      <c r="B300" s="2">
        <v>299</v>
      </c>
      <c r="C300" s="2">
        <v>2</v>
      </c>
      <c r="D300" s="2">
        <v>1</v>
      </c>
      <c r="E300" s="2">
        <v>0.748</v>
      </c>
      <c r="F300" s="2">
        <v>2</v>
      </c>
    </row>
    <row r="301" spans="1:6" ht="14.25" customHeight="1">
      <c r="A301" s="2">
        <v>43</v>
      </c>
      <c r="B301" s="2">
        <v>300</v>
      </c>
      <c r="C301" s="2">
        <v>4</v>
      </c>
      <c r="D301" s="2">
        <v>1</v>
      </c>
      <c r="E301" s="2">
        <v>1.175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44</v>
      </c>
      <c r="I1" s="2">
        <v>101</v>
      </c>
      <c r="J1" s="2">
        <v>8</v>
      </c>
      <c r="K1" s="2">
        <v>0</v>
      </c>
      <c r="L1" s="2">
        <v>0.98899999999999999</v>
      </c>
      <c r="M1" s="2">
        <v>2</v>
      </c>
    </row>
    <row r="2" spans="1:25" ht="14.25" customHeight="1">
      <c r="A2" s="2">
        <v>44</v>
      </c>
      <c r="B2" s="2">
        <v>1</v>
      </c>
      <c r="C2" s="2">
        <v>6</v>
      </c>
      <c r="E2" s="2">
        <v>2.0009999999999999</v>
      </c>
      <c r="H2" s="2">
        <v>44</v>
      </c>
      <c r="I2" s="2">
        <v>102</v>
      </c>
      <c r="J2" s="2">
        <v>2</v>
      </c>
      <c r="K2" s="2">
        <v>1</v>
      </c>
      <c r="L2" s="2">
        <v>0.64100000000000001</v>
      </c>
      <c r="M2" s="2">
        <v>1</v>
      </c>
    </row>
    <row r="3" spans="1:25" ht="14.25" customHeight="1">
      <c r="A3" s="2">
        <v>44</v>
      </c>
      <c r="B3" s="2">
        <v>2</v>
      </c>
      <c r="C3" s="2">
        <v>5</v>
      </c>
      <c r="D3" s="2">
        <v>1</v>
      </c>
      <c r="E3" s="2">
        <v>0.82899999999999996</v>
      </c>
      <c r="F3" s="2">
        <v>1</v>
      </c>
      <c r="H3" s="2">
        <v>44</v>
      </c>
      <c r="I3" s="2">
        <v>103</v>
      </c>
      <c r="J3" s="2">
        <v>6</v>
      </c>
      <c r="K3" s="2">
        <v>1</v>
      </c>
      <c r="L3" s="2">
        <v>1.069</v>
      </c>
      <c r="M3" s="2">
        <v>2</v>
      </c>
    </row>
    <row r="4" spans="1:25" ht="14.25" customHeight="1">
      <c r="A4" s="2">
        <v>44</v>
      </c>
      <c r="B4" s="2">
        <v>3</v>
      </c>
      <c r="C4" s="2">
        <v>7</v>
      </c>
      <c r="D4" s="2">
        <v>1</v>
      </c>
      <c r="E4" s="2">
        <v>0.69199999999999995</v>
      </c>
      <c r="F4" s="2">
        <v>2</v>
      </c>
      <c r="H4" s="2">
        <v>44</v>
      </c>
      <c r="I4" s="2">
        <v>104</v>
      </c>
      <c r="J4" s="2">
        <v>3</v>
      </c>
      <c r="K4" s="2">
        <v>1</v>
      </c>
      <c r="L4" s="2">
        <v>1.3859999999999999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44</v>
      </c>
      <c r="B5" s="2">
        <v>4</v>
      </c>
      <c r="C5" s="2">
        <v>1</v>
      </c>
      <c r="D5" s="2">
        <v>1</v>
      </c>
      <c r="E5" s="2">
        <v>0.71099999999999997</v>
      </c>
      <c r="F5" s="2">
        <v>1</v>
      </c>
      <c r="H5" s="2">
        <v>44</v>
      </c>
      <c r="I5" s="2">
        <v>105</v>
      </c>
      <c r="J5" s="2">
        <v>4</v>
      </c>
      <c r="K5" s="2">
        <v>1</v>
      </c>
      <c r="L5" s="2">
        <v>0.91200000000000003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44</v>
      </c>
      <c r="B6" s="2">
        <v>5</v>
      </c>
      <c r="C6" s="2">
        <v>8</v>
      </c>
      <c r="D6" s="2">
        <v>1</v>
      </c>
      <c r="E6" s="2">
        <v>0.60599999999999998</v>
      </c>
      <c r="F6" s="2">
        <v>2</v>
      </c>
      <c r="H6" s="2">
        <v>44</v>
      </c>
      <c r="I6" s="2">
        <v>106</v>
      </c>
      <c r="J6" s="2">
        <v>7</v>
      </c>
      <c r="K6" s="2">
        <v>0</v>
      </c>
      <c r="L6" s="2">
        <v>1.17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44</v>
      </c>
      <c r="B7" s="2">
        <v>6</v>
      </c>
      <c r="C7" s="2">
        <v>2</v>
      </c>
      <c r="D7" s="2">
        <v>0</v>
      </c>
      <c r="E7" s="2">
        <v>0.59199999999999997</v>
      </c>
      <c r="F7" s="2">
        <v>1</v>
      </c>
      <c r="H7" s="2">
        <v>44</v>
      </c>
      <c r="I7" s="2">
        <v>107</v>
      </c>
      <c r="J7" s="2">
        <v>8</v>
      </c>
      <c r="K7" s="2">
        <v>1</v>
      </c>
      <c r="L7" s="2">
        <v>1.4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44</v>
      </c>
      <c r="B8" s="2">
        <v>7</v>
      </c>
      <c r="C8" s="2">
        <v>1</v>
      </c>
      <c r="D8" s="2">
        <v>1</v>
      </c>
      <c r="E8" s="2">
        <v>1.476</v>
      </c>
      <c r="F8" s="2">
        <v>1</v>
      </c>
      <c r="H8" s="2">
        <v>44</v>
      </c>
      <c r="I8" s="2">
        <v>108</v>
      </c>
      <c r="J8" s="2">
        <v>7</v>
      </c>
      <c r="K8" s="2">
        <v>1</v>
      </c>
      <c r="L8" s="2">
        <v>0.89200000000000002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44</v>
      </c>
      <c r="B9" s="2">
        <v>8</v>
      </c>
      <c r="C9" s="2">
        <v>5</v>
      </c>
      <c r="D9" s="2">
        <v>0</v>
      </c>
      <c r="E9" s="2">
        <v>1.212</v>
      </c>
      <c r="F9" s="2">
        <v>2</v>
      </c>
      <c r="H9" s="2">
        <v>44</v>
      </c>
      <c r="I9" s="2">
        <v>109</v>
      </c>
      <c r="J9" s="2">
        <v>4</v>
      </c>
      <c r="K9" s="2">
        <v>1</v>
      </c>
      <c r="L9" s="2">
        <v>0.78900000000000003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44</v>
      </c>
      <c r="B10" s="2">
        <v>9</v>
      </c>
      <c r="C10" s="2">
        <v>1</v>
      </c>
      <c r="D10" s="2">
        <v>1</v>
      </c>
      <c r="E10" s="2">
        <v>1.127</v>
      </c>
      <c r="F10" s="2">
        <v>1</v>
      </c>
      <c r="H10" s="2">
        <v>44</v>
      </c>
      <c r="I10" s="2">
        <v>110</v>
      </c>
      <c r="J10" s="2">
        <v>7</v>
      </c>
      <c r="K10" s="2">
        <v>1</v>
      </c>
      <c r="L10" s="2">
        <v>1.337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44</v>
      </c>
      <c r="B11" s="2">
        <v>10</v>
      </c>
      <c r="C11" s="2">
        <v>4</v>
      </c>
      <c r="D11" s="2">
        <v>1</v>
      </c>
      <c r="E11" s="2">
        <v>0.73</v>
      </c>
      <c r="F11" s="2">
        <v>2</v>
      </c>
      <c r="H11" s="2">
        <v>44</v>
      </c>
      <c r="I11" s="2">
        <v>111</v>
      </c>
      <c r="J11" s="2">
        <v>8</v>
      </c>
      <c r="K11" s="2">
        <v>1</v>
      </c>
      <c r="L11" s="2">
        <v>0.748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44</v>
      </c>
      <c r="B12" s="2">
        <v>11</v>
      </c>
      <c r="C12" s="2">
        <v>2</v>
      </c>
      <c r="D12" s="2">
        <v>1</v>
      </c>
      <c r="E12" s="2">
        <v>1.871</v>
      </c>
      <c r="F12" s="2">
        <v>2</v>
      </c>
      <c r="H12" s="2">
        <v>44</v>
      </c>
      <c r="I12" s="2">
        <v>112</v>
      </c>
      <c r="J12" s="2">
        <v>2</v>
      </c>
      <c r="K12" s="2">
        <v>1</v>
      </c>
      <c r="L12" s="2">
        <v>0.77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44</v>
      </c>
      <c r="B13" s="2">
        <v>12</v>
      </c>
      <c r="C13" s="2">
        <v>4</v>
      </c>
      <c r="D13" s="2">
        <v>0</v>
      </c>
      <c r="E13" s="2">
        <v>0.69099999999999995</v>
      </c>
      <c r="F13" s="2">
        <v>1</v>
      </c>
      <c r="H13" s="2">
        <v>44</v>
      </c>
      <c r="I13" s="2">
        <v>113</v>
      </c>
      <c r="J13" s="2">
        <v>3</v>
      </c>
      <c r="K13" s="2">
        <v>1</v>
      </c>
      <c r="L13" s="2">
        <v>0.85599999999999998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44</v>
      </c>
      <c r="B14" s="2">
        <v>13</v>
      </c>
      <c r="C14" s="2">
        <v>8</v>
      </c>
      <c r="D14" s="2">
        <v>1</v>
      </c>
      <c r="E14" s="2">
        <v>1.0960000000000001</v>
      </c>
      <c r="F14" s="2">
        <v>2</v>
      </c>
      <c r="H14" s="2">
        <v>44</v>
      </c>
      <c r="I14" s="2">
        <v>114</v>
      </c>
      <c r="J14" s="2">
        <v>5</v>
      </c>
      <c r="K14" s="2">
        <v>1</v>
      </c>
      <c r="L14" s="2">
        <v>0.66400000000000003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44</v>
      </c>
      <c r="B15" s="2">
        <v>14</v>
      </c>
      <c r="C15" s="2">
        <v>1</v>
      </c>
      <c r="D15" s="2">
        <v>1</v>
      </c>
      <c r="E15" s="2">
        <v>1.0489999999999999</v>
      </c>
      <c r="F15" s="2">
        <v>1</v>
      </c>
      <c r="H15" s="2">
        <v>44</v>
      </c>
      <c r="I15" s="2">
        <v>115</v>
      </c>
      <c r="J15" s="2">
        <v>3</v>
      </c>
      <c r="K15" s="2">
        <v>1</v>
      </c>
      <c r="L15" s="2">
        <v>0.89300000000000002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44</v>
      </c>
      <c r="B16" s="2">
        <v>15</v>
      </c>
      <c r="C16" s="2">
        <v>2</v>
      </c>
      <c r="D16" s="2">
        <v>1</v>
      </c>
      <c r="E16" s="2">
        <v>1.3560000000000001</v>
      </c>
      <c r="F16" s="2">
        <v>2</v>
      </c>
      <c r="H16" s="2">
        <v>44</v>
      </c>
      <c r="I16" s="2">
        <v>116</v>
      </c>
      <c r="J16" s="2">
        <v>8</v>
      </c>
      <c r="K16" s="2">
        <v>1</v>
      </c>
      <c r="L16" s="2">
        <v>0.76900000000000002</v>
      </c>
      <c r="M16" s="2">
        <v>2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44</v>
      </c>
      <c r="B17" s="2">
        <v>16</v>
      </c>
      <c r="C17" s="2">
        <v>8</v>
      </c>
      <c r="D17" s="2">
        <v>1</v>
      </c>
      <c r="E17" s="2">
        <v>1.266</v>
      </c>
      <c r="F17" s="2">
        <v>2</v>
      </c>
      <c r="H17" s="2">
        <v>44</v>
      </c>
      <c r="I17" s="2">
        <v>117</v>
      </c>
      <c r="J17" s="2">
        <v>6</v>
      </c>
      <c r="K17" s="2">
        <v>1</v>
      </c>
      <c r="L17" s="2">
        <v>0.83799999999999997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9.0000000000000024E-2</v>
      </c>
      <c r="P17" s="3">
        <f t="shared" ref="P17:P22" si="1">(P6*COUNTIF($J$1:$J$101,P$16) - COUNTIFS($J$1:$J$101,P$16,$K$1:$K$101,"=1"))^2</f>
        <v>2.8899999999999975</v>
      </c>
      <c r="Q17" s="3">
        <f t="shared" ref="Q17:Q22" si="2">(Q6*COUNTIF($J$1:$J$101,Q$16) - COUNTIFS($J$1:$J$101,Q$16,$K$1:$K$101,"=0"))^2</f>
        <v>1.6899999999999995</v>
      </c>
      <c r="R17" s="3">
        <f t="shared" ref="R17:R22" si="3">(R6*COUNTIF($J$1:$J$101,R$16) - COUNTIFS($J$1:$J$101,R$16,$K$1:$K$101,"=1"))^2</f>
        <v>0.48999999999999899</v>
      </c>
      <c r="S17" s="3">
        <f t="shared" ref="S17:T17" si="4">(S6*COUNTIF($J$1:$J$101,S$16) - COUNTIFS($J$1:$J$101,S$16,$K$1:$K$101,"=0"))^2</f>
        <v>2.8899999999999997</v>
      </c>
      <c r="T17" s="3">
        <f t="shared" si="4"/>
        <v>9.0000000000000024E-2</v>
      </c>
      <c r="U17" s="3">
        <f t="shared" ref="U17:V17" si="5">(U6*COUNTIF($J$1:$J$101,U$16) - COUNTIFS($J$1:$J$101,U$16,$K$1:$K$101,"=1"))^2</f>
        <v>0.48999999999999899</v>
      </c>
      <c r="V17" s="3">
        <f t="shared" si="5"/>
        <v>2.7224999999999984</v>
      </c>
      <c r="W17" s="4"/>
      <c r="X17" s="4"/>
      <c r="Y17" s="4"/>
    </row>
    <row r="18" spans="1:25" ht="14.25" customHeight="1">
      <c r="A18" s="2">
        <v>44</v>
      </c>
      <c r="B18" s="2">
        <v>17</v>
      </c>
      <c r="C18" s="2">
        <v>3</v>
      </c>
      <c r="D18" s="2">
        <v>0</v>
      </c>
      <c r="E18" s="2">
        <v>1.218</v>
      </c>
      <c r="F18" s="2">
        <v>2</v>
      </c>
      <c r="H18" s="2">
        <v>44</v>
      </c>
      <c r="I18" s="2">
        <v>118</v>
      </c>
      <c r="J18" s="2">
        <v>2</v>
      </c>
      <c r="K18" s="2">
        <v>0</v>
      </c>
      <c r="L18" s="2">
        <v>1.4379999999999999</v>
      </c>
      <c r="M18" s="2">
        <v>2</v>
      </c>
      <c r="N18" s="3">
        <v>2</v>
      </c>
      <c r="O18" s="3">
        <f t="shared" si="0"/>
        <v>9.0000000000000024E-2</v>
      </c>
      <c r="P18" s="3">
        <f t="shared" si="1"/>
        <v>13.690000000000001</v>
      </c>
      <c r="Q18" s="6">
        <f t="shared" si="2"/>
        <v>25</v>
      </c>
      <c r="R18" s="3">
        <f t="shared" si="3"/>
        <v>0.48999999999999899</v>
      </c>
      <c r="S18" s="6">
        <f t="shared" ref="S18:T18" si="6">(S7*COUNTIF($J$1:$J$101,S$16) - COUNTIFS($J$1:$J$101,S$16,$K$1:$K$101,"=0"))^2</f>
        <v>2.8899999999999997</v>
      </c>
      <c r="T18" s="6">
        <f t="shared" si="6"/>
        <v>9.0000000000000024E-2</v>
      </c>
      <c r="U18" s="6">
        <f t="shared" ref="U18:V18" si="7">(U7*COUNTIF($J$1:$J$101,U$16) - COUNTIFS($J$1:$J$101,U$16,$K$1:$K$101,"=1"))^2</f>
        <v>0.48999999999999899</v>
      </c>
      <c r="V18" s="6">
        <f t="shared" si="7"/>
        <v>2.7224999999999984</v>
      </c>
      <c r="W18" s="4"/>
      <c r="X18" s="4"/>
      <c r="Y18" s="4"/>
    </row>
    <row r="19" spans="1:25" ht="14.25" customHeight="1">
      <c r="A19" s="2">
        <v>44</v>
      </c>
      <c r="B19" s="2">
        <v>18</v>
      </c>
      <c r="C19" s="2">
        <v>6</v>
      </c>
      <c r="D19" s="2">
        <v>1</v>
      </c>
      <c r="E19" s="2">
        <v>1.996</v>
      </c>
      <c r="F19" s="2">
        <v>1</v>
      </c>
      <c r="H19" s="2">
        <v>44</v>
      </c>
      <c r="I19" s="2">
        <v>119</v>
      </c>
      <c r="J19" s="2">
        <v>8</v>
      </c>
      <c r="K19" s="2">
        <v>0</v>
      </c>
      <c r="L19" s="2">
        <v>1.599</v>
      </c>
      <c r="M19" s="2">
        <v>2</v>
      </c>
      <c r="N19" s="3">
        <v>3</v>
      </c>
      <c r="O19" s="3">
        <f t="shared" si="0"/>
        <v>9.0000000000000024E-2</v>
      </c>
      <c r="P19" s="3">
        <f t="shared" si="1"/>
        <v>2.8899999999999975</v>
      </c>
      <c r="Q19" s="3">
        <f t="shared" si="2"/>
        <v>1.6899999999999995</v>
      </c>
      <c r="R19" s="3">
        <f t="shared" si="3"/>
        <v>0.48999999999999899</v>
      </c>
      <c r="S19" s="6">
        <f t="shared" ref="S19:T19" si="8">(S8*COUNTIF($J$1:$J$101,S$16) - COUNTIFS($J$1:$J$101,S$16,$K$1:$K$101,"=0"))^2</f>
        <v>2.8899999999999997</v>
      </c>
      <c r="T19" s="6">
        <f t="shared" si="8"/>
        <v>32.489999999999995</v>
      </c>
      <c r="U19" s="3">
        <f t="shared" ref="U19:V19" si="9">(U8*COUNTIF($J$1:$J$101,U$16) - COUNTIFS($J$1:$J$101,U$16,$K$1:$K$101,"=1"))^2</f>
        <v>22.090000000000003</v>
      </c>
      <c r="V19" s="6">
        <f t="shared" si="9"/>
        <v>2.7224999999999984</v>
      </c>
      <c r="W19" s="4"/>
      <c r="X19" s="4"/>
      <c r="Y19" s="4"/>
    </row>
    <row r="20" spans="1:25" ht="14.25" customHeight="1">
      <c r="A20" s="2">
        <v>44</v>
      </c>
      <c r="B20" s="2">
        <v>19</v>
      </c>
      <c r="C20" s="2">
        <v>3</v>
      </c>
      <c r="D20" s="2">
        <v>0</v>
      </c>
      <c r="E20" s="2">
        <v>1.7929999999999999</v>
      </c>
      <c r="F20" s="2">
        <v>2</v>
      </c>
      <c r="H20" s="2">
        <v>44</v>
      </c>
      <c r="I20" s="2">
        <v>120</v>
      </c>
      <c r="J20" s="2">
        <v>5</v>
      </c>
      <c r="K20" s="2">
        <v>0</v>
      </c>
      <c r="L20" s="2">
        <v>1.5269999999999999</v>
      </c>
      <c r="M20" s="2">
        <v>1</v>
      </c>
      <c r="N20" s="3">
        <v>4</v>
      </c>
      <c r="O20" s="3">
        <f t="shared" si="0"/>
        <v>9</v>
      </c>
      <c r="P20" s="3">
        <f t="shared" si="1"/>
        <v>1</v>
      </c>
      <c r="Q20" s="3">
        <f t="shared" si="2"/>
        <v>2.25</v>
      </c>
      <c r="R20" s="3">
        <f t="shared" si="3"/>
        <v>4</v>
      </c>
      <c r="S20" s="6">
        <f t="shared" ref="S20:T20" si="10">(S9*COUNTIF($J$1:$J$101,S$16) - COUNTIFS($J$1:$J$101,S$16,$K$1:$K$101,"=0"))^2</f>
        <v>2.8899999999999997</v>
      </c>
      <c r="T20" s="6">
        <f t="shared" si="10"/>
        <v>9.0000000000000024E-2</v>
      </c>
      <c r="U20" s="6">
        <f t="shared" ref="U20:V20" si="11">(U9*COUNTIF($J$1:$J$101,U$16) - COUNTIFS($J$1:$J$101,U$16,$K$1:$K$101,"=1"))^2</f>
        <v>0.48999999999999899</v>
      </c>
      <c r="V20" s="6">
        <f t="shared" si="11"/>
        <v>2.7224999999999984</v>
      </c>
      <c r="W20" s="4"/>
      <c r="X20" s="4"/>
      <c r="Y20" s="4"/>
    </row>
    <row r="21" spans="1:25" ht="14.25" customHeight="1">
      <c r="A21" s="2">
        <v>44</v>
      </c>
      <c r="B21" s="2">
        <v>20</v>
      </c>
      <c r="C21" s="2">
        <v>2</v>
      </c>
      <c r="D21" s="2">
        <v>1</v>
      </c>
      <c r="E21" s="2">
        <v>1.9690000000000001</v>
      </c>
      <c r="F21" s="2">
        <v>2</v>
      </c>
      <c r="H21" s="2">
        <v>44</v>
      </c>
      <c r="I21" s="2">
        <v>121</v>
      </c>
      <c r="J21" s="2">
        <v>4</v>
      </c>
      <c r="K21" s="2">
        <v>1</v>
      </c>
      <c r="L21" s="2">
        <v>1.3380000000000001</v>
      </c>
      <c r="M21" s="2">
        <v>2</v>
      </c>
      <c r="N21" s="3">
        <v>5</v>
      </c>
      <c r="O21" s="3">
        <f t="shared" si="0"/>
        <v>9.0000000000000024E-2</v>
      </c>
      <c r="P21" s="3">
        <f t="shared" si="1"/>
        <v>2.8899999999999975</v>
      </c>
      <c r="Q21" s="3">
        <f t="shared" si="2"/>
        <v>1.6899999999999995</v>
      </c>
      <c r="R21" s="3">
        <f t="shared" si="3"/>
        <v>0.48999999999999899</v>
      </c>
      <c r="S21" s="6">
        <f t="shared" ref="S21:T21" si="12">(S10*COUNTIF($J$1:$J$101,S$16) - COUNTIFS($J$1:$J$101,S$16,$K$1:$K$101,"=0"))^2</f>
        <v>1</v>
      </c>
      <c r="T21" s="6">
        <f t="shared" si="12"/>
        <v>9</v>
      </c>
      <c r="U21" s="6">
        <f t="shared" ref="U21:V21" si="13">(U10*COUNTIF($J$1:$J$101,U$16) - COUNTIFS($J$1:$J$101,U$16,$K$1:$K$101,"=1"))^2</f>
        <v>4</v>
      </c>
      <c r="V21" s="6">
        <f t="shared" si="13"/>
        <v>2.25</v>
      </c>
      <c r="W21" s="4"/>
      <c r="X21" s="4"/>
      <c r="Y21" s="4"/>
    </row>
    <row r="22" spans="1:25" ht="14.25" customHeight="1">
      <c r="A22" s="2">
        <v>44</v>
      </c>
      <c r="B22" s="2">
        <v>21</v>
      </c>
      <c r="C22" s="2">
        <v>8</v>
      </c>
      <c r="D22" s="2">
        <v>1</v>
      </c>
      <c r="E22" s="2">
        <v>1.042</v>
      </c>
      <c r="F22" s="2">
        <v>2</v>
      </c>
      <c r="H22" s="2">
        <v>44</v>
      </c>
      <c r="I22" s="2">
        <v>122</v>
      </c>
      <c r="J22" s="2">
        <v>2</v>
      </c>
      <c r="K22" s="2">
        <v>1</v>
      </c>
      <c r="L22" s="2">
        <v>1.08</v>
      </c>
      <c r="M22" s="2">
        <v>1</v>
      </c>
      <c r="N22" s="3">
        <v>6</v>
      </c>
      <c r="O22" s="3">
        <f t="shared" si="0"/>
        <v>9</v>
      </c>
      <c r="P22" s="3">
        <f t="shared" si="1"/>
        <v>1</v>
      </c>
      <c r="Q22" s="3">
        <f t="shared" si="2"/>
        <v>2.25</v>
      </c>
      <c r="R22" s="3">
        <f t="shared" si="3"/>
        <v>4</v>
      </c>
      <c r="S22" s="6">
        <f t="shared" ref="S22:T22" si="14">(S11*COUNTIF($J$1:$J$101,S$16) - COUNTIFS($J$1:$J$101,S$16,$K$1:$K$101,"=0"))^2</f>
        <v>1</v>
      </c>
      <c r="T22" s="6">
        <f t="shared" si="14"/>
        <v>9</v>
      </c>
      <c r="U22" s="6">
        <f t="shared" ref="U22:V22" si="15">(U11*COUNTIF($J$1:$J$101,U$16) - COUNTIFS($J$1:$J$101,U$16,$K$1:$K$101,"=1"))^2</f>
        <v>4</v>
      </c>
      <c r="V22" s="6">
        <f t="shared" si="15"/>
        <v>2.25</v>
      </c>
      <c r="W22" s="4"/>
      <c r="X22" s="4"/>
      <c r="Y22" s="4"/>
    </row>
    <row r="23" spans="1:25" ht="14.25" customHeight="1">
      <c r="A23" s="2">
        <v>44</v>
      </c>
      <c r="B23" s="2">
        <v>22</v>
      </c>
      <c r="C23" s="2">
        <v>3</v>
      </c>
      <c r="D23" s="2">
        <v>1</v>
      </c>
      <c r="E23" s="2">
        <v>1.5089999999999999</v>
      </c>
      <c r="F23" s="2">
        <v>1</v>
      </c>
      <c r="H23" s="2">
        <v>44</v>
      </c>
      <c r="I23" s="2">
        <v>123</v>
      </c>
      <c r="J23" s="2">
        <v>7</v>
      </c>
      <c r="K23" s="2">
        <v>1</v>
      </c>
      <c r="L23" s="2">
        <v>0.81699999999999995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44</v>
      </c>
      <c r="B24" s="2">
        <v>23</v>
      </c>
      <c r="C24" s="2">
        <v>5</v>
      </c>
      <c r="D24" s="2">
        <v>0</v>
      </c>
      <c r="E24" s="2">
        <v>1.7709999999999999</v>
      </c>
      <c r="F24" s="2">
        <v>2</v>
      </c>
      <c r="H24" s="2">
        <v>44</v>
      </c>
      <c r="I24" s="2">
        <v>124</v>
      </c>
      <c r="J24" s="2">
        <v>2</v>
      </c>
      <c r="K24" s="2">
        <v>0</v>
      </c>
      <c r="L24" s="2">
        <v>0.77800000000000002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44</v>
      </c>
      <c r="B25" s="2">
        <v>24</v>
      </c>
      <c r="C25" s="2">
        <v>7</v>
      </c>
      <c r="D25" s="2">
        <v>0</v>
      </c>
      <c r="E25" s="2">
        <v>1.6419999999999999</v>
      </c>
      <c r="F25" s="2">
        <v>1</v>
      </c>
      <c r="H25" s="2">
        <v>44</v>
      </c>
      <c r="I25" s="2">
        <v>125</v>
      </c>
      <c r="J25" s="2">
        <v>1</v>
      </c>
      <c r="K25" s="2">
        <v>1</v>
      </c>
      <c r="L25" s="2">
        <v>1.452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44</v>
      </c>
      <c r="B26" s="2">
        <v>25</v>
      </c>
      <c r="C26" s="2">
        <v>2</v>
      </c>
      <c r="D26" s="2">
        <v>1</v>
      </c>
      <c r="E26" s="2">
        <v>1.8260000000000001</v>
      </c>
      <c r="F26" s="2">
        <v>2</v>
      </c>
      <c r="H26" s="2">
        <v>44</v>
      </c>
      <c r="I26" s="2">
        <v>126</v>
      </c>
      <c r="J26" s="2">
        <v>3</v>
      </c>
      <c r="K26" s="2">
        <v>0</v>
      </c>
      <c r="L26" s="2">
        <v>0.72399999999999998</v>
      </c>
      <c r="M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49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44</v>
      </c>
      <c r="B27" s="2">
        <v>26</v>
      </c>
      <c r="C27" s="2">
        <v>6</v>
      </c>
      <c r="D27" s="2">
        <v>1</v>
      </c>
      <c r="E27" s="2">
        <v>1.827</v>
      </c>
      <c r="F27" s="2">
        <v>1</v>
      </c>
      <c r="H27" s="2">
        <v>44</v>
      </c>
      <c r="I27" s="2">
        <v>127</v>
      </c>
      <c r="J27" s="2">
        <v>7</v>
      </c>
      <c r="K27" s="2">
        <v>1</v>
      </c>
      <c r="L27" s="2">
        <v>0.61699999999999999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44</v>
      </c>
      <c r="B28" s="2">
        <v>27</v>
      </c>
      <c r="C28" s="2">
        <v>5</v>
      </c>
      <c r="D28" s="2">
        <v>1</v>
      </c>
      <c r="E28" s="2">
        <v>1.5640000000000001</v>
      </c>
      <c r="F28" s="2">
        <v>1</v>
      </c>
      <c r="H28" s="2">
        <v>44</v>
      </c>
      <c r="I28" s="2">
        <v>128</v>
      </c>
      <c r="J28" s="2">
        <v>5</v>
      </c>
      <c r="K28" s="2">
        <v>1</v>
      </c>
      <c r="L28" s="2">
        <v>1.0640000000000001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44</v>
      </c>
      <c r="B29" s="2">
        <v>28</v>
      </c>
      <c r="C29" s="2">
        <v>8</v>
      </c>
      <c r="D29" s="2">
        <v>0</v>
      </c>
      <c r="E29" s="2">
        <v>1.5629999999999999</v>
      </c>
      <c r="F29" s="2">
        <v>1</v>
      </c>
      <c r="H29" s="2">
        <v>44</v>
      </c>
      <c r="I29" s="2">
        <v>129</v>
      </c>
      <c r="J29" s="2">
        <v>4</v>
      </c>
      <c r="K29" s="2">
        <v>1</v>
      </c>
      <c r="L29" s="2">
        <v>1.048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44</v>
      </c>
      <c r="B30" s="2">
        <v>29</v>
      </c>
      <c r="C30" s="2">
        <v>3</v>
      </c>
      <c r="D30" s="2">
        <v>1</v>
      </c>
      <c r="E30" s="2">
        <v>1.2310000000000001</v>
      </c>
      <c r="F30" s="2">
        <v>1</v>
      </c>
      <c r="H30" s="2">
        <v>44</v>
      </c>
      <c r="I30" s="2">
        <v>130</v>
      </c>
      <c r="J30" s="2">
        <v>6</v>
      </c>
      <c r="K30" s="2">
        <v>1</v>
      </c>
      <c r="L30" s="2">
        <v>0.89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44</v>
      </c>
      <c r="B31" s="2">
        <v>30</v>
      </c>
      <c r="C31" s="2">
        <v>8</v>
      </c>
      <c r="D31" s="2">
        <v>0</v>
      </c>
      <c r="E31" s="2">
        <v>1.5860000000000001</v>
      </c>
      <c r="F31" s="2">
        <v>1</v>
      </c>
      <c r="H31" s="2">
        <v>44</v>
      </c>
      <c r="I31" s="2">
        <v>131</v>
      </c>
      <c r="J31" s="2">
        <v>1</v>
      </c>
      <c r="K31" s="2">
        <v>1</v>
      </c>
      <c r="L31" s="2">
        <v>1.2649999999999999</v>
      </c>
      <c r="M31" s="2">
        <v>1</v>
      </c>
      <c r="N31" s="3">
        <v>1</v>
      </c>
      <c r="O31" s="3">
        <f t="shared" ref="O31:O36" si="17">SUM(O17:V17)/SUM(O$26:V$26)</f>
        <v>3.615445859872609E-2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44</v>
      </c>
      <c r="B32" s="2">
        <v>31</v>
      </c>
      <c r="C32" s="2">
        <v>1</v>
      </c>
      <c r="D32" s="2">
        <v>1</v>
      </c>
      <c r="E32" s="2">
        <v>1.7929999999999999</v>
      </c>
      <c r="F32" s="2">
        <v>1</v>
      </c>
      <c r="H32" s="2">
        <v>44</v>
      </c>
      <c r="I32" s="2">
        <v>132</v>
      </c>
      <c r="J32" s="2">
        <v>7</v>
      </c>
      <c r="K32" s="2">
        <v>1</v>
      </c>
      <c r="L32" s="2">
        <v>1.123</v>
      </c>
      <c r="M32" s="2">
        <v>2</v>
      </c>
      <c r="N32" s="3">
        <v>2</v>
      </c>
      <c r="O32" s="3">
        <f t="shared" si="17"/>
        <v>0.14478503184713379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44</v>
      </c>
      <c r="B33" s="2">
        <v>32</v>
      </c>
      <c r="C33" s="2">
        <v>4</v>
      </c>
      <c r="E33" s="2">
        <v>2</v>
      </c>
      <c r="H33" s="2">
        <v>44</v>
      </c>
      <c r="I33" s="2">
        <v>133</v>
      </c>
      <c r="J33" s="2">
        <v>1</v>
      </c>
      <c r="K33" s="2">
        <v>1</v>
      </c>
      <c r="L33" s="2">
        <v>1.002</v>
      </c>
      <c r="M33" s="2">
        <v>1</v>
      </c>
      <c r="N33" s="3">
        <v>3</v>
      </c>
      <c r="O33" s="3">
        <f t="shared" si="17"/>
        <v>0.20812898089171972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44</v>
      </c>
      <c r="B34" s="2">
        <v>33</v>
      </c>
      <c r="C34" s="2">
        <v>3</v>
      </c>
      <c r="D34" s="2">
        <v>1</v>
      </c>
      <c r="E34" s="2">
        <v>0.89500000000000002</v>
      </c>
      <c r="F34" s="2">
        <v>1</v>
      </c>
      <c r="H34" s="2">
        <v>44</v>
      </c>
      <c r="I34" s="2">
        <v>134</v>
      </c>
      <c r="J34" s="2">
        <v>6</v>
      </c>
      <c r="K34" s="2">
        <v>1</v>
      </c>
      <c r="L34" s="2">
        <v>1.0069999999999999</v>
      </c>
      <c r="M34" s="2">
        <v>1</v>
      </c>
      <c r="N34" s="3">
        <v>4</v>
      </c>
      <c r="O34" s="3">
        <f t="shared" si="17"/>
        <v>7.1472929936305718E-2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44</v>
      </c>
      <c r="B35" s="2">
        <v>34</v>
      </c>
      <c r="C35" s="2">
        <v>5</v>
      </c>
      <c r="D35" s="2">
        <v>1</v>
      </c>
      <c r="E35" s="2">
        <v>1.5349999999999999</v>
      </c>
      <c r="F35" s="2">
        <v>1</v>
      </c>
      <c r="H35" s="2">
        <v>44</v>
      </c>
      <c r="I35" s="2">
        <v>135</v>
      </c>
      <c r="J35" s="2">
        <v>5</v>
      </c>
      <c r="K35" s="2">
        <v>1</v>
      </c>
      <c r="L35" s="2">
        <v>0.85699999999999998</v>
      </c>
      <c r="M35" s="2">
        <v>1</v>
      </c>
      <c r="N35" s="3">
        <v>5</v>
      </c>
      <c r="O35" s="3">
        <f t="shared" si="17"/>
        <v>6.8184713375796166E-2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44</v>
      </c>
      <c r="B36" s="2">
        <v>35</v>
      </c>
      <c r="C36" s="2">
        <v>1</v>
      </c>
      <c r="D36" s="2">
        <v>0</v>
      </c>
      <c r="E36" s="2">
        <v>1.383</v>
      </c>
      <c r="F36" s="2">
        <v>2</v>
      </c>
      <c r="H36" s="2">
        <v>44</v>
      </c>
      <c r="I36" s="2">
        <v>136</v>
      </c>
      <c r="J36" s="2">
        <v>4</v>
      </c>
      <c r="K36" s="2">
        <v>0</v>
      </c>
      <c r="L36" s="2">
        <v>1.234</v>
      </c>
      <c r="M36" s="2">
        <v>1</v>
      </c>
      <c r="N36" s="3">
        <v>6</v>
      </c>
      <c r="O36" s="3">
        <f t="shared" si="17"/>
        <v>0.1035031847133758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44</v>
      </c>
      <c r="B37" s="2">
        <v>36</v>
      </c>
      <c r="C37" s="2">
        <v>7</v>
      </c>
      <c r="D37" s="2">
        <v>0</v>
      </c>
      <c r="E37" s="2">
        <v>0.89200000000000002</v>
      </c>
      <c r="F37" s="2">
        <v>1</v>
      </c>
      <c r="H37" s="2">
        <v>44</v>
      </c>
      <c r="I37" s="2">
        <v>137</v>
      </c>
      <c r="J37" s="2">
        <v>1</v>
      </c>
      <c r="K37" s="2">
        <v>1</v>
      </c>
      <c r="L37" s="2">
        <v>1.85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44</v>
      </c>
      <c r="B38" s="2">
        <v>37</v>
      </c>
      <c r="C38" s="2">
        <v>5</v>
      </c>
      <c r="D38" s="2">
        <v>1</v>
      </c>
      <c r="E38" s="2">
        <v>1.4159999999999999</v>
      </c>
      <c r="F38" s="2">
        <v>1</v>
      </c>
      <c r="H38" s="2">
        <v>44</v>
      </c>
      <c r="I38" s="2">
        <v>138</v>
      </c>
      <c r="J38" s="2">
        <v>8</v>
      </c>
      <c r="K38" s="2">
        <v>1</v>
      </c>
      <c r="L38" s="2">
        <v>1.1950000000000001</v>
      </c>
      <c r="M38" s="2">
        <v>2</v>
      </c>
    </row>
    <row r="39" spans="1:25" ht="14.25" customHeight="1">
      <c r="A39" s="2">
        <v>44</v>
      </c>
      <c r="B39" s="2">
        <v>38</v>
      </c>
      <c r="C39" s="2">
        <v>7</v>
      </c>
      <c r="D39" s="2">
        <v>0</v>
      </c>
      <c r="E39" s="2">
        <v>1.401</v>
      </c>
      <c r="F39" s="2">
        <v>1</v>
      </c>
      <c r="H39" s="2">
        <v>44</v>
      </c>
      <c r="I39" s="2">
        <v>139</v>
      </c>
      <c r="J39" s="2">
        <v>1</v>
      </c>
      <c r="K39" s="2">
        <v>1</v>
      </c>
      <c r="L39" s="2">
        <v>1.3740000000000001</v>
      </c>
      <c r="M39" s="2">
        <v>2</v>
      </c>
    </row>
    <row r="40" spans="1:25" ht="14.25" customHeight="1">
      <c r="A40" s="2">
        <v>44</v>
      </c>
      <c r="B40" s="2">
        <v>39</v>
      </c>
      <c r="C40" s="2">
        <v>4</v>
      </c>
      <c r="D40" s="2">
        <v>0</v>
      </c>
      <c r="E40" s="2">
        <v>1.5169999999999999</v>
      </c>
      <c r="F40" s="2">
        <v>1</v>
      </c>
      <c r="H40" s="2">
        <v>44</v>
      </c>
      <c r="I40" s="2">
        <v>140</v>
      </c>
      <c r="J40" s="2">
        <v>5</v>
      </c>
      <c r="K40" s="2">
        <v>0</v>
      </c>
      <c r="L40" s="2">
        <v>0.873</v>
      </c>
      <c r="M40" s="2">
        <v>2</v>
      </c>
    </row>
    <row r="41" spans="1:25" ht="14.25" customHeight="1">
      <c r="A41" s="2">
        <v>44</v>
      </c>
      <c r="B41" s="2">
        <v>40</v>
      </c>
      <c r="C41" s="2">
        <v>3</v>
      </c>
      <c r="D41" s="2">
        <v>0</v>
      </c>
      <c r="E41" s="2">
        <v>1.5269999999999999</v>
      </c>
      <c r="F41" s="2">
        <v>2</v>
      </c>
      <c r="H41" s="2">
        <v>44</v>
      </c>
      <c r="I41" s="2">
        <v>141</v>
      </c>
      <c r="J41" s="2">
        <v>2</v>
      </c>
      <c r="K41" s="2">
        <v>1</v>
      </c>
      <c r="L41" s="2">
        <v>1.45</v>
      </c>
      <c r="M41" s="2">
        <v>1</v>
      </c>
    </row>
    <row r="42" spans="1:25" ht="14.25" customHeight="1">
      <c r="A42" s="2">
        <v>44</v>
      </c>
      <c r="B42" s="2">
        <v>41</v>
      </c>
      <c r="C42" s="2">
        <v>6</v>
      </c>
      <c r="D42" s="2">
        <v>1</v>
      </c>
      <c r="E42" s="2">
        <v>1.218</v>
      </c>
      <c r="F42" s="2">
        <v>1</v>
      </c>
      <c r="H42" s="2">
        <v>44</v>
      </c>
      <c r="I42" s="2">
        <v>142</v>
      </c>
      <c r="J42" s="2">
        <v>1</v>
      </c>
      <c r="K42" s="2">
        <v>1</v>
      </c>
      <c r="L42" s="2">
        <v>0.90700000000000003</v>
      </c>
      <c r="M42" s="2">
        <v>2</v>
      </c>
    </row>
    <row r="43" spans="1:25" ht="14.25" customHeight="1">
      <c r="A43" s="2">
        <v>44</v>
      </c>
      <c r="B43" s="2">
        <v>42</v>
      </c>
      <c r="C43" s="2">
        <v>7</v>
      </c>
      <c r="D43" s="2">
        <v>1</v>
      </c>
      <c r="E43" s="2">
        <v>1.2310000000000001</v>
      </c>
      <c r="F43" s="2">
        <v>2</v>
      </c>
      <c r="H43" s="2">
        <v>44</v>
      </c>
      <c r="I43" s="2">
        <v>143</v>
      </c>
      <c r="J43" s="2">
        <v>3</v>
      </c>
      <c r="K43" s="2">
        <v>1</v>
      </c>
      <c r="L43" s="2">
        <v>1.6439999999999999</v>
      </c>
      <c r="M43" s="2">
        <v>1</v>
      </c>
    </row>
    <row r="44" spans="1:25" ht="14.25" customHeight="1">
      <c r="A44" s="2">
        <v>44</v>
      </c>
      <c r="B44" s="2">
        <v>43</v>
      </c>
      <c r="C44" s="2">
        <v>3</v>
      </c>
      <c r="D44" s="2">
        <v>0</v>
      </c>
      <c r="E44" s="2">
        <v>1.32</v>
      </c>
      <c r="F44" s="2">
        <v>2</v>
      </c>
      <c r="H44" s="2">
        <v>44</v>
      </c>
      <c r="I44" s="2">
        <v>144</v>
      </c>
      <c r="J44" s="2">
        <v>5</v>
      </c>
      <c r="K44" s="2">
        <v>1</v>
      </c>
      <c r="L44" s="2">
        <v>1.042</v>
      </c>
      <c r="M44" s="2">
        <v>2</v>
      </c>
    </row>
    <row r="45" spans="1:25" ht="14.25" customHeight="1">
      <c r="A45" s="2">
        <v>44</v>
      </c>
      <c r="B45" s="2">
        <v>44</v>
      </c>
      <c r="C45" s="2">
        <v>2</v>
      </c>
      <c r="D45" s="2">
        <v>0</v>
      </c>
      <c r="E45" s="2">
        <v>1.2989999999999999</v>
      </c>
      <c r="F45" s="2">
        <v>1</v>
      </c>
      <c r="H45" s="2">
        <v>44</v>
      </c>
      <c r="I45" s="2">
        <v>145</v>
      </c>
      <c r="J45" s="2">
        <v>8</v>
      </c>
      <c r="K45" s="2">
        <v>1</v>
      </c>
      <c r="L45" s="2">
        <v>0.92900000000000005</v>
      </c>
      <c r="M45" s="2">
        <v>2</v>
      </c>
    </row>
    <row r="46" spans="1:25" ht="14.25" customHeight="1">
      <c r="A46" s="2">
        <v>44</v>
      </c>
      <c r="B46" s="2">
        <v>45</v>
      </c>
      <c r="C46" s="2">
        <v>7</v>
      </c>
      <c r="D46" s="2">
        <v>0</v>
      </c>
      <c r="E46" s="2">
        <v>1.1759999999999999</v>
      </c>
      <c r="F46" s="2">
        <v>1</v>
      </c>
      <c r="H46" s="2">
        <v>44</v>
      </c>
      <c r="I46" s="2">
        <v>146</v>
      </c>
      <c r="J46" s="2">
        <v>3</v>
      </c>
      <c r="K46" s="2">
        <v>0</v>
      </c>
      <c r="L46" s="2">
        <v>1.252</v>
      </c>
      <c r="M46" s="2">
        <v>2</v>
      </c>
    </row>
    <row r="47" spans="1:25" ht="14.25" customHeight="1">
      <c r="A47" s="2">
        <v>44</v>
      </c>
      <c r="B47" s="2">
        <v>46</v>
      </c>
      <c r="C47" s="2">
        <v>6</v>
      </c>
      <c r="D47" s="2">
        <v>0</v>
      </c>
      <c r="E47" s="2">
        <v>1.4079999999999999</v>
      </c>
      <c r="F47" s="2">
        <v>2</v>
      </c>
      <c r="H47" s="2">
        <v>44</v>
      </c>
      <c r="I47" s="2">
        <v>147</v>
      </c>
      <c r="J47" s="2">
        <v>6</v>
      </c>
      <c r="K47" s="2">
        <v>1</v>
      </c>
      <c r="L47" s="2">
        <v>1.5309999999999999</v>
      </c>
      <c r="M47" s="2">
        <v>2</v>
      </c>
    </row>
    <row r="48" spans="1:25" ht="14.25" customHeight="1">
      <c r="A48" s="2">
        <v>44</v>
      </c>
      <c r="B48" s="2">
        <v>47</v>
      </c>
      <c r="C48" s="2">
        <v>4</v>
      </c>
      <c r="D48" s="2">
        <v>1</v>
      </c>
      <c r="E48" s="2">
        <v>1.4870000000000001</v>
      </c>
      <c r="F48" s="2">
        <v>2</v>
      </c>
      <c r="H48" s="2">
        <v>44</v>
      </c>
      <c r="I48" s="2">
        <v>148</v>
      </c>
      <c r="J48" s="2">
        <v>4</v>
      </c>
      <c r="K48" s="2">
        <v>1</v>
      </c>
      <c r="L48" s="2">
        <v>1.1220000000000001</v>
      </c>
      <c r="M48" s="2">
        <v>2</v>
      </c>
    </row>
    <row r="49" spans="1:13" ht="14.25" customHeight="1">
      <c r="A49" s="2">
        <v>44</v>
      </c>
      <c r="B49" s="2">
        <v>48</v>
      </c>
      <c r="C49" s="2">
        <v>8</v>
      </c>
      <c r="D49" s="2">
        <v>1</v>
      </c>
      <c r="E49" s="2">
        <v>1.56</v>
      </c>
      <c r="F49" s="2">
        <v>2</v>
      </c>
      <c r="H49" s="2">
        <v>44</v>
      </c>
      <c r="I49" s="2">
        <v>149</v>
      </c>
      <c r="J49" s="2">
        <v>3</v>
      </c>
      <c r="K49" s="2">
        <v>1</v>
      </c>
      <c r="L49" s="2">
        <v>0.84199999999999997</v>
      </c>
      <c r="M49" s="2">
        <v>2</v>
      </c>
    </row>
    <row r="50" spans="1:13" ht="14.25" customHeight="1">
      <c r="A50" s="2">
        <v>44</v>
      </c>
      <c r="B50" s="2">
        <v>49</v>
      </c>
      <c r="C50" s="2">
        <v>4</v>
      </c>
      <c r="D50" s="2">
        <v>1</v>
      </c>
      <c r="E50" s="2">
        <v>1.264</v>
      </c>
      <c r="F50" s="2">
        <v>2</v>
      </c>
      <c r="H50" s="2">
        <v>44</v>
      </c>
      <c r="I50" s="2">
        <v>150</v>
      </c>
      <c r="J50" s="2">
        <v>6</v>
      </c>
      <c r="K50" s="2">
        <v>1</v>
      </c>
      <c r="L50" s="2">
        <v>1.597</v>
      </c>
      <c r="M50" s="2">
        <v>1</v>
      </c>
    </row>
    <row r="51" spans="1:13" ht="14.25" customHeight="1">
      <c r="A51" s="2">
        <v>44</v>
      </c>
      <c r="B51" s="2">
        <v>50</v>
      </c>
      <c r="C51" s="2">
        <v>6</v>
      </c>
      <c r="D51" s="2">
        <v>1</v>
      </c>
      <c r="E51" s="2">
        <v>1.226</v>
      </c>
      <c r="F51" s="2">
        <v>1</v>
      </c>
    </row>
    <row r="52" spans="1:13" ht="14.25" customHeight="1">
      <c r="A52" s="2">
        <v>44</v>
      </c>
      <c r="B52" s="2">
        <v>51</v>
      </c>
      <c r="C52" s="2">
        <v>8</v>
      </c>
      <c r="D52" s="2">
        <v>1</v>
      </c>
      <c r="E52" s="2">
        <v>1.3720000000000001</v>
      </c>
      <c r="F52" s="2">
        <v>1</v>
      </c>
    </row>
    <row r="53" spans="1:13" ht="14.25" customHeight="1">
      <c r="A53" s="2">
        <v>44</v>
      </c>
      <c r="B53" s="2">
        <v>52</v>
      </c>
      <c r="C53" s="2">
        <v>6</v>
      </c>
      <c r="D53" s="2">
        <v>1</v>
      </c>
      <c r="E53" s="2">
        <v>1.0580000000000001</v>
      </c>
      <c r="F53" s="2">
        <v>1</v>
      </c>
    </row>
    <row r="54" spans="1:13" ht="14.25" customHeight="1">
      <c r="A54" s="2">
        <v>44</v>
      </c>
      <c r="B54" s="2">
        <v>53</v>
      </c>
      <c r="C54" s="2">
        <v>3</v>
      </c>
      <c r="D54" s="2">
        <v>1</v>
      </c>
      <c r="E54" s="2">
        <v>1.1459999999999999</v>
      </c>
      <c r="F54" s="2">
        <v>2</v>
      </c>
    </row>
    <row r="55" spans="1:13" ht="14.25" customHeight="1">
      <c r="A55" s="2">
        <v>44</v>
      </c>
      <c r="B55" s="2">
        <v>54</v>
      </c>
      <c r="C55" s="2">
        <v>4</v>
      </c>
      <c r="D55" s="2">
        <v>1</v>
      </c>
      <c r="E55" s="2">
        <v>1.028</v>
      </c>
      <c r="F55" s="2">
        <v>1</v>
      </c>
    </row>
    <row r="56" spans="1:13" ht="14.25" customHeight="1">
      <c r="A56" s="2">
        <v>44</v>
      </c>
      <c r="B56" s="2">
        <v>55</v>
      </c>
      <c r="C56" s="2">
        <v>5</v>
      </c>
      <c r="D56" s="2">
        <v>1</v>
      </c>
      <c r="E56" s="2">
        <v>0.86599999999999999</v>
      </c>
      <c r="F56" s="2">
        <v>2</v>
      </c>
    </row>
    <row r="57" spans="1:13" ht="14.25" customHeight="1">
      <c r="A57" s="2">
        <v>44</v>
      </c>
      <c r="B57" s="2">
        <v>56</v>
      </c>
      <c r="C57" s="2">
        <v>8</v>
      </c>
      <c r="D57" s="2">
        <v>0</v>
      </c>
      <c r="E57" s="2">
        <v>1.33</v>
      </c>
      <c r="F57" s="2">
        <v>1</v>
      </c>
    </row>
    <row r="58" spans="1:13" ht="14.25" customHeight="1">
      <c r="A58" s="2">
        <v>44</v>
      </c>
      <c r="B58" s="2">
        <v>57</v>
      </c>
      <c r="C58" s="2">
        <v>1</v>
      </c>
      <c r="D58" s="2">
        <v>0</v>
      </c>
      <c r="E58" s="2">
        <v>1.371</v>
      </c>
      <c r="F58" s="2">
        <v>2</v>
      </c>
    </row>
    <row r="59" spans="1:13" ht="14.25" customHeight="1">
      <c r="A59" s="2">
        <v>44</v>
      </c>
      <c r="B59" s="2">
        <v>58</v>
      </c>
      <c r="C59" s="2">
        <v>4</v>
      </c>
      <c r="D59" s="2">
        <v>1</v>
      </c>
      <c r="E59" s="2">
        <v>0.97299999999999998</v>
      </c>
      <c r="F59" s="2">
        <v>1</v>
      </c>
    </row>
    <row r="60" spans="1:13" ht="14.25" customHeight="1">
      <c r="A60" s="2">
        <v>44</v>
      </c>
      <c r="B60" s="2">
        <v>59</v>
      </c>
      <c r="C60" s="2">
        <v>1</v>
      </c>
      <c r="D60" s="2">
        <v>1</v>
      </c>
      <c r="E60" s="2">
        <v>0.96699999999999997</v>
      </c>
      <c r="F60" s="2">
        <v>1</v>
      </c>
    </row>
    <row r="61" spans="1:13" ht="14.25" customHeight="1">
      <c r="A61" s="2">
        <v>44</v>
      </c>
      <c r="B61" s="2">
        <v>60</v>
      </c>
      <c r="C61" s="2">
        <v>3</v>
      </c>
      <c r="D61" s="2">
        <v>1</v>
      </c>
      <c r="E61" s="2">
        <v>1.2789999999999999</v>
      </c>
      <c r="F61" s="2">
        <v>2</v>
      </c>
    </row>
    <row r="62" spans="1:13" ht="14.25" customHeight="1">
      <c r="A62" s="2">
        <v>44</v>
      </c>
      <c r="B62" s="2">
        <v>61</v>
      </c>
      <c r="C62" s="2">
        <v>2</v>
      </c>
      <c r="D62" s="2">
        <v>1</v>
      </c>
      <c r="E62" s="2">
        <v>0.621</v>
      </c>
      <c r="F62" s="2">
        <v>2</v>
      </c>
    </row>
    <row r="63" spans="1:13" ht="14.25" customHeight="1">
      <c r="A63" s="2">
        <v>44</v>
      </c>
      <c r="B63" s="2">
        <v>62</v>
      </c>
      <c r="C63" s="2">
        <v>6</v>
      </c>
      <c r="D63" s="2">
        <v>1</v>
      </c>
      <c r="E63" s="2">
        <v>1.0589999999999999</v>
      </c>
      <c r="F63" s="2">
        <v>2</v>
      </c>
    </row>
    <row r="64" spans="1:13" ht="14.25" customHeight="1">
      <c r="A64" s="2">
        <v>44</v>
      </c>
      <c r="B64" s="2">
        <v>63</v>
      </c>
      <c r="C64" s="2">
        <v>7</v>
      </c>
      <c r="D64" s="2">
        <v>1</v>
      </c>
      <c r="E64" s="2">
        <v>1.3919999999999999</v>
      </c>
      <c r="F64" s="2">
        <v>2</v>
      </c>
    </row>
    <row r="65" spans="1:6" ht="14.25" customHeight="1">
      <c r="A65" s="2">
        <v>44</v>
      </c>
      <c r="B65" s="2">
        <v>64</v>
      </c>
      <c r="C65" s="2">
        <v>3</v>
      </c>
      <c r="D65" s="2">
        <v>1</v>
      </c>
      <c r="E65" s="2">
        <v>0.78600000000000003</v>
      </c>
      <c r="F65" s="2">
        <v>1</v>
      </c>
    </row>
    <row r="66" spans="1:6" ht="14.25" customHeight="1">
      <c r="A66" s="2">
        <v>44</v>
      </c>
      <c r="B66" s="2">
        <v>65</v>
      </c>
      <c r="C66" s="2">
        <v>5</v>
      </c>
      <c r="D66" s="2">
        <v>1</v>
      </c>
      <c r="E66" s="2">
        <v>0.86199999999999999</v>
      </c>
      <c r="F66" s="2">
        <v>2</v>
      </c>
    </row>
    <row r="67" spans="1:6" ht="14.25" customHeight="1">
      <c r="A67" s="2">
        <v>44</v>
      </c>
      <c r="B67" s="2">
        <v>66</v>
      </c>
      <c r="C67" s="2">
        <v>4</v>
      </c>
      <c r="D67" s="2">
        <v>1</v>
      </c>
      <c r="E67" s="2">
        <v>1.133</v>
      </c>
      <c r="F67" s="2">
        <v>2</v>
      </c>
    </row>
    <row r="68" spans="1:6" ht="14.25" customHeight="1">
      <c r="A68" s="2">
        <v>44</v>
      </c>
      <c r="B68" s="2">
        <v>67</v>
      </c>
      <c r="C68" s="2">
        <v>6</v>
      </c>
      <c r="D68" s="2">
        <v>1</v>
      </c>
      <c r="E68" s="2">
        <v>0.91500000000000004</v>
      </c>
      <c r="F68" s="2">
        <v>1</v>
      </c>
    </row>
    <row r="69" spans="1:6" ht="14.25" customHeight="1">
      <c r="A69" s="2">
        <v>44</v>
      </c>
      <c r="B69" s="2">
        <v>68</v>
      </c>
      <c r="C69" s="2">
        <v>5</v>
      </c>
      <c r="D69" s="2">
        <v>0</v>
      </c>
      <c r="E69" s="2">
        <v>1.6080000000000001</v>
      </c>
      <c r="F69" s="2">
        <v>2</v>
      </c>
    </row>
    <row r="70" spans="1:6" ht="14.25" customHeight="1">
      <c r="A70" s="2">
        <v>44</v>
      </c>
      <c r="B70" s="2">
        <v>69</v>
      </c>
      <c r="C70" s="2">
        <v>4</v>
      </c>
      <c r="D70" s="2">
        <v>0</v>
      </c>
      <c r="E70" s="2">
        <v>1.4219999999999999</v>
      </c>
      <c r="F70" s="2">
        <v>2</v>
      </c>
    </row>
    <row r="71" spans="1:6" ht="14.25" customHeight="1">
      <c r="A71" s="2">
        <v>44</v>
      </c>
      <c r="B71" s="2">
        <v>70</v>
      </c>
      <c r="C71" s="2">
        <v>6</v>
      </c>
      <c r="D71" s="2">
        <v>1</v>
      </c>
      <c r="E71" s="2">
        <v>1.54</v>
      </c>
      <c r="F71" s="2">
        <v>2</v>
      </c>
    </row>
    <row r="72" spans="1:6" ht="14.25" customHeight="1">
      <c r="A72" s="2">
        <v>44</v>
      </c>
      <c r="B72" s="2">
        <v>71</v>
      </c>
      <c r="C72" s="2">
        <v>7</v>
      </c>
      <c r="D72" s="2">
        <v>1</v>
      </c>
      <c r="E72" s="2">
        <v>0.80200000000000005</v>
      </c>
      <c r="F72" s="2">
        <v>2</v>
      </c>
    </row>
    <row r="73" spans="1:6" ht="14.25" customHeight="1">
      <c r="A73" s="2">
        <v>44</v>
      </c>
      <c r="B73" s="2">
        <v>72</v>
      </c>
      <c r="C73" s="2">
        <v>6</v>
      </c>
      <c r="D73" s="2">
        <v>1</v>
      </c>
      <c r="E73" s="2">
        <v>0.81899999999999995</v>
      </c>
      <c r="F73" s="2">
        <v>1</v>
      </c>
    </row>
    <row r="74" spans="1:6" ht="14.25" customHeight="1">
      <c r="A74" s="2">
        <v>44</v>
      </c>
      <c r="B74" s="2">
        <v>73</v>
      </c>
      <c r="C74" s="2">
        <v>2</v>
      </c>
      <c r="D74" s="2">
        <v>1</v>
      </c>
      <c r="E74" s="2">
        <v>0.66900000000000004</v>
      </c>
      <c r="F74" s="2">
        <v>1</v>
      </c>
    </row>
    <row r="75" spans="1:6" ht="14.25" customHeight="1">
      <c r="A75" s="2">
        <v>44</v>
      </c>
      <c r="B75" s="2">
        <v>74</v>
      </c>
      <c r="C75" s="2">
        <v>4</v>
      </c>
      <c r="D75" s="2">
        <v>0</v>
      </c>
      <c r="E75" s="2">
        <v>0.73799999999999999</v>
      </c>
      <c r="F75" s="2">
        <v>1</v>
      </c>
    </row>
    <row r="76" spans="1:6" ht="14.25" customHeight="1">
      <c r="A76" s="2">
        <v>44</v>
      </c>
      <c r="B76" s="2">
        <v>75</v>
      </c>
      <c r="C76" s="2">
        <v>1</v>
      </c>
      <c r="D76" s="2">
        <v>1</v>
      </c>
      <c r="E76" s="2">
        <v>1.6419999999999999</v>
      </c>
      <c r="F76" s="2">
        <v>2</v>
      </c>
    </row>
    <row r="77" spans="1:6" ht="14.25" customHeight="1">
      <c r="A77" s="2">
        <v>44</v>
      </c>
      <c r="B77" s="2">
        <v>76</v>
      </c>
      <c r="C77" s="2">
        <v>3</v>
      </c>
      <c r="D77" s="2">
        <v>0</v>
      </c>
      <c r="E77" s="2">
        <v>0.78600000000000003</v>
      </c>
      <c r="F77" s="2">
        <v>2</v>
      </c>
    </row>
    <row r="78" spans="1:6" ht="14.25" customHeight="1">
      <c r="A78" s="2">
        <v>44</v>
      </c>
      <c r="B78" s="2">
        <v>77</v>
      </c>
      <c r="C78" s="2">
        <v>8</v>
      </c>
      <c r="D78" s="2">
        <v>1</v>
      </c>
      <c r="E78" s="2">
        <v>1.3069999999999999</v>
      </c>
      <c r="F78" s="2">
        <v>1</v>
      </c>
    </row>
    <row r="79" spans="1:6" ht="14.25" customHeight="1">
      <c r="A79" s="2">
        <v>44</v>
      </c>
      <c r="B79" s="2">
        <v>78</v>
      </c>
      <c r="C79" s="2">
        <v>7</v>
      </c>
      <c r="D79" s="2">
        <v>1</v>
      </c>
      <c r="E79" s="2">
        <v>1.1559999999999999</v>
      </c>
      <c r="F79" s="2">
        <v>2</v>
      </c>
    </row>
    <row r="80" spans="1:6" ht="14.25" customHeight="1">
      <c r="A80" s="2">
        <v>44</v>
      </c>
      <c r="B80" s="2">
        <v>79</v>
      </c>
      <c r="C80" s="2">
        <v>5</v>
      </c>
      <c r="D80" s="2">
        <v>1</v>
      </c>
      <c r="E80" s="2">
        <v>1.0740000000000001</v>
      </c>
      <c r="F80" s="2">
        <v>1</v>
      </c>
    </row>
    <row r="81" spans="1:6" ht="14.25" customHeight="1">
      <c r="A81" s="2">
        <v>44</v>
      </c>
      <c r="B81" s="2">
        <v>80</v>
      </c>
      <c r="C81" s="2">
        <v>2</v>
      </c>
      <c r="D81" s="2">
        <v>1</v>
      </c>
      <c r="E81" s="2">
        <v>0.85599999999999998</v>
      </c>
      <c r="F81" s="2">
        <v>2</v>
      </c>
    </row>
    <row r="82" spans="1:6" ht="14.25" customHeight="1">
      <c r="A82" s="2">
        <v>44</v>
      </c>
      <c r="B82" s="2">
        <v>81</v>
      </c>
      <c r="C82" s="2">
        <v>5</v>
      </c>
      <c r="D82" s="2">
        <v>1</v>
      </c>
      <c r="E82" s="2">
        <v>1.0029999999999999</v>
      </c>
      <c r="F82" s="2">
        <v>1</v>
      </c>
    </row>
    <row r="83" spans="1:6" ht="14.25" customHeight="1">
      <c r="A83" s="2">
        <v>44</v>
      </c>
      <c r="B83" s="2">
        <v>82</v>
      </c>
      <c r="C83" s="2">
        <v>3</v>
      </c>
      <c r="D83" s="2">
        <v>1</v>
      </c>
      <c r="E83" s="2">
        <v>1.284</v>
      </c>
      <c r="F83" s="2">
        <v>2</v>
      </c>
    </row>
    <row r="84" spans="1:6" ht="14.25" customHeight="1">
      <c r="A84" s="2">
        <v>44</v>
      </c>
      <c r="B84" s="2">
        <v>83</v>
      </c>
      <c r="C84" s="2">
        <v>8</v>
      </c>
      <c r="D84" s="2">
        <v>1</v>
      </c>
      <c r="E84" s="2">
        <v>1.212</v>
      </c>
      <c r="F84" s="2">
        <v>1</v>
      </c>
    </row>
    <row r="85" spans="1:6" ht="14.25" customHeight="1">
      <c r="A85" s="2">
        <v>44</v>
      </c>
      <c r="B85" s="2">
        <v>84</v>
      </c>
      <c r="C85" s="2">
        <v>1</v>
      </c>
      <c r="D85" s="2">
        <v>1</v>
      </c>
      <c r="E85" s="2">
        <v>0.95299999999999996</v>
      </c>
      <c r="F85" s="2">
        <v>1</v>
      </c>
    </row>
    <row r="86" spans="1:6" ht="14.25" customHeight="1">
      <c r="A86" s="2">
        <v>44</v>
      </c>
      <c r="B86" s="2">
        <v>85</v>
      </c>
      <c r="C86" s="2">
        <v>3</v>
      </c>
      <c r="D86" s="2">
        <v>1</v>
      </c>
      <c r="E86" s="2">
        <v>1.498</v>
      </c>
      <c r="F86" s="2">
        <v>1</v>
      </c>
    </row>
    <row r="87" spans="1:6" ht="14.25" customHeight="1">
      <c r="A87" s="2">
        <v>44</v>
      </c>
      <c r="B87" s="2">
        <v>86</v>
      </c>
      <c r="C87" s="2">
        <v>4</v>
      </c>
      <c r="D87" s="2">
        <v>1</v>
      </c>
      <c r="E87" s="2">
        <v>1.242</v>
      </c>
      <c r="F87" s="2">
        <v>2</v>
      </c>
    </row>
    <row r="88" spans="1:6" ht="14.25" customHeight="1">
      <c r="A88" s="2">
        <v>44</v>
      </c>
      <c r="B88" s="2">
        <v>87</v>
      </c>
      <c r="C88" s="2">
        <v>7</v>
      </c>
      <c r="D88" s="2">
        <v>1</v>
      </c>
      <c r="E88" s="2">
        <v>1.1919999999999999</v>
      </c>
      <c r="F88" s="2">
        <v>1</v>
      </c>
    </row>
    <row r="89" spans="1:6" ht="14.25" customHeight="1">
      <c r="A89" s="2">
        <v>44</v>
      </c>
      <c r="B89" s="2">
        <v>88</v>
      </c>
      <c r="C89" s="2">
        <v>8</v>
      </c>
      <c r="D89" s="2">
        <v>1</v>
      </c>
      <c r="E89" s="2">
        <v>1.4039999999999999</v>
      </c>
      <c r="F89" s="2">
        <v>2</v>
      </c>
    </row>
    <row r="90" spans="1:6" ht="14.25" customHeight="1">
      <c r="A90" s="2">
        <v>44</v>
      </c>
      <c r="B90" s="2">
        <v>89</v>
      </c>
      <c r="C90" s="2">
        <v>1</v>
      </c>
      <c r="D90" s="2">
        <v>0</v>
      </c>
      <c r="E90" s="2">
        <v>0.97699999999999998</v>
      </c>
      <c r="F90" s="2">
        <v>1</v>
      </c>
    </row>
    <row r="91" spans="1:6" ht="14.25" customHeight="1">
      <c r="A91" s="2">
        <v>44</v>
      </c>
      <c r="B91" s="2">
        <v>90</v>
      </c>
      <c r="C91" s="2">
        <v>2</v>
      </c>
      <c r="D91" s="2">
        <v>0</v>
      </c>
      <c r="E91" s="2">
        <v>1.667</v>
      </c>
      <c r="F91" s="2">
        <v>2</v>
      </c>
    </row>
    <row r="92" spans="1:6" ht="14.25" customHeight="1">
      <c r="A92" s="2">
        <v>44</v>
      </c>
      <c r="B92" s="2">
        <v>91</v>
      </c>
      <c r="C92" s="2">
        <v>7</v>
      </c>
      <c r="D92" s="2">
        <v>1</v>
      </c>
      <c r="E92" s="2">
        <v>0.96299999999999997</v>
      </c>
      <c r="F92" s="2">
        <v>1</v>
      </c>
    </row>
    <row r="93" spans="1:6" ht="14.25" customHeight="1">
      <c r="A93" s="2">
        <v>44</v>
      </c>
      <c r="B93" s="2">
        <v>92</v>
      </c>
      <c r="C93" s="2">
        <v>5</v>
      </c>
      <c r="D93" s="2">
        <v>1</v>
      </c>
      <c r="E93" s="2">
        <v>1.33</v>
      </c>
      <c r="F93" s="2">
        <v>2</v>
      </c>
    </row>
    <row r="94" spans="1:6" ht="14.25" customHeight="1">
      <c r="A94" s="2">
        <v>44</v>
      </c>
      <c r="B94" s="2">
        <v>93</v>
      </c>
      <c r="C94" s="2">
        <v>1</v>
      </c>
      <c r="D94" s="2">
        <v>1</v>
      </c>
      <c r="E94" s="2">
        <v>1.6479999999999999</v>
      </c>
      <c r="F94" s="2">
        <v>1</v>
      </c>
    </row>
    <row r="95" spans="1:6" ht="14.25" customHeight="1">
      <c r="A95" s="2">
        <v>44</v>
      </c>
      <c r="B95" s="2">
        <v>94</v>
      </c>
      <c r="C95" s="2">
        <v>8</v>
      </c>
      <c r="D95" s="2">
        <v>0</v>
      </c>
      <c r="E95" s="2">
        <v>1.1379999999999999</v>
      </c>
      <c r="F95" s="2">
        <v>1</v>
      </c>
    </row>
    <row r="96" spans="1:6" ht="14.25" customHeight="1">
      <c r="A96" s="2">
        <v>44</v>
      </c>
      <c r="B96" s="2">
        <v>95</v>
      </c>
      <c r="C96" s="2">
        <v>2</v>
      </c>
      <c r="D96" s="2">
        <v>1</v>
      </c>
      <c r="E96" s="2">
        <v>1.4410000000000001</v>
      </c>
      <c r="F96" s="2">
        <v>2</v>
      </c>
    </row>
    <row r="97" spans="1:6" ht="14.25" customHeight="1">
      <c r="A97" s="2">
        <v>44</v>
      </c>
      <c r="B97" s="2">
        <v>96</v>
      </c>
      <c r="C97" s="2">
        <v>3</v>
      </c>
      <c r="D97" s="2">
        <v>0</v>
      </c>
      <c r="E97" s="2">
        <v>1.4590000000000001</v>
      </c>
      <c r="F97" s="2">
        <v>2</v>
      </c>
    </row>
    <row r="98" spans="1:6" ht="14.25" customHeight="1">
      <c r="A98" s="2">
        <v>44</v>
      </c>
      <c r="B98" s="2">
        <v>97</v>
      </c>
      <c r="C98" s="2">
        <v>8</v>
      </c>
      <c r="D98" s="2">
        <v>1</v>
      </c>
      <c r="E98" s="2">
        <v>1.7969999999999999</v>
      </c>
      <c r="F98" s="2">
        <v>2</v>
      </c>
    </row>
    <row r="99" spans="1:6" ht="14.25" customHeight="1">
      <c r="A99" s="2">
        <v>44</v>
      </c>
      <c r="B99" s="2">
        <v>98</v>
      </c>
      <c r="C99" s="2">
        <v>2</v>
      </c>
      <c r="D99" s="2">
        <v>1</v>
      </c>
      <c r="E99" s="2">
        <v>1.6639999999999999</v>
      </c>
      <c r="F99" s="2">
        <v>2</v>
      </c>
    </row>
    <row r="100" spans="1:6" ht="14.25" customHeight="1">
      <c r="A100" s="2">
        <v>44</v>
      </c>
      <c r="B100" s="2">
        <v>99</v>
      </c>
      <c r="C100" s="2">
        <v>7</v>
      </c>
      <c r="D100" s="2">
        <v>1</v>
      </c>
      <c r="E100" s="2">
        <v>1.4259999999999999</v>
      </c>
      <c r="F100" s="2">
        <v>2</v>
      </c>
    </row>
    <row r="101" spans="1:6" ht="14.25" customHeight="1">
      <c r="A101" s="2">
        <v>44</v>
      </c>
      <c r="B101" s="2">
        <v>100</v>
      </c>
      <c r="C101" s="2">
        <v>6</v>
      </c>
      <c r="D101" s="2">
        <v>0</v>
      </c>
      <c r="E101" s="2">
        <v>1.798</v>
      </c>
      <c r="F101" s="2">
        <v>2</v>
      </c>
    </row>
    <row r="102" spans="1:6" ht="14.25" customHeight="1">
      <c r="A102" s="2">
        <v>44</v>
      </c>
      <c r="B102" s="2">
        <v>101</v>
      </c>
      <c r="C102" s="2">
        <v>8</v>
      </c>
      <c r="D102" s="2">
        <v>0</v>
      </c>
      <c r="E102" s="2">
        <v>0.98899999999999999</v>
      </c>
      <c r="F102" s="2">
        <v>2</v>
      </c>
    </row>
    <row r="103" spans="1:6" ht="14.25" customHeight="1">
      <c r="A103" s="2">
        <v>44</v>
      </c>
      <c r="B103" s="2">
        <v>102</v>
      </c>
      <c r="C103" s="2">
        <v>2</v>
      </c>
      <c r="D103" s="2">
        <v>1</v>
      </c>
      <c r="E103" s="2">
        <v>0.64100000000000001</v>
      </c>
      <c r="F103" s="2">
        <v>1</v>
      </c>
    </row>
    <row r="104" spans="1:6" ht="14.25" customHeight="1">
      <c r="A104" s="2">
        <v>44</v>
      </c>
      <c r="B104" s="2">
        <v>103</v>
      </c>
      <c r="C104" s="2">
        <v>6</v>
      </c>
      <c r="D104" s="2">
        <v>1</v>
      </c>
      <c r="E104" s="2">
        <v>1.069</v>
      </c>
      <c r="F104" s="2">
        <v>2</v>
      </c>
    </row>
    <row r="105" spans="1:6" ht="14.25" customHeight="1">
      <c r="A105" s="2">
        <v>44</v>
      </c>
      <c r="B105" s="2">
        <v>104</v>
      </c>
      <c r="C105" s="2">
        <v>3</v>
      </c>
      <c r="D105" s="2">
        <v>1</v>
      </c>
      <c r="E105" s="2">
        <v>1.3859999999999999</v>
      </c>
      <c r="F105" s="2">
        <v>1</v>
      </c>
    </row>
    <row r="106" spans="1:6" ht="14.25" customHeight="1">
      <c r="A106" s="2">
        <v>44</v>
      </c>
      <c r="B106" s="2">
        <v>105</v>
      </c>
      <c r="C106" s="2">
        <v>4</v>
      </c>
      <c r="D106" s="2">
        <v>1</v>
      </c>
      <c r="E106" s="2">
        <v>0.91200000000000003</v>
      </c>
      <c r="F106" s="2">
        <v>2</v>
      </c>
    </row>
    <row r="107" spans="1:6" ht="14.25" customHeight="1">
      <c r="A107" s="2">
        <v>44</v>
      </c>
      <c r="B107" s="2">
        <v>106</v>
      </c>
      <c r="C107" s="2">
        <v>7</v>
      </c>
      <c r="D107" s="2">
        <v>0</v>
      </c>
      <c r="E107" s="2">
        <v>1.17</v>
      </c>
      <c r="F107" s="2">
        <v>1</v>
      </c>
    </row>
    <row r="108" spans="1:6" ht="14.25" customHeight="1">
      <c r="A108" s="2">
        <v>44</v>
      </c>
      <c r="B108" s="2">
        <v>107</v>
      </c>
      <c r="C108" s="2">
        <v>8</v>
      </c>
      <c r="D108" s="2">
        <v>1</v>
      </c>
      <c r="E108" s="2">
        <v>1.4</v>
      </c>
      <c r="F108" s="2">
        <v>1</v>
      </c>
    </row>
    <row r="109" spans="1:6" ht="14.25" customHeight="1">
      <c r="A109" s="2">
        <v>44</v>
      </c>
      <c r="B109" s="2">
        <v>108</v>
      </c>
      <c r="C109" s="2">
        <v>7</v>
      </c>
      <c r="D109" s="2">
        <v>1</v>
      </c>
      <c r="E109" s="2">
        <v>0.89200000000000002</v>
      </c>
      <c r="F109" s="2">
        <v>1</v>
      </c>
    </row>
    <row r="110" spans="1:6" ht="14.25" customHeight="1">
      <c r="A110" s="2">
        <v>44</v>
      </c>
      <c r="B110" s="2">
        <v>109</v>
      </c>
      <c r="C110" s="2">
        <v>4</v>
      </c>
      <c r="D110" s="2">
        <v>1</v>
      </c>
      <c r="E110" s="2">
        <v>0.78900000000000003</v>
      </c>
      <c r="F110" s="2">
        <v>1</v>
      </c>
    </row>
    <row r="111" spans="1:6" ht="14.25" customHeight="1">
      <c r="A111" s="2">
        <v>44</v>
      </c>
      <c r="B111" s="2">
        <v>110</v>
      </c>
      <c r="C111" s="2">
        <v>7</v>
      </c>
      <c r="D111" s="2">
        <v>1</v>
      </c>
      <c r="E111" s="2">
        <v>1.337</v>
      </c>
      <c r="F111" s="2">
        <v>2</v>
      </c>
    </row>
    <row r="112" spans="1:6" ht="14.25" customHeight="1">
      <c r="A112" s="2">
        <v>44</v>
      </c>
      <c r="B112" s="2">
        <v>111</v>
      </c>
      <c r="C112" s="2">
        <v>8</v>
      </c>
      <c r="D112" s="2">
        <v>1</v>
      </c>
      <c r="E112" s="2">
        <v>0.748</v>
      </c>
      <c r="F112" s="2">
        <v>2</v>
      </c>
    </row>
    <row r="113" spans="1:6" ht="14.25" customHeight="1">
      <c r="A113" s="2">
        <v>44</v>
      </c>
      <c r="B113" s="2">
        <v>112</v>
      </c>
      <c r="C113" s="2">
        <v>2</v>
      </c>
      <c r="D113" s="2">
        <v>1</v>
      </c>
      <c r="E113" s="2">
        <v>0.77</v>
      </c>
      <c r="F113" s="2">
        <v>2</v>
      </c>
    </row>
    <row r="114" spans="1:6" ht="14.25" customHeight="1">
      <c r="A114" s="2">
        <v>44</v>
      </c>
      <c r="B114" s="2">
        <v>113</v>
      </c>
      <c r="C114" s="2">
        <v>3</v>
      </c>
      <c r="D114" s="2">
        <v>1</v>
      </c>
      <c r="E114" s="2">
        <v>0.85599999999999998</v>
      </c>
      <c r="F114" s="2">
        <v>2</v>
      </c>
    </row>
    <row r="115" spans="1:6" ht="14.25" customHeight="1">
      <c r="A115" s="2">
        <v>44</v>
      </c>
      <c r="B115" s="2">
        <v>114</v>
      </c>
      <c r="C115" s="2">
        <v>5</v>
      </c>
      <c r="D115" s="2">
        <v>1</v>
      </c>
      <c r="E115" s="2">
        <v>0.66400000000000003</v>
      </c>
      <c r="F115" s="2">
        <v>1</v>
      </c>
    </row>
    <row r="116" spans="1:6" ht="14.25" customHeight="1">
      <c r="A116" s="2">
        <v>44</v>
      </c>
      <c r="B116" s="2">
        <v>115</v>
      </c>
      <c r="C116" s="2">
        <v>3</v>
      </c>
      <c r="D116" s="2">
        <v>1</v>
      </c>
      <c r="E116" s="2">
        <v>0.89300000000000002</v>
      </c>
      <c r="F116" s="2">
        <v>2</v>
      </c>
    </row>
    <row r="117" spans="1:6" ht="14.25" customHeight="1">
      <c r="A117" s="2">
        <v>44</v>
      </c>
      <c r="B117" s="2">
        <v>116</v>
      </c>
      <c r="C117" s="2">
        <v>8</v>
      </c>
      <c r="D117" s="2">
        <v>1</v>
      </c>
      <c r="E117" s="2">
        <v>0.76900000000000002</v>
      </c>
      <c r="F117" s="2">
        <v>2</v>
      </c>
    </row>
    <row r="118" spans="1:6" ht="14.25" customHeight="1">
      <c r="A118" s="2">
        <v>44</v>
      </c>
      <c r="B118" s="2">
        <v>117</v>
      </c>
      <c r="C118" s="2">
        <v>6</v>
      </c>
      <c r="D118" s="2">
        <v>1</v>
      </c>
      <c r="E118" s="2">
        <v>0.83799999999999997</v>
      </c>
      <c r="F118" s="2">
        <v>1</v>
      </c>
    </row>
    <row r="119" spans="1:6" ht="14.25" customHeight="1">
      <c r="A119" s="2">
        <v>44</v>
      </c>
      <c r="B119" s="2">
        <v>118</v>
      </c>
      <c r="C119" s="2">
        <v>2</v>
      </c>
      <c r="D119" s="2">
        <v>0</v>
      </c>
      <c r="E119" s="2">
        <v>1.4379999999999999</v>
      </c>
      <c r="F119" s="2">
        <v>2</v>
      </c>
    </row>
    <row r="120" spans="1:6" ht="14.25" customHeight="1">
      <c r="A120" s="2">
        <v>44</v>
      </c>
      <c r="B120" s="2">
        <v>119</v>
      </c>
      <c r="C120" s="2">
        <v>8</v>
      </c>
      <c r="D120" s="2">
        <v>0</v>
      </c>
      <c r="E120" s="2">
        <v>1.599</v>
      </c>
      <c r="F120" s="2">
        <v>2</v>
      </c>
    </row>
    <row r="121" spans="1:6" ht="14.25" customHeight="1">
      <c r="A121" s="2">
        <v>44</v>
      </c>
      <c r="B121" s="2">
        <v>120</v>
      </c>
      <c r="C121" s="2">
        <v>5</v>
      </c>
      <c r="D121" s="2">
        <v>0</v>
      </c>
      <c r="E121" s="2">
        <v>1.5269999999999999</v>
      </c>
      <c r="F121" s="2">
        <v>1</v>
      </c>
    </row>
    <row r="122" spans="1:6" ht="14.25" customHeight="1">
      <c r="A122" s="2">
        <v>44</v>
      </c>
      <c r="B122" s="2">
        <v>121</v>
      </c>
      <c r="C122" s="2">
        <v>4</v>
      </c>
      <c r="D122" s="2">
        <v>1</v>
      </c>
      <c r="E122" s="2">
        <v>1.3380000000000001</v>
      </c>
      <c r="F122" s="2">
        <v>2</v>
      </c>
    </row>
    <row r="123" spans="1:6" ht="14.25" customHeight="1">
      <c r="A123" s="2">
        <v>44</v>
      </c>
      <c r="B123" s="2">
        <v>122</v>
      </c>
      <c r="C123" s="2">
        <v>2</v>
      </c>
      <c r="D123" s="2">
        <v>1</v>
      </c>
      <c r="E123" s="2">
        <v>1.08</v>
      </c>
      <c r="F123" s="2">
        <v>1</v>
      </c>
    </row>
    <row r="124" spans="1:6" ht="14.25" customHeight="1">
      <c r="A124" s="2">
        <v>44</v>
      </c>
      <c r="B124" s="2">
        <v>123</v>
      </c>
      <c r="C124" s="2">
        <v>7</v>
      </c>
      <c r="D124" s="2">
        <v>1</v>
      </c>
      <c r="E124" s="2">
        <v>0.81699999999999995</v>
      </c>
      <c r="F124" s="2">
        <v>1</v>
      </c>
    </row>
    <row r="125" spans="1:6" ht="14.25" customHeight="1">
      <c r="A125" s="2">
        <v>44</v>
      </c>
      <c r="B125" s="2">
        <v>124</v>
      </c>
      <c r="C125" s="2">
        <v>2</v>
      </c>
      <c r="D125" s="2">
        <v>0</v>
      </c>
      <c r="E125" s="2">
        <v>0.77800000000000002</v>
      </c>
      <c r="F125" s="2">
        <v>1</v>
      </c>
    </row>
    <row r="126" spans="1:6" ht="14.25" customHeight="1">
      <c r="A126" s="2">
        <v>44</v>
      </c>
      <c r="B126" s="2">
        <v>125</v>
      </c>
      <c r="C126" s="2">
        <v>1</v>
      </c>
      <c r="D126" s="2">
        <v>1</v>
      </c>
      <c r="E126" s="2">
        <v>1.452</v>
      </c>
      <c r="F126" s="2">
        <v>2</v>
      </c>
    </row>
    <row r="127" spans="1:6" ht="14.25" customHeight="1">
      <c r="A127" s="2">
        <v>44</v>
      </c>
      <c r="B127" s="2">
        <v>126</v>
      </c>
      <c r="C127" s="2">
        <v>3</v>
      </c>
      <c r="D127" s="2">
        <v>0</v>
      </c>
      <c r="E127" s="2">
        <v>0.72399999999999998</v>
      </c>
      <c r="F127" s="2">
        <v>2</v>
      </c>
    </row>
    <row r="128" spans="1:6" ht="14.25" customHeight="1">
      <c r="A128" s="2">
        <v>44</v>
      </c>
      <c r="B128" s="2">
        <v>127</v>
      </c>
      <c r="C128" s="2">
        <v>7</v>
      </c>
      <c r="D128" s="2">
        <v>1</v>
      </c>
      <c r="E128" s="2">
        <v>0.61699999999999999</v>
      </c>
      <c r="F128" s="2">
        <v>1</v>
      </c>
    </row>
    <row r="129" spans="1:6" ht="14.25" customHeight="1">
      <c r="A129" s="2">
        <v>44</v>
      </c>
      <c r="B129" s="2">
        <v>128</v>
      </c>
      <c r="C129" s="2">
        <v>5</v>
      </c>
      <c r="D129" s="2">
        <v>1</v>
      </c>
      <c r="E129" s="2">
        <v>1.0640000000000001</v>
      </c>
      <c r="F129" s="2">
        <v>2</v>
      </c>
    </row>
    <row r="130" spans="1:6" ht="14.25" customHeight="1">
      <c r="A130" s="2">
        <v>44</v>
      </c>
      <c r="B130" s="2">
        <v>129</v>
      </c>
      <c r="C130" s="2">
        <v>4</v>
      </c>
      <c r="D130" s="2">
        <v>1</v>
      </c>
      <c r="E130" s="2">
        <v>1.048</v>
      </c>
      <c r="F130" s="2">
        <v>1</v>
      </c>
    </row>
    <row r="131" spans="1:6" ht="14.25" customHeight="1">
      <c r="A131" s="2">
        <v>44</v>
      </c>
      <c r="B131" s="2">
        <v>130</v>
      </c>
      <c r="C131" s="2">
        <v>6</v>
      </c>
      <c r="D131" s="2">
        <v>1</v>
      </c>
      <c r="E131" s="2">
        <v>0.89</v>
      </c>
      <c r="F131" s="2">
        <v>2</v>
      </c>
    </row>
    <row r="132" spans="1:6" ht="14.25" customHeight="1">
      <c r="A132" s="2">
        <v>44</v>
      </c>
      <c r="B132" s="2">
        <v>131</v>
      </c>
      <c r="C132" s="2">
        <v>1</v>
      </c>
      <c r="D132" s="2">
        <v>1</v>
      </c>
      <c r="E132" s="2">
        <v>1.2649999999999999</v>
      </c>
      <c r="F132" s="2">
        <v>1</v>
      </c>
    </row>
    <row r="133" spans="1:6" ht="14.25" customHeight="1">
      <c r="A133" s="2">
        <v>44</v>
      </c>
      <c r="B133" s="2">
        <v>132</v>
      </c>
      <c r="C133" s="2">
        <v>7</v>
      </c>
      <c r="D133" s="2">
        <v>1</v>
      </c>
      <c r="E133" s="2">
        <v>1.123</v>
      </c>
      <c r="F133" s="2">
        <v>2</v>
      </c>
    </row>
    <row r="134" spans="1:6" ht="14.25" customHeight="1">
      <c r="A134" s="2">
        <v>44</v>
      </c>
      <c r="B134" s="2">
        <v>133</v>
      </c>
      <c r="C134" s="2">
        <v>1</v>
      </c>
      <c r="D134" s="2">
        <v>1</v>
      </c>
      <c r="E134" s="2">
        <v>1.002</v>
      </c>
      <c r="F134" s="2">
        <v>1</v>
      </c>
    </row>
    <row r="135" spans="1:6" ht="14.25" customHeight="1">
      <c r="A135" s="2">
        <v>44</v>
      </c>
      <c r="B135" s="2">
        <v>134</v>
      </c>
      <c r="C135" s="2">
        <v>6</v>
      </c>
      <c r="D135" s="2">
        <v>1</v>
      </c>
      <c r="E135" s="2">
        <v>1.0069999999999999</v>
      </c>
      <c r="F135" s="2">
        <v>1</v>
      </c>
    </row>
    <row r="136" spans="1:6" ht="14.25" customHeight="1">
      <c r="A136" s="2">
        <v>44</v>
      </c>
      <c r="B136" s="2">
        <v>135</v>
      </c>
      <c r="C136" s="2">
        <v>5</v>
      </c>
      <c r="D136" s="2">
        <v>1</v>
      </c>
      <c r="E136" s="2">
        <v>0.85699999999999998</v>
      </c>
      <c r="F136" s="2">
        <v>1</v>
      </c>
    </row>
    <row r="137" spans="1:6" ht="14.25" customHeight="1">
      <c r="A137" s="2">
        <v>44</v>
      </c>
      <c r="B137" s="2">
        <v>136</v>
      </c>
      <c r="C137" s="2">
        <v>4</v>
      </c>
      <c r="D137" s="2">
        <v>0</v>
      </c>
      <c r="E137" s="2">
        <v>1.234</v>
      </c>
      <c r="F137" s="2">
        <v>1</v>
      </c>
    </row>
    <row r="138" spans="1:6" ht="14.25" customHeight="1">
      <c r="A138" s="2">
        <v>44</v>
      </c>
      <c r="B138" s="2">
        <v>137</v>
      </c>
      <c r="C138" s="2">
        <v>1</v>
      </c>
      <c r="D138" s="2">
        <v>1</v>
      </c>
      <c r="E138" s="2">
        <v>1.85</v>
      </c>
      <c r="F138" s="2">
        <v>1</v>
      </c>
    </row>
    <row r="139" spans="1:6" ht="14.25" customHeight="1">
      <c r="A139" s="2">
        <v>44</v>
      </c>
      <c r="B139" s="2">
        <v>138</v>
      </c>
      <c r="C139" s="2">
        <v>8</v>
      </c>
      <c r="D139" s="2">
        <v>1</v>
      </c>
      <c r="E139" s="2">
        <v>1.1950000000000001</v>
      </c>
      <c r="F139" s="2">
        <v>2</v>
      </c>
    </row>
    <row r="140" spans="1:6" ht="14.25" customHeight="1">
      <c r="A140" s="2">
        <v>44</v>
      </c>
      <c r="B140" s="2">
        <v>139</v>
      </c>
      <c r="C140" s="2">
        <v>1</v>
      </c>
      <c r="D140" s="2">
        <v>1</v>
      </c>
      <c r="E140" s="2">
        <v>1.3740000000000001</v>
      </c>
      <c r="F140" s="2">
        <v>2</v>
      </c>
    </row>
    <row r="141" spans="1:6" ht="14.25" customHeight="1">
      <c r="A141" s="2">
        <v>44</v>
      </c>
      <c r="B141" s="2">
        <v>140</v>
      </c>
      <c r="C141" s="2">
        <v>5</v>
      </c>
      <c r="D141" s="2">
        <v>0</v>
      </c>
      <c r="E141" s="2">
        <v>0.873</v>
      </c>
      <c r="F141" s="2">
        <v>2</v>
      </c>
    </row>
    <row r="142" spans="1:6" ht="14.25" customHeight="1">
      <c r="A142" s="2">
        <v>44</v>
      </c>
      <c r="B142" s="2">
        <v>141</v>
      </c>
      <c r="C142" s="2">
        <v>2</v>
      </c>
      <c r="D142" s="2">
        <v>1</v>
      </c>
      <c r="E142" s="2">
        <v>1.45</v>
      </c>
      <c r="F142" s="2">
        <v>1</v>
      </c>
    </row>
    <row r="143" spans="1:6" ht="14.25" customHeight="1">
      <c r="A143" s="2">
        <v>44</v>
      </c>
      <c r="B143" s="2">
        <v>142</v>
      </c>
      <c r="C143" s="2">
        <v>1</v>
      </c>
      <c r="D143" s="2">
        <v>1</v>
      </c>
      <c r="E143" s="2">
        <v>0.90700000000000003</v>
      </c>
      <c r="F143" s="2">
        <v>2</v>
      </c>
    </row>
    <row r="144" spans="1:6" ht="14.25" customHeight="1">
      <c r="A144" s="2">
        <v>44</v>
      </c>
      <c r="B144" s="2">
        <v>143</v>
      </c>
      <c r="C144" s="2">
        <v>3</v>
      </c>
      <c r="D144" s="2">
        <v>1</v>
      </c>
      <c r="E144" s="2">
        <v>1.6439999999999999</v>
      </c>
      <c r="F144" s="2">
        <v>1</v>
      </c>
    </row>
    <row r="145" spans="1:6" ht="14.25" customHeight="1">
      <c r="A145" s="2">
        <v>44</v>
      </c>
      <c r="B145" s="2">
        <v>144</v>
      </c>
      <c r="C145" s="2">
        <v>5</v>
      </c>
      <c r="D145" s="2">
        <v>1</v>
      </c>
      <c r="E145" s="2">
        <v>1.042</v>
      </c>
      <c r="F145" s="2">
        <v>2</v>
      </c>
    </row>
    <row r="146" spans="1:6" ht="14.25" customHeight="1">
      <c r="A146" s="2">
        <v>44</v>
      </c>
      <c r="B146" s="2">
        <v>145</v>
      </c>
      <c r="C146" s="2">
        <v>8</v>
      </c>
      <c r="D146" s="2">
        <v>1</v>
      </c>
      <c r="E146" s="2">
        <v>0.92900000000000005</v>
      </c>
      <c r="F146" s="2">
        <v>2</v>
      </c>
    </row>
    <row r="147" spans="1:6" ht="14.25" customHeight="1">
      <c r="A147" s="2">
        <v>44</v>
      </c>
      <c r="B147" s="2">
        <v>146</v>
      </c>
      <c r="C147" s="2">
        <v>3</v>
      </c>
      <c r="D147" s="2">
        <v>0</v>
      </c>
      <c r="E147" s="2">
        <v>1.252</v>
      </c>
      <c r="F147" s="2">
        <v>2</v>
      </c>
    </row>
    <row r="148" spans="1:6" ht="14.25" customHeight="1">
      <c r="A148" s="2">
        <v>44</v>
      </c>
      <c r="B148" s="2">
        <v>147</v>
      </c>
      <c r="C148" s="2">
        <v>6</v>
      </c>
      <c r="D148" s="2">
        <v>1</v>
      </c>
      <c r="E148" s="2">
        <v>1.5309999999999999</v>
      </c>
      <c r="F148" s="2">
        <v>2</v>
      </c>
    </row>
    <row r="149" spans="1:6" ht="14.25" customHeight="1">
      <c r="A149" s="2">
        <v>44</v>
      </c>
      <c r="B149" s="2">
        <v>148</v>
      </c>
      <c r="C149" s="2">
        <v>4</v>
      </c>
      <c r="D149" s="2">
        <v>1</v>
      </c>
      <c r="E149" s="2">
        <v>1.1220000000000001</v>
      </c>
      <c r="F149" s="2">
        <v>2</v>
      </c>
    </row>
    <row r="150" spans="1:6" ht="14.25" customHeight="1">
      <c r="A150" s="2">
        <v>44</v>
      </c>
      <c r="B150" s="2">
        <v>149</v>
      </c>
      <c r="C150" s="2">
        <v>3</v>
      </c>
      <c r="D150" s="2">
        <v>1</v>
      </c>
      <c r="E150" s="2">
        <v>0.84199999999999997</v>
      </c>
      <c r="F150" s="2">
        <v>2</v>
      </c>
    </row>
    <row r="151" spans="1:6" ht="14.25" customHeight="1">
      <c r="A151" s="2">
        <v>44</v>
      </c>
      <c r="B151" s="2">
        <v>150</v>
      </c>
      <c r="C151" s="2">
        <v>6</v>
      </c>
      <c r="D151" s="2">
        <v>1</v>
      </c>
      <c r="E151" s="2">
        <v>1.597</v>
      </c>
      <c r="F151" s="2">
        <v>1</v>
      </c>
    </row>
    <row r="152" spans="1:6" ht="14.25" customHeight="1">
      <c r="A152" s="2">
        <v>44</v>
      </c>
      <c r="B152" s="2">
        <v>151</v>
      </c>
      <c r="C152" s="2">
        <v>7</v>
      </c>
      <c r="D152" s="2">
        <v>0</v>
      </c>
      <c r="E152" s="2">
        <v>1.579</v>
      </c>
      <c r="F152" s="2">
        <v>2</v>
      </c>
    </row>
    <row r="153" spans="1:6" ht="14.25" customHeight="1">
      <c r="A153" s="2">
        <v>44</v>
      </c>
      <c r="B153" s="2">
        <v>152</v>
      </c>
      <c r="C153" s="2">
        <v>8</v>
      </c>
      <c r="D153" s="2">
        <v>1</v>
      </c>
      <c r="E153" s="2">
        <v>1.1779999999999999</v>
      </c>
      <c r="F153" s="2">
        <v>1</v>
      </c>
    </row>
    <row r="154" spans="1:6" ht="14.25" customHeight="1">
      <c r="A154" s="2">
        <v>44</v>
      </c>
      <c r="B154" s="2">
        <v>153</v>
      </c>
      <c r="C154" s="2">
        <v>2</v>
      </c>
      <c r="D154" s="2">
        <v>1</v>
      </c>
      <c r="E154" s="2">
        <v>0.69899999999999995</v>
      </c>
      <c r="F154" s="2">
        <v>2</v>
      </c>
    </row>
    <row r="155" spans="1:6" ht="14.25" customHeight="1">
      <c r="A155" s="2">
        <v>44</v>
      </c>
      <c r="B155" s="2">
        <v>154</v>
      </c>
      <c r="C155" s="2">
        <v>4</v>
      </c>
      <c r="D155" s="2">
        <v>0</v>
      </c>
      <c r="E155" s="2">
        <v>1.3160000000000001</v>
      </c>
      <c r="F155" s="2">
        <v>2</v>
      </c>
    </row>
    <row r="156" spans="1:6" ht="14.25" customHeight="1">
      <c r="A156" s="2">
        <v>44</v>
      </c>
      <c r="B156" s="2">
        <v>155</v>
      </c>
      <c r="C156" s="2">
        <v>3</v>
      </c>
      <c r="D156" s="2">
        <v>1</v>
      </c>
      <c r="E156" s="2">
        <v>0.95599999999999996</v>
      </c>
      <c r="F156" s="2">
        <v>2</v>
      </c>
    </row>
    <row r="157" spans="1:6" ht="14.25" customHeight="1">
      <c r="A157" s="2">
        <v>44</v>
      </c>
      <c r="B157" s="2">
        <v>156</v>
      </c>
      <c r="C157" s="2">
        <v>7</v>
      </c>
      <c r="D157" s="2">
        <v>0</v>
      </c>
      <c r="E157" s="2">
        <v>1.714</v>
      </c>
      <c r="F157" s="2">
        <v>1</v>
      </c>
    </row>
    <row r="158" spans="1:6" ht="14.25" customHeight="1">
      <c r="A158" s="2">
        <v>44</v>
      </c>
      <c r="B158" s="2">
        <v>157</v>
      </c>
      <c r="C158" s="2">
        <v>8</v>
      </c>
      <c r="D158" s="2">
        <v>1</v>
      </c>
      <c r="E158" s="2">
        <v>1.4870000000000001</v>
      </c>
      <c r="F158" s="2">
        <v>1</v>
      </c>
    </row>
    <row r="159" spans="1:6" ht="14.25" customHeight="1">
      <c r="A159" s="2">
        <v>44</v>
      </c>
      <c r="B159" s="2">
        <v>158</v>
      </c>
      <c r="C159" s="2">
        <v>4</v>
      </c>
      <c r="D159" s="2">
        <v>0</v>
      </c>
      <c r="E159" s="2">
        <v>1.2330000000000001</v>
      </c>
      <c r="F159" s="2">
        <v>2</v>
      </c>
    </row>
    <row r="160" spans="1:6" ht="14.25" customHeight="1">
      <c r="A160" s="2">
        <v>44</v>
      </c>
      <c r="B160" s="2">
        <v>159</v>
      </c>
      <c r="C160" s="2">
        <v>6</v>
      </c>
      <c r="D160" s="2">
        <v>1</v>
      </c>
      <c r="E160" s="2">
        <v>1.25</v>
      </c>
      <c r="F160" s="2">
        <v>1</v>
      </c>
    </row>
    <row r="161" spans="1:6" ht="14.25" customHeight="1">
      <c r="A161" s="2">
        <v>44</v>
      </c>
      <c r="B161" s="2">
        <v>160</v>
      </c>
      <c r="C161" s="2">
        <v>2</v>
      </c>
      <c r="D161" s="2">
        <v>1</v>
      </c>
      <c r="E161" s="2">
        <v>1.135</v>
      </c>
      <c r="F161" s="2">
        <v>2</v>
      </c>
    </row>
    <row r="162" spans="1:6" ht="14.25" customHeight="1">
      <c r="A162" s="2">
        <v>44</v>
      </c>
      <c r="B162" s="2">
        <v>161</v>
      </c>
      <c r="C162" s="2">
        <v>8</v>
      </c>
      <c r="D162" s="2">
        <v>0</v>
      </c>
      <c r="E162" s="2">
        <v>1.7509999999999999</v>
      </c>
      <c r="F162" s="2">
        <v>1</v>
      </c>
    </row>
    <row r="163" spans="1:6" ht="14.25" customHeight="1">
      <c r="A163" s="2">
        <v>44</v>
      </c>
      <c r="B163" s="2">
        <v>162</v>
      </c>
      <c r="C163" s="2">
        <v>3</v>
      </c>
      <c r="D163" s="2">
        <v>1</v>
      </c>
      <c r="E163" s="2">
        <v>1.6080000000000001</v>
      </c>
      <c r="F163" s="2">
        <v>2</v>
      </c>
    </row>
    <row r="164" spans="1:6" ht="14.25" customHeight="1">
      <c r="A164" s="2">
        <v>44</v>
      </c>
      <c r="B164" s="2">
        <v>163</v>
      </c>
      <c r="C164" s="2">
        <v>6</v>
      </c>
      <c r="D164" s="2">
        <v>1</v>
      </c>
      <c r="E164" s="2">
        <v>0.93899999999999995</v>
      </c>
      <c r="F164" s="2">
        <v>2</v>
      </c>
    </row>
    <row r="165" spans="1:6" ht="14.25" customHeight="1">
      <c r="A165" s="2">
        <v>44</v>
      </c>
      <c r="B165" s="2">
        <v>164</v>
      </c>
      <c r="C165" s="2">
        <v>1</v>
      </c>
      <c r="D165" s="2">
        <v>1</v>
      </c>
      <c r="E165" s="2">
        <v>1.2470000000000001</v>
      </c>
      <c r="F165" s="2">
        <v>1</v>
      </c>
    </row>
    <row r="166" spans="1:6" ht="14.25" customHeight="1">
      <c r="A166" s="2">
        <v>44</v>
      </c>
      <c r="B166" s="2">
        <v>165</v>
      </c>
      <c r="C166" s="2">
        <v>7</v>
      </c>
      <c r="D166" s="2">
        <v>0</v>
      </c>
      <c r="E166" s="2">
        <v>1.5680000000000001</v>
      </c>
      <c r="F166" s="2">
        <v>1</v>
      </c>
    </row>
    <row r="167" spans="1:6" ht="14.25" customHeight="1">
      <c r="A167" s="2">
        <v>44</v>
      </c>
      <c r="B167" s="2">
        <v>166</v>
      </c>
      <c r="C167" s="2">
        <v>6</v>
      </c>
      <c r="D167" s="2">
        <v>1</v>
      </c>
      <c r="E167" s="2">
        <v>0.75600000000000001</v>
      </c>
      <c r="F167" s="2">
        <v>2</v>
      </c>
    </row>
    <row r="168" spans="1:6" ht="14.25" customHeight="1">
      <c r="A168" s="2">
        <v>44</v>
      </c>
      <c r="B168" s="2">
        <v>167</v>
      </c>
      <c r="C168" s="2">
        <v>8</v>
      </c>
      <c r="E168" s="2">
        <v>2</v>
      </c>
    </row>
    <row r="169" spans="1:6" ht="14.25" customHeight="1">
      <c r="A169" s="2">
        <v>44</v>
      </c>
      <c r="B169" s="2">
        <v>168</v>
      </c>
      <c r="C169" s="2">
        <v>4</v>
      </c>
      <c r="D169" s="2">
        <v>0</v>
      </c>
      <c r="E169" s="2">
        <v>1.321</v>
      </c>
      <c r="F169" s="2">
        <v>2</v>
      </c>
    </row>
    <row r="170" spans="1:6" ht="14.25" customHeight="1">
      <c r="A170" s="2">
        <v>44</v>
      </c>
      <c r="B170" s="2">
        <v>169</v>
      </c>
      <c r="C170" s="2">
        <v>6</v>
      </c>
      <c r="D170" s="2">
        <v>1</v>
      </c>
      <c r="E170" s="2">
        <v>0.99399999999999999</v>
      </c>
      <c r="F170" s="2">
        <v>1</v>
      </c>
    </row>
    <row r="171" spans="1:6" ht="14.25" customHeight="1">
      <c r="A171" s="2">
        <v>44</v>
      </c>
      <c r="B171" s="2">
        <v>170</v>
      </c>
      <c r="C171" s="2">
        <v>8</v>
      </c>
      <c r="D171" s="2">
        <v>0</v>
      </c>
      <c r="E171" s="2">
        <v>1.1930000000000001</v>
      </c>
      <c r="F171" s="2">
        <v>1</v>
      </c>
    </row>
    <row r="172" spans="1:6" ht="14.25" customHeight="1">
      <c r="A172" s="2">
        <v>44</v>
      </c>
      <c r="B172" s="2">
        <v>171</v>
      </c>
      <c r="C172" s="2">
        <v>5</v>
      </c>
      <c r="D172" s="2">
        <v>1</v>
      </c>
      <c r="E172" s="2">
        <v>1.08</v>
      </c>
      <c r="F172" s="2">
        <v>2</v>
      </c>
    </row>
    <row r="173" spans="1:6" ht="14.25" customHeight="1">
      <c r="A173" s="2">
        <v>44</v>
      </c>
      <c r="B173" s="2">
        <v>172</v>
      </c>
      <c r="C173" s="2">
        <v>3</v>
      </c>
      <c r="D173" s="2">
        <v>1</v>
      </c>
      <c r="E173" s="2">
        <v>1.873</v>
      </c>
      <c r="F173" s="2">
        <v>1</v>
      </c>
    </row>
    <row r="174" spans="1:6" ht="14.25" customHeight="1">
      <c r="A174" s="2">
        <v>44</v>
      </c>
      <c r="B174" s="2">
        <v>173</v>
      </c>
      <c r="C174" s="2">
        <v>1</v>
      </c>
      <c r="D174" s="2">
        <v>1</v>
      </c>
      <c r="E174" s="2">
        <v>1.0169999999999999</v>
      </c>
      <c r="F174" s="2">
        <v>1</v>
      </c>
    </row>
    <row r="175" spans="1:6" ht="14.25" customHeight="1">
      <c r="A175" s="2">
        <v>44</v>
      </c>
      <c r="B175" s="2">
        <v>174</v>
      </c>
      <c r="C175" s="2">
        <v>3</v>
      </c>
      <c r="D175" s="2">
        <v>0</v>
      </c>
      <c r="E175" s="2">
        <v>0.97</v>
      </c>
      <c r="F175" s="2">
        <v>1</v>
      </c>
    </row>
    <row r="176" spans="1:6" ht="14.25" customHeight="1">
      <c r="A176" s="2">
        <v>44</v>
      </c>
      <c r="B176" s="2">
        <v>175</v>
      </c>
      <c r="C176" s="2">
        <v>1</v>
      </c>
      <c r="D176" s="2">
        <v>0</v>
      </c>
      <c r="E176" s="2">
        <v>1.617</v>
      </c>
      <c r="F176" s="2">
        <v>1</v>
      </c>
    </row>
    <row r="177" spans="1:6" ht="14.25" customHeight="1">
      <c r="A177" s="2">
        <v>44</v>
      </c>
      <c r="B177" s="2">
        <v>176</v>
      </c>
      <c r="C177" s="2">
        <v>2</v>
      </c>
      <c r="D177" s="2">
        <v>0</v>
      </c>
      <c r="E177" s="2">
        <v>1.3720000000000001</v>
      </c>
      <c r="F177" s="2">
        <v>2</v>
      </c>
    </row>
    <row r="178" spans="1:6" ht="14.25" customHeight="1">
      <c r="A178" s="2">
        <v>44</v>
      </c>
      <c r="B178" s="2">
        <v>177</v>
      </c>
      <c r="C178" s="2">
        <v>7</v>
      </c>
      <c r="D178" s="2">
        <v>1</v>
      </c>
      <c r="E178" s="2">
        <v>1.4419999999999999</v>
      </c>
      <c r="F178" s="2">
        <v>1</v>
      </c>
    </row>
    <row r="179" spans="1:6" ht="14.25" customHeight="1">
      <c r="A179" s="2">
        <v>44</v>
      </c>
      <c r="B179" s="2">
        <v>178</v>
      </c>
      <c r="C179" s="2">
        <v>1</v>
      </c>
      <c r="D179" s="2">
        <v>1</v>
      </c>
      <c r="E179" s="2">
        <v>0.71799999999999997</v>
      </c>
      <c r="F179" s="2">
        <v>2</v>
      </c>
    </row>
    <row r="180" spans="1:6" ht="14.25" customHeight="1">
      <c r="A180" s="2">
        <v>44</v>
      </c>
      <c r="B180" s="2">
        <v>179</v>
      </c>
      <c r="C180" s="2">
        <v>6</v>
      </c>
      <c r="D180" s="2">
        <v>1</v>
      </c>
      <c r="E180" s="2">
        <v>1.4259999999999999</v>
      </c>
      <c r="F180" s="2">
        <v>1</v>
      </c>
    </row>
    <row r="181" spans="1:6" ht="14.25" customHeight="1">
      <c r="A181" s="2">
        <v>44</v>
      </c>
      <c r="B181" s="2">
        <v>180</v>
      </c>
      <c r="C181" s="2">
        <v>2</v>
      </c>
      <c r="D181" s="2">
        <v>1</v>
      </c>
      <c r="E181" s="2">
        <v>0.93</v>
      </c>
      <c r="F181" s="2">
        <v>2</v>
      </c>
    </row>
    <row r="182" spans="1:6" ht="14.25" customHeight="1">
      <c r="A182" s="2">
        <v>44</v>
      </c>
      <c r="B182" s="2">
        <v>181</v>
      </c>
      <c r="C182" s="2">
        <v>1</v>
      </c>
      <c r="D182" s="2">
        <v>1</v>
      </c>
      <c r="E182" s="2">
        <v>1.512</v>
      </c>
      <c r="F182" s="2">
        <v>1</v>
      </c>
    </row>
    <row r="183" spans="1:6" ht="14.25" customHeight="1">
      <c r="A183" s="2">
        <v>44</v>
      </c>
      <c r="B183" s="2">
        <v>182</v>
      </c>
      <c r="C183" s="2">
        <v>4</v>
      </c>
      <c r="D183" s="2">
        <v>1</v>
      </c>
      <c r="E183" s="2">
        <v>1.5289999999999999</v>
      </c>
      <c r="F183" s="2">
        <v>2</v>
      </c>
    </row>
    <row r="184" spans="1:6" ht="14.25" customHeight="1">
      <c r="A184" s="2">
        <v>44</v>
      </c>
      <c r="B184" s="2">
        <v>183</v>
      </c>
      <c r="C184" s="2">
        <v>8</v>
      </c>
      <c r="D184" s="2">
        <v>1</v>
      </c>
      <c r="E184" s="2">
        <v>0.87</v>
      </c>
      <c r="F184" s="2">
        <v>1</v>
      </c>
    </row>
    <row r="185" spans="1:6" ht="14.25" customHeight="1">
      <c r="A185" s="2">
        <v>44</v>
      </c>
      <c r="B185" s="2">
        <v>184</v>
      </c>
      <c r="C185" s="2">
        <v>4</v>
      </c>
      <c r="D185" s="2">
        <v>1</v>
      </c>
      <c r="E185" s="2">
        <v>1.21</v>
      </c>
      <c r="F185" s="2">
        <v>1</v>
      </c>
    </row>
    <row r="186" spans="1:6" ht="14.25" customHeight="1">
      <c r="A186" s="2">
        <v>44</v>
      </c>
      <c r="B186" s="2">
        <v>185</v>
      </c>
      <c r="C186" s="2">
        <v>8</v>
      </c>
      <c r="D186" s="2">
        <v>0</v>
      </c>
      <c r="E186" s="2">
        <v>1.7929999999999999</v>
      </c>
      <c r="F186" s="2">
        <v>2</v>
      </c>
    </row>
    <row r="187" spans="1:6" ht="14.25" customHeight="1">
      <c r="A187" s="2">
        <v>44</v>
      </c>
      <c r="B187" s="2">
        <v>186</v>
      </c>
      <c r="C187" s="2">
        <v>5</v>
      </c>
      <c r="D187" s="2">
        <v>1</v>
      </c>
      <c r="E187" s="2">
        <v>0.98199999999999998</v>
      </c>
      <c r="F187" s="2">
        <v>2</v>
      </c>
    </row>
    <row r="188" spans="1:6" ht="14.25" customHeight="1">
      <c r="A188" s="2">
        <v>44</v>
      </c>
      <c r="B188" s="2">
        <v>187</v>
      </c>
      <c r="C188" s="2">
        <v>3</v>
      </c>
      <c r="D188" s="2">
        <v>1</v>
      </c>
      <c r="E188" s="2">
        <v>1.601</v>
      </c>
      <c r="F188" s="2">
        <v>1</v>
      </c>
    </row>
    <row r="189" spans="1:6" ht="14.25" customHeight="1">
      <c r="A189" s="2">
        <v>44</v>
      </c>
      <c r="B189" s="2">
        <v>188</v>
      </c>
      <c r="C189" s="2">
        <v>5</v>
      </c>
      <c r="D189" s="2">
        <v>1</v>
      </c>
      <c r="E189" s="2">
        <v>1.1200000000000001</v>
      </c>
      <c r="F189" s="2">
        <v>2</v>
      </c>
    </row>
    <row r="190" spans="1:6" ht="14.25" customHeight="1">
      <c r="A190" s="2">
        <v>44</v>
      </c>
      <c r="B190" s="2">
        <v>189</v>
      </c>
      <c r="C190" s="2">
        <v>6</v>
      </c>
      <c r="D190" s="2">
        <v>0</v>
      </c>
      <c r="E190" s="2">
        <v>1.2170000000000001</v>
      </c>
      <c r="F190" s="2">
        <v>1</v>
      </c>
    </row>
    <row r="191" spans="1:6" ht="14.25" customHeight="1">
      <c r="A191" s="2">
        <v>44</v>
      </c>
      <c r="B191" s="2">
        <v>190</v>
      </c>
      <c r="C191" s="2">
        <v>5</v>
      </c>
      <c r="D191" s="2">
        <v>1</v>
      </c>
      <c r="E191" s="2">
        <v>0.85499999999999998</v>
      </c>
      <c r="F191" s="2">
        <v>1</v>
      </c>
    </row>
    <row r="192" spans="1:6" ht="14.25" customHeight="1">
      <c r="A192" s="2">
        <v>44</v>
      </c>
      <c r="B192" s="2">
        <v>191</v>
      </c>
      <c r="C192" s="2">
        <v>7</v>
      </c>
      <c r="D192" s="2">
        <v>0</v>
      </c>
      <c r="E192" s="2">
        <v>0.67800000000000005</v>
      </c>
      <c r="F192" s="2">
        <v>2</v>
      </c>
    </row>
    <row r="193" spans="1:6" ht="14.25" customHeight="1">
      <c r="A193" s="2">
        <v>44</v>
      </c>
      <c r="B193" s="2">
        <v>192</v>
      </c>
      <c r="C193" s="2">
        <v>2</v>
      </c>
      <c r="D193" s="2">
        <v>1</v>
      </c>
      <c r="E193" s="2">
        <v>0.91200000000000003</v>
      </c>
      <c r="F193" s="2">
        <v>2</v>
      </c>
    </row>
    <row r="194" spans="1:6" ht="14.25" customHeight="1">
      <c r="A194" s="2">
        <v>44</v>
      </c>
      <c r="B194" s="2">
        <v>193</v>
      </c>
      <c r="C194" s="2">
        <v>5</v>
      </c>
      <c r="D194" s="2">
        <v>1</v>
      </c>
      <c r="E194" s="2">
        <v>1.171</v>
      </c>
      <c r="F194" s="2">
        <v>1</v>
      </c>
    </row>
    <row r="195" spans="1:6" ht="14.25" customHeight="1">
      <c r="A195" s="2">
        <v>44</v>
      </c>
      <c r="B195" s="2">
        <v>194</v>
      </c>
      <c r="C195" s="2">
        <v>3</v>
      </c>
      <c r="D195" s="2">
        <v>0</v>
      </c>
      <c r="E195" s="2">
        <v>1.58</v>
      </c>
      <c r="F195" s="2">
        <v>1</v>
      </c>
    </row>
    <row r="196" spans="1:6" ht="14.25" customHeight="1">
      <c r="A196" s="2">
        <v>44</v>
      </c>
      <c r="B196" s="2">
        <v>195</v>
      </c>
      <c r="C196" s="2">
        <v>7</v>
      </c>
      <c r="D196" s="2">
        <v>1</v>
      </c>
      <c r="E196" s="2">
        <v>0.98899999999999999</v>
      </c>
      <c r="F196" s="2">
        <v>2</v>
      </c>
    </row>
    <row r="197" spans="1:6" ht="14.25" customHeight="1">
      <c r="A197" s="2">
        <v>44</v>
      </c>
      <c r="B197" s="2">
        <v>196</v>
      </c>
      <c r="C197" s="2">
        <v>1</v>
      </c>
      <c r="D197" s="2">
        <v>1</v>
      </c>
      <c r="E197" s="2">
        <v>1.736</v>
      </c>
      <c r="F197" s="2">
        <v>1</v>
      </c>
    </row>
    <row r="198" spans="1:6" ht="14.25" customHeight="1">
      <c r="A198" s="2">
        <v>44</v>
      </c>
      <c r="B198" s="2">
        <v>197</v>
      </c>
      <c r="C198" s="2">
        <v>4</v>
      </c>
      <c r="D198" s="2">
        <v>0</v>
      </c>
      <c r="E198" s="2">
        <v>1.242</v>
      </c>
      <c r="F198" s="2">
        <v>1</v>
      </c>
    </row>
    <row r="199" spans="1:6" ht="14.25" customHeight="1">
      <c r="A199" s="2">
        <v>44</v>
      </c>
      <c r="B199" s="2">
        <v>198</v>
      </c>
      <c r="C199" s="2">
        <v>5</v>
      </c>
      <c r="D199" s="2">
        <v>1</v>
      </c>
      <c r="E199" s="2">
        <v>1.05</v>
      </c>
      <c r="F199" s="2">
        <v>2</v>
      </c>
    </row>
    <row r="200" spans="1:6" ht="14.25" customHeight="1">
      <c r="A200" s="2">
        <v>44</v>
      </c>
      <c r="B200" s="2">
        <v>199</v>
      </c>
      <c r="C200" s="2">
        <v>3</v>
      </c>
      <c r="D200" s="2">
        <v>1</v>
      </c>
      <c r="E200" s="2">
        <v>1.37</v>
      </c>
      <c r="F200" s="2">
        <v>2</v>
      </c>
    </row>
    <row r="201" spans="1:6" ht="14.25" customHeight="1">
      <c r="A201" s="2">
        <v>44</v>
      </c>
      <c r="B201" s="2">
        <v>200</v>
      </c>
      <c r="C201" s="2">
        <v>2</v>
      </c>
      <c r="D201" s="2">
        <v>0</v>
      </c>
      <c r="E201" s="2">
        <v>1.014</v>
      </c>
      <c r="F201" s="2">
        <v>2</v>
      </c>
    </row>
    <row r="202" spans="1:6" ht="14.25" customHeight="1">
      <c r="A202" s="2">
        <v>44</v>
      </c>
      <c r="B202" s="2">
        <v>201</v>
      </c>
      <c r="C202" s="2">
        <v>8</v>
      </c>
      <c r="D202" s="2">
        <v>1</v>
      </c>
      <c r="E202" s="2">
        <v>1.444</v>
      </c>
    </row>
    <row r="203" spans="1:6" ht="14.25" customHeight="1">
      <c r="A203" s="2">
        <v>44</v>
      </c>
      <c r="B203" s="2">
        <v>202</v>
      </c>
      <c r="C203" s="2">
        <v>4</v>
      </c>
      <c r="D203" s="2">
        <v>1</v>
      </c>
      <c r="E203" s="2">
        <v>1.3380000000000001</v>
      </c>
    </row>
    <row r="204" spans="1:6" ht="14.25" customHeight="1">
      <c r="A204" s="2">
        <v>44</v>
      </c>
      <c r="B204" s="2">
        <v>203</v>
      </c>
      <c r="C204" s="2">
        <v>2</v>
      </c>
      <c r="D204" s="2">
        <v>1</v>
      </c>
      <c r="E204" s="2">
        <v>0.755</v>
      </c>
    </row>
    <row r="205" spans="1:6" ht="14.25" customHeight="1">
      <c r="A205" s="2">
        <v>44</v>
      </c>
      <c r="B205" s="2">
        <v>204</v>
      </c>
      <c r="C205" s="2">
        <v>6</v>
      </c>
      <c r="D205" s="2">
        <v>0</v>
      </c>
      <c r="E205" s="2">
        <v>1.502</v>
      </c>
    </row>
    <row r="206" spans="1:6" ht="14.25" customHeight="1">
      <c r="A206" s="2">
        <v>44</v>
      </c>
      <c r="B206" s="2">
        <v>205</v>
      </c>
      <c r="C206" s="2">
        <v>1</v>
      </c>
      <c r="D206" s="2">
        <v>1</v>
      </c>
      <c r="E206" s="2">
        <v>0.69699999999999995</v>
      </c>
    </row>
    <row r="207" spans="1:6" ht="14.25" customHeight="1">
      <c r="A207" s="2">
        <v>44</v>
      </c>
      <c r="B207" s="2">
        <v>206</v>
      </c>
      <c r="C207" s="2">
        <v>2</v>
      </c>
      <c r="D207" s="2">
        <v>1</v>
      </c>
      <c r="E207" s="2">
        <v>1.4830000000000001</v>
      </c>
    </row>
    <row r="208" spans="1:6" ht="14.25" customHeight="1">
      <c r="A208" s="2">
        <v>44</v>
      </c>
      <c r="B208" s="2">
        <v>207</v>
      </c>
      <c r="C208" s="2">
        <v>6</v>
      </c>
      <c r="D208" s="2">
        <v>1</v>
      </c>
      <c r="E208" s="2">
        <v>1.4350000000000001</v>
      </c>
    </row>
    <row r="209" spans="1:5" ht="14.25" customHeight="1">
      <c r="A209" s="2">
        <v>44</v>
      </c>
      <c r="B209" s="2">
        <v>208</v>
      </c>
      <c r="C209" s="2">
        <v>2</v>
      </c>
      <c r="D209" s="2">
        <v>1</v>
      </c>
      <c r="E209" s="2">
        <v>1.6890000000000001</v>
      </c>
    </row>
    <row r="210" spans="1:5" ht="14.25" customHeight="1">
      <c r="A210" s="2">
        <v>44</v>
      </c>
      <c r="B210" s="2">
        <v>209</v>
      </c>
      <c r="C210" s="2">
        <v>1</v>
      </c>
      <c r="D210" s="2">
        <v>1</v>
      </c>
      <c r="E210" s="2">
        <v>1.1639999999999999</v>
      </c>
    </row>
    <row r="211" spans="1:5" ht="14.25" customHeight="1">
      <c r="A211" s="2">
        <v>44</v>
      </c>
      <c r="B211" s="2">
        <v>210</v>
      </c>
      <c r="C211" s="2">
        <v>8</v>
      </c>
      <c r="D211" s="2">
        <v>1</v>
      </c>
      <c r="E211" s="2">
        <v>1.474</v>
      </c>
    </row>
    <row r="212" spans="1:5" ht="14.25" customHeight="1">
      <c r="A212" s="2">
        <v>44</v>
      </c>
      <c r="B212" s="2">
        <v>211</v>
      </c>
      <c r="C212" s="2">
        <v>5</v>
      </c>
      <c r="D212" s="2">
        <v>1</v>
      </c>
      <c r="E212" s="2">
        <v>1.242</v>
      </c>
    </row>
    <row r="213" spans="1:5" ht="14.25" customHeight="1">
      <c r="A213" s="2">
        <v>44</v>
      </c>
      <c r="B213" s="2">
        <v>212</v>
      </c>
      <c r="C213" s="2">
        <v>8</v>
      </c>
      <c r="D213" s="2">
        <v>1</v>
      </c>
      <c r="E213" s="2">
        <v>1.1930000000000001</v>
      </c>
    </row>
    <row r="214" spans="1:5" ht="14.25" customHeight="1">
      <c r="A214" s="2">
        <v>44</v>
      </c>
      <c r="B214" s="2">
        <v>213</v>
      </c>
      <c r="C214" s="2">
        <v>4</v>
      </c>
      <c r="D214" s="2">
        <v>1</v>
      </c>
      <c r="E214" s="2">
        <v>1.319</v>
      </c>
    </row>
    <row r="215" spans="1:5" ht="14.25" customHeight="1">
      <c r="A215" s="2">
        <v>44</v>
      </c>
      <c r="B215" s="2">
        <v>214</v>
      </c>
      <c r="C215" s="2">
        <v>3</v>
      </c>
      <c r="D215" s="2">
        <v>1</v>
      </c>
      <c r="E215" s="2">
        <v>0.86199999999999999</v>
      </c>
    </row>
    <row r="216" spans="1:5" ht="14.25" customHeight="1">
      <c r="A216" s="2">
        <v>44</v>
      </c>
      <c r="B216" s="2">
        <v>215</v>
      </c>
      <c r="C216" s="2">
        <v>4</v>
      </c>
      <c r="D216" s="2">
        <v>1</v>
      </c>
      <c r="E216" s="2">
        <v>1.399</v>
      </c>
    </row>
    <row r="217" spans="1:5" ht="14.25" customHeight="1">
      <c r="A217" s="2">
        <v>44</v>
      </c>
      <c r="B217" s="2">
        <v>216</v>
      </c>
      <c r="C217" s="2">
        <v>7</v>
      </c>
      <c r="D217" s="2">
        <v>1</v>
      </c>
      <c r="E217" s="2">
        <v>0.79300000000000004</v>
      </c>
    </row>
    <row r="218" spans="1:5" ht="14.25" customHeight="1">
      <c r="A218" s="2">
        <v>44</v>
      </c>
      <c r="B218" s="2">
        <v>217</v>
      </c>
      <c r="C218" s="2">
        <v>6</v>
      </c>
      <c r="D218" s="2">
        <v>1</v>
      </c>
      <c r="E218" s="2">
        <v>1.671</v>
      </c>
    </row>
    <row r="219" spans="1:5" ht="14.25" customHeight="1">
      <c r="A219" s="2">
        <v>44</v>
      </c>
      <c r="B219" s="2">
        <v>218</v>
      </c>
      <c r="C219" s="2">
        <v>3</v>
      </c>
      <c r="D219" s="2">
        <v>0</v>
      </c>
      <c r="E219" s="2">
        <v>1.2649999999999999</v>
      </c>
    </row>
    <row r="220" spans="1:5" ht="14.25" customHeight="1">
      <c r="A220" s="2">
        <v>44</v>
      </c>
      <c r="B220" s="2">
        <v>219</v>
      </c>
      <c r="C220" s="2">
        <v>1</v>
      </c>
      <c r="D220" s="2">
        <v>1</v>
      </c>
      <c r="E220" s="2">
        <v>1.4239999999999999</v>
      </c>
    </row>
    <row r="221" spans="1:5" ht="14.25" customHeight="1">
      <c r="A221" s="2">
        <v>44</v>
      </c>
      <c r="B221" s="2">
        <v>220</v>
      </c>
      <c r="C221" s="2">
        <v>3</v>
      </c>
      <c r="D221" s="2">
        <v>1</v>
      </c>
      <c r="E221" s="2">
        <v>1.0569999999999999</v>
      </c>
    </row>
    <row r="222" spans="1:5" ht="14.25" customHeight="1">
      <c r="A222" s="2">
        <v>44</v>
      </c>
      <c r="B222" s="2">
        <v>221</v>
      </c>
      <c r="C222" s="2">
        <v>8</v>
      </c>
      <c r="D222" s="2">
        <v>1</v>
      </c>
      <c r="E222" s="2">
        <v>0.77100000000000002</v>
      </c>
    </row>
    <row r="223" spans="1:5" ht="14.25" customHeight="1">
      <c r="A223" s="2">
        <v>44</v>
      </c>
      <c r="B223" s="2">
        <v>222</v>
      </c>
      <c r="C223" s="2">
        <v>4</v>
      </c>
      <c r="D223" s="2">
        <v>1</v>
      </c>
      <c r="E223" s="2">
        <v>1.048</v>
      </c>
    </row>
    <row r="224" spans="1:5" ht="14.25" customHeight="1">
      <c r="A224" s="2">
        <v>44</v>
      </c>
      <c r="B224" s="2">
        <v>223</v>
      </c>
      <c r="C224" s="2">
        <v>1</v>
      </c>
      <c r="D224" s="2">
        <v>1</v>
      </c>
      <c r="E224" s="2">
        <v>1.754</v>
      </c>
    </row>
    <row r="225" spans="1:5" ht="14.25" customHeight="1">
      <c r="A225" s="2">
        <v>44</v>
      </c>
      <c r="B225" s="2">
        <v>224</v>
      </c>
      <c r="C225" s="2">
        <v>3</v>
      </c>
      <c r="D225" s="2">
        <v>1</v>
      </c>
      <c r="E225" s="2">
        <v>0.79100000000000004</v>
      </c>
    </row>
    <row r="226" spans="1:5" ht="14.25" customHeight="1">
      <c r="A226" s="2">
        <v>44</v>
      </c>
      <c r="B226" s="2">
        <v>225</v>
      </c>
      <c r="C226" s="2">
        <v>5</v>
      </c>
      <c r="D226" s="2">
        <v>1</v>
      </c>
      <c r="E226" s="2">
        <v>1.0580000000000001</v>
      </c>
    </row>
    <row r="227" spans="1:5" ht="14.25" customHeight="1">
      <c r="A227" s="2">
        <v>44</v>
      </c>
      <c r="B227" s="2">
        <v>226</v>
      </c>
      <c r="C227" s="2">
        <v>6</v>
      </c>
      <c r="D227" s="2">
        <v>1</v>
      </c>
      <c r="E227" s="2">
        <v>0.95599999999999996</v>
      </c>
    </row>
    <row r="228" spans="1:5" ht="14.25" customHeight="1">
      <c r="A228" s="2">
        <v>44</v>
      </c>
      <c r="B228" s="2">
        <v>227</v>
      </c>
      <c r="C228" s="2">
        <v>7</v>
      </c>
      <c r="D228" s="2">
        <v>1</v>
      </c>
      <c r="E228" s="2">
        <v>1.153</v>
      </c>
    </row>
    <row r="229" spans="1:5" ht="14.25" customHeight="1">
      <c r="A229" s="2">
        <v>44</v>
      </c>
      <c r="B229" s="2">
        <v>228</v>
      </c>
      <c r="C229" s="2">
        <v>1</v>
      </c>
      <c r="D229" s="2">
        <v>1</v>
      </c>
      <c r="E229" s="2">
        <v>0.66600000000000004</v>
      </c>
    </row>
    <row r="230" spans="1:5" ht="14.25" customHeight="1">
      <c r="A230" s="2">
        <v>44</v>
      </c>
      <c r="B230" s="2">
        <v>229</v>
      </c>
      <c r="C230" s="2">
        <v>6</v>
      </c>
      <c r="D230" s="2">
        <v>0</v>
      </c>
      <c r="E230" s="2">
        <v>1.2370000000000001</v>
      </c>
    </row>
    <row r="231" spans="1:5" ht="14.25" customHeight="1">
      <c r="A231" s="2">
        <v>44</v>
      </c>
      <c r="B231" s="2">
        <v>230</v>
      </c>
      <c r="C231" s="2">
        <v>7</v>
      </c>
      <c r="D231" s="2">
        <v>1</v>
      </c>
      <c r="E231" s="2">
        <v>1.1299999999999999</v>
      </c>
    </row>
    <row r="232" spans="1:5" ht="14.25" customHeight="1">
      <c r="A232" s="2">
        <v>44</v>
      </c>
      <c r="B232" s="2">
        <v>231</v>
      </c>
      <c r="C232" s="2">
        <v>5</v>
      </c>
      <c r="D232" s="2">
        <v>1</v>
      </c>
      <c r="E232" s="2">
        <v>1.4219999999999999</v>
      </c>
    </row>
    <row r="233" spans="1:5" ht="14.25" customHeight="1">
      <c r="A233" s="2">
        <v>44</v>
      </c>
      <c r="B233" s="2">
        <v>232</v>
      </c>
      <c r="C233" s="2">
        <v>2</v>
      </c>
      <c r="D233" s="2">
        <v>1</v>
      </c>
      <c r="E233" s="2">
        <v>1.264</v>
      </c>
    </row>
    <row r="234" spans="1:5" ht="14.25" customHeight="1">
      <c r="A234" s="2">
        <v>44</v>
      </c>
      <c r="B234" s="2">
        <v>233</v>
      </c>
      <c r="C234" s="2">
        <v>5</v>
      </c>
      <c r="D234" s="2">
        <v>1</v>
      </c>
      <c r="E234" s="2">
        <v>1.0569999999999999</v>
      </c>
    </row>
    <row r="235" spans="1:5" ht="14.25" customHeight="1">
      <c r="A235" s="2">
        <v>44</v>
      </c>
      <c r="B235" s="2">
        <v>234</v>
      </c>
      <c r="C235" s="2">
        <v>7</v>
      </c>
      <c r="D235" s="2">
        <v>1</v>
      </c>
      <c r="E235" s="2">
        <v>1.611</v>
      </c>
    </row>
    <row r="236" spans="1:5" ht="14.25" customHeight="1">
      <c r="A236" s="2">
        <v>44</v>
      </c>
      <c r="B236" s="2">
        <v>235</v>
      </c>
      <c r="C236" s="2">
        <v>5</v>
      </c>
      <c r="D236" s="2">
        <v>1</v>
      </c>
      <c r="E236" s="2">
        <v>1.4870000000000001</v>
      </c>
    </row>
    <row r="237" spans="1:5" ht="14.25" customHeight="1">
      <c r="A237" s="2">
        <v>44</v>
      </c>
      <c r="B237" s="2">
        <v>236</v>
      </c>
      <c r="C237" s="2">
        <v>2</v>
      </c>
      <c r="D237" s="2">
        <v>1</v>
      </c>
      <c r="E237" s="2">
        <v>1.2150000000000001</v>
      </c>
    </row>
    <row r="238" spans="1:5" ht="14.25" customHeight="1">
      <c r="A238" s="2">
        <v>44</v>
      </c>
      <c r="B238" s="2">
        <v>237</v>
      </c>
      <c r="C238" s="2">
        <v>6</v>
      </c>
      <c r="D238" s="2">
        <v>1</v>
      </c>
      <c r="E238" s="2">
        <v>1.6339999999999999</v>
      </c>
    </row>
    <row r="239" spans="1:5" ht="14.25" customHeight="1">
      <c r="A239" s="2">
        <v>44</v>
      </c>
      <c r="B239" s="2">
        <v>238</v>
      </c>
      <c r="C239" s="2">
        <v>8</v>
      </c>
      <c r="D239" s="2">
        <v>1</v>
      </c>
      <c r="E239" s="2">
        <v>0.92600000000000005</v>
      </c>
    </row>
    <row r="240" spans="1:5" ht="14.25" customHeight="1">
      <c r="A240" s="2">
        <v>44</v>
      </c>
      <c r="B240" s="2">
        <v>239</v>
      </c>
      <c r="C240" s="2">
        <v>7</v>
      </c>
      <c r="D240" s="2">
        <v>1</v>
      </c>
      <c r="E240" s="2">
        <v>1.538</v>
      </c>
    </row>
    <row r="241" spans="1:5" ht="14.25" customHeight="1">
      <c r="A241" s="2">
        <v>44</v>
      </c>
      <c r="B241" s="2">
        <v>240</v>
      </c>
      <c r="C241" s="2">
        <v>8</v>
      </c>
      <c r="D241" s="2">
        <v>1</v>
      </c>
      <c r="E241" s="2">
        <v>1.5920000000000001</v>
      </c>
    </row>
    <row r="242" spans="1:5" ht="14.25" customHeight="1">
      <c r="A242" s="2">
        <v>44</v>
      </c>
      <c r="B242" s="2">
        <v>241</v>
      </c>
      <c r="C242" s="2">
        <v>3</v>
      </c>
      <c r="D242" s="2">
        <v>1</v>
      </c>
      <c r="E242" s="2">
        <v>1.585</v>
      </c>
    </row>
    <row r="243" spans="1:5" ht="14.25" customHeight="1">
      <c r="A243" s="2">
        <v>44</v>
      </c>
      <c r="B243" s="2">
        <v>242</v>
      </c>
      <c r="C243" s="2">
        <v>4</v>
      </c>
      <c r="D243" s="2">
        <v>1</v>
      </c>
      <c r="E243" s="2">
        <v>0.96699999999999997</v>
      </c>
    </row>
    <row r="244" spans="1:5" ht="14.25" customHeight="1">
      <c r="A244" s="2">
        <v>44</v>
      </c>
      <c r="B244" s="2">
        <v>243</v>
      </c>
      <c r="C244" s="2">
        <v>8</v>
      </c>
      <c r="D244" s="2">
        <v>1</v>
      </c>
      <c r="E244" s="2">
        <v>1.1120000000000001</v>
      </c>
    </row>
    <row r="245" spans="1:5" ht="14.25" customHeight="1">
      <c r="A245" s="2">
        <v>44</v>
      </c>
      <c r="B245" s="2">
        <v>244</v>
      </c>
      <c r="C245" s="2">
        <v>5</v>
      </c>
      <c r="D245" s="2">
        <v>1</v>
      </c>
      <c r="E245" s="2">
        <v>1.81</v>
      </c>
    </row>
    <row r="246" spans="1:5" ht="14.25" customHeight="1">
      <c r="A246" s="2">
        <v>44</v>
      </c>
      <c r="B246" s="2">
        <v>245</v>
      </c>
      <c r="C246" s="2">
        <v>2</v>
      </c>
      <c r="D246" s="2">
        <v>1</v>
      </c>
      <c r="E246" s="2">
        <v>0.92300000000000004</v>
      </c>
    </row>
    <row r="247" spans="1:5" ht="14.25" customHeight="1">
      <c r="A247" s="2">
        <v>44</v>
      </c>
      <c r="B247" s="2">
        <v>246</v>
      </c>
      <c r="C247" s="2">
        <v>4</v>
      </c>
      <c r="D247" s="2">
        <v>1</v>
      </c>
      <c r="E247" s="2">
        <v>1.323</v>
      </c>
    </row>
    <row r="248" spans="1:5" ht="14.25" customHeight="1">
      <c r="A248" s="2">
        <v>44</v>
      </c>
      <c r="B248" s="2">
        <v>247</v>
      </c>
      <c r="C248" s="2">
        <v>1</v>
      </c>
      <c r="D248" s="2">
        <v>1</v>
      </c>
      <c r="E248" s="2">
        <v>1.278</v>
      </c>
    </row>
    <row r="249" spans="1:5" ht="14.25" customHeight="1">
      <c r="A249" s="2">
        <v>44</v>
      </c>
      <c r="B249" s="2">
        <v>248</v>
      </c>
      <c r="C249" s="2">
        <v>3</v>
      </c>
      <c r="D249" s="2">
        <v>1</v>
      </c>
      <c r="E249" s="2">
        <v>1.538</v>
      </c>
    </row>
    <row r="250" spans="1:5" ht="14.25" customHeight="1">
      <c r="A250" s="2">
        <v>44</v>
      </c>
      <c r="B250" s="2">
        <v>249</v>
      </c>
      <c r="C250" s="2">
        <v>7</v>
      </c>
      <c r="D250" s="2">
        <v>1</v>
      </c>
      <c r="E250" s="2">
        <v>1.244</v>
      </c>
    </row>
    <row r="251" spans="1:5" ht="14.25" customHeight="1">
      <c r="A251" s="2">
        <v>44</v>
      </c>
      <c r="B251" s="2">
        <v>250</v>
      </c>
      <c r="C251" s="2">
        <v>3</v>
      </c>
      <c r="D251" s="2">
        <v>1</v>
      </c>
      <c r="E251" s="2">
        <v>1.778</v>
      </c>
    </row>
    <row r="252" spans="1:5" ht="14.25" customHeight="1">
      <c r="A252" s="2">
        <v>44</v>
      </c>
      <c r="B252" s="2">
        <v>251</v>
      </c>
      <c r="C252" s="2">
        <v>2</v>
      </c>
    </row>
    <row r="253" spans="1:5" ht="14.25" customHeight="1">
      <c r="A253" s="2">
        <v>44</v>
      </c>
      <c r="B253" s="2">
        <v>252</v>
      </c>
      <c r="C253" s="2">
        <v>6</v>
      </c>
    </row>
    <row r="254" spans="1:5" ht="14.25" customHeight="1">
      <c r="A254" s="2">
        <v>44</v>
      </c>
      <c r="B254" s="2">
        <v>253</v>
      </c>
      <c r="C254" s="2">
        <v>1</v>
      </c>
    </row>
    <row r="255" spans="1:5" ht="14.25" customHeight="1">
      <c r="A255" s="2">
        <v>44</v>
      </c>
      <c r="B255" s="2">
        <v>254</v>
      </c>
      <c r="C255" s="2">
        <v>4</v>
      </c>
    </row>
    <row r="256" spans="1:5" ht="14.25" customHeight="1">
      <c r="A256" s="2">
        <v>44</v>
      </c>
      <c r="B256" s="2">
        <v>255</v>
      </c>
      <c r="C256" s="2">
        <v>7</v>
      </c>
    </row>
    <row r="257" spans="1:3" ht="14.25" customHeight="1">
      <c r="A257" s="2">
        <v>44</v>
      </c>
      <c r="B257" s="2">
        <v>256</v>
      </c>
      <c r="C257" s="2">
        <v>1</v>
      </c>
    </row>
    <row r="258" spans="1:3" ht="14.25" customHeight="1">
      <c r="A258" s="2">
        <v>44</v>
      </c>
      <c r="B258" s="2">
        <v>257</v>
      </c>
      <c r="C258" s="2">
        <v>7</v>
      </c>
    </row>
    <row r="259" spans="1:3" ht="14.25" customHeight="1">
      <c r="A259" s="2">
        <v>44</v>
      </c>
      <c r="B259" s="2">
        <v>258</v>
      </c>
      <c r="C259" s="2">
        <v>3</v>
      </c>
    </row>
    <row r="260" spans="1:3" ht="14.25" customHeight="1">
      <c r="A260" s="2">
        <v>44</v>
      </c>
      <c r="B260" s="2">
        <v>259</v>
      </c>
      <c r="C260" s="2">
        <v>8</v>
      </c>
    </row>
    <row r="261" spans="1:3" ht="14.25" customHeight="1">
      <c r="A261" s="2">
        <v>44</v>
      </c>
      <c r="B261" s="2">
        <v>260</v>
      </c>
      <c r="C261" s="2">
        <v>4</v>
      </c>
    </row>
    <row r="262" spans="1:3" ht="14.25" customHeight="1">
      <c r="A262" s="2">
        <v>44</v>
      </c>
      <c r="B262" s="2">
        <v>261</v>
      </c>
      <c r="C262" s="2">
        <v>5</v>
      </c>
    </row>
    <row r="263" spans="1:3" ht="14.25" customHeight="1">
      <c r="A263" s="2">
        <v>44</v>
      </c>
      <c r="B263" s="2">
        <v>262</v>
      </c>
      <c r="C263" s="2">
        <v>2</v>
      </c>
    </row>
    <row r="264" spans="1:3" ht="14.25" customHeight="1">
      <c r="A264" s="2">
        <v>44</v>
      </c>
      <c r="B264" s="2">
        <v>263</v>
      </c>
      <c r="C264" s="2">
        <v>3</v>
      </c>
    </row>
    <row r="265" spans="1:3" ht="14.25" customHeight="1">
      <c r="A265" s="2">
        <v>44</v>
      </c>
      <c r="B265" s="2">
        <v>264</v>
      </c>
      <c r="C265" s="2">
        <v>6</v>
      </c>
    </row>
    <row r="266" spans="1:3" ht="14.25" customHeight="1">
      <c r="A266" s="2">
        <v>44</v>
      </c>
      <c r="B266" s="2">
        <v>265</v>
      </c>
      <c r="C266" s="2">
        <v>5</v>
      </c>
    </row>
    <row r="267" spans="1:3" ht="14.25" customHeight="1">
      <c r="A267" s="2">
        <v>44</v>
      </c>
      <c r="B267" s="2">
        <v>266</v>
      </c>
      <c r="C267" s="2">
        <v>2</v>
      </c>
    </row>
    <row r="268" spans="1:3" ht="14.25" customHeight="1">
      <c r="A268" s="2">
        <v>44</v>
      </c>
      <c r="B268" s="2">
        <v>267</v>
      </c>
      <c r="C268" s="2">
        <v>4</v>
      </c>
    </row>
    <row r="269" spans="1:3" ht="14.25" customHeight="1">
      <c r="A269" s="2">
        <v>44</v>
      </c>
      <c r="B269" s="2">
        <v>268</v>
      </c>
      <c r="C269" s="2">
        <v>7</v>
      </c>
    </row>
    <row r="270" spans="1:3" ht="14.25" customHeight="1">
      <c r="A270" s="2">
        <v>44</v>
      </c>
      <c r="B270" s="2">
        <v>269</v>
      </c>
      <c r="C270" s="2">
        <v>3</v>
      </c>
    </row>
    <row r="271" spans="1:3" ht="14.25" customHeight="1">
      <c r="A271" s="2">
        <v>44</v>
      </c>
      <c r="B271" s="2">
        <v>270</v>
      </c>
      <c r="C271" s="2">
        <v>8</v>
      </c>
    </row>
    <row r="272" spans="1:3" ht="14.25" customHeight="1">
      <c r="A272" s="2">
        <v>44</v>
      </c>
      <c r="B272" s="2">
        <v>271</v>
      </c>
      <c r="C272" s="2">
        <v>5</v>
      </c>
    </row>
    <row r="273" spans="1:3" ht="14.25" customHeight="1">
      <c r="A273" s="2">
        <v>44</v>
      </c>
      <c r="B273" s="2">
        <v>272</v>
      </c>
      <c r="C273" s="2">
        <v>7</v>
      </c>
    </row>
    <row r="274" spans="1:3" ht="14.25" customHeight="1">
      <c r="A274" s="2">
        <v>44</v>
      </c>
      <c r="B274" s="2">
        <v>273</v>
      </c>
      <c r="C274" s="2">
        <v>3</v>
      </c>
    </row>
    <row r="275" spans="1:3" ht="14.25" customHeight="1">
      <c r="A275" s="2">
        <v>44</v>
      </c>
      <c r="B275" s="2">
        <v>274</v>
      </c>
      <c r="C275" s="2">
        <v>6</v>
      </c>
    </row>
    <row r="276" spans="1:3" ht="14.25" customHeight="1">
      <c r="A276" s="2">
        <v>44</v>
      </c>
      <c r="B276" s="2">
        <v>275</v>
      </c>
      <c r="C276" s="2">
        <v>2</v>
      </c>
    </row>
    <row r="277" spans="1:3" ht="14.25" customHeight="1">
      <c r="A277" s="2">
        <v>44</v>
      </c>
      <c r="B277" s="2">
        <v>276</v>
      </c>
      <c r="C277" s="2">
        <v>6</v>
      </c>
    </row>
    <row r="278" spans="1:3" ht="14.25" customHeight="1">
      <c r="A278" s="2">
        <v>44</v>
      </c>
      <c r="B278" s="2">
        <v>277</v>
      </c>
      <c r="C278" s="2">
        <v>3</v>
      </c>
    </row>
    <row r="279" spans="1:3" ht="14.25" customHeight="1">
      <c r="A279" s="2">
        <v>44</v>
      </c>
      <c r="B279" s="2">
        <v>278</v>
      </c>
      <c r="C279" s="2">
        <v>1</v>
      </c>
    </row>
    <row r="280" spans="1:3" ht="14.25" customHeight="1">
      <c r="A280" s="2">
        <v>44</v>
      </c>
      <c r="B280" s="2">
        <v>279</v>
      </c>
      <c r="C280" s="2">
        <v>2</v>
      </c>
    </row>
    <row r="281" spans="1:3" ht="14.25" customHeight="1">
      <c r="A281" s="2">
        <v>44</v>
      </c>
      <c r="B281" s="2">
        <v>280</v>
      </c>
      <c r="C281" s="2">
        <v>8</v>
      </c>
    </row>
    <row r="282" spans="1:3" ht="14.25" customHeight="1">
      <c r="A282" s="2">
        <v>44</v>
      </c>
      <c r="B282" s="2">
        <v>281</v>
      </c>
      <c r="C282" s="2">
        <v>4</v>
      </c>
    </row>
    <row r="283" spans="1:3" ht="14.25" customHeight="1">
      <c r="A283" s="2">
        <v>44</v>
      </c>
      <c r="B283" s="2">
        <v>282</v>
      </c>
      <c r="C283" s="2">
        <v>3</v>
      </c>
    </row>
    <row r="284" spans="1:3" ht="14.25" customHeight="1">
      <c r="A284" s="2">
        <v>44</v>
      </c>
      <c r="B284" s="2">
        <v>283</v>
      </c>
      <c r="C284" s="2">
        <v>5</v>
      </c>
    </row>
    <row r="285" spans="1:3" ht="14.25" customHeight="1">
      <c r="A285" s="2">
        <v>44</v>
      </c>
      <c r="B285" s="2">
        <v>284</v>
      </c>
      <c r="C285" s="2">
        <v>8</v>
      </c>
    </row>
    <row r="286" spans="1:3" ht="14.25" customHeight="1">
      <c r="A286" s="2">
        <v>44</v>
      </c>
      <c r="B286" s="2">
        <v>285</v>
      </c>
      <c r="C286" s="2">
        <v>1</v>
      </c>
    </row>
    <row r="287" spans="1:3" ht="14.25" customHeight="1">
      <c r="A287" s="2">
        <v>44</v>
      </c>
      <c r="B287" s="2">
        <v>286</v>
      </c>
      <c r="C287" s="2">
        <v>7</v>
      </c>
    </row>
    <row r="288" spans="1:3" ht="14.25" customHeight="1">
      <c r="A288" s="2">
        <v>44</v>
      </c>
      <c r="B288" s="2">
        <v>287</v>
      </c>
      <c r="C288" s="2">
        <v>6</v>
      </c>
    </row>
    <row r="289" spans="1:4" ht="14.25" customHeight="1">
      <c r="A289" s="2">
        <v>44</v>
      </c>
      <c r="B289" s="2">
        <v>288</v>
      </c>
      <c r="C289" s="2">
        <v>8</v>
      </c>
    </row>
    <row r="290" spans="1:4" ht="14.25" customHeight="1">
      <c r="A290" s="2">
        <v>44</v>
      </c>
      <c r="B290" s="2">
        <v>289</v>
      </c>
      <c r="C290" s="2">
        <v>1</v>
      </c>
    </row>
    <row r="291" spans="1:4" ht="14.25" customHeight="1">
      <c r="A291" s="2">
        <v>44</v>
      </c>
      <c r="B291" s="2">
        <v>290</v>
      </c>
      <c r="C291" s="2">
        <v>4</v>
      </c>
    </row>
    <row r="292" spans="1:4" ht="14.25" customHeight="1">
      <c r="A292" s="2">
        <v>44</v>
      </c>
      <c r="B292" s="2">
        <v>291</v>
      </c>
      <c r="C292" s="2">
        <v>1</v>
      </c>
    </row>
    <row r="293" spans="1:4" ht="14.25" customHeight="1">
      <c r="A293" s="2">
        <v>44</v>
      </c>
      <c r="B293" s="2">
        <v>292</v>
      </c>
      <c r="C293" s="2">
        <v>5</v>
      </c>
    </row>
    <row r="294" spans="1:4" ht="14.25" customHeight="1">
      <c r="A294" s="2">
        <v>44</v>
      </c>
      <c r="B294" s="2">
        <v>293</v>
      </c>
      <c r="C294" s="2">
        <v>8</v>
      </c>
    </row>
    <row r="295" spans="1:4" ht="14.25" customHeight="1">
      <c r="A295" s="2">
        <v>44</v>
      </c>
      <c r="B295" s="2">
        <v>294</v>
      </c>
      <c r="C295" s="2">
        <v>4</v>
      </c>
    </row>
    <row r="296" spans="1:4" ht="14.25" customHeight="1">
      <c r="A296" s="2">
        <v>44</v>
      </c>
      <c r="B296" s="2">
        <v>295</v>
      </c>
      <c r="C296" s="2">
        <v>3</v>
      </c>
    </row>
    <row r="297" spans="1:4" ht="14.25" customHeight="1">
      <c r="A297" s="2">
        <v>44</v>
      </c>
      <c r="B297" s="2">
        <v>296</v>
      </c>
      <c r="C297" s="2">
        <v>6</v>
      </c>
    </row>
    <row r="298" spans="1:4" ht="14.25" customHeight="1">
      <c r="A298" s="2">
        <v>44</v>
      </c>
      <c r="B298" s="2">
        <v>297</v>
      </c>
      <c r="C298" s="2">
        <v>7</v>
      </c>
    </row>
    <row r="299" spans="1:4" ht="14.25" customHeight="1">
      <c r="A299" s="2">
        <v>44</v>
      </c>
      <c r="B299" s="2">
        <v>298</v>
      </c>
      <c r="C299" s="2">
        <v>5</v>
      </c>
    </row>
    <row r="300" spans="1:4" ht="14.25" customHeight="1">
      <c r="A300" s="2">
        <v>44</v>
      </c>
      <c r="B300" s="2">
        <v>299</v>
      </c>
      <c r="C300" s="2">
        <v>8</v>
      </c>
    </row>
    <row r="301" spans="1:4" ht="14.25" customHeight="1">
      <c r="A301" s="2">
        <v>44</v>
      </c>
      <c r="B301" s="2">
        <v>300</v>
      </c>
      <c r="C301" s="2">
        <v>2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1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45</v>
      </c>
      <c r="I1" s="2">
        <v>51</v>
      </c>
      <c r="J1" s="2">
        <v>8</v>
      </c>
      <c r="K1" s="2">
        <v>1</v>
      </c>
      <c r="L1" s="2">
        <v>1.288</v>
      </c>
      <c r="M1" s="2">
        <v>1</v>
      </c>
    </row>
    <row r="2" spans="1:25" ht="14.25" customHeight="1">
      <c r="A2" s="2">
        <v>45</v>
      </c>
      <c r="B2" s="2">
        <v>1</v>
      </c>
      <c r="C2" s="2">
        <v>5</v>
      </c>
      <c r="E2" s="2">
        <v>2</v>
      </c>
      <c r="H2" s="2">
        <v>45</v>
      </c>
      <c r="I2" s="2">
        <v>52</v>
      </c>
      <c r="J2" s="2">
        <v>2</v>
      </c>
      <c r="K2" s="2">
        <v>1</v>
      </c>
      <c r="L2" s="2">
        <v>1.538</v>
      </c>
      <c r="M2" s="2">
        <v>2</v>
      </c>
    </row>
    <row r="3" spans="1:25" ht="14.25" customHeight="1">
      <c r="A3" s="2">
        <v>45</v>
      </c>
      <c r="B3" s="2">
        <v>2</v>
      </c>
      <c r="C3" s="2">
        <v>4</v>
      </c>
      <c r="E3" s="2">
        <v>2</v>
      </c>
      <c r="H3" s="2">
        <v>45</v>
      </c>
      <c r="I3" s="2">
        <v>53</v>
      </c>
      <c r="J3" s="2">
        <v>8</v>
      </c>
      <c r="K3" s="2">
        <v>1</v>
      </c>
      <c r="L3" s="2">
        <v>1.016</v>
      </c>
      <c r="M3" s="2">
        <v>1</v>
      </c>
    </row>
    <row r="4" spans="1:25" ht="14.25" customHeight="1">
      <c r="A4" s="2">
        <v>45</v>
      </c>
      <c r="B4" s="2">
        <v>3</v>
      </c>
      <c r="C4" s="2">
        <v>5</v>
      </c>
      <c r="D4" s="2">
        <v>1</v>
      </c>
      <c r="E4" s="2">
        <v>1.4490000000000001</v>
      </c>
      <c r="F4" s="2">
        <v>1</v>
      </c>
      <c r="H4" s="2">
        <v>45</v>
      </c>
      <c r="I4" s="2">
        <v>54</v>
      </c>
      <c r="J4" s="2">
        <v>3</v>
      </c>
      <c r="K4" s="2">
        <v>1</v>
      </c>
      <c r="L4" s="2">
        <v>1.28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45</v>
      </c>
      <c r="B5" s="2">
        <v>4</v>
      </c>
      <c r="C5" s="2">
        <v>8</v>
      </c>
      <c r="D5" s="2">
        <v>1</v>
      </c>
      <c r="E5" s="2">
        <v>1.607</v>
      </c>
      <c r="F5" s="2">
        <v>2</v>
      </c>
      <c r="H5" s="2">
        <v>45</v>
      </c>
      <c r="I5" s="2">
        <v>55</v>
      </c>
      <c r="J5" s="2">
        <v>1</v>
      </c>
      <c r="K5" s="2">
        <v>1</v>
      </c>
      <c r="L5" s="2">
        <v>1.6579999999999999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45</v>
      </c>
      <c r="B6" s="2">
        <v>5</v>
      </c>
      <c r="C6" s="2">
        <v>3</v>
      </c>
      <c r="E6" s="2">
        <v>2</v>
      </c>
      <c r="H6" s="2">
        <v>45</v>
      </c>
      <c r="I6" s="2">
        <v>56</v>
      </c>
      <c r="J6" s="2">
        <v>5</v>
      </c>
      <c r="K6" s="2">
        <v>1</v>
      </c>
      <c r="L6" s="2">
        <v>1.5089999999999999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45</v>
      </c>
      <c r="B7" s="2">
        <v>6</v>
      </c>
      <c r="C7" s="2">
        <v>7</v>
      </c>
      <c r="D7" s="2">
        <v>1</v>
      </c>
      <c r="E7" s="2">
        <v>1.105</v>
      </c>
      <c r="F7" s="2">
        <v>2</v>
      </c>
      <c r="H7" s="2">
        <v>45</v>
      </c>
      <c r="I7" s="2">
        <v>57</v>
      </c>
      <c r="J7" s="2">
        <v>4</v>
      </c>
      <c r="K7" s="2">
        <v>0</v>
      </c>
      <c r="L7" s="2">
        <v>1.113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45</v>
      </c>
      <c r="B8" s="2">
        <v>7</v>
      </c>
      <c r="C8" s="2">
        <v>2</v>
      </c>
      <c r="D8" s="2">
        <v>0</v>
      </c>
      <c r="E8" s="2">
        <v>1.0429999999999999</v>
      </c>
      <c r="F8" s="2">
        <v>1</v>
      </c>
      <c r="H8" s="2">
        <v>45</v>
      </c>
      <c r="I8" s="2">
        <v>58</v>
      </c>
      <c r="J8" s="2">
        <v>2</v>
      </c>
      <c r="K8" s="2">
        <v>1</v>
      </c>
      <c r="L8" s="2">
        <v>1.407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45</v>
      </c>
      <c r="B9" s="2">
        <v>8</v>
      </c>
      <c r="C9" s="2">
        <v>6</v>
      </c>
      <c r="D9" s="2">
        <v>1</v>
      </c>
      <c r="E9" s="2">
        <v>1.571</v>
      </c>
      <c r="F9" s="2">
        <v>1</v>
      </c>
      <c r="H9" s="2">
        <v>45</v>
      </c>
      <c r="I9" s="2">
        <v>59</v>
      </c>
      <c r="J9" s="2">
        <v>3</v>
      </c>
      <c r="K9" s="2">
        <v>1</v>
      </c>
      <c r="L9" s="2">
        <v>1.2589999999999999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45</v>
      </c>
      <c r="B10" s="2">
        <v>9</v>
      </c>
      <c r="C10" s="2">
        <v>8</v>
      </c>
      <c r="D10" s="2">
        <v>1</v>
      </c>
      <c r="E10" s="2">
        <v>1.5349999999999999</v>
      </c>
      <c r="F10" s="2">
        <v>2</v>
      </c>
      <c r="H10" s="2">
        <v>45</v>
      </c>
      <c r="I10" s="2">
        <v>60</v>
      </c>
      <c r="J10" s="2">
        <v>2</v>
      </c>
      <c r="L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45</v>
      </c>
      <c r="B11" s="2">
        <v>10</v>
      </c>
      <c r="C11" s="2">
        <v>5</v>
      </c>
      <c r="D11" s="2">
        <v>1</v>
      </c>
      <c r="E11" s="2">
        <v>1.667</v>
      </c>
      <c r="F11" s="2">
        <v>1</v>
      </c>
      <c r="H11" s="2">
        <v>45</v>
      </c>
      <c r="I11" s="2">
        <v>61</v>
      </c>
      <c r="J11" s="2">
        <v>7</v>
      </c>
      <c r="K11" s="2">
        <v>0</v>
      </c>
      <c r="L11" s="2">
        <v>1.292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45</v>
      </c>
      <c r="B12" s="2">
        <v>11</v>
      </c>
      <c r="C12" s="2">
        <v>1</v>
      </c>
      <c r="D12" s="2">
        <v>1</v>
      </c>
      <c r="E12" s="2">
        <v>1.5589999999999999</v>
      </c>
      <c r="F12" s="2">
        <v>1</v>
      </c>
      <c r="H12" s="2">
        <v>45</v>
      </c>
      <c r="I12" s="2">
        <v>62</v>
      </c>
      <c r="J12" s="2">
        <v>5</v>
      </c>
      <c r="K12" s="2">
        <v>1</v>
      </c>
      <c r="L12" s="2">
        <v>1.6080000000000001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45</v>
      </c>
      <c r="B13" s="2">
        <v>12</v>
      </c>
      <c r="C13" s="2">
        <v>7</v>
      </c>
      <c r="D13" s="2">
        <v>1</v>
      </c>
      <c r="E13" s="2">
        <v>1.964</v>
      </c>
      <c r="F13" s="2">
        <v>2</v>
      </c>
      <c r="H13" s="2">
        <v>45</v>
      </c>
      <c r="I13" s="2">
        <v>63</v>
      </c>
      <c r="J13" s="2">
        <v>6</v>
      </c>
      <c r="K13" s="2">
        <v>1</v>
      </c>
      <c r="L13" s="2">
        <v>1.2090000000000001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45</v>
      </c>
      <c r="B14" s="2">
        <v>13</v>
      </c>
      <c r="C14" s="2">
        <v>4</v>
      </c>
      <c r="D14" s="2">
        <v>1</v>
      </c>
      <c r="E14" s="2">
        <v>1.63</v>
      </c>
      <c r="F14" s="2">
        <v>2</v>
      </c>
      <c r="H14" s="2">
        <v>45</v>
      </c>
      <c r="I14" s="2">
        <v>64</v>
      </c>
      <c r="J14" s="2">
        <v>4</v>
      </c>
      <c r="K14" s="2">
        <v>1</v>
      </c>
      <c r="L14" s="2">
        <v>1.1910000000000001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45</v>
      </c>
      <c r="B15" s="2">
        <v>14</v>
      </c>
      <c r="C15" s="2">
        <v>1</v>
      </c>
      <c r="D15" s="2">
        <v>1</v>
      </c>
      <c r="E15" s="2">
        <v>1.105</v>
      </c>
      <c r="F15" s="2">
        <v>1</v>
      </c>
      <c r="H15" s="2">
        <v>45</v>
      </c>
      <c r="I15" s="2">
        <v>65</v>
      </c>
      <c r="J15" s="2">
        <v>8</v>
      </c>
      <c r="K15" s="2">
        <v>0</v>
      </c>
      <c r="L15" s="2">
        <v>1.3680000000000001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45</v>
      </c>
      <c r="B16" s="2">
        <v>15</v>
      </c>
      <c r="C16" s="2">
        <v>3</v>
      </c>
      <c r="D16" s="2">
        <v>0</v>
      </c>
      <c r="E16" s="2">
        <v>1.6559999999999999</v>
      </c>
      <c r="F16" s="2">
        <v>2</v>
      </c>
      <c r="H16" s="2">
        <v>45</v>
      </c>
      <c r="I16" s="2">
        <v>66</v>
      </c>
      <c r="J16" s="2">
        <v>6</v>
      </c>
      <c r="K16" s="2">
        <v>0</v>
      </c>
      <c r="L16" s="2">
        <v>1.6479999999999999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45</v>
      </c>
      <c r="B17" s="2">
        <v>16</v>
      </c>
      <c r="C17" s="2">
        <v>4</v>
      </c>
      <c r="D17" s="2">
        <v>1</v>
      </c>
      <c r="E17" s="2">
        <v>1.698</v>
      </c>
      <c r="F17" s="2">
        <v>2</v>
      </c>
      <c r="H17" s="2">
        <v>45</v>
      </c>
      <c r="I17" s="2">
        <v>67</v>
      </c>
      <c r="J17" s="2">
        <v>5</v>
      </c>
      <c r="K17" s="2">
        <v>0</v>
      </c>
      <c r="L17" s="2">
        <v>1.532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0.48999999999999899</v>
      </c>
      <c r="Q17" s="3">
        <f t="shared" ref="Q17:Q22" si="2">(Q6*COUNTIF($J$1:$J$101,Q$16) - COUNTIFS($J$1:$J$101,Q$16,$K$1:$K$101,"=0"))^2</f>
        <v>0.3600000000000001</v>
      </c>
      <c r="R17" s="3">
        <f t="shared" ref="R17:R22" si="3">(R6*COUNTIF($J$1:$J$101,R$16) - COUNTIFS($J$1:$J$101,R$16,$K$1:$K$101,"=1"))^2</f>
        <v>7.0224999999999973</v>
      </c>
      <c r="S17" s="3">
        <f t="shared" ref="S17:T17" si="4">(S6*COUNTIF($J$1:$J$101,S$16) - COUNTIFS($J$1:$J$101,S$16,$K$1:$K$101,"=0"))^2</f>
        <v>0.42249999999999988</v>
      </c>
      <c r="T17" s="3">
        <f t="shared" si="4"/>
        <v>2.8899999999999997</v>
      </c>
      <c r="U17" s="3">
        <f t="shared" ref="U17:V17" si="5">(U6*COUNTIF($J$1:$J$101,U$16) - COUNTIFS($J$1:$J$101,U$16,$K$1:$K$101,"=1"))^2</f>
        <v>7.2899999999999965</v>
      </c>
      <c r="V17" s="3">
        <f t="shared" si="5"/>
        <v>2.8899999999999975</v>
      </c>
      <c r="W17" s="4"/>
      <c r="X17" s="4"/>
      <c r="Y17" s="4"/>
    </row>
    <row r="18" spans="1:25" ht="14.25" customHeight="1">
      <c r="A18" s="2">
        <v>45</v>
      </c>
      <c r="B18" s="2">
        <v>17</v>
      </c>
      <c r="C18" s="2">
        <v>2</v>
      </c>
      <c r="D18" s="2">
        <v>0</v>
      </c>
      <c r="E18" s="2">
        <v>1.3280000000000001</v>
      </c>
      <c r="F18" s="2">
        <v>1</v>
      </c>
      <c r="H18" s="2">
        <v>45</v>
      </c>
      <c r="I18" s="2">
        <v>68</v>
      </c>
      <c r="J18" s="2">
        <v>4</v>
      </c>
      <c r="K18" s="2">
        <v>1</v>
      </c>
      <c r="L18" s="2">
        <v>1.288</v>
      </c>
      <c r="M18" s="2">
        <v>1</v>
      </c>
      <c r="N18" s="3">
        <v>2</v>
      </c>
      <c r="O18" s="3">
        <f t="shared" si="0"/>
        <v>2.8899999999999997</v>
      </c>
      <c r="P18" s="3">
        <f t="shared" si="1"/>
        <v>22.090000000000003</v>
      </c>
      <c r="Q18" s="6">
        <f t="shared" si="2"/>
        <v>36</v>
      </c>
      <c r="R18" s="3">
        <f t="shared" si="3"/>
        <v>7.0224999999999973</v>
      </c>
      <c r="S18" s="6">
        <f t="shared" ref="S18:T18" si="6">(S7*COUNTIF($J$1:$J$101,S$16) - COUNTIFS($J$1:$J$101,S$16,$K$1:$K$101,"=0"))^2</f>
        <v>0.42249999999999988</v>
      </c>
      <c r="T18" s="6">
        <f t="shared" si="6"/>
        <v>2.8899999999999997</v>
      </c>
      <c r="U18" s="6">
        <f t="shared" ref="U18:V18" si="7">(U7*COUNTIF($J$1:$J$101,U$16) - COUNTIFS($J$1:$J$101,U$16,$K$1:$K$101,"=1"))^2</f>
        <v>7.2899999999999965</v>
      </c>
      <c r="V18" s="6">
        <f t="shared" si="7"/>
        <v>2.8899999999999975</v>
      </c>
      <c r="W18" s="4"/>
      <c r="X18" s="4"/>
      <c r="Y18" s="4"/>
    </row>
    <row r="19" spans="1:25" ht="14.25" customHeight="1">
      <c r="A19" s="2">
        <v>45</v>
      </c>
      <c r="B19" s="2">
        <v>18</v>
      </c>
      <c r="C19" s="2">
        <v>5</v>
      </c>
      <c r="D19" s="2">
        <v>1</v>
      </c>
      <c r="E19" s="2">
        <v>1.2929999999999999</v>
      </c>
      <c r="F19" s="2">
        <v>1</v>
      </c>
      <c r="H19" s="2">
        <v>45</v>
      </c>
      <c r="I19" s="2">
        <v>69</v>
      </c>
      <c r="J19" s="2">
        <v>1</v>
      </c>
      <c r="K19" s="2">
        <v>1</v>
      </c>
      <c r="L19" s="2">
        <v>1.526</v>
      </c>
      <c r="M19" s="2">
        <v>1</v>
      </c>
      <c r="N19" s="3">
        <v>3</v>
      </c>
      <c r="O19" s="3">
        <f t="shared" si="0"/>
        <v>2.8899999999999997</v>
      </c>
      <c r="P19" s="3">
        <f t="shared" si="1"/>
        <v>0.48999999999999899</v>
      </c>
      <c r="Q19" s="3">
        <f t="shared" si="2"/>
        <v>0.3600000000000001</v>
      </c>
      <c r="R19" s="3">
        <f t="shared" si="3"/>
        <v>7.0224999999999973</v>
      </c>
      <c r="S19" s="6">
        <f t="shared" ref="S19:T19" si="8">(S8*COUNTIF($J$1:$J$101,S$16) - COUNTIFS($J$1:$J$101,S$16,$K$1:$K$101,"=0"))^2</f>
        <v>0.42249999999999988</v>
      </c>
      <c r="T19" s="6">
        <f t="shared" si="8"/>
        <v>13.689999999999994</v>
      </c>
      <c r="U19" s="3">
        <f t="shared" ref="U19:V19" si="9">(U8*COUNTIF($J$1:$J$101,U$16) - COUNTIFS($J$1:$J$101,U$16,$K$1:$K$101,"=1"))^2</f>
        <v>7.2900000000000009</v>
      </c>
      <c r="V19" s="6">
        <f t="shared" si="9"/>
        <v>2.8899999999999975</v>
      </c>
      <c r="W19" s="4"/>
      <c r="X19" s="4"/>
      <c r="Y19" s="4"/>
    </row>
    <row r="20" spans="1:25" ht="14.25" customHeight="1">
      <c r="A20" s="2">
        <v>45</v>
      </c>
      <c r="B20" s="2">
        <v>19</v>
      </c>
      <c r="C20" s="2">
        <v>6</v>
      </c>
      <c r="E20" s="2">
        <v>2</v>
      </c>
      <c r="H20" s="2">
        <v>45</v>
      </c>
      <c r="I20" s="2">
        <v>70</v>
      </c>
      <c r="J20" s="2">
        <v>7</v>
      </c>
      <c r="K20" s="2">
        <v>1</v>
      </c>
      <c r="L20" s="2">
        <v>1.6739999999999999</v>
      </c>
      <c r="M20" s="2">
        <v>2</v>
      </c>
      <c r="N20" s="3">
        <v>4</v>
      </c>
      <c r="O20" s="3">
        <f t="shared" si="0"/>
        <v>1</v>
      </c>
      <c r="P20" s="3">
        <f t="shared" si="1"/>
        <v>4</v>
      </c>
      <c r="Q20" s="3">
        <f t="shared" si="2"/>
        <v>9</v>
      </c>
      <c r="R20" s="3">
        <f t="shared" si="3"/>
        <v>0.25</v>
      </c>
      <c r="S20" s="6">
        <f t="shared" ref="S20:T20" si="10">(S9*COUNTIF($J$1:$J$101,S$16) - COUNTIFS($J$1:$J$101,S$16,$K$1:$K$101,"=0"))^2</f>
        <v>0.42249999999999988</v>
      </c>
      <c r="T20" s="6">
        <f t="shared" si="10"/>
        <v>2.8899999999999997</v>
      </c>
      <c r="U20" s="6">
        <f t="shared" ref="U20:V20" si="11">(U9*COUNTIF($J$1:$J$101,U$16) - COUNTIFS($J$1:$J$101,U$16,$K$1:$K$101,"=1"))^2</f>
        <v>7.2899999999999965</v>
      </c>
      <c r="V20" s="6">
        <f t="shared" si="11"/>
        <v>2.8899999999999975</v>
      </c>
      <c r="W20" s="4"/>
      <c r="X20" s="4"/>
      <c r="Y20" s="4"/>
    </row>
    <row r="21" spans="1:25" ht="14.25" customHeight="1">
      <c r="A21" s="2">
        <v>45</v>
      </c>
      <c r="B21" s="2">
        <v>20</v>
      </c>
      <c r="C21" s="2">
        <v>2</v>
      </c>
      <c r="D21" s="2">
        <v>0</v>
      </c>
      <c r="E21" s="2">
        <v>1.107</v>
      </c>
      <c r="F21" s="2">
        <v>1</v>
      </c>
      <c r="H21" s="2">
        <v>45</v>
      </c>
      <c r="I21" s="2">
        <v>71</v>
      </c>
      <c r="J21" s="2">
        <v>8</v>
      </c>
      <c r="K21" s="2">
        <v>1</v>
      </c>
      <c r="L21" s="2">
        <v>1.4019999999999999</v>
      </c>
      <c r="M21" s="2">
        <v>2</v>
      </c>
      <c r="N21" s="3">
        <v>5</v>
      </c>
      <c r="O21" s="3">
        <f t="shared" si="0"/>
        <v>2.8899999999999997</v>
      </c>
      <c r="P21" s="3">
        <f t="shared" si="1"/>
        <v>0.48999999999999899</v>
      </c>
      <c r="Q21" s="3">
        <f t="shared" si="2"/>
        <v>0.3600000000000001</v>
      </c>
      <c r="R21" s="3">
        <f t="shared" si="3"/>
        <v>7.0224999999999973</v>
      </c>
      <c r="S21" s="6">
        <f t="shared" ref="S21:T21" si="12">(S10*COUNTIF($J$1:$J$101,S$16) - COUNTIFS($J$1:$J$101,S$16,$K$1:$K$101,"=0"))^2</f>
        <v>6.25</v>
      </c>
      <c r="T21" s="6">
        <f t="shared" si="12"/>
        <v>1</v>
      </c>
      <c r="U21" s="6">
        <f t="shared" ref="U21:V21" si="13">(U10*COUNTIF($J$1:$J$101,U$16) - COUNTIFS($J$1:$J$101,U$16,$K$1:$K$101,"=1"))^2</f>
        <v>0</v>
      </c>
      <c r="V21" s="6">
        <f t="shared" si="13"/>
        <v>1</v>
      </c>
      <c r="W21" s="4"/>
      <c r="X21" s="4"/>
      <c r="Y21" s="4"/>
    </row>
    <row r="22" spans="1:25" ht="14.25" customHeight="1">
      <c r="A22" s="2">
        <v>45</v>
      </c>
      <c r="B22" s="2">
        <v>21</v>
      </c>
      <c r="C22" s="2">
        <v>4</v>
      </c>
      <c r="D22" s="2">
        <v>1</v>
      </c>
      <c r="E22" s="2">
        <v>1.698</v>
      </c>
      <c r="F22" s="2">
        <v>2</v>
      </c>
      <c r="H22" s="2">
        <v>45</v>
      </c>
      <c r="I22" s="2">
        <v>72</v>
      </c>
      <c r="J22" s="2">
        <v>2</v>
      </c>
      <c r="K22" s="2">
        <v>1</v>
      </c>
      <c r="L22" s="2">
        <v>1.476</v>
      </c>
      <c r="M22" s="2">
        <v>2</v>
      </c>
      <c r="N22" s="3">
        <v>6</v>
      </c>
      <c r="O22" s="3">
        <f t="shared" si="0"/>
        <v>1</v>
      </c>
      <c r="P22" s="3">
        <f t="shared" si="1"/>
        <v>4</v>
      </c>
      <c r="Q22" s="3">
        <f t="shared" si="2"/>
        <v>9</v>
      </c>
      <c r="R22" s="3">
        <f t="shared" si="3"/>
        <v>0.25</v>
      </c>
      <c r="S22" s="6">
        <f t="shared" ref="S22:T22" si="14">(S11*COUNTIF($J$1:$J$101,S$16) - COUNTIFS($J$1:$J$101,S$16,$K$1:$K$101,"=0"))^2</f>
        <v>6.25</v>
      </c>
      <c r="T22" s="6">
        <f t="shared" si="14"/>
        <v>1</v>
      </c>
      <c r="U22" s="6">
        <f t="shared" ref="U22:V22" si="15">(U11*COUNTIF($J$1:$J$101,U$16) - COUNTIFS($J$1:$J$101,U$16,$K$1:$K$101,"=1"))^2</f>
        <v>0</v>
      </c>
      <c r="V22" s="6">
        <f t="shared" si="15"/>
        <v>1</v>
      </c>
      <c r="W22" s="4"/>
      <c r="X22" s="4"/>
      <c r="Y22" s="4"/>
    </row>
    <row r="23" spans="1:25" ht="14.25" customHeight="1">
      <c r="A23" s="2">
        <v>45</v>
      </c>
      <c r="B23" s="2">
        <v>22</v>
      </c>
      <c r="C23" s="2">
        <v>2</v>
      </c>
      <c r="D23" s="2">
        <v>0</v>
      </c>
      <c r="E23" s="2">
        <v>1.4650000000000001</v>
      </c>
      <c r="F23" s="2">
        <v>1</v>
      </c>
      <c r="H23" s="2">
        <v>45</v>
      </c>
      <c r="I23" s="2">
        <v>73</v>
      </c>
      <c r="J23" s="2">
        <v>1</v>
      </c>
      <c r="K23" s="2">
        <v>1</v>
      </c>
      <c r="L23" s="2">
        <v>1.5620000000000001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45</v>
      </c>
      <c r="B24" s="2">
        <v>23</v>
      </c>
      <c r="C24" s="2">
        <v>6</v>
      </c>
      <c r="D24" s="2">
        <v>1</v>
      </c>
      <c r="E24" s="2">
        <v>1.28</v>
      </c>
      <c r="F24" s="2">
        <v>1</v>
      </c>
      <c r="H24" s="2">
        <v>45</v>
      </c>
      <c r="I24" s="2">
        <v>74</v>
      </c>
      <c r="J24" s="2">
        <v>7</v>
      </c>
      <c r="K24" s="2">
        <v>1</v>
      </c>
      <c r="L24" s="2">
        <v>1.2110000000000001</v>
      </c>
      <c r="M24" s="2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45</v>
      </c>
      <c r="B25" s="2">
        <v>24</v>
      </c>
      <c r="C25" s="2">
        <v>5</v>
      </c>
      <c r="D25" s="2">
        <v>0</v>
      </c>
      <c r="E25" s="2">
        <v>1.7849999999999999</v>
      </c>
      <c r="F25" s="2">
        <v>2</v>
      </c>
      <c r="H25" s="2">
        <v>45</v>
      </c>
      <c r="I25" s="2">
        <v>75</v>
      </c>
      <c r="J25" s="2">
        <v>8</v>
      </c>
      <c r="K25" s="2">
        <v>0</v>
      </c>
      <c r="L25" s="2">
        <v>1.1459999999999999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45</v>
      </c>
      <c r="B26" s="2">
        <v>25</v>
      </c>
      <c r="C26" s="2">
        <v>1</v>
      </c>
      <c r="E26" s="2">
        <v>2.0009999999999999</v>
      </c>
      <c r="H26" s="2">
        <v>45</v>
      </c>
      <c r="I26" s="2">
        <v>76</v>
      </c>
      <c r="J26" s="2">
        <v>7</v>
      </c>
      <c r="L26" s="2">
        <v>2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49</v>
      </c>
      <c r="S26" s="3">
        <f t="shared" si="16"/>
        <v>49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45</v>
      </c>
      <c r="B27" s="2">
        <v>26</v>
      </c>
      <c r="C27" s="2">
        <v>2</v>
      </c>
      <c r="D27" s="2">
        <v>0</v>
      </c>
      <c r="E27" s="2">
        <v>1.0660000000000001</v>
      </c>
      <c r="F27" s="2">
        <v>1</v>
      </c>
      <c r="H27" s="2">
        <v>45</v>
      </c>
      <c r="I27" s="2">
        <v>77</v>
      </c>
      <c r="J27" s="2">
        <v>6</v>
      </c>
      <c r="K27" s="2">
        <v>1</v>
      </c>
      <c r="L27" s="2">
        <v>1.5409999999999999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45</v>
      </c>
      <c r="B28" s="2">
        <v>27</v>
      </c>
      <c r="C28" s="2">
        <v>8</v>
      </c>
      <c r="D28" s="2">
        <v>1</v>
      </c>
      <c r="E28" s="2">
        <v>1.0469999999999999</v>
      </c>
      <c r="F28" s="2">
        <v>2</v>
      </c>
      <c r="H28" s="2">
        <v>45</v>
      </c>
      <c r="I28" s="2">
        <v>78</v>
      </c>
      <c r="J28" s="2">
        <v>3</v>
      </c>
      <c r="K28" s="2">
        <v>1</v>
      </c>
      <c r="L28" s="2">
        <v>1.4470000000000001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45</v>
      </c>
      <c r="B29" s="2">
        <v>28</v>
      </c>
      <c r="C29" s="2">
        <v>3</v>
      </c>
      <c r="D29" s="2">
        <v>0</v>
      </c>
      <c r="E29" s="2">
        <v>1.472</v>
      </c>
      <c r="F29" s="2">
        <v>2</v>
      </c>
      <c r="H29" s="2">
        <v>45</v>
      </c>
      <c r="I29" s="2">
        <v>79</v>
      </c>
      <c r="J29" s="2">
        <v>4</v>
      </c>
      <c r="K29" s="2">
        <v>1</v>
      </c>
      <c r="L29" s="2">
        <v>1.6859999999999999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45</v>
      </c>
      <c r="B30" s="2">
        <v>29</v>
      </c>
      <c r="C30" s="2">
        <v>5</v>
      </c>
      <c r="D30" s="2">
        <v>1</v>
      </c>
      <c r="E30" s="2">
        <v>1.839</v>
      </c>
      <c r="F30" s="2">
        <v>1</v>
      </c>
      <c r="H30" s="2">
        <v>45</v>
      </c>
      <c r="I30" s="2">
        <v>80</v>
      </c>
      <c r="J30" s="2">
        <v>1</v>
      </c>
      <c r="K30" s="2">
        <v>1</v>
      </c>
      <c r="L30" s="2">
        <v>1.8240000000000001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45</v>
      </c>
      <c r="B31" s="2">
        <v>30</v>
      </c>
      <c r="C31" s="2">
        <v>7</v>
      </c>
      <c r="D31" s="2">
        <v>1</v>
      </c>
      <c r="E31" s="2">
        <v>1.2190000000000001</v>
      </c>
      <c r="F31" s="2">
        <v>2</v>
      </c>
      <c r="H31" s="2">
        <v>45</v>
      </c>
      <c r="I31" s="2">
        <v>81</v>
      </c>
      <c r="J31" s="2">
        <v>3</v>
      </c>
      <c r="K31" s="2">
        <v>1</v>
      </c>
      <c r="L31" s="2">
        <v>1.133</v>
      </c>
      <c r="M31" s="2">
        <v>2</v>
      </c>
      <c r="N31" s="3">
        <v>1</v>
      </c>
      <c r="O31" s="3">
        <f t="shared" ref="O31:O36" si="17">SUM(O17:V17)/SUM(O$26:V$26)</f>
        <v>7.7245222929936269E-2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45</v>
      </c>
      <c r="B32" s="2">
        <v>31</v>
      </c>
      <c r="C32" s="2">
        <v>8</v>
      </c>
      <c r="D32" s="2">
        <v>0</v>
      </c>
      <c r="E32" s="2">
        <v>1.8169999999999999</v>
      </c>
      <c r="F32" s="2">
        <v>1</v>
      </c>
      <c r="H32" s="2">
        <v>45</v>
      </c>
      <c r="I32" s="2">
        <v>82</v>
      </c>
      <c r="J32" s="2">
        <v>5</v>
      </c>
      <c r="K32" s="2">
        <v>1</v>
      </c>
      <c r="L32" s="2">
        <v>1.417</v>
      </c>
      <c r="M32" s="2">
        <v>2</v>
      </c>
      <c r="N32" s="3">
        <v>2</v>
      </c>
      <c r="O32" s="3">
        <f t="shared" si="17"/>
        <v>0.25953821656050952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45</v>
      </c>
      <c r="B33" s="2">
        <v>32</v>
      </c>
      <c r="C33" s="2">
        <v>4</v>
      </c>
      <c r="D33" s="2">
        <v>0</v>
      </c>
      <c r="E33" s="2">
        <v>1.54</v>
      </c>
      <c r="F33" s="2">
        <v>1</v>
      </c>
      <c r="H33" s="2">
        <v>45</v>
      </c>
      <c r="I33" s="2">
        <v>83</v>
      </c>
      <c r="J33" s="2">
        <v>6</v>
      </c>
      <c r="K33" s="2">
        <v>1</v>
      </c>
      <c r="L33" s="2">
        <v>1.8560000000000001</v>
      </c>
      <c r="M33" s="2">
        <v>2</v>
      </c>
      <c r="N33" s="3">
        <v>3</v>
      </c>
      <c r="O33" s="3">
        <f t="shared" si="17"/>
        <v>0.111640127388535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45</v>
      </c>
      <c r="B34" s="2">
        <v>33</v>
      </c>
      <c r="C34" s="2">
        <v>7</v>
      </c>
      <c r="D34" s="2">
        <v>1</v>
      </c>
      <c r="E34" s="2">
        <v>1.3680000000000001</v>
      </c>
      <c r="F34" s="2">
        <v>2</v>
      </c>
      <c r="H34" s="2">
        <v>45</v>
      </c>
      <c r="I34" s="2">
        <v>84</v>
      </c>
      <c r="J34" s="2">
        <v>1</v>
      </c>
      <c r="K34" s="2">
        <v>0</v>
      </c>
      <c r="L34" s="2">
        <v>1.367</v>
      </c>
      <c r="M34" s="2">
        <v>1</v>
      </c>
      <c r="N34" s="3">
        <v>4</v>
      </c>
      <c r="O34" s="3">
        <f t="shared" si="17"/>
        <v>8.8351910828025459E-2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45</v>
      </c>
      <c r="B35" s="2">
        <v>34</v>
      </c>
      <c r="C35" s="2">
        <v>4</v>
      </c>
      <c r="D35" s="2">
        <v>1</v>
      </c>
      <c r="E35" s="2">
        <v>1.39</v>
      </c>
      <c r="F35" s="2">
        <v>2</v>
      </c>
      <c r="H35" s="2">
        <v>45</v>
      </c>
      <c r="I35" s="2">
        <v>85</v>
      </c>
      <c r="J35" s="2">
        <v>5</v>
      </c>
      <c r="K35" s="2">
        <v>1</v>
      </c>
      <c r="L35" s="2">
        <v>1.786</v>
      </c>
      <c r="M35" s="2">
        <v>2</v>
      </c>
      <c r="N35" s="3">
        <v>5</v>
      </c>
      <c r="O35" s="3">
        <f t="shared" si="17"/>
        <v>6.0549363057324827E-2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45</v>
      </c>
      <c r="B36" s="2">
        <v>35</v>
      </c>
      <c r="C36" s="2">
        <v>8</v>
      </c>
      <c r="D36" s="2">
        <v>1</v>
      </c>
      <c r="E36" s="2">
        <v>1.7589999999999999</v>
      </c>
      <c r="F36" s="2">
        <v>2</v>
      </c>
      <c r="H36" s="2">
        <v>45</v>
      </c>
      <c r="I36" s="2">
        <v>86</v>
      </c>
      <c r="J36" s="2">
        <v>4</v>
      </c>
      <c r="L36" s="2">
        <v>2</v>
      </c>
      <c r="N36" s="3">
        <v>6</v>
      </c>
      <c r="O36" s="3">
        <f t="shared" si="17"/>
        <v>7.1656050955414011E-2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45</v>
      </c>
      <c r="B37" s="2">
        <v>36</v>
      </c>
      <c r="C37" s="2">
        <v>7</v>
      </c>
      <c r="D37" s="2">
        <v>1</v>
      </c>
      <c r="E37" s="2">
        <v>1.5</v>
      </c>
      <c r="F37" s="2">
        <v>2</v>
      </c>
      <c r="H37" s="2">
        <v>45</v>
      </c>
      <c r="I37" s="2">
        <v>87</v>
      </c>
      <c r="J37" s="2">
        <v>2</v>
      </c>
      <c r="K37" s="2">
        <v>1</v>
      </c>
      <c r="L37" s="2">
        <v>1.2869999999999999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45</v>
      </c>
      <c r="B38" s="2">
        <v>37</v>
      </c>
      <c r="C38" s="2">
        <v>8</v>
      </c>
      <c r="D38" s="2">
        <v>1</v>
      </c>
      <c r="E38" s="2">
        <v>1.548</v>
      </c>
      <c r="F38" s="2">
        <v>2</v>
      </c>
      <c r="H38" s="2">
        <v>45</v>
      </c>
      <c r="I38" s="2">
        <v>88</v>
      </c>
      <c r="J38" s="2">
        <v>7</v>
      </c>
      <c r="K38" s="2">
        <v>0</v>
      </c>
      <c r="L38" s="2">
        <v>1.3149999999999999</v>
      </c>
      <c r="M38" s="2">
        <v>2</v>
      </c>
    </row>
    <row r="39" spans="1:25" ht="14.25" customHeight="1">
      <c r="A39" s="2">
        <v>45</v>
      </c>
      <c r="B39" s="2">
        <v>38</v>
      </c>
      <c r="C39" s="2">
        <v>1</v>
      </c>
      <c r="D39" s="2">
        <v>1</v>
      </c>
      <c r="E39" s="2">
        <v>1.716</v>
      </c>
      <c r="F39" s="2">
        <v>1</v>
      </c>
      <c r="H39" s="2">
        <v>45</v>
      </c>
      <c r="I39" s="2">
        <v>89</v>
      </c>
      <c r="J39" s="2">
        <v>4</v>
      </c>
      <c r="K39" s="2">
        <v>1</v>
      </c>
      <c r="L39" s="2">
        <v>1.722</v>
      </c>
      <c r="M39" s="2">
        <v>2</v>
      </c>
    </row>
    <row r="40" spans="1:25" ht="14.25" customHeight="1">
      <c r="A40" s="2">
        <v>45</v>
      </c>
      <c r="B40" s="2">
        <v>39</v>
      </c>
      <c r="C40" s="2">
        <v>4</v>
      </c>
      <c r="D40" s="2">
        <v>0</v>
      </c>
      <c r="E40" s="2">
        <v>1.823</v>
      </c>
      <c r="F40" s="2">
        <v>1</v>
      </c>
      <c r="H40" s="2">
        <v>45</v>
      </c>
      <c r="I40" s="2">
        <v>90</v>
      </c>
      <c r="J40" s="2">
        <v>3</v>
      </c>
      <c r="K40" s="2">
        <v>1</v>
      </c>
      <c r="L40" s="2">
        <v>1.153</v>
      </c>
      <c r="M40" s="2">
        <v>2</v>
      </c>
    </row>
    <row r="41" spans="1:25" ht="14.25" customHeight="1">
      <c r="A41" s="2">
        <v>45</v>
      </c>
      <c r="B41" s="2">
        <v>40</v>
      </c>
      <c r="C41" s="2">
        <v>2</v>
      </c>
      <c r="D41" s="2">
        <v>0</v>
      </c>
      <c r="E41" s="2">
        <v>1.224</v>
      </c>
      <c r="F41" s="2">
        <v>1</v>
      </c>
      <c r="H41" s="2">
        <v>45</v>
      </c>
      <c r="I41" s="2">
        <v>91</v>
      </c>
      <c r="J41" s="2">
        <v>1</v>
      </c>
      <c r="K41" s="2">
        <v>0</v>
      </c>
      <c r="L41" s="2">
        <v>1.474</v>
      </c>
      <c r="M41" s="2">
        <v>2</v>
      </c>
    </row>
    <row r="42" spans="1:25" ht="14.25" customHeight="1">
      <c r="A42" s="2">
        <v>45</v>
      </c>
      <c r="B42" s="2">
        <v>41</v>
      </c>
      <c r="C42" s="2">
        <v>3</v>
      </c>
      <c r="D42" s="2">
        <v>0</v>
      </c>
      <c r="E42" s="2">
        <v>1.4179999999999999</v>
      </c>
      <c r="F42" s="2">
        <v>2</v>
      </c>
      <c r="H42" s="2">
        <v>45</v>
      </c>
      <c r="I42" s="2">
        <v>92</v>
      </c>
      <c r="J42" s="2">
        <v>6</v>
      </c>
      <c r="K42" s="2">
        <v>1</v>
      </c>
      <c r="L42" s="2">
        <v>1.4419999999999999</v>
      </c>
      <c r="M42" s="2">
        <v>1</v>
      </c>
    </row>
    <row r="43" spans="1:25" ht="14.25" customHeight="1">
      <c r="A43" s="2">
        <v>45</v>
      </c>
      <c r="B43" s="2">
        <v>42</v>
      </c>
      <c r="C43" s="2">
        <v>6</v>
      </c>
      <c r="D43" s="2">
        <v>1</v>
      </c>
      <c r="E43" s="2">
        <v>1.1200000000000001</v>
      </c>
      <c r="F43" s="2">
        <v>1</v>
      </c>
      <c r="H43" s="2">
        <v>45</v>
      </c>
      <c r="I43" s="2">
        <v>93</v>
      </c>
      <c r="J43" s="2">
        <v>5</v>
      </c>
      <c r="K43" s="2">
        <v>1</v>
      </c>
      <c r="L43" s="2">
        <v>1.21</v>
      </c>
      <c r="M43" s="2">
        <v>1</v>
      </c>
    </row>
    <row r="44" spans="1:25" ht="14.25" customHeight="1">
      <c r="A44" s="2">
        <v>45</v>
      </c>
      <c r="B44" s="2">
        <v>43</v>
      </c>
      <c r="C44" s="2">
        <v>5</v>
      </c>
      <c r="D44" s="2">
        <v>1</v>
      </c>
      <c r="E44" s="2">
        <v>1.899</v>
      </c>
      <c r="F44" s="2">
        <v>1</v>
      </c>
      <c r="H44" s="2">
        <v>45</v>
      </c>
      <c r="I44" s="2">
        <v>94</v>
      </c>
      <c r="J44" s="2">
        <v>2</v>
      </c>
      <c r="K44" s="2">
        <v>1</v>
      </c>
      <c r="L44" s="2">
        <v>1.288</v>
      </c>
      <c r="M44" s="2">
        <v>1</v>
      </c>
    </row>
    <row r="45" spans="1:25" ht="14.25" customHeight="1">
      <c r="A45" s="2">
        <v>45</v>
      </c>
      <c r="B45" s="2">
        <v>44</v>
      </c>
      <c r="C45" s="2">
        <v>6</v>
      </c>
      <c r="D45" s="2">
        <v>1</v>
      </c>
      <c r="E45" s="2">
        <v>1.288</v>
      </c>
      <c r="F45" s="2">
        <v>1</v>
      </c>
      <c r="H45" s="2">
        <v>45</v>
      </c>
      <c r="I45" s="2">
        <v>95</v>
      </c>
      <c r="J45" s="2">
        <v>5</v>
      </c>
      <c r="K45" s="2">
        <v>1</v>
      </c>
      <c r="L45" s="2">
        <v>1.4670000000000001</v>
      </c>
      <c r="M45" s="2">
        <v>1</v>
      </c>
    </row>
    <row r="46" spans="1:25" ht="14.25" customHeight="1">
      <c r="A46" s="2">
        <v>45</v>
      </c>
      <c r="B46" s="2">
        <v>45</v>
      </c>
      <c r="C46" s="2">
        <v>1</v>
      </c>
      <c r="D46" s="2">
        <v>1</v>
      </c>
      <c r="E46" s="2">
        <v>0.92900000000000005</v>
      </c>
      <c r="F46" s="2">
        <v>1</v>
      </c>
      <c r="H46" s="2">
        <v>45</v>
      </c>
      <c r="I46" s="2">
        <v>96</v>
      </c>
      <c r="J46" s="2">
        <v>6</v>
      </c>
      <c r="K46" s="2">
        <v>0</v>
      </c>
      <c r="L46" s="2">
        <v>1.9079999999999999</v>
      </c>
      <c r="M46" s="2">
        <v>2</v>
      </c>
    </row>
    <row r="47" spans="1:25" ht="14.25" customHeight="1">
      <c r="A47" s="2">
        <v>45</v>
      </c>
      <c r="B47" s="2">
        <v>46</v>
      </c>
      <c r="C47" s="2">
        <v>3</v>
      </c>
      <c r="D47" s="2">
        <v>0</v>
      </c>
      <c r="E47" s="2">
        <v>1.7050000000000001</v>
      </c>
      <c r="F47" s="2">
        <v>2</v>
      </c>
      <c r="H47" s="2">
        <v>45</v>
      </c>
      <c r="I47" s="2">
        <v>97</v>
      </c>
      <c r="J47" s="2">
        <v>4</v>
      </c>
      <c r="L47" s="2">
        <v>2</v>
      </c>
    </row>
    <row r="48" spans="1:25" ht="14.25" customHeight="1">
      <c r="A48" s="2">
        <v>45</v>
      </c>
      <c r="B48" s="2">
        <v>47</v>
      </c>
      <c r="C48" s="2">
        <v>7</v>
      </c>
      <c r="D48" s="2">
        <v>1</v>
      </c>
      <c r="E48" s="2">
        <v>1.833</v>
      </c>
      <c r="F48" s="2">
        <v>2</v>
      </c>
      <c r="H48" s="2">
        <v>45</v>
      </c>
      <c r="I48" s="2">
        <v>98</v>
      </c>
      <c r="J48" s="2">
        <v>7</v>
      </c>
      <c r="K48" s="2">
        <v>1</v>
      </c>
      <c r="L48" s="2">
        <v>1.696</v>
      </c>
      <c r="M48" s="2">
        <v>1</v>
      </c>
    </row>
    <row r="49" spans="1:13" ht="14.25" customHeight="1">
      <c r="A49" s="2">
        <v>45</v>
      </c>
      <c r="B49" s="2">
        <v>48</v>
      </c>
      <c r="C49" s="2">
        <v>6</v>
      </c>
      <c r="D49" s="2">
        <v>1</v>
      </c>
      <c r="E49" s="2">
        <v>1.3680000000000001</v>
      </c>
      <c r="F49" s="2">
        <v>1</v>
      </c>
      <c r="H49" s="2">
        <v>45</v>
      </c>
      <c r="I49" s="2">
        <v>99</v>
      </c>
      <c r="J49" s="2">
        <v>3</v>
      </c>
      <c r="L49" s="2">
        <v>2</v>
      </c>
    </row>
    <row r="50" spans="1:13" ht="14.25" customHeight="1">
      <c r="A50" s="2">
        <v>45</v>
      </c>
      <c r="B50" s="2">
        <v>49</v>
      </c>
      <c r="C50" s="2">
        <v>3</v>
      </c>
      <c r="D50" s="2">
        <v>1</v>
      </c>
      <c r="E50" s="2">
        <v>1.68</v>
      </c>
      <c r="F50" s="2">
        <v>1</v>
      </c>
      <c r="H50" s="2">
        <v>45</v>
      </c>
      <c r="I50" s="2">
        <v>100</v>
      </c>
      <c r="J50" s="2">
        <v>8</v>
      </c>
      <c r="K50" s="2">
        <v>1</v>
      </c>
      <c r="L50" s="2">
        <v>1.9790000000000001</v>
      </c>
      <c r="M50" s="2">
        <v>1</v>
      </c>
    </row>
    <row r="51" spans="1:13" ht="14.25" customHeight="1">
      <c r="A51" s="2">
        <v>45</v>
      </c>
      <c r="B51" s="2">
        <v>50</v>
      </c>
      <c r="C51" s="2">
        <v>1</v>
      </c>
      <c r="D51" s="2">
        <v>1</v>
      </c>
      <c r="E51" s="2">
        <v>1.089</v>
      </c>
      <c r="F51" s="2">
        <v>1</v>
      </c>
    </row>
    <row r="52" spans="1:13" ht="14.25" customHeight="1">
      <c r="A52" s="2">
        <v>45</v>
      </c>
      <c r="B52" s="2">
        <v>51</v>
      </c>
      <c r="C52" s="2">
        <v>8</v>
      </c>
      <c r="D52" s="2">
        <v>1</v>
      </c>
      <c r="E52" s="2">
        <v>1.288</v>
      </c>
      <c r="F52" s="2">
        <v>1</v>
      </c>
    </row>
    <row r="53" spans="1:13" ht="14.25" customHeight="1">
      <c r="A53" s="2">
        <v>45</v>
      </c>
      <c r="B53" s="2">
        <v>52</v>
      </c>
      <c r="C53" s="2">
        <v>2</v>
      </c>
      <c r="D53" s="2">
        <v>1</v>
      </c>
      <c r="E53" s="2">
        <v>1.538</v>
      </c>
      <c r="F53" s="2">
        <v>2</v>
      </c>
    </row>
    <row r="54" spans="1:13" ht="14.25" customHeight="1">
      <c r="A54" s="2">
        <v>45</v>
      </c>
      <c r="B54" s="2">
        <v>53</v>
      </c>
      <c r="C54" s="2">
        <v>8</v>
      </c>
      <c r="D54" s="2">
        <v>1</v>
      </c>
      <c r="E54" s="2">
        <v>1.016</v>
      </c>
      <c r="F54" s="2">
        <v>1</v>
      </c>
    </row>
    <row r="55" spans="1:13" ht="14.25" customHeight="1">
      <c r="A55" s="2">
        <v>45</v>
      </c>
      <c r="B55" s="2">
        <v>54</v>
      </c>
      <c r="C55" s="2">
        <v>3</v>
      </c>
      <c r="D55" s="2">
        <v>1</v>
      </c>
      <c r="E55" s="2">
        <v>1.28</v>
      </c>
      <c r="F55" s="2">
        <v>2</v>
      </c>
    </row>
    <row r="56" spans="1:13" ht="14.25" customHeight="1">
      <c r="A56" s="2">
        <v>45</v>
      </c>
      <c r="B56" s="2">
        <v>55</v>
      </c>
      <c r="C56" s="2">
        <v>1</v>
      </c>
      <c r="D56" s="2">
        <v>1</v>
      </c>
      <c r="E56" s="2">
        <v>1.6579999999999999</v>
      </c>
      <c r="F56" s="2">
        <v>1</v>
      </c>
    </row>
    <row r="57" spans="1:13" ht="14.25" customHeight="1">
      <c r="A57" s="2">
        <v>45</v>
      </c>
      <c r="B57" s="2">
        <v>56</v>
      </c>
      <c r="C57" s="2">
        <v>5</v>
      </c>
      <c r="D57" s="2">
        <v>1</v>
      </c>
      <c r="E57" s="2">
        <v>1.5089999999999999</v>
      </c>
      <c r="F57" s="2">
        <v>2</v>
      </c>
    </row>
    <row r="58" spans="1:13" ht="14.25" customHeight="1">
      <c r="A58" s="2">
        <v>45</v>
      </c>
      <c r="B58" s="2">
        <v>57</v>
      </c>
      <c r="C58" s="2">
        <v>4</v>
      </c>
      <c r="D58" s="2">
        <v>0</v>
      </c>
      <c r="E58" s="2">
        <v>1.113</v>
      </c>
      <c r="F58" s="2">
        <v>1</v>
      </c>
    </row>
    <row r="59" spans="1:13" ht="14.25" customHeight="1">
      <c r="A59" s="2">
        <v>45</v>
      </c>
      <c r="B59" s="2">
        <v>58</v>
      </c>
      <c r="C59" s="2">
        <v>2</v>
      </c>
      <c r="D59" s="2">
        <v>1</v>
      </c>
      <c r="E59" s="2">
        <v>1.407</v>
      </c>
      <c r="F59" s="2">
        <v>1</v>
      </c>
    </row>
    <row r="60" spans="1:13" ht="14.25" customHeight="1">
      <c r="A60" s="2">
        <v>45</v>
      </c>
      <c r="B60" s="2">
        <v>59</v>
      </c>
      <c r="C60" s="2">
        <v>3</v>
      </c>
      <c r="D60" s="2">
        <v>1</v>
      </c>
      <c r="E60" s="2">
        <v>1.2589999999999999</v>
      </c>
      <c r="F60" s="2">
        <v>2</v>
      </c>
    </row>
    <row r="61" spans="1:13" ht="14.25" customHeight="1">
      <c r="A61" s="2">
        <v>45</v>
      </c>
      <c r="B61" s="2">
        <v>60</v>
      </c>
      <c r="C61" s="2">
        <v>2</v>
      </c>
      <c r="E61" s="2">
        <v>2</v>
      </c>
    </row>
    <row r="62" spans="1:13" ht="14.25" customHeight="1">
      <c r="A62" s="2">
        <v>45</v>
      </c>
      <c r="B62" s="2">
        <v>61</v>
      </c>
      <c r="C62" s="2">
        <v>7</v>
      </c>
      <c r="D62" s="2">
        <v>0</v>
      </c>
      <c r="E62" s="2">
        <v>1.292</v>
      </c>
      <c r="F62" s="2">
        <v>2</v>
      </c>
    </row>
    <row r="63" spans="1:13" ht="14.25" customHeight="1">
      <c r="A63" s="2">
        <v>45</v>
      </c>
      <c r="B63" s="2">
        <v>62</v>
      </c>
      <c r="C63" s="2">
        <v>5</v>
      </c>
      <c r="D63" s="2">
        <v>1</v>
      </c>
      <c r="E63" s="2">
        <v>1.6080000000000001</v>
      </c>
      <c r="F63" s="2">
        <v>2</v>
      </c>
    </row>
    <row r="64" spans="1:13" ht="14.25" customHeight="1">
      <c r="A64" s="2">
        <v>45</v>
      </c>
      <c r="B64" s="2">
        <v>63</v>
      </c>
      <c r="C64" s="2">
        <v>6</v>
      </c>
      <c r="D64" s="2">
        <v>1</v>
      </c>
      <c r="E64" s="2">
        <v>1.2090000000000001</v>
      </c>
      <c r="F64" s="2">
        <v>2</v>
      </c>
    </row>
    <row r="65" spans="1:6" ht="14.25" customHeight="1">
      <c r="A65" s="2">
        <v>45</v>
      </c>
      <c r="B65" s="2">
        <v>64</v>
      </c>
      <c r="C65" s="2">
        <v>4</v>
      </c>
      <c r="D65" s="2">
        <v>1</v>
      </c>
      <c r="E65" s="2">
        <v>1.1910000000000001</v>
      </c>
      <c r="F65" s="2">
        <v>1</v>
      </c>
    </row>
    <row r="66" spans="1:6" ht="14.25" customHeight="1">
      <c r="A66" s="2">
        <v>45</v>
      </c>
      <c r="B66" s="2">
        <v>65</v>
      </c>
      <c r="C66" s="2">
        <v>8</v>
      </c>
      <c r="D66" s="2">
        <v>0</v>
      </c>
      <c r="E66" s="2">
        <v>1.3680000000000001</v>
      </c>
      <c r="F66" s="2">
        <v>2</v>
      </c>
    </row>
    <row r="67" spans="1:6" ht="14.25" customHeight="1">
      <c r="A67" s="2">
        <v>45</v>
      </c>
      <c r="B67" s="2">
        <v>66</v>
      </c>
      <c r="C67" s="2">
        <v>6</v>
      </c>
      <c r="D67" s="2">
        <v>0</v>
      </c>
      <c r="E67" s="2">
        <v>1.6479999999999999</v>
      </c>
      <c r="F67" s="2">
        <v>1</v>
      </c>
    </row>
    <row r="68" spans="1:6" ht="14.25" customHeight="1">
      <c r="A68" s="2">
        <v>45</v>
      </c>
      <c r="B68" s="2">
        <v>67</v>
      </c>
      <c r="C68" s="2">
        <v>5</v>
      </c>
      <c r="D68" s="2">
        <v>0</v>
      </c>
      <c r="E68" s="2">
        <v>1.532</v>
      </c>
      <c r="F68" s="2">
        <v>1</v>
      </c>
    </row>
    <row r="69" spans="1:6" ht="14.25" customHeight="1">
      <c r="A69" s="2">
        <v>45</v>
      </c>
      <c r="B69" s="2">
        <v>68</v>
      </c>
      <c r="C69" s="2">
        <v>4</v>
      </c>
      <c r="D69" s="2">
        <v>1</v>
      </c>
      <c r="E69" s="2">
        <v>1.288</v>
      </c>
      <c r="F69" s="2">
        <v>1</v>
      </c>
    </row>
    <row r="70" spans="1:6" ht="14.25" customHeight="1">
      <c r="A70" s="2">
        <v>45</v>
      </c>
      <c r="B70" s="2">
        <v>69</v>
      </c>
      <c r="C70" s="2">
        <v>1</v>
      </c>
      <c r="D70" s="2">
        <v>1</v>
      </c>
      <c r="E70" s="2">
        <v>1.526</v>
      </c>
      <c r="F70" s="2">
        <v>1</v>
      </c>
    </row>
    <row r="71" spans="1:6" ht="14.25" customHeight="1">
      <c r="A71" s="2">
        <v>45</v>
      </c>
      <c r="B71" s="2">
        <v>70</v>
      </c>
      <c r="C71" s="2">
        <v>7</v>
      </c>
      <c r="D71" s="2">
        <v>1</v>
      </c>
      <c r="E71" s="2">
        <v>1.6739999999999999</v>
      </c>
      <c r="F71" s="2">
        <v>2</v>
      </c>
    </row>
    <row r="72" spans="1:6" ht="14.25" customHeight="1">
      <c r="A72" s="2">
        <v>45</v>
      </c>
      <c r="B72" s="2">
        <v>71</v>
      </c>
      <c r="C72" s="2">
        <v>8</v>
      </c>
      <c r="D72" s="2">
        <v>1</v>
      </c>
      <c r="E72" s="2">
        <v>1.4019999999999999</v>
      </c>
      <c r="F72" s="2">
        <v>2</v>
      </c>
    </row>
    <row r="73" spans="1:6" ht="14.25" customHeight="1">
      <c r="A73" s="2">
        <v>45</v>
      </c>
      <c r="B73" s="2">
        <v>72</v>
      </c>
      <c r="C73" s="2">
        <v>2</v>
      </c>
      <c r="D73" s="2">
        <v>1</v>
      </c>
      <c r="E73" s="2">
        <v>1.476</v>
      </c>
      <c r="F73" s="2">
        <v>2</v>
      </c>
    </row>
    <row r="74" spans="1:6" ht="14.25" customHeight="1">
      <c r="A74" s="2">
        <v>45</v>
      </c>
      <c r="B74" s="2">
        <v>73</v>
      </c>
      <c r="C74" s="2">
        <v>1</v>
      </c>
      <c r="D74" s="2">
        <v>1</v>
      </c>
      <c r="E74" s="2">
        <v>1.5620000000000001</v>
      </c>
      <c r="F74" s="2">
        <v>1</v>
      </c>
    </row>
    <row r="75" spans="1:6" ht="14.25" customHeight="1">
      <c r="A75" s="2">
        <v>45</v>
      </c>
      <c r="B75" s="2">
        <v>74</v>
      </c>
      <c r="C75" s="2">
        <v>7</v>
      </c>
      <c r="D75" s="2">
        <v>1</v>
      </c>
      <c r="E75" s="2">
        <v>1.2110000000000001</v>
      </c>
      <c r="F75" s="2">
        <v>1</v>
      </c>
    </row>
    <row r="76" spans="1:6" ht="14.25" customHeight="1">
      <c r="A76" s="2">
        <v>45</v>
      </c>
      <c r="B76" s="2">
        <v>75</v>
      </c>
      <c r="C76" s="2">
        <v>8</v>
      </c>
      <c r="D76" s="2">
        <v>0</v>
      </c>
      <c r="E76" s="2">
        <v>1.1459999999999999</v>
      </c>
      <c r="F76" s="2">
        <v>2</v>
      </c>
    </row>
    <row r="77" spans="1:6" ht="14.25" customHeight="1">
      <c r="A77" s="2">
        <v>45</v>
      </c>
      <c r="B77" s="2">
        <v>76</v>
      </c>
      <c r="C77" s="2">
        <v>7</v>
      </c>
      <c r="E77" s="2">
        <v>2</v>
      </c>
    </row>
    <row r="78" spans="1:6" ht="14.25" customHeight="1">
      <c r="A78" s="2">
        <v>45</v>
      </c>
      <c r="B78" s="2">
        <v>77</v>
      </c>
      <c r="C78" s="2">
        <v>6</v>
      </c>
      <c r="D78" s="2">
        <v>1</v>
      </c>
      <c r="E78" s="2">
        <v>1.5409999999999999</v>
      </c>
      <c r="F78" s="2">
        <v>2</v>
      </c>
    </row>
    <row r="79" spans="1:6" ht="14.25" customHeight="1">
      <c r="A79" s="2">
        <v>45</v>
      </c>
      <c r="B79" s="2">
        <v>78</v>
      </c>
      <c r="C79" s="2">
        <v>3</v>
      </c>
      <c r="D79" s="2">
        <v>1</v>
      </c>
      <c r="E79" s="2">
        <v>1.4470000000000001</v>
      </c>
      <c r="F79" s="2">
        <v>1</v>
      </c>
    </row>
    <row r="80" spans="1:6" ht="14.25" customHeight="1">
      <c r="A80" s="2">
        <v>45</v>
      </c>
      <c r="B80" s="2">
        <v>79</v>
      </c>
      <c r="C80" s="2">
        <v>4</v>
      </c>
      <c r="D80" s="2">
        <v>1</v>
      </c>
      <c r="E80" s="2">
        <v>1.6859999999999999</v>
      </c>
      <c r="F80" s="2">
        <v>1</v>
      </c>
    </row>
    <row r="81" spans="1:6" ht="14.25" customHeight="1">
      <c r="A81" s="2">
        <v>45</v>
      </c>
      <c r="B81" s="2">
        <v>80</v>
      </c>
      <c r="C81" s="2">
        <v>1</v>
      </c>
      <c r="D81" s="2">
        <v>1</v>
      </c>
      <c r="E81" s="2">
        <v>1.8240000000000001</v>
      </c>
      <c r="F81" s="2">
        <v>2</v>
      </c>
    </row>
    <row r="82" spans="1:6" ht="14.25" customHeight="1">
      <c r="A82" s="2">
        <v>45</v>
      </c>
      <c r="B82" s="2">
        <v>81</v>
      </c>
      <c r="C82" s="2">
        <v>3</v>
      </c>
      <c r="D82" s="2">
        <v>1</v>
      </c>
      <c r="E82" s="2">
        <v>1.133</v>
      </c>
      <c r="F82" s="2">
        <v>2</v>
      </c>
    </row>
    <row r="83" spans="1:6" ht="14.25" customHeight="1">
      <c r="A83" s="2">
        <v>45</v>
      </c>
      <c r="B83" s="2">
        <v>82</v>
      </c>
      <c r="C83" s="2">
        <v>5</v>
      </c>
      <c r="D83" s="2">
        <v>1</v>
      </c>
      <c r="E83" s="2">
        <v>1.417</v>
      </c>
      <c r="F83" s="2">
        <v>2</v>
      </c>
    </row>
    <row r="84" spans="1:6" ht="14.25" customHeight="1">
      <c r="A84" s="2">
        <v>45</v>
      </c>
      <c r="B84" s="2">
        <v>83</v>
      </c>
      <c r="C84" s="2">
        <v>6</v>
      </c>
      <c r="D84" s="2">
        <v>1</v>
      </c>
      <c r="E84" s="2">
        <v>1.8560000000000001</v>
      </c>
      <c r="F84" s="2">
        <v>2</v>
      </c>
    </row>
    <row r="85" spans="1:6" ht="14.25" customHeight="1">
      <c r="A85" s="2">
        <v>45</v>
      </c>
      <c r="B85" s="2">
        <v>84</v>
      </c>
      <c r="C85" s="2">
        <v>1</v>
      </c>
      <c r="D85" s="2">
        <v>0</v>
      </c>
      <c r="E85" s="2">
        <v>1.367</v>
      </c>
      <c r="F85" s="2">
        <v>1</v>
      </c>
    </row>
    <row r="86" spans="1:6" ht="14.25" customHeight="1">
      <c r="A86" s="2">
        <v>45</v>
      </c>
      <c r="B86" s="2">
        <v>85</v>
      </c>
      <c r="C86" s="2">
        <v>5</v>
      </c>
      <c r="D86" s="2">
        <v>1</v>
      </c>
      <c r="E86" s="2">
        <v>1.786</v>
      </c>
      <c r="F86" s="2">
        <v>2</v>
      </c>
    </row>
    <row r="87" spans="1:6" ht="14.25" customHeight="1">
      <c r="A87" s="2">
        <v>45</v>
      </c>
      <c r="B87" s="2">
        <v>86</v>
      </c>
      <c r="C87" s="2">
        <v>4</v>
      </c>
      <c r="E87" s="2">
        <v>2</v>
      </c>
    </row>
    <row r="88" spans="1:6" ht="14.25" customHeight="1">
      <c r="A88" s="2">
        <v>45</v>
      </c>
      <c r="B88" s="2">
        <v>87</v>
      </c>
      <c r="C88" s="2">
        <v>2</v>
      </c>
      <c r="D88" s="2">
        <v>1</v>
      </c>
      <c r="E88" s="2">
        <v>1.2869999999999999</v>
      </c>
      <c r="F88" s="2">
        <v>2</v>
      </c>
    </row>
    <row r="89" spans="1:6" ht="14.25" customHeight="1">
      <c r="A89" s="2">
        <v>45</v>
      </c>
      <c r="B89" s="2">
        <v>88</v>
      </c>
      <c r="C89" s="2">
        <v>7</v>
      </c>
      <c r="D89" s="2">
        <v>0</v>
      </c>
      <c r="E89" s="2">
        <v>1.3149999999999999</v>
      </c>
      <c r="F89" s="2">
        <v>2</v>
      </c>
    </row>
    <row r="90" spans="1:6" ht="14.25" customHeight="1">
      <c r="A90" s="2">
        <v>45</v>
      </c>
      <c r="B90" s="2">
        <v>89</v>
      </c>
      <c r="C90" s="2">
        <v>4</v>
      </c>
      <c r="D90" s="2">
        <v>1</v>
      </c>
      <c r="E90" s="2">
        <v>1.722</v>
      </c>
      <c r="F90" s="2">
        <v>2</v>
      </c>
    </row>
    <row r="91" spans="1:6" ht="14.25" customHeight="1">
      <c r="A91" s="2">
        <v>45</v>
      </c>
      <c r="B91" s="2">
        <v>90</v>
      </c>
      <c r="C91" s="2">
        <v>3</v>
      </c>
      <c r="D91" s="2">
        <v>1</v>
      </c>
      <c r="E91" s="2">
        <v>1.153</v>
      </c>
      <c r="F91" s="2">
        <v>2</v>
      </c>
    </row>
    <row r="92" spans="1:6" ht="14.25" customHeight="1">
      <c r="A92" s="2">
        <v>45</v>
      </c>
      <c r="B92" s="2">
        <v>91</v>
      </c>
      <c r="C92" s="2">
        <v>1</v>
      </c>
      <c r="D92" s="2">
        <v>0</v>
      </c>
      <c r="E92" s="2">
        <v>1.474</v>
      </c>
      <c r="F92" s="2">
        <v>2</v>
      </c>
    </row>
    <row r="93" spans="1:6" ht="14.25" customHeight="1">
      <c r="A93" s="2">
        <v>45</v>
      </c>
      <c r="B93" s="2">
        <v>92</v>
      </c>
      <c r="C93" s="2">
        <v>6</v>
      </c>
      <c r="D93" s="2">
        <v>1</v>
      </c>
      <c r="E93" s="2">
        <v>1.4419999999999999</v>
      </c>
      <c r="F93" s="2">
        <v>1</v>
      </c>
    </row>
    <row r="94" spans="1:6" ht="14.25" customHeight="1">
      <c r="A94" s="2">
        <v>45</v>
      </c>
      <c r="B94" s="2">
        <v>93</v>
      </c>
      <c r="C94" s="2">
        <v>5</v>
      </c>
      <c r="D94" s="2">
        <v>1</v>
      </c>
      <c r="E94" s="2">
        <v>1.21</v>
      </c>
      <c r="F94" s="2">
        <v>1</v>
      </c>
    </row>
    <row r="95" spans="1:6" ht="14.25" customHeight="1">
      <c r="A95" s="2">
        <v>45</v>
      </c>
      <c r="B95" s="2">
        <v>94</v>
      </c>
      <c r="C95" s="2">
        <v>2</v>
      </c>
      <c r="D95" s="2">
        <v>1</v>
      </c>
      <c r="E95" s="2">
        <v>1.288</v>
      </c>
      <c r="F95" s="2">
        <v>1</v>
      </c>
    </row>
    <row r="96" spans="1:6" ht="14.25" customHeight="1">
      <c r="A96" s="2">
        <v>45</v>
      </c>
      <c r="B96" s="2">
        <v>95</v>
      </c>
      <c r="C96" s="2">
        <v>5</v>
      </c>
      <c r="D96" s="2">
        <v>1</v>
      </c>
      <c r="E96" s="2">
        <v>1.4670000000000001</v>
      </c>
      <c r="F96" s="2">
        <v>1</v>
      </c>
    </row>
    <row r="97" spans="1:6" ht="14.25" customHeight="1">
      <c r="A97" s="2">
        <v>45</v>
      </c>
      <c r="B97" s="2">
        <v>96</v>
      </c>
      <c r="C97" s="2">
        <v>6</v>
      </c>
      <c r="D97" s="2">
        <v>0</v>
      </c>
      <c r="E97" s="2">
        <v>1.9079999999999999</v>
      </c>
      <c r="F97" s="2">
        <v>2</v>
      </c>
    </row>
    <row r="98" spans="1:6" ht="14.25" customHeight="1">
      <c r="A98" s="2">
        <v>45</v>
      </c>
      <c r="B98" s="2">
        <v>97</v>
      </c>
      <c r="C98" s="2">
        <v>4</v>
      </c>
      <c r="E98" s="2">
        <v>2</v>
      </c>
    </row>
    <row r="99" spans="1:6" ht="14.25" customHeight="1">
      <c r="A99" s="2">
        <v>45</v>
      </c>
      <c r="B99" s="2">
        <v>98</v>
      </c>
      <c r="C99" s="2">
        <v>7</v>
      </c>
      <c r="D99" s="2">
        <v>1</v>
      </c>
      <c r="E99" s="2">
        <v>1.696</v>
      </c>
      <c r="F99" s="2">
        <v>1</v>
      </c>
    </row>
    <row r="100" spans="1:6" ht="14.25" customHeight="1">
      <c r="A100" s="2">
        <v>45</v>
      </c>
      <c r="B100" s="2">
        <v>99</v>
      </c>
      <c r="C100" s="2">
        <v>3</v>
      </c>
      <c r="E100" s="2">
        <v>2</v>
      </c>
    </row>
    <row r="101" spans="1:6" ht="14.25" customHeight="1">
      <c r="A101" s="2">
        <v>45</v>
      </c>
      <c r="B101" s="2">
        <v>100</v>
      </c>
      <c r="C101" s="2">
        <v>8</v>
      </c>
      <c r="D101" s="2">
        <v>1</v>
      </c>
      <c r="E101" s="2">
        <v>1.9790000000000001</v>
      </c>
      <c r="F101" s="2">
        <v>1</v>
      </c>
    </row>
    <row r="102" spans="1:6" ht="14.25" customHeight="1">
      <c r="A102" s="2">
        <v>45</v>
      </c>
      <c r="B102" s="2">
        <v>101</v>
      </c>
      <c r="C102" s="2">
        <v>5</v>
      </c>
      <c r="D102" s="2">
        <v>1</v>
      </c>
      <c r="E102" s="2">
        <v>1.6439999999999999</v>
      </c>
      <c r="F102" s="2">
        <v>1</v>
      </c>
    </row>
    <row r="103" spans="1:6" ht="14.25" customHeight="1">
      <c r="A103" s="2">
        <v>45</v>
      </c>
      <c r="B103" s="2">
        <v>102</v>
      </c>
      <c r="C103" s="2">
        <v>3</v>
      </c>
      <c r="D103" s="2">
        <v>1</v>
      </c>
      <c r="E103" s="2">
        <v>1.714</v>
      </c>
      <c r="F103" s="2">
        <v>2</v>
      </c>
    </row>
    <row r="104" spans="1:6" ht="14.25" customHeight="1">
      <c r="A104" s="2">
        <v>45</v>
      </c>
      <c r="B104" s="2">
        <v>103</v>
      </c>
      <c r="C104" s="2">
        <v>2</v>
      </c>
      <c r="D104" s="2">
        <v>1</v>
      </c>
      <c r="E104" s="2">
        <v>1.1040000000000001</v>
      </c>
      <c r="F104" s="2">
        <v>1</v>
      </c>
    </row>
    <row r="105" spans="1:6" ht="14.25" customHeight="1">
      <c r="A105" s="2">
        <v>45</v>
      </c>
      <c r="B105" s="2">
        <v>104</v>
      </c>
      <c r="C105" s="2">
        <v>6</v>
      </c>
      <c r="D105" s="2">
        <v>1</v>
      </c>
      <c r="E105" s="2">
        <v>1.014</v>
      </c>
      <c r="F105" s="2">
        <v>2</v>
      </c>
    </row>
    <row r="106" spans="1:6" ht="14.25" customHeight="1">
      <c r="A106" s="2">
        <v>45</v>
      </c>
      <c r="B106" s="2">
        <v>105</v>
      </c>
      <c r="C106" s="2">
        <v>7</v>
      </c>
      <c r="D106" s="2">
        <v>0</v>
      </c>
      <c r="E106" s="2">
        <v>1.339</v>
      </c>
      <c r="F106" s="2">
        <v>2</v>
      </c>
    </row>
    <row r="107" spans="1:6" ht="14.25" customHeight="1">
      <c r="A107" s="2">
        <v>45</v>
      </c>
      <c r="B107" s="2">
        <v>106</v>
      </c>
      <c r="C107" s="2">
        <v>2</v>
      </c>
      <c r="D107" s="2">
        <v>1</v>
      </c>
      <c r="E107" s="2">
        <v>1.7969999999999999</v>
      </c>
      <c r="F107" s="2">
        <v>2</v>
      </c>
    </row>
    <row r="108" spans="1:6" ht="14.25" customHeight="1">
      <c r="A108" s="2">
        <v>45</v>
      </c>
      <c r="B108" s="2">
        <v>107</v>
      </c>
      <c r="C108" s="2">
        <v>1</v>
      </c>
      <c r="E108" s="2">
        <v>2</v>
      </c>
    </row>
    <row r="109" spans="1:6" ht="14.25" customHeight="1">
      <c r="A109" s="2">
        <v>45</v>
      </c>
      <c r="B109" s="2">
        <v>108</v>
      </c>
      <c r="C109" s="2">
        <v>5</v>
      </c>
      <c r="D109" s="2">
        <v>1</v>
      </c>
      <c r="E109" s="2">
        <v>1.387</v>
      </c>
      <c r="F109" s="2">
        <v>1</v>
      </c>
    </row>
    <row r="110" spans="1:6" ht="14.25" customHeight="1">
      <c r="A110" s="2">
        <v>45</v>
      </c>
      <c r="B110" s="2">
        <v>109</v>
      </c>
      <c r="C110" s="2">
        <v>4</v>
      </c>
      <c r="D110" s="2">
        <v>1</v>
      </c>
      <c r="E110" s="2">
        <v>1.099</v>
      </c>
      <c r="F110" s="2">
        <v>2</v>
      </c>
    </row>
    <row r="111" spans="1:6" ht="14.25" customHeight="1">
      <c r="A111" s="2">
        <v>45</v>
      </c>
      <c r="B111" s="2">
        <v>110</v>
      </c>
      <c r="C111" s="2">
        <v>1</v>
      </c>
      <c r="D111" s="2">
        <v>1</v>
      </c>
      <c r="E111" s="2">
        <v>1.1160000000000001</v>
      </c>
      <c r="F111" s="2">
        <v>1</v>
      </c>
    </row>
    <row r="112" spans="1:6" ht="14.25" customHeight="1">
      <c r="A112" s="2">
        <v>45</v>
      </c>
      <c r="B112" s="2">
        <v>111</v>
      </c>
      <c r="C112" s="2">
        <v>6</v>
      </c>
      <c r="D112" s="2">
        <v>1</v>
      </c>
      <c r="E112" s="2">
        <v>1.42</v>
      </c>
      <c r="F112" s="2">
        <v>1</v>
      </c>
    </row>
    <row r="113" spans="1:6" ht="14.25" customHeight="1">
      <c r="A113" s="2">
        <v>45</v>
      </c>
      <c r="B113" s="2">
        <v>112</v>
      </c>
      <c r="C113" s="2">
        <v>2</v>
      </c>
      <c r="D113" s="2">
        <v>0</v>
      </c>
      <c r="E113" s="2">
        <v>1.633</v>
      </c>
      <c r="F113" s="2">
        <v>1</v>
      </c>
    </row>
    <row r="114" spans="1:6" ht="14.25" customHeight="1">
      <c r="A114" s="2">
        <v>45</v>
      </c>
      <c r="B114" s="2">
        <v>113</v>
      </c>
      <c r="C114" s="2">
        <v>6</v>
      </c>
      <c r="D114" s="2">
        <v>1</v>
      </c>
      <c r="E114" s="2">
        <v>1.9750000000000001</v>
      </c>
      <c r="F114" s="2">
        <v>2</v>
      </c>
    </row>
    <row r="115" spans="1:6" ht="14.25" customHeight="1">
      <c r="A115" s="2">
        <v>45</v>
      </c>
      <c r="B115" s="2">
        <v>114</v>
      </c>
      <c r="C115" s="2">
        <v>4</v>
      </c>
      <c r="D115" s="2">
        <v>1</v>
      </c>
      <c r="E115" s="2">
        <v>1.9750000000000001</v>
      </c>
      <c r="F115" s="2">
        <v>1</v>
      </c>
    </row>
    <row r="116" spans="1:6" ht="14.25" customHeight="1">
      <c r="A116" s="2">
        <v>45</v>
      </c>
      <c r="B116" s="2">
        <v>115</v>
      </c>
      <c r="C116" s="2">
        <v>5</v>
      </c>
      <c r="D116" s="2">
        <v>0</v>
      </c>
      <c r="E116" s="2">
        <v>1.855</v>
      </c>
      <c r="F116" s="2">
        <v>2</v>
      </c>
    </row>
    <row r="117" spans="1:6" ht="14.25" customHeight="1">
      <c r="A117" s="2">
        <v>45</v>
      </c>
      <c r="B117" s="2">
        <v>116</v>
      </c>
      <c r="C117" s="2">
        <v>4</v>
      </c>
      <c r="E117" s="2">
        <v>2</v>
      </c>
    </row>
    <row r="118" spans="1:6" ht="14.25" customHeight="1">
      <c r="A118" s="2">
        <v>45</v>
      </c>
      <c r="B118" s="2">
        <v>117</v>
      </c>
      <c r="C118" s="2">
        <v>2</v>
      </c>
      <c r="D118" s="2">
        <v>1</v>
      </c>
      <c r="E118" s="2">
        <v>1.677</v>
      </c>
      <c r="F118" s="2">
        <v>2</v>
      </c>
    </row>
    <row r="119" spans="1:6" ht="14.25" customHeight="1">
      <c r="A119" s="2">
        <v>45</v>
      </c>
      <c r="B119" s="2">
        <v>118</v>
      </c>
      <c r="C119" s="2">
        <v>7</v>
      </c>
      <c r="D119" s="2">
        <v>1</v>
      </c>
      <c r="E119" s="2">
        <v>1.2829999999999999</v>
      </c>
      <c r="F119" s="2">
        <v>1</v>
      </c>
    </row>
    <row r="120" spans="1:6" ht="14.25" customHeight="1">
      <c r="A120" s="2">
        <v>45</v>
      </c>
      <c r="B120" s="2">
        <v>119</v>
      </c>
      <c r="C120" s="2">
        <v>8</v>
      </c>
      <c r="D120" s="2">
        <v>1</v>
      </c>
      <c r="E120" s="2">
        <v>1.454</v>
      </c>
      <c r="F120" s="2">
        <v>1</v>
      </c>
    </row>
    <row r="121" spans="1:6" ht="14.25" customHeight="1">
      <c r="A121" s="2">
        <v>45</v>
      </c>
      <c r="B121" s="2">
        <v>120</v>
      </c>
      <c r="C121" s="2">
        <v>3</v>
      </c>
      <c r="D121" s="2">
        <v>1</v>
      </c>
      <c r="E121" s="2">
        <v>1.5820000000000001</v>
      </c>
      <c r="F121" s="2">
        <v>2</v>
      </c>
    </row>
    <row r="122" spans="1:6" ht="14.25" customHeight="1">
      <c r="A122" s="2">
        <v>45</v>
      </c>
      <c r="B122" s="2">
        <v>121</v>
      </c>
      <c r="C122" s="2">
        <v>1</v>
      </c>
      <c r="D122" s="2">
        <v>0</v>
      </c>
      <c r="E122" s="2">
        <v>1.8340000000000001</v>
      </c>
      <c r="F122" s="2">
        <v>1</v>
      </c>
    </row>
    <row r="123" spans="1:6" ht="14.25" customHeight="1">
      <c r="A123" s="2">
        <v>45</v>
      </c>
      <c r="B123" s="2">
        <v>122</v>
      </c>
      <c r="C123" s="2">
        <v>4</v>
      </c>
      <c r="D123" s="2">
        <v>1</v>
      </c>
      <c r="E123" s="2">
        <v>1.37</v>
      </c>
      <c r="F123" s="2">
        <v>2</v>
      </c>
    </row>
    <row r="124" spans="1:6" ht="14.25" customHeight="1">
      <c r="A124" s="2">
        <v>45</v>
      </c>
      <c r="B124" s="2">
        <v>123</v>
      </c>
      <c r="C124" s="2">
        <v>3</v>
      </c>
      <c r="D124" s="2">
        <v>1</v>
      </c>
      <c r="E124" s="2">
        <v>1.462</v>
      </c>
      <c r="F124" s="2">
        <v>1</v>
      </c>
    </row>
    <row r="125" spans="1:6" ht="14.25" customHeight="1">
      <c r="A125" s="2">
        <v>45</v>
      </c>
      <c r="B125" s="2">
        <v>124</v>
      </c>
      <c r="C125" s="2">
        <v>1</v>
      </c>
      <c r="D125" s="2">
        <v>1</v>
      </c>
      <c r="E125" s="2">
        <v>1.1919999999999999</v>
      </c>
      <c r="F125" s="2">
        <v>1</v>
      </c>
    </row>
    <row r="126" spans="1:6" ht="14.25" customHeight="1">
      <c r="A126" s="2">
        <v>45</v>
      </c>
      <c r="B126" s="2">
        <v>125</v>
      </c>
      <c r="C126" s="2">
        <v>8</v>
      </c>
      <c r="D126" s="2">
        <v>0</v>
      </c>
      <c r="E126" s="2">
        <v>1.484</v>
      </c>
      <c r="F126" s="2">
        <v>2</v>
      </c>
    </row>
    <row r="127" spans="1:6" ht="14.25" customHeight="1">
      <c r="A127" s="2">
        <v>45</v>
      </c>
      <c r="B127" s="2">
        <v>126</v>
      </c>
      <c r="C127" s="2">
        <v>1</v>
      </c>
      <c r="D127" s="2">
        <v>1</v>
      </c>
      <c r="E127" s="2">
        <v>1.6990000000000001</v>
      </c>
      <c r="F127" s="2">
        <v>2</v>
      </c>
    </row>
    <row r="128" spans="1:6" ht="14.25" customHeight="1">
      <c r="A128" s="2">
        <v>45</v>
      </c>
      <c r="B128" s="2">
        <v>127</v>
      </c>
      <c r="C128" s="2">
        <v>8</v>
      </c>
      <c r="D128" s="2">
        <v>1</v>
      </c>
      <c r="E128" s="2">
        <v>1.657</v>
      </c>
      <c r="F128" s="2">
        <v>2</v>
      </c>
    </row>
    <row r="129" spans="1:6" ht="14.25" customHeight="1">
      <c r="A129" s="2">
        <v>45</v>
      </c>
      <c r="B129" s="2">
        <v>128</v>
      </c>
      <c r="C129" s="2">
        <v>7</v>
      </c>
      <c r="D129" s="2">
        <v>0</v>
      </c>
      <c r="E129" s="2">
        <v>1.897</v>
      </c>
      <c r="F129" s="2">
        <v>2</v>
      </c>
    </row>
    <row r="130" spans="1:6" ht="14.25" customHeight="1">
      <c r="A130" s="2">
        <v>45</v>
      </c>
      <c r="B130" s="2">
        <v>129</v>
      </c>
      <c r="C130" s="2">
        <v>8</v>
      </c>
      <c r="D130" s="2">
        <v>1</v>
      </c>
      <c r="E130" s="2">
        <v>1.0980000000000001</v>
      </c>
      <c r="F130" s="2">
        <v>1</v>
      </c>
    </row>
    <row r="131" spans="1:6" ht="14.25" customHeight="1">
      <c r="A131" s="2">
        <v>45</v>
      </c>
      <c r="B131" s="2">
        <v>130</v>
      </c>
      <c r="C131" s="2">
        <v>4</v>
      </c>
      <c r="E131" s="2">
        <v>2</v>
      </c>
    </row>
    <row r="132" spans="1:6" ht="14.25" customHeight="1">
      <c r="A132" s="2">
        <v>45</v>
      </c>
      <c r="B132" s="2">
        <v>131</v>
      </c>
      <c r="C132" s="2">
        <v>7</v>
      </c>
      <c r="D132" s="2">
        <v>1</v>
      </c>
      <c r="E132" s="2">
        <v>0.89400000000000002</v>
      </c>
      <c r="F132" s="2">
        <v>2</v>
      </c>
    </row>
    <row r="133" spans="1:6" ht="14.25" customHeight="1">
      <c r="A133" s="2">
        <v>45</v>
      </c>
      <c r="B133" s="2">
        <v>132</v>
      </c>
      <c r="C133" s="2">
        <v>2</v>
      </c>
      <c r="D133" s="2">
        <v>1</v>
      </c>
      <c r="E133" s="2">
        <v>1.4159999999999999</v>
      </c>
      <c r="F133" s="2">
        <v>2</v>
      </c>
    </row>
    <row r="134" spans="1:6" ht="14.25" customHeight="1">
      <c r="A134" s="2">
        <v>45</v>
      </c>
      <c r="B134" s="2">
        <v>133</v>
      </c>
      <c r="C134" s="2">
        <v>5</v>
      </c>
      <c r="D134" s="2">
        <v>1</v>
      </c>
      <c r="E134" s="2">
        <v>1.5840000000000001</v>
      </c>
      <c r="F134" s="2">
        <v>2</v>
      </c>
    </row>
    <row r="135" spans="1:6" ht="14.25" customHeight="1">
      <c r="A135" s="2">
        <v>45</v>
      </c>
      <c r="B135" s="2">
        <v>134</v>
      </c>
      <c r="C135" s="2">
        <v>3</v>
      </c>
      <c r="D135" s="2">
        <v>1</v>
      </c>
      <c r="E135" s="2">
        <v>1.7010000000000001</v>
      </c>
      <c r="F135" s="2">
        <v>2</v>
      </c>
    </row>
    <row r="136" spans="1:6" ht="14.25" customHeight="1">
      <c r="A136" s="2">
        <v>45</v>
      </c>
      <c r="B136" s="2">
        <v>135</v>
      </c>
      <c r="C136" s="2">
        <v>4</v>
      </c>
      <c r="D136" s="2">
        <v>1</v>
      </c>
      <c r="E136" s="2">
        <v>1.4410000000000001</v>
      </c>
      <c r="F136" s="2">
        <v>2</v>
      </c>
    </row>
    <row r="137" spans="1:6" ht="14.25" customHeight="1">
      <c r="A137" s="2">
        <v>45</v>
      </c>
      <c r="B137" s="2">
        <v>136</v>
      </c>
      <c r="C137" s="2">
        <v>5</v>
      </c>
      <c r="E137" s="2">
        <v>2</v>
      </c>
    </row>
    <row r="138" spans="1:6" ht="14.25" customHeight="1">
      <c r="A138" s="2">
        <v>45</v>
      </c>
      <c r="B138" s="2">
        <v>137</v>
      </c>
      <c r="C138" s="2">
        <v>8</v>
      </c>
      <c r="D138" s="2">
        <v>1</v>
      </c>
      <c r="E138" s="2">
        <v>0.90200000000000002</v>
      </c>
      <c r="F138" s="2">
        <v>2</v>
      </c>
    </row>
    <row r="139" spans="1:6" ht="14.25" customHeight="1">
      <c r="A139" s="2">
        <v>45</v>
      </c>
      <c r="B139" s="2">
        <v>138</v>
      </c>
      <c r="C139" s="2">
        <v>5</v>
      </c>
      <c r="D139" s="2">
        <v>1</v>
      </c>
      <c r="E139" s="2">
        <v>1.536</v>
      </c>
      <c r="F139" s="2">
        <v>1</v>
      </c>
    </row>
    <row r="140" spans="1:6" ht="14.25" customHeight="1">
      <c r="A140" s="2">
        <v>45</v>
      </c>
      <c r="B140" s="2">
        <v>139</v>
      </c>
      <c r="C140" s="2">
        <v>3</v>
      </c>
      <c r="D140" s="2">
        <v>1</v>
      </c>
      <c r="E140" s="2">
        <v>0.94099999999999995</v>
      </c>
      <c r="F140" s="2">
        <v>2</v>
      </c>
    </row>
    <row r="141" spans="1:6" ht="14.25" customHeight="1">
      <c r="A141" s="2">
        <v>45</v>
      </c>
      <c r="B141" s="2">
        <v>140</v>
      </c>
      <c r="C141" s="2">
        <v>1</v>
      </c>
      <c r="D141" s="2">
        <v>1</v>
      </c>
      <c r="E141" s="2">
        <v>1.2490000000000001</v>
      </c>
      <c r="F141" s="2">
        <v>2</v>
      </c>
    </row>
    <row r="142" spans="1:6" ht="14.25" customHeight="1">
      <c r="A142" s="2">
        <v>45</v>
      </c>
      <c r="B142" s="2">
        <v>141</v>
      </c>
      <c r="C142" s="2">
        <v>2</v>
      </c>
      <c r="D142" s="2">
        <v>1</v>
      </c>
      <c r="E142" s="2">
        <v>1.4430000000000001</v>
      </c>
      <c r="F142" s="2">
        <v>1</v>
      </c>
    </row>
    <row r="143" spans="1:6" ht="14.25" customHeight="1">
      <c r="A143" s="2">
        <v>45</v>
      </c>
      <c r="B143" s="2">
        <v>142</v>
      </c>
      <c r="C143" s="2">
        <v>6</v>
      </c>
      <c r="D143" s="2">
        <v>1</v>
      </c>
      <c r="E143" s="2">
        <v>1.5309999999999999</v>
      </c>
      <c r="F143" s="2">
        <v>1</v>
      </c>
    </row>
    <row r="144" spans="1:6" ht="14.25" customHeight="1">
      <c r="A144" s="2">
        <v>45</v>
      </c>
      <c r="B144" s="2">
        <v>143</v>
      </c>
      <c r="C144" s="2">
        <v>4</v>
      </c>
      <c r="D144" s="2">
        <v>1</v>
      </c>
      <c r="E144" s="2">
        <v>1.163</v>
      </c>
      <c r="F144" s="2">
        <v>1</v>
      </c>
    </row>
    <row r="145" spans="1:6" ht="14.25" customHeight="1">
      <c r="A145" s="2">
        <v>45</v>
      </c>
      <c r="B145" s="2">
        <v>144</v>
      </c>
      <c r="C145" s="2">
        <v>8</v>
      </c>
      <c r="D145" s="2">
        <v>1</v>
      </c>
      <c r="E145" s="2">
        <v>1.421</v>
      </c>
      <c r="F145" s="2">
        <v>1</v>
      </c>
    </row>
    <row r="146" spans="1:6" ht="14.25" customHeight="1">
      <c r="A146" s="2">
        <v>45</v>
      </c>
      <c r="B146" s="2">
        <v>145</v>
      </c>
      <c r="C146" s="2">
        <v>3</v>
      </c>
      <c r="D146" s="2">
        <v>1</v>
      </c>
      <c r="E146" s="2">
        <v>1.569</v>
      </c>
      <c r="F146" s="2">
        <v>1</v>
      </c>
    </row>
    <row r="147" spans="1:6" ht="14.25" customHeight="1">
      <c r="A147" s="2">
        <v>45</v>
      </c>
      <c r="B147" s="2">
        <v>146</v>
      </c>
      <c r="C147" s="2">
        <v>6</v>
      </c>
      <c r="E147" s="2">
        <v>2</v>
      </c>
    </row>
    <row r="148" spans="1:6" ht="14.25" customHeight="1">
      <c r="A148" s="2">
        <v>45</v>
      </c>
      <c r="B148" s="2">
        <v>147</v>
      </c>
      <c r="C148" s="2">
        <v>5</v>
      </c>
      <c r="D148" s="2">
        <v>1</v>
      </c>
      <c r="E148" s="2">
        <v>1.411</v>
      </c>
      <c r="F148" s="2">
        <v>2</v>
      </c>
    </row>
    <row r="149" spans="1:6" ht="14.25" customHeight="1">
      <c r="A149" s="2">
        <v>45</v>
      </c>
      <c r="B149" s="2">
        <v>148</v>
      </c>
      <c r="C149" s="2">
        <v>7</v>
      </c>
      <c r="D149" s="2">
        <v>1</v>
      </c>
      <c r="E149" s="2">
        <v>0.97799999999999998</v>
      </c>
      <c r="F149" s="2">
        <v>1</v>
      </c>
    </row>
    <row r="150" spans="1:6" ht="14.25" customHeight="1">
      <c r="A150" s="2">
        <v>45</v>
      </c>
      <c r="B150" s="2">
        <v>149</v>
      </c>
      <c r="C150" s="2">
        <v>6</v>
      </c>
      <c r="D150" s="2">
        <v>1</v>
      </c>
      <c r="E150" s="2">
        <v>1.3540000000000001</v>
      </c>
      <c r="F150" s="2">
        <v>1</v>
      </c>
    </row>
    <row r="151" spans="1:6" ht="14.25" customHeight="1">
      <c r="A151" s="2">
        <v>45</v>
      </c>
      <c r="B151" s="2">
        <v>150</v>
      </c>
      <c r="C151" s="2">
        <v>7</v>
      </c>
      <c r="D151" s="2">
        <v>1</v>
      </c>
      <c r="E151" s="2">
        <v>1.552</v>
      </c>
      <c r="F151" s="2">
        <v>1</v>
      </c>
    </row>
    <row r="152" spans="1:6" ht="14.25" customHeight="1">
      <c r="A152" s="2">
        <v>45</v>
      </c>
      <c r="B152" s="2">
        <v>151</v>
      </c>
      <c r="C152" s="2">
        <v>5</v>
      </c>
      <c r="D152" s="2">
        <v>1</v>
      </c>
      <c r="E152" s="2">
        <v>0.93899999999999995</v>
      </c>
    </row>
    <row r="153" spans="1:6" ht="14.25" customHeight="1">
      <c r="A153" s="2">
        <v>45</v>
      </c>
      <c r="B153" s="2">
        <v>152</v>
      </c>
      <c r="C153" s="2">
        <v>4</v>
      </c>
      <c r="D153" s="2">
        <v>1</v>
      </c>
      <c r="E153" s="2">
        <v>1.292</v>
      </c>
    </row>
    <row r="154" spans="1:6" ht="14.25" customHeight="1">
      <c r="A154" s="2">
        <v>45</v>
      </c>
      <c r="B154" s="2">
        <v>153</v>
      </c>
      <c r="C154" s="2">
        <v>2</v>
      </c>
      <c r="D154" s="2">
        <v>1</v>
      </c>
      <c r="E154" s="2">
        <v>0.88100000000000001</v>
      </c>
    </row>
    <row r="155" spans="1:6" ht="14.25" customHeight="1">
      <c r="A155" s="2">
        <v>45</v>
      </c>
      <c r="B155" s="2">
        <v>154</v>
      </c>
      <c r="C155" s="2">
        <v>3</v>
      </c>
      <c r="D155" s="2">
        <v>1</v>
      </c>
      <c r="E155" s="2">
        <v>1.0429999999999999</v>
      </c>
    </row>
    <row r="156" spans="1:6" ht="14.25" customHeight="1">
      <c r="A156" s="2">
        <v>45</v>
      </c>
      <c r="B156" s="2">
        <v>155</v>
      </c>
      <c r="C156" s="2">
        <v>7</v>
      </c>
      <c r="D156" s="2">
        <v>1</v>
      </c>
      <c r="E156" s="2">
        <v>1.6719999999999999</v>
      </c>
    </row>
    <row r="157" spans="1:6" ht="14.25" customHeight="1">
      <c r="A157" s="2">
        <v>45</v>
      </c>
      <c r="B157" s="2">
        <v>156</v>
      </c>
      <c r="C157" s="2">
        <v>8</v>
      </c>
      <c r="D157" s="2">
        <v>1</v>
      </c>
      <c r="E157" s="2">
        <v>1.4279999999999999</v>
      </c>
    </row>
    <row r="158" spans="1:6" ht="14.25" customHeight="1">
      <c r="A158" s="2">
        <v>45</v>
      </c>
      <c r="B158" s="2">
        <v>157</v>
      </c>
      <c r="C158" s="2">
        <v>5</v>
      </c>
      <c r="D158" s="2">
        <v>1</v>
      </c>
      <c r="E158" s="2">
        <v>1.0720000000000001</v>
      </c>
    </row>
    <row r="159" spans="1:6" ht="14.25" customHeight="1">
      <c r="A159" s="2">
        <v>45</v>
      </c>
      <c r="B159" s="2">
        <v>158</v>
      </c>
      <c r="C159" s="2">
        <v>7</v>
      </c>
      <c r="D159" s="2">
        <v>1</v>
      </c>
      <c r="E159" s="2">
        <v>1.153</v>
      </c>
    </row>
    <row r="160" spans="1:6" ht="14.25" customHeight="1">
      <c r="A160" s="2">
        <v>45</v>
      </c>
      <c r="B160" s="2">
        <v>159</v>
      </c>
      <c r="C160" s="2">
        <v>8</v>
      </c>
      <c r="D160" s="2">
        <v>1</v>
      </c>
      <c r="E160" s="2">
        <v>1.234</v>
      </c>
    </row>
    <row r="161" spans="1:5" ht="14.25" customHeight="1">
      <c r="A161" s="2">
        <v>45</v>
      </c>
      <c r="B161" s="2">
        <v>160</v>
      </c>
      <c r="C161" s="2">
        <v>6</v>
      </c>
      <c r="D161" s="2">
        <v>1</v>
      </c>
      <c r="E161" s="2">
        <v>1.2070000000000001</v>
      </c>
    </row>
    <row r="162" spans="1:5" ht="14.25" customHeight="1">
      <c r="A162" s="2">
        <v>45</v>
      </c>
      <c r="B162" s="2">
        <v>161</v>
      </c>
      <c r="C162" s="2">
        <v>4</v>
      </c>
      <c r="D162" s="2">
        <v>1</v>
      </c>
      <c r="E162" s="2">
        <v>1.1919999999999999</v>
      </c>
    </row>
    <row r="163" spans="1:5" ht="14.25" customHeight="1">
      <c r="A163" s="2">
        <v>45</v>
      </c>
      <c r="B163" s="2">
        <v>162</v>
      </c>
      <c r="C163" s="2">
        <v>1</v>
      </c>
      <c r="D163" s="2">
        <v>1</v>
      </c>
      <c r="E163" s="2">
        <v>1.524</v>
      </c>
    </row>
    <row r="164" spans="1:5" ht="14.25" customHeight="1">
      <c r="A164" s="2">
        <v>45</v>
      </c>
      <c r="B164" s="2">
        <v>163</v>
      </c>
      <c r="C164" s="2">
        <v>5</v>
      </c>
      <c r="D164" s="2">
        <v>1</v>
      </c>
      <c r="E164" s="2">
        <v>1.282</v>
      </c>
    </row>
    <row r="165" spans="1:5" ht="14.25" customHeight="1">
      <c r="A165" s="2">
        <v>45</v>
      </c>
      <c r="B165" s="2">
        <v>164</v>
      </c>
      <c r="C165" s="2">
        <v>1</v>
      </c>
      <c r="D165" s="2">
        <v>1</v>
      </c>
      <c r="E165" s="2">
        <v>1.202</v>
      </c>
    </row>
    <row r="166" spans="1:5" ht="14.25" customHeight="1">
      <c r="A166" s="2">
        <v>45</v>
      </c>
      <c r="B166" s="2">
        <v>165</v>
      </c>
      <c r="C166" s="2">
        <v>6</v>
      </c>
      <c r="D166" s="2">
        <v>1</v>
      </c>
      <c r="E166" s="2">
        <v>1.6639999999999999</v>
      </c>
    </row>
    <row r="167" spans="1:5" ht="14.25" customHeight="1">
      <c r="A167" s="2">
        <v>45</v>
      </c>
      <c r="B167" s="2">
        <v>166</v>
      </c>
      <c r="C167" s="2">
        <v>4</v>
      </c>
      <c r="D167" s="2">
        <v>1</v>
      </c>
      <c r="E167" s="2">
        <v>0.81200000000000006</v>
      </c>
    </row>
    <row r="168" spans="1:5" ht="14.25" customHeight="1">
      <c r="A168" s="2">
        <v>45</v>
      </c>
      <c r="B168" s="2">
        <v>167</v>
      </c>
      <c r="C168" s="2">
        <v>2</v>
      </c>
      <c r="D168" s="2">
        <v>1</v>
      </c>
      <c r="E168" s="2">
        <v>1.2270000000000001</v>
      </c>
    </row>
    <row r="169" spans="1:5" ht="14.25" customHeight="1">
      <c r="A169" s="2">
        <v>45</v>
      </c>
      <c r="B169" s="2">
        <v>168</v>
      </c>
      <c r="C169" s="2">
        <v>8</v>
      </c>
      <c r="D169" s="2">
        <v>1</v>
      </c>
      <c r="E169" s="2">
        <v>0.97899999999999998</v>
      </c>
    </row>
    <row r="170" spans="1:5" ht="14.25" customHeight="1">
      <c r="A170" s="2">
        <v>45</v>
      </c>
      <c r="B170" s="2">
        <v>169</v>
      </c>
      <c r="C170" s="2">
        <v>2</v>
      </c>
      <c r="D170" s="2">
        <v>1</v>
      </c>
      <c r="E170" s="2">
        <v>1.2729999999999999</v>
      </c>
    </row>
    <row r="171" spans="1:5" ht="14.25" customHeight="1">
      <c r="A171" s="2">
        <v>45</v>
      </c>
      <c r="B171" s="2">
        <v>170</v>
      </c>
      <c r="C171" s="2">
        <v>5</v>
      </c>
      <c r="D171" s="2">
        <v>1</v>
      </c>
      <c r="E171" s="2">
        <v>1.0900000000000001</v>
      </c>
    </row>
    <row r="172" spans="1:5" ht="14.25" customHeight="1">
      <c r="A172" s="2">
        <v>45</v>
      </c>
      <c r="B172" s="2">
        <v>171</v>
      </c>
      <c r="C172" s="2">
        <v>8</v>
      </c>
      <c r="D172" s="2">
        <v>1</v>
      </c>
      <c r="E172" s="2">
        <v>1.026</v>
      </c>
    </row>
    <row r="173" spans="1:5" ht="14.25" customHeight="1">
      <c r="A173" s="2">
        <v>45</v>
      </c>
      <c r="B173" s="2">
        <v>172</v>
      </c>
      <c r="C173" s="2">
        <v>4</v>
      </c>
      <c r="D173" s="2">
        <v>0</v>
      </c>
      <c r="E173" s="2">
        <v>1.07</v>
      </c>
    </row>
    <row r="174" spans="1:5" ht="14.25" customHeight="1">
      <c r="A174" s="2">
        <v>45</v>
      </c>
      <c r="B174" s="2">
        <v>173</v>
      </c>
      <c r="C174" s="2">
        <v>1</v>
      </c>
      <c r="D174" s="2">
        <v>1</v>
      </c>
      <c r="E174" s="2">
        <v>0.89900000000000002</v>
      </c>
    </row>
    <row r="175" spans="1:5" ht="14.25" customHeight="1">
      <c r="A175" s="2">
        <v>45</v>
      </c>
      <c r="B175" s="2">
        <v>174</v>
      </c>
      <c r="C175" s="2">
        <v>2</v>
      </c>
      <c r="D175" s="2">
        <v>1</v>
      </c>
      <c r="E175" s="2">
        <v>0.95599999999999996</v>
      </c>
    </row>
    <row r="176" spans="1:5" ht="14.25" customHeight="1">
      <c r="A176" s="2">
        <v>45</v>
      </c>
      <c r="B176" s="2">
        <v>175</v>
      </c>
      <c r="C176" s="2">
        <v>4</v>
      </c>
      <c r="D176" s="2">
        <v>1</v>
      </c>
      <c r="E176" s="2">
        <v>1.2190000000000001</v>
      </c>
    </row>
    <row r="177" spans="1:5" ht="14.25" customHeight="1">
      <c r="A177" s="2">
        <v>45</v>
      </c>
      <c r="B177" s="2">
        <v>176</v>
      </c>
      <c r="C177" s="2">
        <v>5</v>
      </c>
      <c r="D177" s="2">
        <v>1</v>
      </c>
      <c r="E177" s="2">
        <v>0.89600000000000002</v>
      </c>
    </row>
    <row r="178" spans="1:5" ht="14.25" customHeight="1">
      <c r="A178" s="2">
        <v>45</v>
      </c>
      <c r="B178" s="2">
        <v>177</v>
      </c>
      <c r="C178" s="2">
        <v>4</v>
      </c>
      <c r="D178" s="2">
        <v>1</v>
      </c>
      <c r="E178" s="2">
        <v>1.105</v>
      </c>
    </row>
    <row r="179" spans="1:5" ht="14.25" customHeight="1">
      <c r="A179" s="2">
        <v>45</v>
      </c>
      <c r="B179" s="2">
        <v>178</v>
      </c>
      <c r="C179" s="2">
        <v>7</v>
      </c>
      <c r="D179" s="2">
        <v>1</v>
      </c>
      <c r="E179" s="2">
        <v>1.024</v>
      </c>
    </row>
    <row r="180" spans="1:5" ht="14.25" customHeight="1">
      <c r="A180" s="2">
        <v>45</v>
      </c>
      <c r="B180" s="2">
        <v>179</v>
      </c>
      <c r="C180" s="2">
        <v>3</v>
      </c>
      <c r="D180" s="2">
        <v>1</v>
      </c>
      <c r="E180" s="2">
        <v>0.94699999999999995</v>
      </c>
    </row>
    <row r="181" spans="1:5" ht="14.25" customHeight="1">
      <c r="A181" s="2">
        <v>45</v>
      </c>
      <c r="B181" s="2">
        <v>180</v>
      </c>
      <c r="C181" s="2">
        <v>5</v>
      </c>
      <c r="D181" s="2">
        <v>0</v>
      </c>
      <c r="E181" s="2">
        <v>1.0369999999999999</v>
      </c>
    </row>
    <row r="182" spans="1:5" ht="14.25" customHeight="1">
      <c r="A182" s="2">
        <v>45</v>
      </c>
      <c r="B182" s="2">
        <v>181</v>
      </c>
      <c r="C182" s="2">
        <v>1</v>
      </c>
      <c r="D182" s="2">
        <v>1</v>
      </c>
      <c r="E182" s="2">
        <v>1.3939999999999999</v>
      </c>
    </row>
    <row r="183" spans="1:5" ht="14.25" customHeight="1">
      <c r="A183" s="2">
        <v>45</v>
      </c>
      <c r="B183" s="2">
        <v>182</v>
      </c>
      <c r="C183" s="2">
        <v>5</v>
      </c>
      <c r="D183" s="2">
        <v>1</v>
      </c>
      <c r="E183" s="2">
        <v>1.1060000000000001</v>
      </c>
    </row>
    <row r="184" spans="1:5" ht="14.25" customHeight="1">
      <c r="A184" s="2">
        <v>45</v>
      </c>
      <c r="B184" s="2">
        <v>183</v>
      </c>
      <c r="C184" s="2">
        <v>1</v>
      </c>
      <c r="D184" s="2">
        <v>1</v>
      </c>
      <c r="E184" s="2">
        <v>1.647</v>
      </c>
    </row>
    <row r="185" spans="1:5" ht="14.25" customHeight="1">
      <c r="A185" s="2">
        <v>45</v>
      </c>
      <c r="B185" s="2">
        <v>184</v>
      </c>
      <c r="C185" s="2">
        <v>6</v>
      </c>
      <c r="D185" s="2">
        <v>1</v>
      </c>
      <c r="E185" s="2">
        <v>1.298</v>
      </c>
    </row>
    <row r="186" spans="1:5" ht="14.25" customHeight="1">
      <c r="A186" s="2">
        <v>45</v>
      </c>
      <c r="B186" s="2">
        <v>185</v>
      </c>
      <c r="C186" s="2">
        <v>1</v>
      </c>
      <c r="D186" s="2">
        <v>1</v>
      </c>
      <c r="E186" s="2">
        <v>0.94399999999999995</v>
      </c>
    </row>
    <row r="187" spans="1:5" ht="14.25" customHeight="1">
      <c r="A187" s="2">
        <v>45</v>
      </c>
      <c r="B187" s="2">
        <v>186</v>
      </c>
      <c r="C187" s="2">
        <v>7</v>
      </c>
      <c r="D187" s="2">
        <v>1</v>
      </c>
      <c r="E187" s="2">
        <v>1.6970000000000001</v>
      </c>
    </row>
    <row r="188" spans="1:5" ht="14.25" customHeight="1">
      <c r="A188" s="2">
        <v>45</v>
      </c>
      <c r="B188" s="2">
        <v>187</v>
      </c>
      <c r="C188" s="2">
        <v>8</v>
      </c>
      <c r="D188" s="2">
        <v>1</v>
      </c>
      <c r="E188" s="2">
        <v>1.25</v>
      </c>
    </row>
    <row r="189" spans="1:5" ht="14.25" customHeight="1">
      <c r="A189" s="2">
        <v>45</v>
      </c>
      <c r="B189" s="2">
        <v>188</v>
      </c>
      <c r="C189" s="2">
        <v>6</v>
      </c>
      <c r="D189" s="2">
        <v>1</v>
      </c>
      <c r="E189" s="2">
        <v>1.5129999999999999</v>
      </c>
    </row>
    <row r="190" spans="1:5" ht="14.25" customHeight="1">
      <c r="A190" s="2">
        <v>45</v>
      </c>
      <c r="B190" s="2">
        <v>189</v>
      </c>
      <c r="C190" s="2">
        <v>2</v>
      </c>
      <c r="D190" s="2">
        <v>1</v>
      </c>
      <c r="E190" s="2">
        <v>0.93799999999999994</v>
      </c>
    </row>
    <row r="191" spans="1:5" ht="14.25" customHeight="1">
      <c r="A191" s="2">
        <v>45</v>
      </c>
      <c r="B191" s="2">
        <v>190</v>
      </c>
      <c r="C191" s="2">
        <v>8</v>
      </c>
      <c r="D191" s="2">
        <v>1</v>
      </c>
      <c r="E191" s="2">
        <v>1.087</v>
      </c>
    </row>
    <row r="192" spans="1:5" ht="14.25" customHeight="1">
      <c r="A192" s="2">
        <v>45</v>
      </c>
      <c r="B192" s="2">
        <v>191</v>
      </c>
      <c r="C192" s="2">
        <v>3</v>
      </c>
      <c r="D192" s="2">
        <v>0</v>
      </c>
      <c r="E192" s="2">
        <v>1.532</v>
      </c>
    </row>
    <row r="193" spans="1:5" ht="14.25" customHeight="1">
      <c r="A193" s="2">
        <v>45</v>
      </c>
      <c r="B193" s="2">
        <v>192</v>
      </c>
      <c r="C193" s="2">
        <v>2</v>
      </c>
      <c r="D193" s="2">
        <v>1</v>
      </c>
      <c r="E193" s="2">
        <v>1.456</v>
      </c>
    </row>
    <row r="194" spans="1:5" ht="14.25" customHeight="1">
      <c r="A194" s="2">
        <v>45</v>
      </c>
      <c r="B194" s="2">
        <v>193</v>
      </c>
      <c r="C194" s="2">
        <v>3</v>
      </c>
      <c r="D194" s="2">
        <v>1</v>
      </c>
      <c r="E194" s="2">
        <v>1.0549999999999999</v>
      </c>
    </row>
    <row r="195" spans="1:5" ht="14.25" customHeight="1">
      <c r="A195" s="2">
        <v>45</v>
      </c>
      <c r="B195" s="2">
        <v>194</v>
      </c>
      <c r="C195" s="2">
        <v>6</v>
      </c>
      <c r="D195" s="2">
        <v>1</v>
      </c>
      <c r="E195" s="2">
        <v>0.998</v>
      </c>
    </row>
    <row r="196" spans="1:5" ht="14.25" customHeight="1">
      <c r="A196" s="2">
        <v>45</v>
      </c>
      <c r="B196" s="2">
        <v>195</v>
      </c>
      <c r="C196" s="2">
        <v>7</v>
      </c>
      <c r="D196" s="2">
        <v>1</v>
      </c>
      <c r="E196" s="2">
        <v>1.339</v>
      </c>
    </row>
    <row r="197" spans="1:5" ht="14.25" customHeight="1">
      <c r="A197" s="2">
        <v>45</v>
      </c>
      <c r="B197" s="2">
        <v>196</v>
      </c>
      <c r="C197" s="2">
        <v>6</v>
      </c>
      <c r="D197" s="2">
        <v>1</v>
      </c>
      <c r="E197" s="2">
        <v>1.6439999999999999</v>
      </c>
    </row>
    <row r="198" spans="1:5" ht="14.25" customHeight="1">
      <c r="A198" s="2">
        <v>45</v>
      </c>
      <c r="B198" s="2">
        <v>197</v>
      </c>
      <c r="C198" s="2">
        <v>3</v>
      </c>
      <c r="D198" s="2">
        <v>1</v>
      </c>
      <c r="E198" s="2">
        <v>1.3160000000000001</v>
      </c>
    </row>
    <row r="199" spans="1:5" ht="14.25" customHeight="1">
      <c r="A199" s="2">
        <v>45</v>
      </c>
      <c r="B199" s="2">
        <v>198</v>
      </c>
      <c r="C199" s="2">
        <v>4</v>
      </c>
      <c r="D199" s="2">
        <v>1</v>
      </c>
      <c r="E199" s="2">
        <v>1.3049999999999999</v>
      </c>
    </row>
    <row r="200" spans="1:5" ht="14.25" customHeight="1">
      <c r="A200" s="2">
        <v>45</v>
      </c>
      <c r="B200" s="2">
        <v>199</v>
      </c>
      <c r="C200" s="2">
        <v>3</v>
      </c>
      <c r="D200" s="2">
        <v>1</v>
      </c>
      <c r="E200" s="2">
        <v>1.4430000000000001</v>
      </c>
    </row>
    <row r="201" spans="1:5" ht="14.25" customHeight="1">
      <c r="A201" s="2">
        <v>45</v>
      </c>
      <c r="B201" s="2">
        <v>200</v>
      </c>
      <c r="C201" s="2">
        <v>7</v>
      </c>
      <c r="D201" s="2">
        <v>1</v>
      </c>
      <c r="E201" s="2">
        <v>1.706</v>
      </c>
    </row>
    <row r="202" spans="1:5" ht="14.25" customHeight="1">
      <c r="A202" s="2">
        <v>45</v>
      </c>
      <c r="B202" s="2">
        <v>201</v>
      </c>
      <c r="C202" s="2">
        <v>6</v>
      </c>
    </row>
    <row r="203" spans="1:5" ht="14.25" customHeight="1">
      <c r="A203" s="2">
        <v>45</v>
      </c>
      <c r="B203" s="2">
        <v>202</v>
      </c>
      <c r="C203" s="2">
        <v>8</v>
      </c>
    </row>
    <row r="204" spans="1:5" ht="14.25" customHeight="1">
      <c r="A204" s="2">
        <v>45</v>
      </c>
      <c r="B204" s="2">
        <v>203</v>
      </c>
      <c r="C204" s="2">
        <v>4</v>
      </c>
    </row>
    <row r="205" spans="1:5" ht="14.25" customHeight="1">
      <c r="A205" s="2">
        <v>45</v>
      </c>
      <c r="B205" s="2">
        <v>204</v>
      </c>
      <c r="C205" s="2">
        <v>8</v>
      </c>
    </row>
    <row r="206" spans="1:5" ht="14.25" customHeight="1">
      <c r="A206" s="2">
        <v>45</v>
      </c>
      <c r="B206" s="2">
        <v>205</v>
      </c>
      <c r="C206" s="2">
        <v>5</v>
      </c>
    </row>
    <row r="207" spans="1:5" ht="14.25" customHeight="1">
      <c r="A207" s="2">
        <v>45</v>
      </c>
      <c r="B207" s="2">
        <v>206</v>
      </c>
      <c r="C207" s="2">
        <v>2</v>
      </c>
    </row>
    <row r="208" spans="1:5" ht="14.25" customHeight="1">
      <c r="A208" s="2">
        <v>45</v>
      </c>
      <c r="B208" s="2">
        <v>207</v>
      </c>
      <c r="C208" s="2">
        <v>3</v>
      </c>
    </row>
    <row r="209" spans="1:3" ht="14.25" customHeight="1">
      <c r="A209" s="2">
        <v>45</v>
      </c>
      <c r="B209" s="2">
        <v>208</v>
      </c>
      <c r="C209" s="2">
        <v>2</v>
      </c>
    </row>
    <row r="210" spans="1:3" ht="14.25" customHeight="1">
      <c r="A210" s="2">
        <v>45</v>
      </c>
      <c r="B210" s="2">
        <v>209</v>
      </c>
      <c r="C210" s="2">
        <v>7</v>
      </c>
    </row>
    <row r="211" spans="1:3" ht="14.25" customHeight="1">
      <c r="A211" s="2">
        <v>45</v>
      </c>
      <c r="B211" s="2">
        <v>210</v>
      </c>
      <c r="C211" s="2">
        <v>6</v>
      </c>
    </row>
    <row r="212" spans="1:3" ht="14.25" customHeight="1">
      <c r="A212" s="2">
        <v>45</v>
      </c>
      <c r="B212" s="2">
        <v>211</v>
      </c>
      <c r="C212" s="2">
        <v>8</v>
      </c>
    </row>
    <row r="213" spans="1:3" ht="14.25" customHeight="1">
      <c r="A213" s="2">
        <v>45</v>
      </c>
      <c r="B213" s="2">
        <v>212</v>
      </c>
      <c r="C213" s="2">
        <v>7</v>
      </c>
    </row>
    <row r="214" spans="1:3" ht="14.25" customHeight="1">
      <c r="A214" s="2">
        <v>45</v>
      </c>
      <c r="B214" s="2">
        <v>213</v>
      </c>
      <c r="C214" s="2">
        <v>4</v>
      </c>
    </row>
    <row r="215" spans="1:3" ht="14.25" customHeight="1">
      <c r="A215" s="2">
        <v>45</v>
      </c>
      <c r="B215" s="2">
        <v>214</v>
      </c>
      <c r="C215" s="2">
        <v>8</v>
      </c>
    </row>
    <row r="216" spans="1:3" ht="14.25" customHeight="1">
      <c r="A216" s="2">
        <v>45</v>
      </c>
      <c r="B216" s="2">
        <v>215</v>
      </c>
      <c r="C216" s="2">
        <v>2</v>
      </c>
    </row>
    <row r="217" spans="1:3" ht="14.25" customHeight="1">
      <c r="A217" s="2">
        <v>45</v>
      </c>
      <c r="B217" s="2">
        <v>216</v>
      </c>
      <c r="C217" s="2">
        <v>4</v>
      </c>
    </row>
    <row r="218" spans="1:3" ht="14.25" customHeight="1">
      <c r="A218" s="2">
        <v>45</v>
      </c>
      <c r="B218" s="2">
        <v>217</v>
      </c>
      <c r="C218" s="2">
        <v>7</v>
      </c>
    </row>
    <row r="219" spans="1:3" ht="14.25" customHeight="1">
      <c r="A219" s="2">
        <v>45</v>
      </c>
      <c r="B219" s="2">
        <v>218</v>
      </c>
      <c r="C219" s="2">
        <v>3</v>
      </c>
    </row>
    <row r="220" spans="1:3" ht="14.25" customHeight="1">
      <c r="A220" s="2">
        <v>45</v>
      </c>
      <c r="B220" s="2">
        <v>219</v>
      </c>
      <c r="C220" s="2">
        <v>6</v>
      </c>
    </row>
    <row r="221" spans="1:3" ht="14.25" customHeight="1">
      <c r="A221" s="2">
        <v>45</v>
      </c>
      <c r="B221" s="2">
        <v>220</v>
      </c>
      <c r="C221" s="2">
        <v>1</v>
      </c>
    </row>
    <row r="222" spans="1:3" ht="14.25" customHeight="1">
      <c r="A222" s="2">
        <v>45</v>
      </c>
      <c r="B222" s="2">
        <v>221</v>
      </c>
      <c r="C222" s="2">
        <v>4</v>
      </c>
    </row>
    <row r="223" spans="1:3" ht="14.25" customHeight="1">
      <c r="A223" s="2">
        <v>45</v>
      </c>
      <c r="B223" s="2">
        <v>222</v>
      </c>
      <c r="C223" s="2">
        <v>2</v>
      </c>
    </row>
    <row r="224" spans="1:3" ht="14.25" customHeight="1">
      <c r="A224" s="2">
        <v>45</v>
      </c>
      <c r="B224" s="2">
        <v>223</v>
      </c>
      <c r="C224" s="2">
        <v>1</v>
      </c>
    </row>
    <row r="225" spans="1:3" ht="14.25" customHeight="1">
      <c r="A225" s="2">
        <v>45</v>
      </c>
      <c r="B225" s="2">
        <v>224</v>
      </c>
      <c r="C225" s="2">
        <v>5</v>
      </c>
    </row>
    <row r="226" spans="1:3" ht="14.25" customHeight="1">
      <c r="A226" s="2">
        <v>45</v>
      </c>
      <c r="B226" s="2">
        <v>225</v>
      </c>
      <c r="C226" s="2">
        <v>3</v>
      </c>
    </row>
    <row r="227" spans="1:3" ht="14.25" customHeight="1">
      <c r="A227" s="2">
        <v>45</v>
      </c>
      <c r="B227" s="2">
        <v>226</v>
      </c>
      <c r="C227" s="2">
        <v>4</v>
      </c>
    </row>
    <row r="228" spans="1:3" ht="14.25" customHeight="1">
      <c r="A228" s="2">
        <v>45</v>
      </c>
      <c r="B228" s="2">
        <v>227</v>
      </c>
      <c r="C228" s="2">
        <v>1</v>
      </c>
    </row>
    <row r="229" spans="1:3" ht="14.25" customHeight="1">
      <c r="A229" s="2">
        <v>45</v>
      </c>
      <c r="B229" s="2">
        <v>228</v>
      </c>
      <c r="C229" s="2">
        <v>8</v>
      </c>
    </row>
    <row r="230" spans="1:3" ht="14.25" customHeight="1">
      <c r="A230" s="2">
        <v>45</v>
      </c>
      <c r="B230" s="2">
        <v>229</v>
      </c>
      <c r="C230" s="2">
        <v>4</v>
      </c>
    </row>
    <row r="231" spans="1:3" ht="14.25" customHeight="1">
      <c r="A231" s="2">
        <v>45</v>
      </c>
      <c r="B231" s="2">
        <v>230</v>
      </c>
      <c r="C231" s="2">
        <v>5</v>
      </c>
    </row>
    <row r="232" spans="1:3" ht="14.25" customHeight="1">
      <c r="A232" s="2">
        <v>45</v>
      </c>
      <c r="B232" s="2">
        <v>231</v>
      </c>
      <c r="C232" s="2">
        <v>6</v>
      </c>
    </row>
    <row r="233" spans="1:3" ht="14.25" customHeight="1">
      <c r="A233" s="2">
        <v>45</v>
      </c>
      <c r="B233" s="2">
        <v>232</v>
      </c>
      <c r="C233" s="2">
        <v>3</v>
      </c>
    </row>
    <row r="234" spans="1:3" ht="14.25" customHeight="1">
      <c r="A234" s="2">
        <v>45</v>
      </c>
      <c r="B234" s="2">
        <v>233</v>
      </c>
      <c r="C234" s="2">
        <v>2</v>
      </c>
    </row>
    <row r="235" spans="1:3" ht="14.25" customHeight="1">
      <c r="A235" s="2">
        <v>45</v>
      </c>
      <c r="B235" s="2">
        <v>234</v>
      </c>
      <c r="C235" s="2">
        <v>1</v>
      </c>
    </row>
    <row r="236" spans="1:3" ht="14.25" customHeight="1">
      <c r="A236" s="2">
        <v>45</v>
      </c>
      <c r="B236" s="2">
        <v>235</v>
      </c>
      <c r="C236" s="2">
        <v>8</v>
      </c>
    </row>
    <row r="237" spans="1:3" ht="14.25" customHeight="1">
      <c r="A237" s="2">
        <v>45</v>
      </c>
      <c r="B237" s="2">
        <v>236</v>
      </c>
      <c r="C237" s="2">
        <v>2</v>
      </c>
    </row>
    <row r="238" spans="1:3" ht="14.25" customHeight="1">
      <c r="A238" s="2">
        <v>45</v>
      </c>
      <c r="B238" s="2">
        <v>237</v>
      </c>
      <c r="C238" s="2">
        <v>4</v>
      </c>
    </row>
    <row r="239" spans="1:3" ht="14.25" customHeight="1">
      <c r="A239" s="2">
        <v>45</v>
      </c>
      <c r="B239" s="2">
        <v>238</v>
      </c>
      <c r="C239" s="2">
        <v>3</v>
      </c>
    </row>
    <row r="240" spans="1:3" ht="14.25" customHeight="1">
      <c r="A240" s="2">
        <v>45</v>
      </c>
      <c r="B240" s="2">
        <v>239</v>
      </c>
      <c r="C240" s="2">
        <v>6</v>
      </c>
    </row>
    <row r="241" spans="1:3" ht="14.25" customHeight="1">
      <c r="A241" s="2">
        <v>45</v>
      </c>
      <c r="B241" s="2">
        <v>240</v>
      </c>
      <c r="C241" s="2">
        <v>5</v>
      </c>
    </row>
    <row r="242" spans="1:3" ht="14.25" customHeight="1">
      <c r="A242" s="2">
        <v>45</v>
      </c>
      <c r="B242" s="2">
        <v>241</v>
      </c>
      <c r="C242" s="2">
        <v>1</v>
      </c>
    </row>
    <row r="243" spans="1:3" ht="14.25" customHeight="1">
      <c r="A243" s="2">
        <v>45</v>
      </c>
      <c r="B243" s="2">
        <v>242</v>
      </c>
      <c r="C243" s="2">
        <v>3</v>
      </c>
    </row>
    <row r="244" spans="1:3" ht="14.25" customHeight="1">
      <c r="A244" s="2">
        <v>45</v>
      </c>
      <c r="B244" s="2">
        <v>243</v>
      </c>
      <c r="C244" s="2">
        <v>7</v>
      </c>
    </row>
    <row r="245" spans="1:3" ht="14.25" customHeight="1">
      <c r="A245" s="2">
        <v>45</v>
      </c>
      <c r="B245" s="2">
        <v>244</v>
      </c>
      <c r="C245" s="2">
        <v>5</v>
      </c>
    </row>
    <row r="246" spans="1:3" ht="14.25" customHeight="1">
      <c r="A246" s="2">
        <v>45</v>
      </c>
      <c r="B246" s="2">
        <v>245</v>
      </c>
      <c r="C246" s="2">
        <v>7</v>
      </c>
    </row>
    <row r="247" spans="1:3" ht="14.25" customHeight="1">
      <c r="A247" s="2">
        <v>45</v>
      </c>
      <c r="B247" s="2">
        <v>246</v>
      </c>
      <c r="C247" s="2">
        <v>5</v>
      </c>
    </row>
    <row r="248" spans="1:3" ht="14.25" customHeight="1">
      <c r="A248" s="2">
        <v>45</v>
      </c>
      <c r="B248" s="2">
        <v>247</v>
      </c>
      <c r="C248" s="2">
        <v>6</v>
      </c>
    </row>
    <row r="249" spans="1:3" ht="14.25" customHeight="1">
      <c r="A249" s="2">
        <v>45</v>
      </c>
      <c r="B249" s="2">
        <v>248</v>
      </c>
      <c r="C249" s="2">
        <v>7</v>
      </c>
    </row>
    <row r="250" spans="1:3" ht="14.25" customHeight="1">
      <c r="A250" s="2">
        <v>45</v>
      </c>
      <c r="B250" s="2">
        <v>249</v>
      </c>
      <c r="C250" s="2">
        <v>5</v>
      </c>
    </row>
    <row r="251" spans="1:3" ht="14.25" customHeight="1">
      <c r="A251" s="2">
        <v>45</v>
      </c>
      <c r="B251" s="2">
        <v>250</v>
      </c>
      <c r="C251" s="2">
        <v>1</v>
      </c>
    </row>
    <row r="252" spans="1:3" ht="14.25" customHeight="1">
      <c r="A252" s="2">
        <v>45</v>
      </c>
      <c r="B252" s="2">
        <v>251</v>
      </c>
      <c r="C252" s="2">
        <v>7</v>
      </c>
    </row>
    <row r="253" spans="1:3" ht="14.25" customHeight="1">
      <c r="A253" s="2">
        <v>45</v>
      </c>
      <c r="B253" s="2">
        <v>252</v>
      </c>
      <c r="C253" s="2">
        <v>6</v>
      </c>
    </row>
    <row r="254" spans="1:3" ht="14.25" customHeight="1">
      <c r="A254" s="2">
        <v>45</v>
      </c>
      <c r="B254" s="2">
        <v>253</v>
      </c>
      <c r="C254" s="2">
        <v>4</v>
      </c>
    </row>
    <row r="255" spans="1:3" ht="14.25" customHeight="1">
      <c r="A255" s="2">
        <v>45</v>
      </c>
      <c r="B255" s="2">
        <v>254</v>
      </c>
      <c r="C255" s="2">
        <v>5</v>
      </c>
    </row>
    <row r="256" spans="1:3" ht="14.25" customHeight="1">
      <c r="A256" s="2">
        <v>45</v>
      </c>
      <c r="B256" s="2">
        <v>255</v>
      </c>
      <c r="C256" s="2">
        <v>8</v>
      </c>
    </row>
    <row r="257" spans="1:3" ht="14.25" customHeight="1">
      <c r="A257" s="2">
        <v>45</v>
      </c>
      <c r="B257" s="2">
        <v>256</v>
      </c>
      <c r="C257" s="2">
        <v>5</v>
      </c>
    </row>
    <row r="258" spans="1:3" ht="14.25" customHeight="1">
      <c r="A258" s="2">
        <v>45</v>
      </c>
      <c r="B258" s="2">
        <v>257</v>
      </c>
      <c r="C258" s="2">
        <v>8</v>
      </c>
    </row>
    <row r="259" spans="1:3" ht="14.25" customHeight="1">
      <c r="A259" s="2">
        <v>45</v>
      </c>
      <c r="B259" s="2">
        <v>258</v>
      </c>
      <c r="C259" s="2">
        <v>2</v>
      </c>
    </row>
    <row r="260" spans="1:3" ht="14.25" customHeight="1">
      <c r="A260" s="2">
        <v>45</v>
      </c>
      <c r="B260" s="2">
        <v>259</v>
      </c>
      <c r="C260" s="2">
        <v>1</v>
      </c>
    </row>
    <row r="261" spans="1:3" ht="14.25" customHeight="1">
      <c r="A261" s="2">
        <v>45</v>
      </c>
      <c r="B261" s="2">
        <v>260</v>
      </c>
      <c r="C261" s="2">
        <v>7</v>
      </c>
    </row>
    <row r="262" spans="1:3" ht="14.25" customHeight="1">
      <c r="A262" s="2">
        <v>45</v>
      </c>
      <c r="B262" s="2">
        <v>261</v>
      </c>
      <c r="C262" s="2">
        <v>8</v>
      </c>
    </row>
    <row r="263" spans="1:3" ht="14.25" customHeight="1">
      <c r="A263" s="2">
        <v>45</v>
      </c>
      <c r="B263" s="2">
        <v>262</v>
      </c>
      <c r="C263" s="2">
        <v>3</v>
      </c>
    </row>
    <row r="264" spans="1:3" ht="14.25" customHeight="1">
      <c r="A264" s="2">
        <v>45</v>
      </c>
      <c r="B264" s="2">
        <v>263</v>
      </c>
      <c r="C264" s="2">
        <v>1</v>
      </c>
    </row>
    <row r="265" spans="1:3" ht="14.25" customHeight="1">
      <c r="A265" s="2">
        <v>45</v>
      </c>
      <c r="B265" s="2">
        <v>264</v>
      </c>
      <c r="C265" s="2">
        <v>5</v>
      </c>
    </row>
    <row r="266" spans="1:3" ht="14.25" customHeight="1">
      <c r="A266" s="2">
        <v>45</v>
      </c>
      <c r="B266" s="2">
        <v>265</v>
      </c>
      <c r="C266" s="2">
        <v>1</v>
      </c>
    </row>
    <row r="267" spans="1:3" ht="14.25" customHeight="1">
      <c r="A267" s="2">
        <v>45</v>
      </c>
      <c r="B267" s="2">
        <v>266</v>
      </c>
      <c r="C267" s="2">
        <v>2</v>
      </c>
    </row>
    <row r="268" spans="1:3" ht="14.25" customHeight="1">
      <c r="A268" s="2">
        <v>45</v>
      </c>
      <c r="B268" s="2">
        <v>267</v>
      </c>
      <c r="C268" s="2">
        <v>8</v>
      </c>
    </row>
    <row r="269" spans="1:3" ht="14.25" customHeight="1">
      <c r="A269" s="2">
        <v>45</v>
      </c>
      <c r="B269" s="2">
        <v>268</v>
      </c>
      <c r="C269" s="2">
        <v>3</v>
      </c>
    </row>
    <row r="270" spans="1:3" ht="14.25" customHeight="1">
      <c r="A270" s="2">
        <v>45</v>
      </c>
      <c r="B270" s="2">
        <v>269</v>
      </c>
      <c r="C270" s="2">
        <v>6</v>
      </c>
    </row>
    <row r="271" spans="1:3" ht="14.25" customHeight="1">
      <c r="A271" s="2">
        <v>45</v>
      </c>
      <c r="B271" s="2">
        <v>270</v>
      </c>
      <c r="C271" s="2">
        <v>4</v>
      </c>
    </row>
    <row r="272" spans="1:3" ht="14.25" customHeight="1">
      <c r="A272" s="2">
        <v>45</v>
      </c>
      <c r="B272" s="2">
        <v>271</v>
      </c>
      <c r="C272" s="2">
        <v>8</v>
      </c>
    </row>
    <row r="273" spans="1:3" ht="14.25" customHeight="1">
      <c r="A273" s="2">
        <v>45</v>
      </c>
      <c r="B273" s="2">
        <v>272</v>
      </c>
      <c r="C273" s="2">
        <v>4</v>
      </c>
    </row>
    <row r="274" spans="1:3" ht="14.25" customHeight="1">
      <c r="A274" s="2">
        <v>45</v>
      </c>
      <c r="B274" s="2">
        <v>273</v>
      </c>
      <c r="C274" s="2">
        <v>1</v>
      </c>
    </row>
    <row r="275" spans="1:3" ht="14.25" customHeight="1">
      <c r="A275" s="2">
        <v>45</v>
      </c>
      <c r="B275" s="2">
        <v>274</v>
      </c>
      <c r="C275" s="2">
        <v>5</v>
      </c>
    </row>
    <row r="276" spans="1:3" ht="14.25" customHeight="1">
      <c r="A276" s="2">
        <v>45</v>
      </c>
      <c r="B276" s="2">
        <v>275</v>
      </c>
      <c r="C276" s="2">
        <v>2</v>
      </c>
    </row>
    <row r="277" spans="1:3" ht="14.25" customHeight="1">
      <c r="A277" s="2">
        <v>45</v>
      </c>
      <c r="B277" s="2">
        <v>276</v>
      </c>
      <c r="C277" s="2">
        <v>7</v>
      </c>
    </row>
    <row r="278" spans="1:3" ht="14.25" customHeight="1">
      <c r="A278" s="2">
        <v>45</v>
      </c>
      <c r="B278" s="2">
        <v>277</v>
      </c>
      <c r="C278" s="2">
        <v>2</v>
      </c>
    </row>
    <row r="279" spans="1:3" ht="14.25" customHeight="1">
      <c r="A279" s="2">
        <v>45</v>
      </c>
      <c r="B279" s="2">
        <v>278</v>
      </c>
      <c r="C279" s="2">
        <v>1</v>
      </c>
    </row>
    <row r="280" spans="1:3" ht="14.25" customHeight="1">
      <c r="A280" s="2">
        <v>45</v>
      </c>
      <c r="B280" s="2">
        <v>279</v>
      </c>
      <c r="C280" s="2">
        <v>2</v>
      </c>
    </row>
    <row r="281" spans="1:3" ht="14.25" customHeight="1">
      <c r="A281" s="2">
        <v>45</v>
      </c>
      <c r="B281" s="2">
        <v>280</v>
      </c>
      <c r="C281" s="2">
        <v>6</v>
      </c>
    </row>
    <row r="282" spans="1:3" ht="14.25" customHeight="1">
      <c r="A282" s="2">
        <v>45</v>
      </c>
      <c r="B282" s="2">
        <v>281</v>
      </c>
      <c r="C282" s="2">
        <v>2</v>
      </c>
    </row>
    <row r="283" spans="1:3" ht="14.25" customHeight="1">
      <c r="A283" s="2">
        <v>45</v>
      </c>
      <c r="B283" s="2">
        <v>282</v>
      </c>
      <c r="C283" s="2">
        <v>3</v>
      </c>
    </row>
    <row r="284" spans="1:3" ht="14.25" customHeight="1">
      <c r="A284" s="2">
        <v>45</v>
      </c>
      <c r="B284" s="2">
        <v>283</v>
      </c>
      <c r="C284" s="2">
        <v>7</v>
      </c>
    </row>
    <row r="285" spans="1:3" ht="14.25" customHeight="1">
      <c r="A285" s="2">
        <v>45</v>
      </c>
      <c r="B285" s="2">
        <v>284</v>
      </c>
      <c r="C285" s="2">
        <v>3</v>
      </c>
    </row>
    <row r="286" spans="1:3" ht="14.25" customHeight="1">
      <c r="A286" s="2">
        <v>45</v>
      </c>
      <c r="B286" s="2">
        <v>285</v>
      </c>
      <c r="C286" s="2">
        <v>4</v>
      </c>
    </row>
    <row r="287" spans="1:3" ht="14.25" customHeight="1">
      <c r="A287" s="2">
        <v>45</v>
      </c>
      <c r="B287" s="2">
        <v>286</v>
      </c>
      <c r="C287" s="2">
        <v>6</v>
      </c>
    </row>
    <row r="288" spans="1:3" ht="14.25" customHeight="1">
      <c r="A288" s="2">
        <v>45</v>
      </c>
      <c r="B288" s="2">
        <v>287</v>
      </c>
      <c r="C288" s="2">
        <v>3</v>
      </c>
    </row>
    <row r="289" spans="1:4" ht="14.25" customHeight="1">
      <c r="A289" s="2">
        <v>45</v>
      </c>
      <c r="B289" s="2">
        <v>288</v>
      </c>
      <c r="C289" s="2">
        <v>6</v>
      </c>
    </row>
    <row r="290" spans="1:4" ht="14.25" customHeight="1">
      <c r="A290" s="2">
        <v>45</v>
      </c>
      <c r="B290" s="2">
        <v>289</v>
      </c>
      <c r="C290" s="2">
        <v>5</v>
      </c>
    </row>
    <row r="291" spans="1:4" ht="14.25" customHeight="1">
      <c r="A291" s="2">
        <v>45</v>
      </c>
      <c r="B291" s="2">
        <v>290</v>
      </c>
      <c r="C291" s="2">
        <v>7</v>
      </c>
    </row>
    <row r="292" spans="1:4" ht="14.25" customHeight="1">
      <c r="A292" s="2">
        <v>45</v>
      </c>
      <c r="B292" s="2">
        <v>291</v>
      </c>
      <c r="C292" s="2">
        <v>1</v>
      </c>
    </row>
    <row r="293" spans="1:4" ht="14.25" customHeight="1">
      <c r="A293" s="2">
        <v>45</v>
      </c>
      <c r="B293" s="2">
        <v>292</v>
      </c>
      <c r="C293" s="2">
        <v>5</v>
      </c>
    </row>
    <row r="294" spans="1:4" ht="14.25" customHeight="1">
      <c r="A294" s="2">
        <v>45</v>
      </c>
      <c r="B294" s="2">
        <v>293</v>
      </c>
      <c r="C294" s="2">
        <v>4</v>
      </c>
    </row>
    <row r="295" spans="1:4" ht="14.25" customHeight="1">
      <c r="A295" s="2">
        <v>45</v>
      </c>
      <c r="B295" s="2">
        <v>294</v>
      </c>
      <c r="C295" s="2">
        <v>8</v>
      </c>
    </row>
    <row r="296" spans="1:4" ht="14.25" customHeight="1">
      <c r="A296" s="2">
        <v>45</v>
      </c>
      <c r="B296" s="2">
        <v>295</v>
      </c>
      <c r="C296" s="2">
        <v>4</v>
      </c>
    </row>
    <row r="297" spans="1:4" ht="14.25" customHeight="1">
      <c r="A297" s="2">
        <v>45</v>
      </c>
      <c r="B297" s="2">
        <v>296</v>
      </c>
      <c r="C297" s="2">
        <v>7</v>
      </c>
    </row>
    <row r="298" spans="1:4" ht="14.25" customHeight="1">
      <c r="A298" s="2">
        <v>45</v>
      </c>
      <c r="B298" s="2">
        <v>297</v>
      </c>
      <c r="C298" s="2">
        <v>5</v>
      </c>
    </row>
    <row r="299" spans="1:4" ht="14.25" customHeight="1">
      <c r="A299" s="2">
        <v>45</v>
      </c>
      <c r="B299" s="2">
        <v>298</v>
      </c>
      <c r="C299" s="2">
        <v>3</v>
      </c>
    </row>
    <row r="300" spans="1:4" ht="14.25" customHeight="1">
      <c r="A300" s="2">
        <v>45</v>
      </c>
      <c r="B300" s="2">
        <v>299</v>
      </c>
      <c r="C300" s="2">
        <v>6</v>
      </c>
    </row>
    <row r="301" spans="1:4" ht="14.25" customHeight="1">
      <c r="A301" s="2">
        <v>45</v>
      </c>
      <c r="B301" s="2">
        <v>300</v>
      </c>
      <c r="C301" s="2">
        <v>4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46</v>
      </c>
      <c r="I1" s="2">
        <v>1</v>
      </c>
      <c r="J1" s="2">
        <v>4</v>
      </c>
      <c r="L1" s="2">
        <v>2</v>
      </c>
    </row>
    <row r="2" spans="1:22" ht="14.25" customHeight="1">
      <c r="A2" s="2">
        <v>46</v>
      </c>
      <c r="B2" s="2">
        <v>1</v>
      </c>
      <c r="C2" s="2">
        <v>4</v>
      </c>
      <c r="E2" s="2">
        <v>2</v>
      </c>
      <c r="H2" s="2">
        <v>46</v>
      </c>
      <c r="I2" s="2">
        <v>2</v>
      </c>
      <c r="J2" s="2">
        <v>5</v>
      </c>
      <c r="K2" s="2">
        <v>0</v>
      </c>
      <c r="L2" s="2">
        <v>1.4139999999999999</v>
      </c>
      <c r="M2" s="2">
        <v>1</v>
      </c>
    </row>
    <row r="3" spans="1:22" ht="14.25" customHeight="1">
      <c r="A3" s="2">
        <v>46</v>
      </c>
      <c r="B3" s="2">
        <v>2</v>
      </c>
      <c r="C3" s="2">
        <v>5</v>
      </c>
      <c r="D3" s="2">
        <v>0</v>
      </c>
      <c r="E3" s="2">
        <v>1.4139999999999999</v>
      </c>
      <c r="F3" s="2">
        <v>1</v>
      </c>
      <c r="H3" s="2">
        <v>46</v>
      </c>
      <c r="I3" s="2">
        <v>3</v>
      </c>
      <c r="J3" s="2">
        <v>3</v>
      </c>
      <c r="K3" s="2">
        <v>0</v>
      </c>
      <c r="L3" s="2">
        <v>1.8340000000000001</v>
      </c>
      <c r="M3" s="2">
        <v>1</v>
      </c>
    </row>
    <row r="4" spans="1:22" ht="14.25" customHeight="1">
      <c r="A4" s="2">
        <v>46</v>
      </c>
      <c r="B4" s="2">
        <v>3</v>
      </c>
      <c r="C4" s="2">
        <v>3</v>
      </c>
      <c r="D4" s="2">
        <v>0</v>
      </c>
      <c r="E4" s="2">
        <v>1.8340000000000001</v>
      </c>
      <c r="F4" s="2">
        <v>1</v>
      </c>
      <c r="H4" s="2">
        <v>46</v>
      </c>
      <c r="I4" s="2">
        <v>4</v>
      </c>
      <c r="J4" s="2">
        <v>8</v>
      </c>
      <c r="K4" s="2">
        <v>0</v>
      </c>
      <c r="L4" s="2">
        <v>1.345</v>
      </c>
      <c r="M4" s="2">
        <v>2</v>
      </c>
      <c r="O4" s="2" t="s">
        <v>6</v>
      </c>
    </row>
    <row r="5" spans="1:22" ht="14.25" customHeight="1">
      <c r="A5" s="2">
        <v>46</v>
      </c>
      <c r="B5" s="2">
        <v>4</v>
      </c>
      <c r="C5" s="2">
        <v>8</v>
      </c>
      <c r="D5" s="2">
        <v>0</v>
      </c>
      <c r="E5" s="2">
        <v>1.345</v>
      </c>
      <c r="F5" s="2">
        <v>2</v>
      </c>
      <c r="H5" s="2">
        <v>46</v>
      </c>
      <c r="I5" s="2">
        <v>5</v>
      </c>
      <c r="J5" s="2">
        <v>7</v>
      </c>
      <c r="K5" s="2">
        <v>0</v>
      </c>
      <c r="L5" s="2">
        <v>1.964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46</v>
      </c>
      <c r="B6" s="2">
        <v>5</v>
      </c>
      <c r="C6" s="2">
        <v>7</v>
      </c>
      <c r="D6" s="2">
        <v>0</v>
      </c>
      <c r="E6" s="2">
        <v>1.964</v>
      </c>
      <c r="F6" s="2">
        <v>2</v>
      </c>
      <c r="H6" s="2">
        <v>46</v>
      </c>
      <c r="I6" s="2">
        <v>6</v>
      </c>
      <c r="J6" s="2">
        <v>5</v>
      </c>
      <c r="L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46</v>
      </c>
      <c r="B7" s="2">
        <v>6</v>
      </c>
      <c r="C7" s="2">
        <v>5</v>
      </c>
      <c r="E7" s="2">
        <v>2</v>
      </c>
      <c r="H7" s="2">
        <v>46</v>
      </c>
      <c r="I7" s="2">
        <v>7</v>
      </c>
      <c r="J7" s="2">
        <v>7</v>
      </c>
      <c r="K7" s="2">
        <v>0</v>
      </c>
      <c r="L7" s="2">
        <v>1.2669999999999999</v>
      </c>
      <c r="M7" s="2">
        <v>2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46</v>
      </c>
      <c r="B8" s="2">
        <v>7</v>
      </c>
      <c r="C8" s="2">
        <v>7</v>
      </c>
      <c r="D8" s="2">
        <v>0</v>
      </c>
      <c r="E8" s="2">
        <v>1.2669999999999999</v>
      </c>
      <c r="F8" s="2">
        <v>2</v>
      </c>
      <c r="H8" s="2">
        <v>46</v>
      </c>
      <c r="I8" s="2">
        <v>8</v>
      </c>
      <c r="J8" s="2">
        <v>3</v>
      </c>
      <c r="K8" s="2">
        <v>1</v>
      </c>
      <c r="L8" s="2">
        <v>1.669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46</v>
      </c>
      <c r="B9" s="2">
        <v>8</v>
      </c>
      <c r="C9" s="2">
        <v>3</v>
      </c>
      <c r="D9" s="2">
        <v>1</v>
      </c>
      <c r="E9" s="2">
        <v>1.669</v>
      </c>
      <c r="F9" s="2">
        <v>2</v>
      </c>
      <c r="H9" s="2">
        <v>46</v>
      </c>
      <c r="I9" s="2">
        <v>9</v>
      </c>
      <c r="J9" s="2">
        <v>2</v>
      </c>
      <c r="L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46</v>
      </c>
      <c r="B10" s="2">
        <v>9</v>
      </c>
      <c r="C10" s="2">
        <v>2</v>
      </c>
      <c r="E10" s="2">
        <v>2</v>
      </c>
      <c r="H10" s="2">
        <v>46</v>
      </c>
      <c r="I10" s="2">
        <v>10</v>
      </c>
      <c r="J10" s="2">
        <v>5</v>
      </c>
      <c r="K10" s="2">
        <v>0</v>
      </c>
      <c r="L10" s="2">
        <v>1.2050000000000001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46</v>
      </c>
      <c r="B11" s="2">
        <v>10</v>
      </c>
      <c r="C11" s="2">
        <v>5</v>
      </c>
      <c r="D11" s="2">
        <v>0</v>
      </c>
      <c r="E11" s="2">
        <v>1.2050000000000001</v>
      </c>
      <c r="F11" s="2">
        <v>1</v>
      </c>
      <c r="H11" s="2">
        <v>46</v>
      </c>
      <c r="I11" s="2">
        <v>11</v>
      </c>
      <c r="J11" s="2">
        <v>6</v>
      </c>
      <c r="K11" s="2">
        <v>1</v>
      </c>
      <c r="L11" s="2">
        <v>1.2350000000000001</v>
      </c>
      <c r="M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46</v>
      </c>
      <c r="B12" s="2">
        <v>11</v>
      </c>
      <c r="C12" s="2">
        <v>6</v>
      </c>
      <c r="D12" s="2">
        <v>1</v>
      </c>
      <c r="E12" s="2">
        <v>1.2350000000000001</v>
      </c>
      <c r="F12" s="2">
        <v>2</v>
      </c>
      <c r="H12" s="2">
        <v>46</v>
      </c>
      <c r="I12" s="2">
        <v>12</v>
      </c>
      <c r="J12" s="2">
        <v>7</v>
      </c>
      <c r="K12" s="2">
        <v>1</v>
      </c>
      <c r="L12" s="2">
        <v>1.704</v>
      </c>
      <c r="M12" s="2">
        <v>1</v>
      </c>
    </row>
    <row r="13" spans="1:22" ht="14.25" customHeight="1">
      <c r="A13" s="2">
        <v>46</v>
      </c>
      <c r="B13" s="2">
        <v>12</v>
      </c>
      <c r="C13" s="2">
        <v>7</v>
      </c>
      <c r="D13" s="2">
        <v>1</v>
      </c>
      <c r="E13" s="2">
        <v>1.704</v>
      </c>
      <c r="F13" s="2">
        <v>1</v>
      </c>
      <c r="H13" s="2">
        <v>46</v>
      </c>
      <c r="I13" s="2">
        <v>13</v>
      </c>
      <c r="J13" s="2">
        <v>4</v>
      </c>
      <c r="K13" s="2">
        <v>0</v>
      </c>
      <c r="L13" s="2">
        <v>1.5569999999999999</v>
      </c>
      <c r="M13" s="2">
        <v>2</v>
      </c>
    </row>
    <row r="14" spans="1:22" ht="14.25" customHeight="1">
      <c r="A14" s="2">
        <v>46</v>
      </c>
      <c r="B14" s="2">
        <v>13</v>
      </c>
      <c r="C14" s="2">
        <v>4</v>
      </c>
      <c r="D14" s="2">
        <v>0</v>
      </c>
      <c r="E14" s="2">
        <v>1.5569999999999999</v>
      </c>
      <c r="F14" s="2">
        <v>2</v>
      </c>
      <c r="H14" s="2">
        <v>46</v>
      </c>
      <c r="I14" s="2">
        <v>14</v>
      </c>
      <c r="J14" s="2">
        <v>8</v>
      </c>
      <c r="L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46</v>
      </c>
      <c r="B15" s="2">
        <v>14</v>
      </c>
      <c r="C15" s="2">
        <v>8</v>
      </c>
      <c r="E15" s="2">
        <v>2</v>
      </c>
      <c r="H15" s="2">
        <v>46</v>
      </c>
      <c r="I15" s="2">
        <v>15</v>
      </c>
      <c r="J15" s="2">
        <v>3</v>
      </c>
      <c r="K15" s="2">
        <v>1</v>
      </c>
      <c r="L15" s="2">
        <v>1.3959999999999999</v>
      </c>
      <c r="M15" s="2">
        <v>2</v>
      </c>
      <c r="O15" s="2" t="s">
        <v>9</v>
      </c>
    </row>
    <row r="16" spans="1:22" ht="14.25" customHeight="1">
      <c r="A16" s="2">
        <v>46</v>
      </c>
      <c r="B16" s="2">
        <v>15</v>
      </c>
      <c r="C16" s="2">
        <v>3</v>
      </c>
      <c r="D16" s="2">
        <v>1</v>
      </c>
      <c r="E16" s="2">
        <v>1.3959999999999999</v>
      </c>
      <c r="F16" s="2">
        <v>2</v>
      </c>
      <c r="H16" s="2">
        <v>46</v>
      </c>
      <c r="I16" s="2">
        <v>16</v>
      </c>
      <c r="J16" s="2">
        <v>8</v>
      </c>
      <c r="K16" s="2">
        <v>1</v>
      </c>
      <c r="L16" s="2">
        <v>1.7070000000000001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46</v>
      </c>
      <c r="B17" s="2">
        <v>16</v>
      </c>
      <c r="C17" s="2">
        <v>8</v>
      </c>
      <c r="D17" s="2">
        <v>1</v>
      </c>
      <c r="E17" s="2">
        <v>1.7070000000000001</v>
      </c>
      <c r="F17" s="2">
        <v>1</v>
      </c>
      <c r="H17" s="2">
        <v>46</v>
      </c>
      <c r="I17" s="2">
        <v>17</v>
      </c>
      <c r="J17" s="2">
        <v>3</v>
      </c>
      <c r="K17" s="2">
        <v>1</v>
      </c>
      <c r="L17" s="2">
        <v>1.105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10.889999999999993</v>
      </c>
      <c r="P17" s="2">
        <f t="shared" ref="P17:P22" si="1">(P6*COUNTIF($J$1:$J$100,P$16) - COUNTIFS($J$1:$J$100,P$16,$K$1:$K$100,"=0"))^2</f>
        <v>29.160000000000004</v>
      </c>
      <c r="Q17" s="2">
        <f t="shared" ref="Q17:Q22" si="2">(Q6*COUNTIF($J$1:$J$100,Q$16) - COUNTIFS($J$1:$J$100,Q$16,$K$1:$K$100,"=1"))^2</f>
        <v>19.359999999999989</v>
      </c>
      <c r="R17" s="2">
        <f t="shared" ref="R17:R22" si="3">(R6*COUNTIF($J$1:$J$100,R$16) - COUNTIFS($J$1:$J$100,R$16,$K$1:$K$100,"=0"))^2</f>
        <v>5.76</v>
      </c>
      <c r="S17" s="2">
        <f t="shared" ref="S17:T17" si="4">(S6*COUNTIF($J$1:$J$100,S$16) - COUNTIFS($J$1:$J$100,S$16,$K$1:$K$100,"=1"))^2</f>
        <v>88.359999999999971</v>
      </c>
      <c r="T17" s="2">
        <f t="shared" si="4"/>
        <v>70.559999999999974</v>
      </c>
      <c r="U17" s="2">
        <f t="shared" ref="U17:V17" si="5">(U6*COUNTIF($J$1:$J$100,U$16) - COUNTIFS($J$1:$J$100,U$16,$K$1:$K$100,"=0"))^2</f>
        <v>11.559999999999999</v>
      </c>
      <c r="V17" s="2">
        <f t="shared" si="5"/>
        <v>5.2899999999999991</v>
      </c>
    </row>
    <row r="18" spans="1:22" ht="14.25" customHeight="1">
      <c r="A18" s="2">
        <v>46</v>
      </c>
      <c r="B18" s="2">
        <v>17</v>
      </c>
      <c r="C18" s="2">
        <v>3</v>
      </c>
      <c r="D18" s="2">
        <v>1</v>
      </c>
      <c r="E18" s="2">
        <v>1.105</v>
      </c>
      <c r="F18" s="2">
        <v>2</v>
      </c>
      <c r="H18" s="2">
        <v>46</v>
      </c>
      <c r="I18" s="2">
        <v>18</v>
      </c>
      <c r="J18" s="2">
        <v>4</v>
      </c>
      <c r="L18" s="2">
        <v>2.0009999999999999</v>
      </c>
      <c r="N18" s="2">
        <v>2</v>
      </c>
      <c r="O18" s="2">
        <f t="shared" si="0"/>
        <v>10.889999999999993</v>
      </c>
      <c r="P18" s="2">
        <f t="shared" si="1"/>
        <v>29.159999999999986</v>
      </c>
      <c r="Q18" s="2">
        <f t="shared" si="2"/>
        <v>40.960000000000008</v>
      </c>
      <c r="R18" s="2">
        <f t="shared" si="3"/>
        <v>5.76</v>
      </c>
      <c r="S18" s="2">
        <f t="shared" ref="S18:T18" si="6">(S7*COUNTIF($J$1:$J$100,S$16) - COUNTIFS($J$1:$J$100,S$16,$K$1:$K$100,"=1"))^2</f>
        <v>88.359999999999971</v>
      </c>
      <c r="T18" s="2">
        <f t="shared" si="6"/>
        <v>70.559999999999974</v>
      </c>
      <c r="U18" s="2">
        <f t="shared" ref="U18:V18" si="7">(U7*COUNTIF($J$1:$J$100,U$16) - COUNTIFS($J$1:$J$100,U$16,$K$1:$K$100,"=0"))^2</f>
        <v>11.559999999999999</v>
      </c>
      <c r="V18" s="2">
        <f t="shared" si="7"/>
        <v>5.2899999999999991</v>
      </c>
    </row>
    <row r="19" spans="1:22" ht="14.25" customHeight="1">
      <c r="A19" s="2">
        <v>46</v>
      </c>
      <c r="B19" s="2">
        <v>18</v>
      </c>
      <c r="C19" s="2">
        <v>4</v>
      </c>
      <c r="E19" s="2">
        <v>2.0009999999999999</v>
      </c>
      <c r="H19" s="2">
        <v>46</v>
      </c>
      <c r="I19" s="2">
        <v>19</v>
      </c>
      <c r="J19" s="2">
        <v>1</v>
      </c>
      <c r="K19" s="2">
        <v>1</v>
      </c>
      <c r="L19" s="2">
        <v>1.528</v>
      </c>
      <c r="M19" s="2">
        <v>2</v>
      </c>
      <c r="N19" s="2">
        <v>3</v>
      </c>
      <c r="O19" s="2">
        <f t="shared" si="0"/>
        <v>10.889999999999993</v>
      </c>
      <c r="P19" s="2">
        <f t="shared" si="1"/>
        <v>29.160000000000004</v>
      </c>
      <c r="Q19" s="2">
        <f t="shared" si="2"/>
        <v>19.359999999999989</v>
      </c>
      <c r="R19" s="2">
        <f t="shared" si="3"/>
        <v>5.76</v>
      </c>
      <c r="S19" s="2">
        <f t="shared" ref="S19:T19" si="8">(S8*COUNTIF($J$1:$J$100,S$16) - COUNTIFS($J$1:$J$100,S$16,$K$1:$K$100,"=1"))^2</f>
        <v>88.359999999999971</v>
      </c>
      <c r="T19" s="2">
        <f t="shared" si="8"/>
        <v>5.76</v>
      </c>
      <c r="U19" s="2">
        <f t="shared" ref="U19:V19" si="9">(U8*COUNTIF($J$1:$J$100,U$16) - COUNTIFS($J$1:$J$100,U$16,$K$1:$K$100,"=0"))^2</f>
        <v>54.759999999999977</v>
      </c>
      <c r="V19" s="2">
        <f t="shared" si="9"/>
        <v>5.2899999999999991</v>
      </c>
    </row>
    <row r="20" spans="1:22" ht="14.25" customHeight="1">
      <c r="A20" s="2">
        <v>46</v>
      </c>
      <c r="B20" s="2">
        <v>19</v>
      </c>
      <c r="C20" s="2">
        <v>1</v>
      </c>
      <c r="D20" s="2">
        <v>1</v>
      </c>
      <c r="E20" s="2">
        <v>1.528</v>
      </c>
      <c r="F20" s="2">
        <v>2</v>
      </c>
      <c r="H20" s="2">
        <v>46</v>
      </c>
      <c r="I20" s="2">
        <v>20</v>
      </c>
      <c r="J20" s="2">
        <v>6</v>
      </c>
      <c r="K20" s="2">
        <v>1</v>
      </c>
      <c r="L20" s="2">
        <v>1.6830000000000001</v>
      </c>
      <c r="M20" s="2">
        <v>2</v>
      </c>
      <c r="N20" s="2">
        <v>4</v>
      </c>
      <c r="O20" s="2">
        <f t="shared" si="0"/>
        <v>9</v>
      </c>
      <c r="P20" s="2">
        <f t="shared" si="1"/>
        <v>0</v>
      </c>
      <c r="Q20" s="2">
        <f t="shared" si="2"/>
        <v>1</v>
      </c>
      <c r="R20" s="2">
        <f t="shared" si="3"/>
        <v>9</v>
      </c>
      <c r="S20" s="2">
        <f t="shared" ref="S20:T20" si="10">(S9*COUNTIF($J$1:$J$100,S$16) - COUNTIFS($J$1:$J$100,S$16,$K$1:$K$100,"=1"))^2</f>
        <v>88.359999999999971</v>
      </c>
      <c r="T20" s="2">
        <f t="shared" si="10"/>
        <v>70.559999999999974</v>
      </c>
      <c r="U20" s="2">
        <f t="shared" ref="U20:V20" si="11">(U9*COUNTIF($J$1:$J$100,U$16) - COUNTIFS($J$1:$J$100,U$16,$K$1:$K$100,"=0"))^2</f>
        <v>11.559999999999999</v>
      </c>
      <c r="V20" s="2">
        <f t="shared" si="11"/>
        <v>5.2899999999999991</v>
      </c>
    </row>
    <row r="21" spans="1:22" ht="14.25" customHeight="1">
      <c r="A21" s="2">
        <v>46</v>
      </c>
      <c r="B21" s="2">
        <v>20</v>
      </c>
      <c r="C21" s="2">
        <v>6</v>
      </c>
      <c r="D21" s="2">
        <v>1</v>
      </c>
      <c r="E21" s="2">
        <v>1.6830000000000001</v>
      </c>
      <c r="F21" s="2">
        <v>2</v>
      </c>
      <c r="H21" s="2">
        <v>46</v>
      </c>
      <c r="I21" s="2">
        <v>21</v>
      </c>
      <c r="J21" s="2">
        <v>3</v>
      </c>
      <c r="K21" s="2">
        <v>1</v>
      </c>
      <c r="L21" s="2">
        <v>1.2589999999999999</v>
      </c>
      <c r="M21" s="2">
        <v>2</v>
      </c>
      <c r="N21" s="2">
        <v>5</v>
      </c>
      <c r="O21" s="2">
        <f t="shared" si="0"/>
        <v>10.889999999999993</v>
      </c>
      <c r="P21" s="2">
        <f t="shared" si="1"/>
        <v>29.160000000000004</v>
      </c>
      <c r="Q21" s="2">
        <f t="shared" si="2"/>
        <v>19.359999999999989</v>
      </c>
      <c r="R21" s="2">
        <f t="shared" si="3"/>
        <v>5.76</v>
      </c>
      <c r="S21" s="2">
        <f t="shared" ref="S21:T21" si="12">(S10*COUNTIF($J$1:$J$100,S$16) - COUNTIFS($J$1:$J$100,S$16,$K$1:$K$100,"=1"))^2</f>
        <v>16</v>
      </c>
      <c r="T21" s="2">
        <f t="shared" si="12"/>
        <v>9</v>
      </c>
      <c r="U21" s="2">
        <f t="shared" ref="U21:V21" si="13">(U10*COUNTIF($J$1:$J$100,U$16) - COUNTIFS($J$1:$J$100,U$16,$K$1:$K$100,"=0"))^2</f>
        <v>4</v>
      </c>
      <c r="V21" s="2">
        <f t="shared" si="13"/>
        <v>16</v>
      </c>
    </row>
    <row r="22" spans="1:22" ht="14.25" customHeight="1">
      <c r="A22" s="2">
        <v>46</v>
      </c>
      <c r="B22" s="2">
        <v>21</v>
      </c>
      <c r="C22" s="2">
        <v>3</v>
      </c>
      <c r="D22" s="2">
        <v>1</v>
      </c>
      <c r="E22" s="2">
        <v>1.2589999999999999</v>
      </c>
      <c r="F22" s="2">
        <v>2</v>
      </c>
      <c r="H22" s="2">
        <v>46</v>
      </c>
      <c r="I22" s="2">
        <v>22</v>
      </c>
      <c r="J22" s="2">
        <v>8</v>
      </c>
      <c r="K22" s="2">
        <v>1</v>
      </c>
      <c r="L22" s="2">
        <v>1.0509999999999999</v>
      </c>
      <c r="M22" s="2">
        <v>1</v>
      </c>
      <c r="N22" s="2">
        <v>6</v>
      </c>
      <c r="O22" s="2">
        <f t="shared" si="0"/>
        <v>9</v>
      </c>
      <c r="P22" s="2">
        <f t="shared" si="1"/>
        <v>0</v>
      </c>
      <c r="Q22" s="2">
        <f t="shared" si="2"/>
        <v>1</v>
      </c>
      <c r="R22" s="2">
        <f t="shared" si="3"/>
        <v>9</v>
      </c>
      <c r="S22" s="2">
        <f t="shared" ref="S22:T22" si="14">(S11*COUNTIF($J$1:$J$100,S$16) - COUNTIFS($J$1:$J$100,S$16,$K$1:$K$100,"=1"))^2</f>
        <v>16</v>
      </c>
      <c r="T22" s="2">
        <f t="shared" si="14"/>
        <v>9</v>
      </c>
      <c r="U22" s="2">
        <f t="shared" ref="U22:V22" si="15">(U11*COUNTIF($J$1:$J$100,U$16) - COUNTIFS($J$1:$J$100,U$16,$K$1:$K$100,"=0"))^2</f>
        <v>4</v>
      </c>
      <c r="V22" s="2">
        <f t="shared" si="15"/>
        <v>16</v>
      </c>
    </row>
    <row r="23" spans="1:22" ht="14.25" customHeight="1">
      <c r="A23" s="2">
        <v>46</v>
      </c>
      <c r="B23" s="2">
        <v>22</v>
      </c>
      <c r="C23" s="2">
        <v>8</v>
      </c>
      <c r="D23" s="2">
        <v>1</v>
      </c>
      <c r="E23" s="2">
        <v>1.0509999999999999</v>
      </c>
      <c r="F23" s="2">
        <v>1</v>
      </c>
      <c r="H23" s="2">
        <v>46</v>
      </c>
      <c r="I23" s="2">
        <v>23</v>
      </c>
      <c r="J23" s="2">
        <v>1</v>
      </c>
      <c r="K23" s="2">
        <v>1</v>
      </c>
      <c r="L23" s="2">
        <v>0.95599999999999996</v>
      </c>
      <c r="M23" s="2">
        <v>2</v>
      </c>
    </row>
    <row r="24" spans="1:22" ht="14.25" customHeight="1">
      <c r="A24" s="2">
        <v>46</v>
      </c>
      <c r="B24" s="2">
        <v>23</v>
      </c>
      <c r="C24" s="2">
        <v>1</v>
      </c>
      <c r="D24" s="2">
        <v>1</v>
      </c>
      <c r="E24" s="2">
        <v>0.95599999999999996</v>
      </c>
      <c r="F24" s="2">
        <v>2</v>
      </c>
      <c r="H24" s="2">
        <v>46</v>
      </c>
      <c r="I24" s="2">
        <v>24</v>
      </c>
      <c r="J24" s="2">
        <v>4</v>
      </c>
      <c r="K24" s="2">
        <v>1</v>
      </c>
      <c r="L24" s="2">
        <v>1.8680000000000001</v>
      </c>
      <c r="M24" s="2">
        <v>1</v>
      </c>
    </row>
    <row r="25" spans="1:22" ht="14.25" customHeight="1">
      <c r="A25" s="2">
        <v>46</v>
      </c>
      <c r="B25" s="2">
        <v>24</v>
      </c>
      <c r="C25" s="2">
        <v>4</v>
      </c>
      <c r="D25" s="2">
        <v>1</v>
      </c>
      <c r="E25" s="2">
        <v>1.8680000000000001</v>
      </c>
      <c r="F25" s="2">
        <v>1</v>
      </c>
      <c r="H25" s="2">
        <v>46</v>
      </c>
      <c r="I25" s="2">
        <v>25</v>
      </c>
      <c r="J25" s="2">
        <v>7</v>
      </c>
      <c r="K25" s="2">
        <v>1</v>
      </c>
      <c r="L25" s="2">
        <v>1.0589999999999999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46</v>
      </c>
      <c r="B26" s="2">
        <v>25</v>
      </c>
      <c r="C26" s="2">
        <v>7</v>
      </c>
      <c r="D26" s="2">
        <v>1</v>
      </c>
      <c r="E26" s="2">
        <v>1.0589999999999999</v>
      </c>
      <c r="F26" s="2">
        <v>1</v>
      </c>
      <c r="H26" s="2">
        <v>46</v>
      </c>
      <c r="I26" s="2">
        <v>26</v>
      </c>
      <c r="J26" s="2">
        <v>1</v>
      </c>
      <c r="K26" s="2">
        <v>1</v>
      </c>
      <c r="L26" s="2">
        <v>0.99399999999999999</v>
      </c>
      <c r="M26" s="2">
        <v>2</v>
      </c>
      <c r="O26" s="2">
        <f t="shared" ref="O26:V26" si="16">COUNTIF($J$1:$J$100,O$16)^2</f>
        <v>196</v>
      </c>
      <c r="P26" s="2">
        <f t="shared" si="16"/>
        <v>144</v>
      </c>
      <c r="Q26" s="2">
        <f t="shared" si="16"/>
        <v>144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144</v>
      </c>
      <c r="V26" s="2">
        <f t="shared" si="16"/>
        <v>196</v>
      </c>
    </row>
    <row r="27" spans="1:22" ht="14.25" customHeight="1">
      <c r="A27" s="2">
        <v>46</v>
      </c>
      <c r="B27" s="2">
        <v>26</v>
      </c>
      <c r="C27" s="2">
        <v>1</v>
      </c>
      <c r="D27" s="2">
        <v>1</v>
      </c>
      <c r="E27" s="2">
        <v>0.99399999999999999</v>
      </c>
      <c r="F27" s="2">
        <v>2</v>
      </c>
      <c r="H27" s="2">
        <v>46</v>
      </c>
      <c r="I27" s="2">
        <v>27</v>
      </c>
      <c r="J27" s="2">
        <v>2</v>
      </c>
      <c r="K27" s="2">
        <v>0</v>
      </c>
      <c r="L27" s="2">
        <v>1.202</v>
      </c>
      <c r="M27" s="2">
        <v>2</v>
      </c>
    </row>
    <row r="28" spans="1:22" ht="14.25" customHeight="1">
      <c r="A28" s="2">
        <v>46</v>
      </c>
      <c r="B28" s="2">
        <v>27</v>
      </c>
      <c r="C28" s="2">
        <v>2</v>
      </c>
      <c r="D28" s="2">
        <v>0</v>
      </c>
      <c r="E28" s="2">
        <v>1.202</v>
      </c>
      <c r="F28" s="2">
        <v>2</v>
      </c>
      <c r="H28" s="2">
        <v>46</v>
      </c>
      <c r="I28" s="2">
        <v>28</v>
      </c>
      <c r="J28" s="2">
        <v>5</v>
      </c>
      <c r="K28" s="2">
        <v>0</v>
      </c>
      <c r="L28" s="2">
        <v>1.544</v>
      </c>
      <c r="M28" s="2">
        <v>1</v>
      </c>
    </row>
    <row r="29" spans="1:22" ht="14.25" customHeight="1">
      <c r="A29" s="2">
        <v>46</v>
      </c>
      <c r="B29" s="2">
        <v>28</v>
      </c>
      <c r="C29" s="2">
        <v>5</v>
      </c>
      <c r="D29" s="2">
        <v>0</v>
      </c>
      <c r="E29" s="2">
        <v>1.544</v>
      </c>
      <c r="F29" s="2">
        <v>1</v>
      </c>
      <c r="H29" s="2">
        <v>46</v>
      </c>
      <c r="I29" s="2">
        <v>29</v>
      </c>
      <c r="J29" s="2">
        <v>8</v>
      </c>
      <c r="K29" s="2">
        <v>1</v>
      </c>
      <c r="L29" s="2">
        <v>1.323</v>
      </c>
      <c r="M29" s="2">
        <v>1</v>
      </c>
    </row>
    <row r="30" spans="1:22" ht="14.25" customHeight="1">
      <c r="A30" s="2">
        <v>46</v>
      </c>
      <c r="B30" s="2">
        <v>29</v>
      </c>
      <c r="C30" s="2">
        <v>8</v>
      </c>
      <c r="D30" s="2">
        <v>1</v>
      </c>
      <c r="E30" s="2">
        <v>1.323</v>
      </c>
      <c r="F30" s="2">
        <v>1</v>
      </c>
      <c r="H30" s="2">
        <v>46</v>
      </c>
      <c r="I30" s="2">
        <v>30</v>
      </c>
      <c r="J30" s="2">
        <v>6</v>
      </c>
      <c r="K30" s="2">
        <v>0</v>
      </c>
      <c r="L30" s="2">
        <v>1.899</v>
      </c>
      <c r="M30" s="2">
        <v>1</v>
      </c>
    </row>
    <row r="31" spans="1:22" ht="14.25" customHeight="1">
      <c r="A31" s="2">
        <v>46</v>
      </c>
      <c r="B31" s="2">
        <v>30</v>
      </c>
      <c r="C31" s="2">
        <v>6</v>
      </c>
      <c r="D31" s="2">
        <v>0</v>
      </c>
      <c r="E31" s="2">
        <v>1.899</v>
      </c>
      <c r="F31" s="2">
        <v>1</v>
      </c>
      <c r="H31" s="2">
        <v>46</v>
      </c>
      <c r="I31" s="2">
        <v>31</v>
      </c>
      <c r="J31" s="2">
        <v>5</v>
      </c>
      <c r="K31" s="2">
        <v>1</v>
      </c>
      <c r="L31" s="2">
        <v>1.9059999999999999</v>
      </c>
      <c r="M31" s="2">
        <v>2</v>
      </c>
      <c r="N31" s="2">
        <v>1</v>
      </c>
      <c r="O31" s="2">
        <f t="shared" ref="O31:O36" si="17">SUM(O17:V17)/(SUM($O$26:$V$26))</f>
        <v>0.19183121019108276</v>
      </c>
    </row>
    <row r="32" spans="1:22" ht="14.25" customHeight="1">
      <c r="A32" s="2">
        <v>46</v>
      </c>
      <c r="B32" s="2">
        <v>31</v>
      </c>
      <c r="C32" s="2">
        <v>5</v>
      </c>
      <c r="D32" s="2">
        <v>1</v>
      </c>
      <c r="E32" s="2">
        <v>1.9059999999999999</v>
      </c>
      <c r="F32" s="2">
        <v>2</v>
      </c>
      <c r="H32" s="2">
        <v>46</v>
      </c>
      <c r="I32" s="2">
        <v>32</v>
      </c>
      <c r="J32" s="2">
        <v>8</v>
      </c>
      <c r="K32" s="2">
        <v>1</v>
      </c>
      <c r="L32" s="2">
        <v>1.091</v>
      </c>
      <c r="M32" s="2">
        <v>1</v>
      </c>
      <c r="N32" s="2">
        <v>2</v>
      </c>
      <c r="O32" s="2">
        <f t="shared" si="17"/>
        <v>0.20902866242038215</v>
      </c>
    </row>
    <row r="33" spans="1:15" ht="14.25" customHeight="1">
      <c r="A33" s="2">
        <v>46</v>
      </c>
      <c r="B33" s="2">
        <v>32</v>
      </c>
      <c r="C33" s="2">
        <v>8</v>
      </c>
      <c r="D33" s="2">
        <v>1</v>
      </c>
      <c r="E33" s="2">
        <v>1.091</v>
      </c>
      <c r="F33" s="2">
        <v>1</v>
      </c>
      <c r="H33" s="2">
        <v>46</v>
      </c>
      <c r="I33" s="2">
        <v>33</v>
      </c>
      <c r="J33" s="2">
        <v>5</v>
      </c>
      <c r="L33" s="2">
        <v>2</v>
      </c>
      <c r="N33" s="2">
        <v>3</v>
      </c>
      <c r="O33" s="2">
        <f t="shared" si="17"/>
        <v>0.1746337579617834</v>
      </c>
    </row>
    <row r="34" spans="1:15" ht="14.25" customHeight="1">
      <c r="A34" s="2">
        <v>46</v>
      </c>
      <c r="B34" s="2">
        <v>33</v>
      </c>
      <c r="C34" s="2">
        <v>5</v>
      </c>
      <c r="E34" s="2">
        <v>2</v>
      </c>
      <c r="H34" s="2">
        <v>46</v>
      </c>
      <c r="I34" s="2">
        <v>34</v>
      </c>
      <c r="J34" s="2">
        <v>8</v>
      </c>
      <c r="K34" s="2">
        <v>1</v>
      </c>
      <c r="L34" s="2">
        <v>0.97099999999999997</v>
      </c>
      <c r="M34" s="2">
        <v>1</v>
      </c>
      <c r="N34" s="2">
        <v>4</v>
      </c>
      <c r="O34" s="2">
        <f t="shared" si="17"/>
        <v>0.15507165605095538</v>
      </c>
    </row>
    <row r="35" spans="1:15" ht="14.25" customHeight="1">
      <c r="A35" s="2">
        <v>46</v>
      </c>
      <c r="B35" s="2">
        <v>34</v>
      </c>
      <c r="C35" s="2">
        <v>8</v>
      </c>
      <c r="D35" s="2">
        <v>1</v>
      </c>
      <c r="E35" s="2">
        <v>0.97099999999999997</v>
      </c>
      <c r="F35" s="2">
        <v>1</v>
      </c>
      <c r="H35" s="2">
        <v>46</v>
      </c>
      <c r="I35" s="2">
        <v>35</v>
      </c>
      <c r="J35" s="2">
        <v>2</v>
      </c>
      <c r="K35" s="2">
        <v>0</v>
      </c>
      <c r="L35" s="2">
        <v>1.226</v>
      </c>
      <c r="M35" s="2">
        <v>2</v>
      </c>
      <c r="N35" s="2">
        <v>5</v>
      </c>
      <c r="O35" s="2">
        <f t="shared" si="17"/>
        <v>8.7714968152866238E-2</v>
      </c>
    </row>
    <row r="36" spans="1:15" ht="14.25" customHeight="1">
      <c r="A36" s="2">
        <v>46</v>
      </c>
      <c r="B36" s="2">
        <v>35</v>
      </c>
      <c r="C36" s="2">
        <v>2</v>
      </c>
      <c r="D36" s="2">
        <v>0</v>
      </c>
      <c r="E36" s="2">
        <v>1.226</v>
      </c>
      <c r="F36" s="2">
        <v>2</v>
      </c>
      <c r="H36" s="2">
        <v>46</v>
      </c>
      <c r="I36" s="2">
        <v>36</v>
      </c>
      <c r="J36" s="2">
        <v>6</v>
      </c>
      <c r="L36" s="2">
        <v>2</v>
      </c>
      <c r="N36" s="2">
        <v>6</v>
      </c>
      <c r="O36" s="2">
        <f t="shared" si="17"/>
        <v>5.0955414012738856E-2</v>
      </c>
    </row>
    <row r="37" spans="1:15" ht="14.25" customHeight="1">
      <c r="A37" s="2">
        <v>46</v>
      </c>
      <c r="B37" s="2">
        <v>36</v>
      </c>
      <c r="C37" s="2">
        <v>6</v>
      </c>
      <c r="E37" s="2">
        <v>2</v>
      </c>
      <c r="H37" s="2">
        <v>46</v>
      </c>
      <c r="I37" s="2">
        <v>37</v>
      </c>
      <c r="J37" s="2">
        <v>2</v>
      </c>
      <c r="K37" s="2">
        <v>0</v>
      </c>
      <c r="L37" s="2">
        <v>1.802</v>
      </c>
      <c r="M37" s="2">
        <v>2</v>
      </c>
    </row>
    <row r="38" spans="1:15" ht="14.25" customHeight="1">
      <c r="A38" s="2">
        <v>46</v>
      </c>
      <c r="B38" s="2">
        <v>37</v>
      </c>
      <c r="C38" s="2">
        <v>2</v>
      </c>
      <c r="D38" s="2">
        <v>0</v>
      </c>
      <c r="E38" s="2">
        <v>1.802</v>
      </c>
      <c r="F38" s="2">
        <v>2</v>
      </c>
      <c r="H38" s="2">
        <v>46</v>
      </c>
      <c r="I38" s="2">
        <v>38</v>
      </c>
      <c r="J38" s="2">
        <v>4</v>
      </c>
      <c r="K38" s="2">
        <v>1</v>
      </c>
      <c r="L38" s="2">
        <v>1.923</v>
      </c>
      <c r="M38" s="2">
        <v>1</v>
      </c>
    </row>
    <row r="39" spans="1:15" ht="14.25" customHeight="1">
      <c r="A39" s="2">
        <v>46</v>
      </c>
      <c r="B39" s="2">
        <v>38</v>
      </c>
      <c r="C39" s="2">
        <v>4</v>
      </c>
      <c r="D39" s="2">
        <v>1</v>
      </c>
      <c r="E39" s="2">
        <v>1.923</v>
      </c>
      <c r="F39" s="2">
        <v>1</v>
      </c>
      <c r="H39" s="2">
        <v>46</v>
      </c>
      <c r="I39" s="2">
        <v>39</v>
      </c>
      <c r="J39" s="2">
        <v>1</v>
      </c>
      <c r="K39" s="2">
        <v>1</v>
      </c>
      <c r="L39" s="2">
        <v>1.5780000000000001</v>
      </c>
      <c r="M39" s="2">
        <v>2</v>
      </c>
    </row>
    <row r="40" spans="1:15" ht="14.25" customHeight="1">
      <c r="A40" s="2">
        <v>46</v>
      </c>
      <c r="B40" s="2">
        <v>39</v>
      </c>
      <c r="C40" s="2">
        <v>1</v>
      </c>
      <c r="D40" s="2">
        <v>1</v>
      </c>
      <c r="E40" s="2">
        <v>1.5780000000000001</v>
      </c>
      <c r="F40" s="2">
        <v>2</v>
      </c>
      <c r="H40" s="2">
        <v>46</v>
      </c>
      <c r="I40" s="2">
        <v>40</v>
      </c>
      <c r="J40" s="2">
        <v>6</v>
      </c>
      <c r="L40" s="2">
        <v>2</v>
      </c>
    </row>
    <row r="41" spans="1:15" ht="14.25" customHeight="1">
      <c r="A41" s="2">
        <v>46</v>
      </c>
      <c r="B41" s="2">
        <v>40</v>
      </c>
      <c r="C41" s="2">
        <v>6</v>
      </c>
      <c r="E41" s="2">
        <v>2</v>
      </c>
      <c r="H41" s="2">
        <v>46</v>
      </c>
      <c r="I41" s="2">
        <v>41</v>
      </c>
      <c r="J41" s="2">
        <v>3</v>
      </c>
      <c r="K41" s="2">
        <v>0</v>
      </c>
      <c r="L41" s="2">
        <v>1.3580000000000001</v>
      </c>
      <c r="M41" s="2">
        <v>1</v>
      </c>
    </row>
    <row r="42" spans="1:15" ht="14.25" customHeight="1">
      <c r="A42" s="2">
        <v>46</v>
      </c>
      <c r="B42" s="2">
        <v>41</v>
      </c>
      <c r="C42" s="2">
        <v>3</v>
      </c>
      <c r="D42" s="2">
        <v>0</v>
      </c>
      <c r="E42" s="2">
        <v>1.3580000000000001</v>
      </c>
      <c r="F42" s="2">
        <v>1</v>
      </c>
      <c r="H42" s="2">
        <v>46</v>
      </c>
      <c r="I42" s="2">
        <v>42</v>
      </c>
      <c r="J42" s="2">
        <v>1</v>
      </c>
      <c r="K42" s="2">
        <v>1</v>
      </c>
      <c r="L42" s="2">
        <v>1.123</v>
      </c>
      <c r="M42" s="2">
        <v>2</v>
      </c>
    </row>
    <row r="43" spans="1:15" ht="14.25" customHeight="1">
      <c r="A43" s="2">
        <v>46</v>
      </c>
      <c r="B43" s="2">
        <v>42</v>
      </c>
      <c r="C43" s="2">
        <v>1</v>
      </c>
      <c r="D43" s="2">
        <v>1</v>
      </c>
      <c r="E43" s="2">
        <v>1.123</v>
      </c>
      <c r="F43" s="2">
        <v>2</v>
      </c>
      <c r="H43" s="2">
        <v>46</v>
      </c>
      <c r="I43" s="2">
        <v>43</v>
      </c>
      <c r="J43" s="2">
        <v>2</v>
      </c>
      <c r="K43" s="2">
        <v>0</v>
      </c>
      <c r="L43" s="2">
        <v>0.97899999999999998</v>
      </c>
      <c r="M43" s="2">
        <v>2</v>
      </c>
    </row>
    <row r="44" spans="1:15" ht="14.25" customHeight="1">
      <c r="A44" s="2">
        <v>46</v>
      </c>
      <c r="B44" s="2">
        <v>43</v>
      </c>
      <c r="C44" s="2">
        <v>2</v>
      </c>
      <c r="D44" s="2">
        <v>0</v>
      </c>
      <c r="E44" s="2">
        <v>0.97899999999999998</v>
      </c>
      <c r="F44" s="2">
        <v>2</v>
      </c>
      <c r="H44" s="2">
        <v>46</v>
      </c>
      <c r="I44" s="2">
        <v>44</v>
      </c>
      <c r="J44" s="2">
        <v>1</v>
      </c>
      <c r="K44" s="2">
        <v>1</v>
      </c>
      <c r="L44" s="2">
        <v>0.76200000000000001</v>
      </c>
      <c r="M44" s="2">
        <v>2</v>
      </c>
    </row>
    <row r="45" spans="1:15" ht="14.25" customHeight="1">
      <c r="A45" s="2">
        <v>46</v>
      </c>
      <c r="B45" s="2">
        <v>44</v>
      </c>
      <c r="C45" s="2">
        <v>1</v>
      </c>
      <c r="D45" s="2">
        <v>1</v>
      </c>
      <c r="E45" s="2">
        <v>0.76200000000000001</v>
      </c>
      <c r="F45" s="2">
        <v>2</v>
      </c>
      <c r="H45" s="2">
        <v>46</v>
      </c>
      <c r="I45" s="2">
        <v>45</v>
      </c>
      <c r="J45" s="2">
        <v>7</v>
      </c>
      <c r="K45" s="2">
        <v>1</v>
      </c>
      <c r="L45" s="2">
        <v>1.619</v>
      </c>
      <c r="M45" s="2">
        <v>1</v>
      </c>
    </row>
    <row r="46" spans="1:15" ht="14.25" customHeight="1">
      <c r="A46" s="2">
        <v>46</v>
      </c>
      <c r="B46" s="2">
        <v>45</v>
      </c>
      <c r="C46" s="2">
        <v>7</v>
      </c>
      <c r="D46" s="2">
        <v>1</v>
      </c>
      <c r="E46" s="2">
        <v>1.619</v>
      </c>
      <c r="F46" s="2">
        <v>1</v>
      </c>
      <c r="H46" s="2">
        <v>46</v>
      </c>
      <c r="I46" s="2">
        <v>46</v>
      </c>
      <c r="J46" s="2">
        <v>1</v>
      </c>
      <c r="L46" s="2">
        <v>2</v>
      </c>
    </row>
    <row r="47" spans="1:15" ht="14.25" customHeight="1">
      <c r="A47" s="2">
        <v>46</v>
      </c>
      <c r="B47" s="2">
        <v>46</v>
      </c>
      <c r="C47" s="2">
        <v>1</v>
      </c>
      <c r="E47" s="2">
        <v>2</v>
      </c>
      <c r="H47" s="2">
        <v>46</v>
      </c>
      <c r="I47" s="2">
        <v>47</v>
      </c>
      <c r="J47" s="2">
        <v>4</v>
      </c>
      <c r="L47" s="2">
        <v>2</v>
      </c>
    </row>
    <row r="48" spans="1:15" ht="14.25" customHeight="1">
      <c r="A48" s="2">
        <v>46</v>
      </c>
      <c r="B48" s="2">
        <v>47</v>
      </c>
      <c r="C48" s="2">
        <v>4</v>
      </c>
      <c r="E48" s="2">
        <v>2</v>
      </c>
      <c r="H48" s="2">
        <v>46</v>
      </c>
      <c r="I48" s="2">
        <v>48</v>
      </c>
      <c r="J48" s="2">
        <v>6</v>
      </c>
      <c r="L48" s="2">
        <v>2</v>
      </c>
    </row>
    <row r="49" spans="1:13" ht="14.25" customHeight="1">
      <c r="A49" s="2">
        <v>46</v>
      </c>
      <c r="B49" s="2">
        <v>48</v>
      </c>
      <c r="C49" s="2">
        <v>6</v>
      </c>
      <c r="E49" s="2">
        <v>2</v>
      </c>
      <c r="H49" s="2">
        <v>46</v>
      </c>
      <c r="I49" s="2">
        <v>49</v>
      </c>
      <c r="J49" s="2">
        <v>2</v>
      </c>
      <c r="L49" s="2">
        <v>2</v>
      </c>
    </row>
    <row r="50" spans="1:13" ht="14.25" customHeight="1">
      <c r="A50" s="2">
        <v>46</v>
      </c>
      <c r="B50" s="2">
        <v>49</v>
      </c>
      <c r="C50" s="2">
        <v>2</v>
      </c>
      <c r="E50" s="2">
        <v>2</v>
      </c>
      <c r="H50" s="2">
        <v>46</v>
      </c>
      <c r="I50" s="2">
        <v>50</v>
      </c>
      <c r="J50" s="2">
        <v>7</v>
      </c>
      <c r="K50" s="2">
        <v>1</v>
      </c>
      <c r="L50" s="2">
        <v>0.97</v>
      </c>
      <c r="M50" s="2">
        <v>1</v>
      </c>
    </row>
    <row r="51" spans="1:13" ht="14.25" customHeight="1">
      <c r="A51" s="2">
        <v>46</v>
      </c>
      <c r="B51" s="2">
        <v>50</v>
      </c>
      <c r="C51" s="2">
        <v>7</v>
      </c>
      <c r="D51" s="2">
        <v>1</v>
      </c>
      <c r="E51" s="2">
        <v>0.97</v>
      </c>
      <c r="F51" s="2">
        <v>1</v>
      </c>
      <c r="H51" s="2">
        <v>46</v>
      </c>
      <c r="I51" s="2">
        <v>51</v>
      </c>
      <c r="J51" s="2">
        <v>3</v>
      </c>
      <c r="K51" s="2">
        <v>0</v>
      </c>
      <c r="L51" s="2">
        <v>1.784</v>
      </c>
      <c r="M51" s="2">
        <v>2</v>
      </c>
    </row>
    <row r="52" spans="1:13" ht="14.25" customHeight="1">
      <c r="A52" s="2">
        <v>46</v>
      </c>
      <c r="B52" s="2">
        <v>51</v>
      </c>
      <c r="C52" s="2">
        <v>3</v>
      </c>
      <c r="D52" s="2">
        <v>0</v>
      </c>
      <c r="E52" s="2">
        <v>1.784</v>
      </c>
      <c r="F52" s="2">
        <v>2</v>
      </c>
      <c r="H52" s="2">
        <v>46</v>
      </c>
      <c r="I52" s="2">
        <v>52</v>
      </c>
      <c r="J52" s="2">
        <v>2</v>
      </c>
      <c r="L52" s="2">
        <v>2</v>
      </c>
    </row>
    <row r="53" spans="1:13" ht="14.25" customHeight="1">
      <c r="A53" s="2">
        <v>46</v>
      </c>
      <c r="B53" s="2">
        <v>52</v>
      </c>
      <c r="C53" s="2">
        <v>2</v>
      </c>
      <c r="E53" s="2">
        <v>2</v>
      </c>
      <c r="H53" s="2">
        <v>46</v>
      </c>
      <c r="I53" s="2">
        <v>53</v>
      </c>
      <c r="J53" s="2">
        <v>5</v>
      </c>
      <c r="K53" s="2">
        <v>0</v>
      </c>
      <c r="L53" s="2">
        <v>1.34</v>
      </c>
      <c r="M53" s="2">
        <v>1</v>
      </c>
    </row>
    <row r="54" spans="1:13" ht="14.25" customHeight="1">
      <c r="A54" s="2">
        <v>46</v>
      </c>
      <c r="B54" s="2">
        <v>53</v>
      </c>
      <c r="C54" s="2">
        <v>5</v>
      </c>
      <c r="D54" s="2">
        <v>0</v>
      </c>
      <c r="E54" s="2">
        <v>1.34</v>
      </c>
      <c r="F54" s="2">
        <v>1</v>
      </c>
      <c r="H54" s="2">
        <v>46</v>
      </c>
      <c r="I54" s="2">
        <v>54</v>
      </c>
      <c r="J54" s="2">
        <v>1</v>
      </c>
      <c r="K54" s="2">
        <v>0</v>
      </c>
      <c r="L54" s="2">
        <v>1.6020000000000001</v>
      </c>
      <c r="M54" s="2">
        <v>2</v>
      </c>
    </row>
    <row r="55" spans="1:13" ht="14.25" customHeight="1">
      <c r="A55" s="2">
        <v>46</v>
      </c>
      <c r="B55" s="2">
        <v>54</v>
      </c>
      <c r="C55" s="2">
        <v>1</v>
      </c>
      <c r="D55" s="2">
        <v>0</v>
      </c>
      <c r="E55" s="2">
        <v>1.6020000000000001</v>
      </c>
      <c r="F55" s="2">
        <v>2</v>
      </c>
      <c r="H55" s="2">
        <v>46</v>
      </c>
      <c r="I55" s="2">
        <v>55</v>
      </c>
      <c r="J55" s="2">
        <v>8</v>
      </c>
      <c r="K55" s="2">
        <v>1</v>
      </c>
      <c r="L55" s="2">
        <v>1.706</v>
      </c>
      <c r="M55" s="2">
        <v>1</v>
      </c>
    </row>
    <row r="56" spans="1:13" ht="14.25" customHeight="1">
      <c r="A56" s="2">
        <v>46</v>
      </c>
      <c r="B56" s="2">
        <v>55</v>
      </c>
      <c r="C56" s="2">
        <v>8</v>
      </c>
      <c r="D56" s="2">
        <v>1</v>
      </c>
      <c r="E56" s="2">
        <v>1.706</v>
      </c>
      <c r="F56" s="2">
        <v>1</v>
      </c>
      <c r="H56" s="2">
        <v>46</v>
      </c>
      <c r="I56" s="2">
        <v>56</v>
      </c>
      <c r="J56" s="2">
        <v>5</v>
      </c>
      <c r="K56" s="2">
        <v>0</v>
      </c>
      <c r="L56" s="2">
        <v>1.9159999999999999</v>
      </c>
      <c r="M56" s="2">
        <v>1</v>
      </c>
    </row>
    <row r="57" spans="1:13" ht="14.25" customHeight="1">
      <c r="A57" s="2">
        <v>46</v>
      </c>
      <c r="B57" s="2">
        <v>56</v>
      </c>
      <c r="C57" s="2">
        <v>5</v>
      </c>
      <c r="D57" s="2">
        <v>0</v>
      </c>
      <c r="E57" s="2">
        <v>1.9159999999999999</v>
      </c>
      <c r="F57" s="2">
        <v>1</v>
      </c>
      <c r="H57" s="2">
        <v>46</v>
      </c>
      <c r="I57" s="2">
        <v>57</v>
      </c>
      <c r="J57" s="2">
        <v>2</v>
      </c>
      <c r="K57" s="2">
        <v>1</v>
      </c>
      <c r="L57" s="2">
        <v>1.5369999999999999</v>
      </c>
      <c r="M57" s="2">
        <v>1</v>
      </c>
    </row>
    <row r="58" spans="1:13" ht="14.25" customHeight="1">
      <c r="A58" s="2">
        <v>46</v>
      </c>
      <c r="B58" s="2">
        <v>57</v>
      </c>
      <c r="C58" s="2">
        <v>2</v>
      </c>
      <c r="D58" s="2">
        <v>1</v>
      </c>
      <c r="E58" s="2">
        <v>1.5369999999999999</v>
      </c>
      <c r="F58" s="2">
        <v>1</v>
      </c>
      <c r="H58" s="2">
        <v>46</v>
      </c>
      <c r="I58" s="2">
        <v>58</v>
      </c>
      <c r="J58" s="2">
        <v>8</v>
      </c>
      <c r="K58" s="2">
        <v>1</v>
      </c>
      <c r="L58" s="2">
        <v>1.17</v>
      </c>
      <c r="M58" s="2">
        <v>2</v>
      </c>
    </row>
    <row r="59" spans="1:13" ht="14.25" customHeight="1">
      <c r="A59" s="2">
        <v>46</v>
      </c>
      <c r="B59" s="2">
        <v>58</v>
      </c>
      <c r="C59" s="2">
        <v>8</v>
      </c>
      <c r="D59" s="2">
        <v>1</v>
      </c>
      <c r="E59" s="2">
        <v>1.17</v>
      </c>
      <c r="F59" s="2">
        <v>2</v>
      </c>
      <c r="H59" s="2">
        <v>46</v>
      </c>
      <c r="I59" s="2">
        <v>59</v>
      </c>
      <c r="J59" s="2">
        <v>6</v>
      </c>
      <c r="K59" s="2">
        <v>0</v>
      </c>
      <c r="L59" s="2">
        <v>1.458</v>
      </c>
      <c r="M59" s="2">
        <v>2</v>
      </c>
    </row>
    <row r="60" spans="1:13" ht="14.25" customHeight="1">
      <c r="A60" s="2">
        <v>46</v>
      </c>
      <c r="B60" s="2">
        <v>59</v>
      </c>
      <c r="C60" s="2">
        <v>6</v>
      </c>
      <c r="D60" s="2">
        <v>0</v>
      </c>
      <c r="E60" s="2">
        <v>1.458</v>
      </c>
      <c r="F60" s="2">
        <v>2</v>
      </c>
      <c r="H60" s="2">
        <v>46</v>
      </c>
      <c r="I60" s="2">
        <v>60</v>
      </c>
      <c r="J60" s="2">
        <v>4</v>
      </c>
      <c r="K60" s="2">
        <v>1</v>
      </c>
      <c r="L60" s="2">
        <v>1.5529999999999999</v>
      </c>
      <c r="M60" s="2">
        <v>2</v>
      </c>
    </row>
    <row r="61" spans="1:13" ht="14.25" customHeight="1">
      <c r="A61" s="2">
        <v>46</v>
      </c>
      <c r="B61" s="2">
        <v>60</v>
      </c>
      <c r="C61" s="2">
        <v>4</v>
      </c>
      <c r="D61" s="2">
        <v>1</v>
      </c>
      <c r="E61" s="2">
        <v>1.5529999999999999</v>
      </c>
      <c r="F61" s="2">
        <v>2</v>
      </c>
      <c r="H61" s="2">
        <v>46</v>
      </c>
      <c r="I61" s="2">
        <v>61</v>
      </c>
      <c r="J61" s="2">
        <v>6</v>
      </c>
      <c r="L61" s="2">
        <v>2</v>
      </c>
    </row>
    <row r="62" spans="1:13" ht="14.25" customHeight="1">
      <c r="A62" s="2">
        <v>46</v>
      </c>
      <c r="B62" s="2">
        <v>61</v>
      </c>
      <c r="C62" s="2">
        <v>6</v>
      </c>
      <c r="E62" s="2">
        <v>2</v>
      </c>
      <c r="H62" s="2">
        <v>46</v>
      </c>
      <c r="I62" s="2">
        <v>62</v>
      </c>
      <c r="J62" s="2">
        <v>2</v>
      </c>
      <c r="K62" s="2">
        <v>0</v>
      </c>
      <c r="L62" s="2">
        <v>1.4379999999999999</v>
      </c>
      <c r="M62" s="2">
        <v>2</v>
      </c>
    </row>
    <row r="63" spans="1:13" ht="14.25" customHeight="1">
      <c r="A63" s="2">
        <v>46</v>
      </c>
      <c r="B63" s="2">
        <v>62</v>
      </c>
      <c r="C63" s="2">
        <v>2</v>
      </c>
      <c r="D63" s="2">
        <v>0</v>
      </c>
      <c r="E63" s="2">
        <v>1.4379999999999999</v>
      </c>
      <c r="F63" s="2">
        <v>2</v>
      </c>
      <c r="H63" s="2">
        <v>46</v>
      </c>
      <c r="I63" s="2">
        <v>63</v>
      </c>
      <c r="J63" s="2">
        <v>8</v>
      </c>
      <c r="K63" s="2">
        <v>1</v>
      </c>
      <c r="L63" s="2">
        <v>1.905</v>
      </c>
      <c r="M63" s="2">
        <v>1</v>
      </c>
    </row>
    <row r="64" spans="1:13" ht="14.25" customHeight="1">
      <c r="A64" s="2">
        <v>46</v>
      </c>
      <c r="B64" s="2">
        <v>63</v>
      </c>
      <c r="C64" s="2">
        <v>8</v>
      </c>
      <c r="D64" s="2">
        <v>1</v>
      </c>
      <c r="E64" s="2">
        <v>1.905</v>
      </c>
      <c r="F64" s="2">
        <v>1</v>
      </c>
      <c r="H64" s="2">
        <v>46</v>
      </c>
      <c r="I64" s="2">
        <v>64</v>
      </c>
      <c r="J64" s="2">
        <v>5</v>
      </c>
      <c r="K64" s="2">
        <v>0</v>
      </c>
      <c r="L64" s="2">
        <v>1.952</v>
      </c>
      <c r="M64" s="2">
        <v>2</v>
      </c>
    </row>
    <row r="65" spans="1:13" ht="14.25" customHeight="1">
      <c r="A65" s="2">
        <v>46</v>
      </c>
      <c r="B65" s="2">
        <v>64</v>
      </c>
      <c r="C65" s="2">
        <v>5</v>
      </c>
      <c r="D65" s="2">
        <v>0</v>
      </c>
      <c r="E65" s="2">
        <v>1.952</v>
      </c>
      <c r="F65" s="2">
        <v>2</v>
      </c>
      <c r="H65" s="2">
        <v>46</v>
      </c>
      <c r="I65" s="2">
        <v>65</v>
      </c>
      <c r="J65" s="2">
        <v>8</v>
      </c>
      <c r="K65" s="2">
        <v>0</v>
      </c>
      <c r="L65" s="2">
        <v>1.258</v>
      </c>
      <c r="M65" s="2">
        <v>1</v>
      </c>
    </row>
    <row r="66" spans="1:13" ht="14.25" customHeight="1">
      <c r="A66" s="2">
        <v>46</v>
      </c>
      <c r="B66" s="2">
        <v>65</v>
      </c>
      <c r="C66" s="2">
        <v>8</v>
      </c>
      <c r="D66" s="2">
        <v>0</v>
      </c>
      <c r="E66" s="2">
        <v>1.258</v>
      </c>
      <c r="F66" s="2">
        <v>1</v>
      </c>
      <c r="H66" s="2">
        <v>46</v>
      </c>
      <c r="I66" s="2">
        <v>66</v>
      </c>
      <c r="J66" s="2">
        <v>3</v>
      </c>
      <c r="K66" s="2">
        <v>1</v>
      </c>
      <c r="L66" s="2">
        <v>1.881</v>
      </c>
      <c r="M66" s="2">
        <v>1</v>
      </c>
    </row>
    <row r="67" spans="1:13" ht="14.25" customHeight="1">
      <c r="A67" s="2">
        <v>46</v>
      </c>
      <c r="B67" s="2">
        <v>66</v>
      </c>
      <c r="C67" s="2">
        <v>3</v>
      </c>
      <c r="D67" s="2">
        <v>1</v>
      </c>
      <c r="E67" s="2">
        <v>1.881</v>
      </c>
      <c r="F67" s="2">
        <v>1</v>
      </c>
      <c r="H67" s="2">
        <v>46</v>
      </c>
      <c r="I67" s="2">
        <v>67</v>
      </c>
      <c r="J67" s="2">
        <v>4</v>
      </c>
      <c r="K67" s="2">
        <v>0</v>
      </c>
      <c r="L67" s="2">
        <v>1.9790000000000001</v>
      </c>
      <c r="M67" s="2">
        <v>1</v>
      </c>
    </row>
    <row r="68" spans="1:13" ht="14.25" customHeight="1">
      <c r="A68" s="2">
        <v>46</v>
      </c>
      <c r="B68" s="2">
        <v>67</v>
      </c>
      <c r="C68" s="2">
        <v>4</v>
      </c>
      <c r="D68" s="2">
        <v>0</v>
      </c>
      <c r="E68" s="2">
        <v>1.9790000000000001</v>
      </c>
      <c r="F68" s="2">
        <v>1</v>
      </c>
      <c r="H68" s="2">
        <v>46</v>
      </c>
      <c r="I68" s="2">
        <v>68</v>
      </c>
      <c r="J68" s="2">
        <v>7</v>
      </c>
      <c r="K68" s="2">
        <v>0</v>
      </c>
      <c r="L68" s="2">
        <v>1.1299999999999999</v>
      </c>
      <c r="M68" s="2">
        <v>2</v>
      </c>
    </row>
    <row r="69" spans="1:13" ht="14.25" customHeight="1">
      <c r="A69" s="2">
        <v>46</v>
      </c>
      <c r="B69" s="2">
        <v>68</v>
      </c>
      <c r="C69" s="2">
        <v>7</v>
      </c>
      <c r="D69" s="2">
        <v>0</v>
      </c>
      <c r="E69" s="2">
        <v>1.1299999999999999</v>
      </c>
      <c r="F69" s="2">
        <v>2</v>
      </c>
      <c r="H69" s="2">
        <v>46</v>
      </c>
      <c r="I69" s="2">
        <v>69</v>
      </c>
      <c r="J69" s="2">
        <v>8</v>
      </c>
      <c r="L69" s="2">
        <v>2</v>
      </c>
    </row>
    <row r="70" spans="1:13" ht="14.25" customHeight="1">
      <c r="A70" s="2">
        <v>46</v>
      </c>
      <c r="B70" s="2">
        <v>69</v>
      </c>
      <c r="C70" s="2">
        <v>8</v>
      </c>
      <c r="E70" s="2">
        <v>2</v>
      </c>
      <c r="H70" s="2">
        <v>46</v>
      </c>
      <c r="I70" s="2">
        <v>70</v>
      </c>
      <c r="J70" s="2">
        <v>6</v>
      </c>
      <c r="K70" s="2">
        <v>0</v>
      </c>
      <c r="L70" s="2">
        <v>0.98699999999999999</v>
      </c>
      <c r="M70" s="2">
        <v>1</v>
      </c>
    </row>
    <row r="71" spans="1:13" ht="14.25" customHeight="1">
      <c r="A71" s="2">
        <v>46</v>
      </c>
      <c r="B71" s="2">
        <v>70</v>
      </c>
      <c r="C71" s="2">
        <v>6</v>
      </c>
      <c r="D71" s="2">
        <v>0</v>
      </c>
      <c r="E71" s="2">
        <v>0.98699999999999999</v>
      </c>
      <c r="F71" s="2">
        <v>1</v>
      </c>
      <c r="H71" s="2">
        <v>46</v>
      </c>
      <c r="I71" s="2">
        <v>71</v>
      </c>
      <c r="J71" s="2">
        <v>2</v>
      </c>
      <c r="L71" s="2">
        <v>2</v>
      </c>
    </row>
    <row r="72" spans="1:13" ht="14.25" customHeight="1">
      <c r="A72" s="2">
        <v>46</v>
      </c>
      <c r="B72" s="2">
        <v>71</v>
      </c>
      <c r="C72" s="2">
        <v>2</v>
      </c>
      <c r="E72" s="2">
        <v>2</v>
      </c>
      <c r="H72" s="2">
        <v>46</v>
      </c>
      <c r="I72" s="2">
        <v>72</v>
      </c>
      <c r="J72" s="2">
        <v>6</v>
      </c>
      <c r="L72" s="2">
        <v>2</v>
      </c>
    </row>
    <row r="73" spans="1:13" ht="14.25" customHeight="1">
      <c r="A73" s="2">
        <v>46</v>
      </c>
      <c r="B73" s="2">
        <v>72</v>
      </c>
      <c r="C73" s="2">
        <v>6</v>
      </c>
      <c r="E73" s="2">
        <v>2</v>
      </c>
      <c r="H73" s="2">
        <v>46</v>
      </c>
      <c r="I73" s="2">
        <v>73</v>
      </c>
      <c r="J73" s="2">
        <v>1</v>
      </c>
      <c r="K73" s="2">
        <v>1</v>
      </c>
      <c r="L73" s="2">
        <v>1.357</v>
      </c>
      <c r="M73" s="2">
        <v>2</v>
      </c>
    </row>
    <row r="74" spans="1:13" ht="14.25" customHeight="1">
      <c r="A74" s="2">
        <v>46</v>
      </c>
      <c r="B74" s="2">
        <v>73</v>
      </c>
      <c r="C74" s="2">
        <v>1</v>
      </c>
      <c r="D74" s="2">
        <v>1</v>
      </c>
      <c r="E74" s="2">
        <v>1.357</v>
      </c>
      <c r="F74" s="2">
        <v>2</v>
      </c>
      <c r="H74" s="2">
        <v>46</v>
      </c>
      <c r="I74" s="2">
        <v>74</v>
      </c>
      <c r="J74" s="2">
        <v>7</v>
      </c>
      <c r="K74" s="2">
        <v>0</v>
      </c>
      <c r="L74" s="2">
        <v>1.18</v>
      </c>
      <c r="M74" s="2">
        <v>2</v>
      </c>
    </row>
    <row r="75" spans="1:13" ht="14.25" customHeight="1">
      <c r="A75" s="2">
        <v>46</v>
      </c>
      <c r="B75" s="2">
        <v>74</v>
      </c>
      <c r="C75" s="2">
        <v>7</v>
      </c>
      <c r="D75" s="2">
        <v>0</v>
      </c>
      <c r="E75" s="2">
        <v>1.18</v>
      </c>
      <c r="F75" s="2">
        <v>2</v>
      </c>
      <c r="H75" s="2">
        <v>46</v>
      </c>
      <c r="I75" s="2">
        <v>75</v>
      </c>
      <c r="J75" s="2">
        <v>4</v>
      </c>
      <c r="K75" s="2">
        <v>1</v>
      </c>
      <c r="L75" s="2">
        <v>1.5620000000000001</v>
      </c>
      <c r="M75" s="2">
        <v>1</v>
      </c>
    </row>
    <row r="76" spans="1:13" ht="14.25" customHeight="1">
      <c r="A76" s="2">
        <v>46</v>
      </c>
      <c r="B76" s="2">
        <v>75</v>
      </c>
      <c r="C76" s="2">
        <v>4</v>
      </c>
      <c r="D76" s="2">
        <v>1</v>
      </c>
      <c r="E76" s="2">
        <v>1.5620000000000001</v>
      </c>
      <c r="F76" s="2">
        <v>1</v>
      </c>
      <c r="H76" s="2">
        <v>46</v>
      </c>
      <c r="I76" s="2">
        <v>76</v>
      </c>
      <c r="J76" s="2">
        <v>1</v>
      </c>
      <c r="K76" s="2">
        <v>1</v>
      </c>
      <c r="L76" s="2">
        <v>1.119</v>
      </c>
      <c r="M76" s="2">
        <v>2</v>
      </c>
    </row>
    <row r="77" spans="1:13" ht="14.25" customHeight="1">
      <c r="A77" s="2">
        <v>46</v>
      </c>
      <c r="B77" s="2">
        <v>76</v>
      </c>
      <c r="C77" s="2">
        <v>1</v>
      </c>
      <c r="D77" s="2">
        <v>1</v>
      </c>
      <c r="E77" s="2">
        <v>1.119</v>
      </c>
      <c r="F77" s="2">
        <v>2</v>
      </c>
      <c r="H77" s="2">
        <v>46</v>
      </c>
      <c r="I77" s="2">
        <v>77</v>
      </c>
      <c r="J77" s="2">
        <v>7</v>
      </c>
      <c r="K77" s="2">
        <v>1</v>
      </c>
      <c r="L77" s="2">
        <v>1.6020000000000001</v>
      </c>
      <c r="M77" s="2">
        <v>1</v>
      </c>
    </row>
    <row r="78" spans="1:13" ht="14.25" customHeight="1">
      <c r="A78" s="2">
        <v>46</v>
      </c>
      <c r="B78" s="2">
        <v>77</v>
      </c>
      <c r="C78" s="2">
        <v>7</v>
      </c>
      <c r="D78" s="2">
        <v>1</v>
      </c>
      <c r="E78" s="2">
        <v>1.6020000000000001</v>
      </c>
      <c r="F78" s="2">
        <v>1</v>
      </c>
      <c r="H78" s="2">
        <v>46</v>
      </c>
      <c r="I78" s="2">
        <v>78</v>
      </c>
      <c r="J78" s="2">
        <v>8</v>
      </c>
      <c r="L78" s="2">
        <v>2</v>
      </c>
    </row>
    <row r="79" spans="1:13" ht="14.25" customHeight="1">
      <c r="A79" s="2">
        <v>46</v>
      </c>
      <c r="B79" s="2">
        <v>78</v>
      </c>
      <c r="C79" s="2">
        <v>8</v>
      </c>
      <c r="E79" s="2">
        <v>2</v>
      </c>
      <c r="H79" s="2">
        <v>46</v>
      </c>
      <c r="I79" s="2">
        <v>79</v>
      </c>
      <c r="J79" s="2">
        <v>5</v>
      </c>
      <c r="K79" s="2">
        <v>1</v>
      </c>
      <c r="L79" s="2">
        <v>1.091</v>
      </c>
      <c r="M79" s="2">
        <v>1</v>
      </c>
    </row>
    <row r="80" spans="1:13" ht="14.25" customHeight="1">
      <c r="A80" s="2">
        <v>46</v>
      </c>
      <c r="B80" s="2">
        <v>79</v>
      </c>
      <c r="C80" s="2">
        <v>5</v>
      </c>
      <c r="D80" s="2">
        <v>1</v>
      </c>
      <c r="E80" s="2">
        <v>1.091</v>
      </c>
      <c r="F80" s="2">
        <v>1</v>
      </c>
      <c r="H80" s="2">
        <v>46</v>
      </c>
      <c r="I80" s="2">
        <v>80</v>
      </c>
      <c r="J80" s="2">
        <v>3</v>
      </c>
      <c r="K80" s="2">
        <v>0</v>
      </c>
      <c r="L80" s="2">
        <v>1.1279999999999999</v>
      </c>
      <c r="M80" s="2">
        <v>1</v>
      </c>
    </row>
    <row r="81" spans="1:13" ht="14.25" customHeight="1">
      <c r="A81" s="2">
        <v>46</v>
      </c>
      <c r="B81" s="2">
        <v>80</v>
      </c>
      <c r="C81" s="2">
        <v>3</v>
      </c>
      <c r="D81" s="2">
        <v>0</v>
      </c>
      <c r="E81" s="2">
        <v>1.1279999999999999</v>
      </c>
      <c r="F81" s="2">
        <v>1</v>
      </c>
      <c r="H81" s="2">
        <v>46</v>
      </c>
      <c r="I81" s="2">
        <v>81</v>
      </c>
      <c r="J81" s="2">
        <v>1</v>
      </c>
      <c r="K81" s="2">
        <v>0</v>
      </c>
      <c r="L81" s="2">
        <v>1.202</v>
      </c>
      <c r="M81" s="2">
        <v>1</v>
      </c>
    </row>
    <row r="82" spans="1:13" ht="14.25" customHeight="1">
      <c r="A82" s="2">
        <v>46</v>
      </c>
      <c r="B82" s="2">
        <v>81</v>
      </c>
      <c r="C82" s="2">
        <v>1</v>
      </c>
      <c r="D82" s="2">
        <v>0</v>
      </c>
      <c r="E82" s="2">
        <v>1.202</v>
      </c>
      <c r="F82" s="2">
        <v>1</v>
      </c>
      <c r="H82" s="2">
        <v>46</v>
      </c>
      <c r="I82" s="2">
        <v>82</v>
      </c>
      <c r="J82" s="2">
        <v>3</v>
      </c>
      <c r="K82" s="2">
        <v>1</v>
      </c>
      <c r="L82" s="2">
        <v>0.96299999999999997</v>
      </c>
      <c r="M82" s="2">
        <v>1</v>
      </c>
    </row>
    <row r="83" spans="1:13" ht="14.25" customHeight="1">
      <c r="A83" s="2">
        <v>46</v>
      </c>
      <c r="B83" s="2">
        <v>82</v>
      </c>
      <c r="C83" s="2">
        <v>3</v>
      </c>
      <c r="D83" s="2">
        <v>1</v>
      </c>
      <c r="E83" s="2">
        <v>0.96299999999999997</v>
      </c>
      <c r="F83" s="2">
        <v>1</v>
      </c>
      <c r="H83" s="2">
        <v>46</v>
      </c>
      <c r="I83" s="2">
        <v>83</v>
      </c>
      <c r="J83" s="2">
        <v>5</v>
      </c>
      <c r="L83" s="2">
        <v>2</v>
      </c>
    </row>
    <row r="84" spans="1:13" ht="14.25" customHeight="1">
      <c r="A84" s="2">
        <v>46</v>
      </c>
      <c r="B84" s="2">
        <v>83</v>
      </c>
      <c r="C84" s="2">
        <v>5</v>
      </c>
      <c r="E84" s="2">
        <v>2</v>
      </c>
      <c r="H84" s="2">
        <v>46</v>
      </c>
      <c r="I84" s="2">
        <v>84</v>
      </c>
      <c r="J84" s="2">
        <v>1</v>
      </c>
      <c r="K84" s="2">
        <v>1</v>
      </c>
      <c r="L84" s="2">
        <v>0.86599999999999999</v>
      </c>
      <c r="M84" s="2">
        <v>1</v>
      </c>
    </row>
    <row r="85" spans="1:13" ht="14.25" customHeight="1">
      <c r="A85" s="2">
        <v>46</v>
      </c>
      <c r="B85" s="2">
        <v>84</v>
      </c>
      <c r="C85" s="2">
        <v>1</v>
      </c>
      <c r="D85" s="2">
        <v>1</v>
      </c>
      <c r="E85" s="2">
        <v>0.86599999999999999</v>
      </c>
      <c r="F85" s="2">
        <v>1</v>
      </c>
      <c r="H85" s="2">
        <v>46</v>
      </c>
      <c r="I85" s="2">
        <v>85</v>
      </c>
      <c r="J85" s="2">
        <v>4</v>
      </c>
      <c r="K85" s="2">
        <v>0</v>
      </c>
      <c r="L85" s="2">
        <v>1.498</v>
      </c>
      <c r="M85" s="2">
        <v>2</v>
      </c>
    </row>
    <row r="86" spans="1:13" ht="14.25" customHeight="1">
      <c r="A86" s="2">
        <v>46</v>
      </c>
      <c r="B86" s="2">
        <v>85</v>
      </c>
      <c r="C86" s="2">
        <v>4</v>
      </c>
      <c r="D86" s="2">
        <v>0</v>
      </c>
      <c r="E86" s="2">
        <v>1.498</v>
      </c>
      <c r="F86" s="2">
        <v>2</v>
      </c>
      <c r="H86" s="2">
        <v>46</v>
      </c>
      <c r="I86" s="2">
        <v>86</v>
      </c>
      <c r="J86" s="2">
        <v>3</v>
      </c>
      <c r="K86" s="2">
        <v>0</v>
      </c>
      <c r="L86" s="2">
        <v>1.4259999999999999</v>
      </c>
      <c r="M86" s="2">
        <v>1</v>
      </c>
    </row>
    <row r="87" spans="1:13" ht="14.25" customHeight="1">
      <c r="A87" s="2">
        <v>46</v>
      </c>
      <c r="B87" s="2">
        <v>86</v>
      </c>
      <c r="C87" s="2">
        <v>3</v>
      </c>
      <c r="D87" s="2">
        <v>0</v>
      </c>
      <c r="E87" s="2">
        <v>1.4259999999999999</v>
      </c>
      <c r="F87" s="2">
        <v>1</v>
      </c>
      <c r="H87" s="2">
        <v>46</v>
      </c>
      <c r="I87" s="2">
        <v>87</v>
      </c>
      <c r="J87" s="2">
        <v>8</v>
      </c>
      <c r="K87" s="2">
        <v>0</v>
      </c>
      <c r="L87" s="2">
        <v>1.786</v>
      </c>
      <c r="M87" s="2">
        <v>2</v>
      </c>
    </row>
    <row r="88" spans="1:13" ht="14.25" customHeight="1">
      <c r="A88" s="2">
        <v>46</v>
      </c>
      <c r="B88" s="2">
        <v>87</v>
      </c>
      <c r="C88" s="2">
        <v>8</v>
      </c>
      <c r="D88" s="2">
        <v>0</v>
      </c>
      <c r="E88" s="2">
        <v>1.786</v>
      </c>
      <c r="F88" s="2">
        <v>2</v>
      </c>
      <c r="H88" s="2">
        <v>46</v>
      </c>
      <c r="I88" s="2">
        <v>88</v>
      </c>
      <c r="J88" s="2">
        <v>7</v>
      </c>
      <c r="L88" s="2">
        <v>2</v>
      </c>
    </row>
    <row r="89" spans="1:13" ht="14.25" customHeight="1">
      <c r="A89" s="2">
        <v>46</v>
      </c>
      <c r="B89" s="2">
        <v>88</v>
      </c>
      <c r="C89" s="2">
        <v>7</v>
      </c>
      <c r="E89" s="2">
        <v>2</v>
      </c>
      <c r="H89" s="2">
        <v>46</v>
      </c>
      <c r="I89" s="2">
        <v>89</v>
      </c>
      <c r="J89" s="2">
        <v>6</v>
      </c>
      <c r="K89" s="2">
        <v>1</v>
      </c>
      <c r="L89" s="2">
        <v>1.36</v>
      </c>
      <c r="M89" s="2">
        <v>2</v>
      </c>
    </row>
    <row r="90" spans="1:13" ht="14.25" customHeight="1">
      <c r="A90" s="2">
        <v>46</v>
      </c>
      <c r="B90" s="2">
        <v>89</v>
      </c>
      <c r="C90" s="2">
        <v>6</v>
      </c>
      <c r="D90" s="2">
        <v>1</v>
      </c>
      <c r="E90" s="2">
        <v>1.36</v>
      </c>
      <c r="F90" s="2">
        <v>2</v>
      </c>
      <c r="H90" s="2">
        <v>46</v>
      </c>
      <c r="I90" s="2">
        <v>90</v>
      </c>
      <c r="J90" s="2">
        <v>5</v>
      </c>
      <c r="L90" s="2">
        <v>2</v>
      </c>
    </row>
    <row r="91" spans="1:13" ht="14.25" customHeight="1">
      <c r="A91" s="2">
        <v>46</v>
      </c>
      <c r="B91" s="2">
        <v>90</v>
      </c>
      <c r="C91" s="2">
        <v>5</v>
      </c>
      <c r="E91" s="2">
        <v>2</v>
      </c>
      <c r="H91" s="2">
        <v>46</v>
      </c>
      <c r="I91" s="2">
        <v>91</v>
      </c>
      <c r="J91" s="2">
        <v>4</v>
      </c>
      <c r="K91" s="2">
        <v>1</v>
      </c>
      <c r="L91" s="2">
        <v>1.218</v>
      </c>
      <c r="M91" s="2">
        <v>2</v>
      </c>
    </row>
    <row r="92" spans="1:13" ht="14.25" customHeight="1">
      <c r="A92" s="2">
        <v>46</v>
      </c>
      <c r="B92" s="2">
        <v>91</v>
      </c>
      <c r="C92" s="2">
        <v>4</v>
      </c>
      <c r="D92" s="2">
        <v>1</v>
      </c>
      <c r="E92" s="2">
        <v>1.218</v>
      </c>
      <c r="F92" s="2">
        <v>2</v>
      </c>
      <c r="H92" s="2">
        <v>46</v>
      </c>
      <c r="I92" s="2">
        <v>92</v>
      </c>
      <c r="J92" s="2">
        <v>7</v>
      </c>
      <c r="K92" s="2">
        <v>1</v>
      </c>
      <c r="L92" s="2">
        <v>1.3129999999999999</v>
      </c>
      <c r="M92" s="2">
        <v>2</v>
      </c>
    </row>
    <row r="93" spans="1:13" ht="14.25" customHeight="1">
      <c r="A93" s="2">
        <v>46</v>
      </c>
      <c r="B93" s="2">
        <v>92</v>
      </c>
      <c r="C93" s="2">
        <v>7</v>
      </c>
      <c r="D93" s="2">
        <v>1</v>
      </c>
      <c r="E93" s="2">
        <v>1.3129999999999999</v>
      </c>
      <c r="F93" s="2">
        <v>2</v>
      </c>
      <c r="H93" s="2">
        <v>46</v>
      </c>
      <c r="I93" s="2">
        <v>93</v>
      </c>
      <c r="J93" s="2">
        <v>6</v>
      </c>
      <c r="L93" s="2">
        <v>2</v>
      </c>
    </row>
    <row r="94" spans="1:13" ht="14.25" customHeight="1">
      <c r="A94" s="2">
        <v>46</v>
      </c>
      <c r="B94" s="2">
        <v>93</v>
      </c>
      <c r="C94" s="2">
        <v>6</v>
      </c>
      <c r="E94" s="2">
        <v>2</v>
      </c>
      <c r="H94" s="2">
        <v>46</v>
      </c>
      <c r="I94" s="2">
        <v>94</v>
      </c>
      <c r="J94" s="2">
        <v>7</v>
      </c>
      <c r="K94" s="2">
        <v>1</v>
      </c>
      <c r="L94" s="2">
        <v>0.76</v>
      </c>
      <c r="M94" s="2">
        <v>2</v>
      </c>
    </row>
    <row r="95" spans="1:13" ht="14.25" customHeight="1">
      <c r="A95" s="2">
        <v>46</v>
      </c>
      <c r="B95" s="2">
        <v>94</v>
      </c>
      <c r="C95" s="2">
        <v>7</v>
      </c>
      <c r="D95" s="2">
        <v>1</v>
      </c>
      <c r="E95" s="2">
        <v>0.76</v>
      </c>
      <c r="F95" s="2">
        <v>2</v>
      </c>
      <c r="H95" s="2">
        <v>46</v>
      </c>
      <c r="I95" s="2">
        <v>95</v>
      </c>
      <c r="J95" s="2">
        <v>4</v>
      </c>
      <c r="K95" s="2">
        <v>1</v>
      </c>
      <c r="L95" s="2">
        <v>0.80800000000000005</v>
      </c>
      <c r="M95" s="2">
        <v>1</v>
      </c>
    </row>
    <row r="96" spans="1:13" ht="14.25" customHeight="1">
      <c r="A96" s="2">
        <v>46</v>
      </c>
      <c r="B96" s="2">
        <v>95</v>
      </c>
      <c r="C96" s="2">
        <v>4</v>
      </c>
      <c r="D96" s="2">
        <v>1</v>
      </c>
      <c r="E96" s="2">
        <v>0.80800000000000005</v>
      </c>
      <c r="F96" s="2">
        <v>1</v>
      </c>
      <c r="H96" s="2">
        <v>46</v>
      </c>
      <c r="I96" s="2">
        <v>96</v>
      </c>
      <c r="J96" s="2">
        <v>3</v>
      </c>
      <c r="K96" s="2">
        <v>1</v>
      </c>
      <c r="L96" s="2">
        <v>0.77400000000000002</v>
      </c>
      <c r="M96" s="2">
        <v>2</v>
      </c>
    </row>
    <row r="97" spans="1:13" ht="14.25" customHeight="1">
      <c r="A97" s="2">
        <v>46</v>
      </c>
      <c r="B97" s="2">
        <v>96</v>
      </c>
      <c r="C97" s="2">
        <v>3</v>
      </c>
      <c r="D97" s="2">
        <v>1</v>
      </c>
      <c r="E97" s="2">
        <v>0.77400000000000002</v>
      </c>
      <c r="F97" s="2">
        <v>2</v>
      </c>
      <c r="H97" s="2">
        <v>46</v>
      </c>
      <c r="I97" s="2">
        <v>97</v>
      </c>
      <c r="J97" s="2">
        <v>2</v>
      </c>
      <c r="K97" s="2">
        <v>1</v>
      </c>
      <c r="L97" s="2">
        <v>1.5089999999999999</v>
      </c>
      <c r="M97" s="2">
        <v>1</v>
      </c>
    </row>
    <row r="98" spans="1:13" ht="14.25" customHeight="1">
      <c r="A98" s="2">
        <v>46</v>
      </c>
      <c r="B98" s="2">
        <v>97</v>
      </c>
      <c r="C98" s="2">
        <v>2</v>
      </c>
      <c r="D98" s="2">
        <v>1</v>
      </c>
      <c r="E98" s="2">
        <v>1.5089999999999999</v>
      </c>
      <c r="F98" s="2">
        <v>1</v>
      </c>
      <c r="H98" s="2">
        <v>46</v>
      </c>
      <c r="I98" s="2">
        <v>98</v>
      </c>
      <c r="J98" s="2">
        <v>1</v>
      </c>
      <c r="L98" s="2">
        <v>2</v>
      </c>
    </row>
    <row r="99" spans="1:13" ht="14.25" customHeight="1">
      <c r="A99" s="2">
        <v>46</v>
      </c>
      <c r="B99" s="2">
        <v>98</v>
      </c>
      <c r="C99" s="2">
        <v>1</v>
      </c>
      <c r="E99" s="2">
        <v>2</v>
      </c>
      <c r="H99" s="2">
        <v>46</v>
      </c>
      <c r="I99" s="2">
        <v>99</v>
      </c>
      <c r="J99" s="2">
        <v>2</v>
      </c>
      <c r="K99" s="2">
        <v>0</v>
      </c>
      <c r="L99" s="2">
        <v>1.39</v>
      </c>
      <c r="M99" s="2">
        <v>2</v>
      </c>
    </row>
    <row r="100" spans="1:13" ht="14.25" customHeight="1">
      <c r="A100" s="2">
        <v>46</v>
      </c>
      <c r="B100" s="2">
        <v>99</v>
      </c>
      <c r="C100" s="2">
        <v>2</v>
      </c>
      <c r="D100" s="2">
        <v>0</v>
      </c>
      <c r="E100" s="2">
        <v>1.39</v>
      </c>
      <c r="F100" s="2">
        <v>2</v>
      </c>
      <c r="H100" s="2">
        <v>46</v>
      </c>
      <c r="I100" s="2">
        <v>100</v>
      </c>
      <c r="J100" s="2">
        <v>1</v>
      </c>
      <c r="K100" s="2">
        <v>1</v>
      </c>
      <c r="L100" s="2">
        <v>1.0629999999999999</v>
      </c>
      <c r="M100" s="2">
        <v>1</v>
      </c>
    </row>
    <row r="101" spans="1:13" ht="14.25" customHeight="1">
      <c r="A101" s="2">
        <v>46</v>
      </c>
      <c r="B101" s="2">
        <v>100</v>
      </c>
      <c r="C101" s="2">
        <v>1</v>
      </c>
      <c r="D101" s="2">
        <v>1</v>
      </c>
      <c r="E101" s="2">
        <v>1.0629999999999999</v>
      </c>
      <c r="F101" s="2">
        <v>1</v>
      </c>
    </row>
    <row r="102" spans="1:13" ht="14.25" customHeight="1">
      <c r="A102" s="2">
        <v>46</v>
      </c>
      <c r="B102" s="2">
        <v>101</v>
      </c>
      <c r="C102" s="2">
        <v>7</v>
      </c>
      <c r="E102" s="2">
        <v>2</v>
      </c>
    </row>
    <row r="103" spans="1:13" ht="14.25" customHeight="1">
      <c r="A103" s="2">
        <v>46</v>
      </c>
      <c r="B103" s="2">
        <v>102</v>
      </c>
      <c r="C103" s="2">
        <v>5</v>
      </c>
      <c r="E103" s="2">
        <v>2</v>
      </c>
    </row>
    <row r="104" spans="1:13" ht="14.25" customHeight="1">
      <c r="A104" s="2">
        <v>46</v>
      </c>
      <c r="B104" s="2">
        <v>103</v>
      </c>
      <c r="C104" s="2">
        <v>8</v>
      </c>
      <c r="D104" s="2">
        <v>1</v>
      </c>
      <c r="E104" s="2">
        <v>0.98299999999999998</v>
      </c>
      <c r="F104" s="2">
        <v>2</v>
      </c>
    </row>
    <row r="105" spans="1:13" ht="14.25" customHeight="1">
      <c r="A105" s="2">
        <v>46</v>
      </c>
      <c r="B105" s="2">
        <v>104</v>
      </c>
      <c r="C105" s="2">
        <v>6</v>
      </c>
      <c r="E105" s="2">
        <v>2</v>
      </c>
    </row>
    <row r="106" spans="1:13" ht="14.25" customHeight="1">
      <c r="A106" s="2">
        <v>46</v>
      </c>
      <c r="B106" s="2">
        <v>105</v>
      </c>
      <c r="C106" s="2">
        <v>2</v>
      </c>
      <c r="E106" s="2">
        <v>2</v>
      </c>
    </row>
    <row r="107" spans="1:13" ht="14.25" customHeight="1">
      <c r="A107" s="2">
        <v>46</v>
      </c>
      <c r="B107" s="2">
        <v>106</v>
      </c>
      <c r="C107" s="2">
        <v>5</v>
      </c>
      <c r="D107" s="2">
        <v>0</v>
      </c>
      <c r="E107" s="2">
        <v>1.4730000000000001</v>
      </c>
      <c r="F107" s="2">
        <v>1</v>
      </c>
    </row>
    <row r="108" spans="1:13" ht="14.25" customHeight="1">
      <c r="A108" s="2">
        <v>46</v>
      </c>
      <c r="B108" s="2">
        <v>107</v>
      </c>
      <c r="C108" s="2">
        <v>4</v>
      </c>
      <c r="D108" s="2">
        <v>1</v>
      </c>
      <c r="E108" s="2">
        <v>1.1419999999999999</v>
      </c>
      <c r="F108" s="2">
        <v>1</v>
      </c>
    </row>
    <row r="109" spans="1:13" ht="14.25" customHeight="1">
      <c r="A109" s="2">
        <v>46</v>
      </c>
      <c r="B109" s="2">
        <v>108</v>
      </c>
      <c r="C109" s="2">
        <v>8</v>
      </c>
      <c r="D109" s="2">
        <v>1</v>
      </c>
      <c r="E109" s="2">
        <v>1.1599999999999999</v>
      </c>
      <c r="F109" s="2">
        <v>2</v>
      </c>
    </row>
    <row r="110" spans="1:13" ht="14.25" customHeight="1">
      <c r="A110" s="2">
        <v>46</v>
      </c>
      <c r="B110" s="2">
        <v>109</v>
      </c>
      <c r="C110" s="2">
        <v>4</v>
      </c>
      <c r="D110" s="2">
        <v>0</v>
      </c>
      <c r="E110" s="2">
        <v>1.6830000000000001</v>
      </c>
      <c r="F110" s="2">
        <v>2</v>
      </c>
    </row>
    <row r="111" spans="1:13" ht="14.25" customHeight="1">
      <c r="A111" s="2">
        <v>46</v>
      </c>
      <c r="B111" s="2">
        <v>110</v>
      </c>
      <c r="C111" s="2">
        <v>1</v>
      </c>
      <c r="D111" s="2">
        <v>0</v>
      </c>
      <c r="E111" s="2">
        <v>1.4019999999999999</v>
      </c>
      <c r="F111" s="2">
        <v>1</v>
      </c>
    </row>
    <row r="112" spans="1:13" ht="14.25" customHeight="1">
      <c r="A112" s="2">
        <v>46</v>
      </c>
      <c r="B112" s="2">
        <v>111</v>
      </c>
      <c r="C112" s="2">
        <v>3</v>
      </c>
      <c r="E112" s="2">
        <v>2</v>
      </c>
    </row>
    <row r="113" spans="1:6" ht="14.25" customHeight="1">
      <c r="A113" s="2">
        <v>46</v>
      </c>
      <c r="B113" s="2">
        <v>112</v>
      </c>
      <c r="C113" s="2">
        <v>6</v>
      </c>
      <c r="E113" s="2">
        <v>2</v>
      </c>
    </row>
    <row r="114" spans="1:6" ht="14.25" customHeight="1">
      <c r="A114" s="2">
        <v>46</v>
      </c>
      <c r="B114" s="2">
        <v>113</v>
      </c>
      <c r="C114" s="2">
        <v>2</v>
      </c>
      <c r="D114" s="2">
        <v>0</v>
      </c>
      <c r="E114" s="2">
        <v>1.3220000000000001</v>
      </c>
      <c r="F114" s="2">
        <v>2</v>
      </c>
    </row>
    <row r="115" spans="1:6" ht="14.25" customHeight="1">
      <c r="A115" s="2">
        <v>46</v>
      </c>
      <c r="B115" s="2">
        <v>114</v>
      </c>
      <c r="C115" s="2">
        <v>3</v>
      </c>
      <c r="D115" s="2">
        <v>1</v>
      </c>
      <c r="E115" s="2">
        <v>0.93700000000000006</v>
      </c>
      <c r="F115" s="2">
        <v>1</v>
      </c>
    </row>
    <row r="116" spans="1:6" ht="14.25" customHeight="1">
      <c r="A116" s="2">
        <v>46</v>
      </c>
      <c r="B116" s="2">
        <v>115</v>
      </c>
      <c r="C116" s="2">
        <v>7</v>
      </c>
      <c r="D116" s="2">
        <v>1</v>
      </c>
      <c r="E116" s="2">
        <v>1.1160000000000001</v>
      </c>
      <c r="F116" s="2">
        <v>2</v>
      </c>
    </row>
    <row r="117" spans="1:6" ht="14.25" customHeight="1">
      <c r="A117" s="2">
        <v>46</v>
      </c>
      <c r="B117" s="2">
        <v>116</v>
      </c>
      <c r="C117" s="2">
        <v>4</v>
      </c>
      <c r="D117" s="2">
        <v>1</v>
      </c>
      <c r="E117" s="2">
        <v>0.80200000000000005</v>
      </c>
      <c r="F117" s="2">
        <v>1</v>
      </c>
    </row>
    <row r="118" spans="1:6" ht="14.25" customHeight="1">
      <c r="A118" s="2">
        <v>46</v>
      </c>
      <c r="B118" s="2">
        <v>117</v>
      </c>
      <c r="C118" s="2">
        <v>2</v>
      </c>
      <c r="D118" s="2">
        <v>1</v>
      </c>
      <c r="E118" s="2">
        <v>0.98399999999999999</v>
      </c>
      <c r="F118" s="2">
        <v>2</v>
      </c>
    </row>
    <row r="119" spans="1:6" ht="14.25" customHeight="1">
      <c r="A119" s="2">
        <v>46</v>
      </c>
      <c r="B119" s="2">
        <v>118</v>
      </c>
      <c r="C119" s="2">
        <v>7</v>
      </c>
      <c r="D119" s="2">
        <v>1</v>
      </c>
      <c r="E119" s="2">
        <v>1.3620000000000001</v>
      </c>
      <c r="F119" s="2">
        <v>1</v>
      </c>
    </row>
    <row r="120" spans="1:6" ht="14.25" customHeight="1">
      <c r="A120" s="2">
        <v>46</v>
      </c>
      <c r="B120" s="2">
        <v>119</v>
      </c>
      <c r="C120" s="2">
        <v>8</v>
      </c>
      <c r="D120" s="2">
        <v>1</v>
      </c>
      <c r="E120" s="2">
        <v>1.264</v>
      </c>
      <c r="F120" s="2">
        <v>2</v>
      </c>
    </row>
    <row r="121" spans="1:6" ht="14.25" customHeight="1">
      <c r="A121" s="2">
        <v>46</v>
      </c>
      <c r="B121" s="2">
        <v>120</v>
      </c>
      <c r="C121" s="2">
        <v>4</v>
      </c>
      <c r="D121" s="2">
        <v>0</v>
      </c>
      <c r="E121" s="2">
        <v>1.258</v>
      </c>
      <c r="F121" s="2">
        <v>1</v>
      </c>
    </row>
    <row r="122" spans="1:6" ht="14.25" customHeight="1">
      <c r="A122" s="2">
        <v>46</v>
      </c>
      <c r="B122" s="2">
        <v>121</v>
      </c>
      <c r="C122" s="2">
        <v>2</v>
      </c>
      <c r="D122" s="2">
        <v>1</v>
      </c>
      <c r="E122" s="2">
        <v>1.4770000000000001</v>
      </c>
      <c r="F122" s="2">
        <v>2</v>
      </c>
    </row>
    <row r="123" spans="1:6" ht="14.25" customHeight="1">
      <c r="A123" s="2">
        <v>46</v>
      </c>
      <c r="B123" s="2">
        <v>122</v>
      </c>
      <c r="C123" s="2">
        <v>8</v>
      </c>
      <c r="D123" s="2">
        <v>1</v>
      </c>
      <c r="E123" s="2">
        <v>0.82</v>
      </c>
      <c r="F123" s="2">
        <v>1</v>
      </c>
    </row>
    <row r="124" spans="1:6" ht="14.25" customHeight="1">
      <c r="A124" s="2">
        <v>46</v>
      </c>
      <c r="B124" s="2">
        <v>123</v>
      </c>
      <c r="C124" s="2">
        <v>1</v>
      </c>
      <c r="D124" s="2">
        <v>1</v>
      </c>
      <c r="E124" s="2">
        <v>1.024</v>
      </c>
      <c r="F124" s="2">
        <v>2</v>
      </c>
    </row>
    <row r="125" spans="1:6" ht="14.25" customHeight="1">
      <c r="A125" s="2">
        <v>46</v>
      </c>
      <c r="B125" s="2">
        <v>124</v>
      </c>
      <c r="C125" s="2">
        <v>6</v>
      </c>
      <c r="D125" s="2">
        <v>1</v>
      </c>
      <c r="E125" s="2">
        <v>1.2909999999999999</v>
      </c>
      <c r="F125" s="2">
        <v>1</v>
      </c>
    </row>
    <row r="126" spans="1:6" ht="14.25" customHeight="1">
      <c r="A126" s="2">
        <v>46</v>
      </c>
      <c r="B126" s="2">
        <v>125</v>
      </c>
      <c r="C126" s="2">
        <v>1</v>
      </c>
      <c r="D126" s="2">
        <v>1</v>
      </c>
      <c r="E126" s="2">
        <v>0.75900000000000001</v>
      </c>
      <c r="F126" s="2">
        <v>1</v>
      </c>
    </row>
    <row r="127" spans="1:6" ht="14.25" customHeight="1">
      <c r="A127" s="2">
        <v>46</v>
      </c>
      <c r="B127" s="2">
        <v>126</v>
      </c>
      <c r="C127" s="2">
        <v>5</v>
      </c>
      <c r="D127" s="2">
        <v>1</v>
      </c>
      <c r="E127" s="2">
        <v>1.004</v>
      </c>
      <c r="F127" s="2">
        <v>2</v>
      </c>
    </row>
    <row r="128" spans="1:6" ht="14.25" customHeight="1">
      <c r="A128" s="2">
        <v>46</v>
      </c>
      <c r="B128" s="2">
        <v>127</v>
      </c>
      <c r="C128" s="2">
        <v>1</v>
      </c>
      <c r="D128" s="2">
        <v>1</v>
      </c>
      <c r="E128" s="2">
        <v>1.1220000000000001</v>
      </c>
      <c r="F128" s="2">
        <v>1</v>
      </c>
    </row>
    <row r="129" spans="1:6" ht="14.25" customHeight="1">
      <c r="A129" s="2">
        <v>46</v>
      </c>
      <c r="B129" s="2">
        <v>128</v>
      </c>
      <c r="C129" s="2">
        <v>8</v>
      </c>
      <c r="D129" s="2">
        <v>0</v>
      </c>
      <c r="E129" s="2">
        <v>0.88900000000000001</v>
      </c>
      <c r="F129" s="2">
        <v>1</v>
      </c>
    </row>
    <row r="130" spans="1:6" ht="14.25" customHeight="1">
      <c r="A130" s="2">
        <v>46</v>
      </c>
      <c r="B130" s="2">
        <v>129</v>
      </c>
      <c r="C130" s="2">
        <v>4</v>
      </c>
      <c r="D130" s="2">
        <v>1</v>
      </c>
      <c r="E130" s="2">
        <v>0.76</v>
      </c>
      <c r="F130" s="2">
        <v>1</v>
      </c>
    </row>
    <row r="131" spans="1:6" ht="14.25" customHeight="1">
      <c r="A131" s="2">
        <v>46</v>
      </c>
      <c r="B131" s="2">
        <v>130</v>
      </c>
      <c r="C131" s="2">
        <v>3</v>
      </c>
      <c r="D131" s="2">
        <v>0</v>
      </c>
      <c r="E131" s="2">
        <v>1.583</v>
      </c>
      <c r="F131" s="2">
        <v>1</v>
      </c>
    </row>
    <row r="132" spans="1:6" ht="14.25" customHeight="1">
      <c r="A132" s="2">
        <v>46</v>
      </c>
      <c r="B132" s="2">
        <v>131</v>
      </c>
      <c r="C132" s="2">
        <v>4</v>
      </c>
      <c r="D132" s="2">
        <v>1</v>
      </c>
      <c r="E132" s="2">
        <v>1.792</v>
      </c>
      <c r="F132" s="2">
        <v>2</v>
      </c>
    </row>
    <row r="133" spans="1:6" ht="14.25" customHeight="1">
      <c r="A133" s="2">
        <v>46</v>
      </c>
      <c r="B133" s="2">
        <v>132</v>
      </c>
      <c r="C133" s="2">
        <v>7</v>
      </c>
      <c r="D133" s="2">
        <v>1</v>
      </c>
      <c r="E133" s="2">
        <v>0.76600000000000001</v>
      </c>
      <c r="F133" s="2">
        <v>1</v>
      </c>
    </row>
    <row r="134" spans="1:6" ht="14.25" customHeight="1">
      <c r="A134" s="2">
        <v>46</v>
      </c>
      <c r="B134" s="2">
        <v>133</v>
      </c>
      <c r="C134" s="2">
        <v>5</v>
      </c>
      <c r="E134" s="2">
        <v>2</v>
      </c>
    </row>
    <row r="135" spans="1:6" ht="14.25" customHeight="1">
      <c r="A135" s="2">
        <v>46</v>
      </c>
      <c r="B135" s="2">
        <v>134</v>
      </c>
      <c r="C135" s="2">
        <v>7</v>
      </c>
      <c r="D135" s="2">
        <v>1</v>
      </c>
      <c r="E135" s="2">
        <v>0.67</v>
      </c>
      <c r="F135" s="2">
        <v>1</v>
      </c>
    </row>
    <row r="136" spans="1:6" ht="14.25" customHeight="1">
      <c r="A136" s="2">
        <v>46</v>
      </c>
      <c r="B136" s="2">
        <v>135</v>
      </c>
      <c r="C136" s="2">
        <v>2</v>
      </c>
      <c r="D136" s="2">
        <v>1</v>
      </c>
      <c r="E136" s="2">
        <v>1.538</v>
      </c>
      <c r="F136" s="2">
        <v>1</v>
      </c>
    </row>
    <row r="137" spans="1:6" ht="14.25" customHeight="1">
      <c r="A137" s="2">
        <v>46</v>
      </c>
      <c r="B137" s="2">
        <v>136</v>
      </c>
      <c r="C137" s="2">
        <v>8</v>
      </c>
      <c r="D137" s="2">
        <v>1</v>
      </c>
      <c r="E137" s="2">
        <v>1.1279999999999999</v>
      </c>
      <c r="F137" s="2">
        <v>2</v>
      </c>
    </row>
    <row r="138" spans="1:6" ht="14.25" customHeight="1">
      <c r="A138" s="2">
        <v>46</v>
      </c>
      <c r="B138" s="2">
        <v>137</v>
      </c>
      <c r="C138" s="2">
        <v>1</v>
      </c>
      <c r="E138" s="2">
        <v>2</v>
      </c>
    </row>
    <row r="139" spans="1:6" ht="14.25" customHeight="1">
      <c r="A139" s="2">
        <v>46</v>
      </c>
      <c r="B139" s="2">
        <v>138</v>
      </c>
      <c r="C139" s="2">
        <v>3</v>
      </c>
      <c r="D139" s="2">
        <v>1</v>
      </c>
      <c r="E139" s="2">
        <v>1.518</v>
      </c>
      <c r="F139" s="2">
        <v>1</v>
      </c>
    </row>
    <row r="140" spans="1:6" ht="14.25" customHeight="1">
      <c r="A140" s="2">
        <v>46</v>
      </c>
      <c r="B140" s="2">
        <v>139</v>
      </c>
      <c r="C140" s="2">
        <v>5</v>
      </c>
      <c r="D140" s="2">
        <v>1</v>
      </c>
      <c r="E140" s="2">
        <v>1.0189999999999999</v>
      </c>
      <c r="F140" s="2">
        <v>2</v>
      </c>
    </row>
    <row r="141" spans="1:6" ht="14.25" customHeight="1">
      <c r="A141" s="2">
        <v>46</v>
      </c>
      <c r="B141" s="2">
        <v>140</v>
      </c>
      <c r="C141" s="2">
        <v>6</v>
      </c>
      <c r="D141" s="2">
        <v>0</v>
      </c>
      <c r="E141" s="2">
        <v>1.514</v>
      </c>
      <c r="F141" s="2">
        <v>1</v>
      </c>
    </row>
    <row r="142" spans="1:6" ht="14.25" customHeight="1">
      <c r="A142" s="2">
        <v>46</v>
      </c>
      <c r="B142" s="2">
        <v>141</v>
      </c>
      <c r="C142" s="2">
        <v>3</v>
      </c>
      <c r="D142" s="2">
        <v>1</v>
      </c>
      <c r="E142" s="2">
        <v>1.0489999999999999</v>
      </c>
      <c r="F142" s="2">
        <v>2</v>
      </c>
    </row>
    <row r="143" spans="1:6" ht="14.25" customHeight="1">
      <c r="A143" s="2">
        <v>46</v>
      </c>
      <c r="B143" s="2">
        <v>142</v>
      </c>
      <c r="C143" s="2">
        <v>6</v>
      </c>
      <c r="D143" s="2">
        <v>1</v>
      </c>
      <c r="E143" s="2">
        <v>0.76700000000000002</v>
      </c>
      <c r="F143" s="2">
        <v>2</v>
      </c>
    </row>
    <row r="144" spans="1:6" ht="14.25" customHeight="1">
      <c r="A144" s="2">
        <v>46</v>
      </c>
      <c r="B144" s="2">
        <v>143</v>
      </c>
      <c r="C144" s="2">
        <v>1</v>
      </c>
      <c r="D144" s="2">
        <v>1</v>
      </c>
      <c r="E144" s="2">
        <v>1.5529999999999999</v>
      </c>
      <c r="F144" s="2">
        <v>1</v>
      </c>
    </row>
    <row r="145" spans="1:6" ht="14.25" customHeight="1">
      <c r="A145" s="2">
        <v>46</v>
      </c>
      <c r="B145" s="2">
        <v>144</v>
      </c>
      <c r="C145" s="2">
        <v>6</v>
      </c>
      <c r="D145" s="2">
        <v>1</v>
      </c>
      <c r="E145" s="2">
        <v>0.7</v>
      </c>
      <c r="F145" s="2">
        <v>2</v>
      </c>
    </row>
    <row r="146" spans="1:6" ht="14.25" customHeight="1">
      <c r="A146" s="2">
        <v>46</v>
      </c>
      <c r="B146" s="2">
        <v>145</v>
      </c>
      <c r="C146" s="2">
        <v>8</v>
      </c>
      <c r="D146" s="2">
        <v>1</v>
      </c>
      <c r="E146" s="2">
        <v>0.91200000000000003</v>
      </c>
      <c r="F146" s="2">
        <v>1</v>
      </c>
    </row>
    <row r="147" spans="1:6" ht="14.25" customHeight="1">
      <c r="A147" s="2">
        <v>46</v>
      </c>
      <c r="B147" s="2">
        <v>146</v>
      </c>
      <c r="C147" s="2">
        <v>5</v>
      </c>
      <c r="D147" s="2">
        <v>1</v>
      </c>
      <c r="E147" s="2">
        <v>0.77800000000000002</v>
      </c>
      <c r="F147" s="2">
        <v>2</v>
      </c>
    </row>
    <row r="148" spans="1:6" ht="14.25" customHeight="1">
      <c r="A148" s="2">
        <v>46</v>
      </c>
      <c r="B148" s="2">
        <v>147</v>
      </c>
      <c r="C148" s="2">
        <v>7</v>
      </c>
      <c r="D148" s="2">
        <v>1</v>
      </c>
      <c r="E148" s="2">
        <v>0.78200000000000003</v>
      </c>
      <c r="F148" s="2">
        <v>1</v>
      </c>
    </row>
    <row r="149" spans="1:6" ht="14.25" customHeight="1">
      <c r="A149" s="2">
        <v>46</v>
      </c>
      <c r="B149" s="2">
        <v>148</v>
      </c>
      <c r="C149" s="2">
        <v>2</v>
      </c>
      <c r="D149" s="2">
        <v>0</v>
      </c>
      <c r="E149" s="2">
        <v>1.4910000000000001</v>
      </c>
      <c r="F149" s="2">
        <v>1</v>
      </c>
    </row>
    <row r="150" spans="1:6" ht="14.25" customHeight="1">
      <c r="A150" s="2">
        <v>46</v>
      </c>
      <c r="B150" s="2">
        <v>149</v>
      </c>
      <c r="C150" s="2">
        <v>3</v>
      </c>
      <c r="D150" s="2">
        <v>1</v>
      </c>
      <c r="E150" s="2">
        <v>1.1930000000000001</v>
      </c>
      <c r="F150" s="2">
        <v>1</v>
      </c>
    </row>
    <row r="151" spans="1:6" ht="14.25" customHeight="1">
      <c r="A151" s="2">
        <v>46</v>
      </c>
      <c r="B151" s="2">
        <v>150</v>
      </c>
      <c r="C151" s="2">
        <v>1</v>
      </c>
      <c r="D151" s="2">
        <v>1</v>
      </c>
      <c r="E151" s="2">
        <v>0.79500000000000004</v>
      </c>
      <c r="F151" s="2">
        <v>1</v>
      </c>
    </row>
    <row r="152" spans="1:6" ht="14.25" customHeight="1">
      <c r="A152" s="2">
        <v>46</v>
      </c>
      <c r="B152" s="2">
        <v>151</v>
      </c>
      <c r="C152" s="2">
        <v>7</v>
      </c>
      <c r="E152" s="2">
        <v>2</v>
      </c>
    </row>
    <row r="153" spans="1:6" ht="14.25" customHeight="1">
      <c r="A153" s="2">
        <v>46</v>
      </c>
      <c r="B153" s="2">
        <v>152</v>
      </c>
      <c r="C153" s="2">
        <v>1</v>
      </c>
      <c r="E153" s="2">
        <v>2</v>
      </c>
    </row>
    <row r="154" spans="1:6" ht="14.25" customHeight="1">
      <c r="A154" s="2">
        <v>46</v>
      </c>
      <c r="B154" s="2">
        <v>153</v>
      </c>
      <c r="C154" s="2">
        <v>3</v>
      </c>
      <c r="D154" s="2">
        <v>1</v>
      </c>
      <c r="E154" s="2">
        <v>1.446</v>
      </c>
      <c r="F154" s="2">
        <v>2</v>
      </c>
    </row>
    <row r="155" spans="1:6" ht="14.25" customHeight="1">
      <c r="A155" s="2">
        <v>46</v>
      </c>
      <c r="B155" s="2">
        <v>154</v>
      </c>
      <c r="C155" s="2">
        <v>5</v>
      </c>
      <c r="E155" s="2">
        <v>2</v>
      </c>
    </row>
    <row r="156" spans="1:6" ht="14.25" customHeight="1">
      <c r="A156" s="2">
        <v>46</v>
      </c>
      <c r="B156" s="2">
        <v>155</v>
      </c>
      <c r="C156" s="2">
        <v>8</v>
      </c>
      <c r="E156" s="2">
        <v>2</v>
      </c>
    </row>
    <row r="157" spans="1:6" ht="14.25" customHeight="1">
      <c r="A157" s="2">
        <v>46</v>
      </c>
      <c r="B157" s="2">
        <v>156</v>
      </c>
      <c r="C157" s="2">
        <v>2</v>
      </c>
      <c r="E157" s="2">
        <v>2</v>
      </c>
    </row>
    <row r="158" spans="1:6" ht="14.25" customHeight="1">
      <c r="A158" s="2">
        <v>46</v>
      </c>
      <c r="B158" s="2">
        <v>157</v>
      </c>
      <c r="C158" s="2">
        <v>1</v>
      </c>
      <c r="E158" s="2">
        <v>2</v>
      </c>
    </row>
    <row r="159" spans="1:6" ht="14.25" customHeight="1">
      <c r="A159" s="2">
        <v>46</v>
      </c>
      <c r="B159" s="2">
        <v>158</v>
      </c>
      <c r="C159" s="2">
        <v>4</v>
      </c>
      <c r="D159" s="2">
        <v>1</v>
      </c>
      <c r="E159" s="2">
        <v>0.94299999999999995</v>
      </c>
      <c r="F159" s="2">
        <v>2</v>
      </c>
    </row>
    <row r="160" spans="1:6" ht="14.25" customHeight="1">
      <c r="A160" s="2">
        <v>46</v>
      </c>
      <c r="B160" s="2">
        <v>159</v>
      </c>
      <c r="C160" s="2">
        <v>7</v>
      </c>
      <c r="D160" s="2">
        <v>0</v>
      </c>
      <c r="E160" s="2">
        <v>1.371</v>
      </c>
      <c r="F160" s="2">
        <v>2</v>
      </c>
    </row>
    <row r="161" spans="1:6" ht="14.25" customHeight="1">
      <c r="A161" s="2">
        <v>46</v>
      </c>
      <c r="B161" s="2">
        <v>160</v>
      </c>
      <c r="C161" s="2">
        <v>1</v>
      </c>
      <c r="E161" s="2">
        <v>2</v>
      </c>
    </row>
    <row r="162" spans="1:6" ht="14.25" customHeight="1">
      <c r="A162" s="2">
        <v>46</v>
      </c>
      <c r="B162" s="2">
        <v>161</v>
      </c>
      <c r="C162" s="2">
        <v>3</v>
      </c>
      <c r="D162" s="2">
        <v>1</v>
      </c>
      <c r="E162" s="2">
        <v>1.7749999999999999</v>
      </c>
      <c r="F162" s="2">
        <v>2</v>
      </c>
    </row>
    <row r="163" spans="1:6" ht="14.25" customHeight="1">
      <c r="A163" s="2">
        <v>46</v>
      </c>
      <c r="B163" s="2">
        <v>162</v>
      </c>
      <c r="C163" s="2">
        <v>8</v>
      </c>
      <c r="E163" s="2">
        <v>2</v>
      </c>
    </row>
    <row r="164" spans="1:6" ht="14.25" customHeight="1">
      <c r="A164" s="2">
        <v>46</v>
      </c>
      <c r="B164" s="2">
        <v>163</v>
      </c>
      <c r="C164" s="2">
        <v>5</v>
      </c>
      <c r="D164" s="2">
        <v>0</v>
      </c>
      <c r="E164" s="2">
        <v>1.8380000000000001</v>
      </c>
      <c r="F164" s="2">
        <v>2</v>
      </c>
    </row>
    <row r="165" spans="1:6" ht="14.25" customHeight="1">
      <c r="A165" s="2">
        <v>46</v>
      </c>
      <c r="B165" s="2">
        <v>164</v>
      </c>
      <c r="C165" s="2">
        <v>7</v>
      </c>
      <c r="E165" s="2">
        <v>2</v>
      </c>
    </row>
    <row r="166" spans="1:6" ht="14.25" customHeight="1">
      <c r="A166" s="2">
        <v>46</v>
      </c>
      <c r="B166" s="2">
        <v>165</v>
      </c>
      <c r="C166" s="2">
        <v>4</v>
      </c>
      <c r="D166" s="2">
        <v>1</v>
      </c>
      <c r="E166" s="2">
        <v>1.3080000000000001</v>
      </c>
      <c r="F166" s="2">
        <v>2</v>
      </c>
    </row>
    <row r="167" spans="1:6" ht="14.25" customHeight="1">
      <c r="A167" s="2">
        <v>46</v>
      </c>
      <c r="B167" s="2">
        <v>166</v>
      </c>
      <c r="C167" s="2">
        <v>8</v>
      </c>
      <c r="E167" s="2">
        <v>2</v>
      </c>
    </row>
    <row r="168" spans="1:6" ht="14.25" customHeight="1">
      <c r="A168" s="2">
        <v>46</v>
      </c>
      <c r="B168" s="2">
        <v>167</v>
      </c>
      <c r="C168" s="2">
        <v>4</v>
      </c>
      <c r="D168" s="2">
        <v>1</v>
      </c>
      <c r="E168" s="2">
        <v>1.3759999999999999</v>
      </c>
      <c r="F168" s="2">
        <v>2</v>
      </c>
    </row>
    <row r="169" spans="1:6" ht="14.25" customHeight="1">
      <c r="A169" s="2">
        <v>46</v>
      </c>
      <c r="B169" s="2">
        <v>168</v>
      </c>
      <c r="C169" s="2">
        <v>1</v>
      </c>
      <c r="E169" s="2">
        <v>2</v>
      </c>
    </row>
    <row r="170" spans="1:6" ht="14.25" customHeight="1">
      <c r="A170" s="2">
        <v>46</v>
      </c>
      <c r="B170" s="2">
        <v>169</v>
      </c>
      <c r="C170" s="2">
        <v>6</v>
      </c>
      <c r="D170" s="2">
        <v>1</v>
      </c>
      <c r="E170" s="2">
        <v>1.0640000000000001</v>
      </c>
      <c r="F170" s="2">
        <v>2</v>
      </c>
    </row>
    <row r="171" spans="1:6" ht="14.25" customHeight="1">
      <c r="A171" s="2">
        <v>46</v>
      </c>
      <c r="B171" s="2">
        <v>170</v>
      </c>
      <c r="C171" s="2">
        <v>5</v>
      </c>
      <c r="E171" s="2">
        <v>2</v>
      </c>
    </row>
    <row r="172" spans="1:6" ht="14.25" customHeight="1">
      <c r="A172" s="2">
        <v>46</v>
      </c>
      <c r="B172" s="2">
        <v>171</v>
      </c>
      <c r="C172" s="2">
        <v>8</v>
      </c>
      <c r="D172" s="2">
        <v>1</v>
      </c>
      <c r="E172" s="2">
        <v>1.0740000000000001</v>
      </c>
      <c r="F172" s="2">
        <v>2</v>
      </c>
    </row>
    <row r="173" spans="1:6" ht="14.25" customHeight="1">
      <c r="A173" s="2">
        <v>46</v>
      </c>
      <c r="B173" s="2">
        <v>172</v>
      </c>
      <c r="C173" s="2">
        <v>5</v>
      </c>
      <c r="E173" s="2">
        <v>2</v>
      </c>
    </row>
    <row r="174" spans="1:6" ht="14.25" customHeight="1">
      <c r="A174" s="2">
        <v>46</v>
      </c>
      <c r="B174" s="2">
        <v>173</v>
      </c>
      <c r="C174" s="2">
        <v>4</v>
      </c>
      <c r="D174" s="2">
        <v>1</v>
      </c>
      <c r="E174" s="2">
        <v>0.81499999999999995</v>
      </c>
      <c r="F174" s="2">
        <v>2</v>
      </c>
    </row>
    <row r="175" spans="1:6" ht="14.25" customHeight="1">
      <c r="A175" s="2">
        <v>46</v>
      </c>
      <c r="B175" s="2">
        <v>174</v>
      </c>
      <c r="C175" s="2">
        <v>6</v>
      </c>
      <c r="E175" s="2">
        <v>2</v>
      </c>
    </row>
    <row r="176" spans="1:6" ht="14.25" customHeight="1">
      <c r="A176" s="2">
        <v>46</v>
      </c>
      <c r="B176" s="2">
        <v>175</v>
      </c>
      <c r="C176" s="2">
        <v>3</v>
      </c>
      <c r="E176" s="2">
        <v>2</v>
      </c>
    </row>
    <row r="177" spans="1:6" ht="14.25" customHeight="1">
      <c r="A177" s="2">
        <v>46</v>
      </c>
      <c r="B177" s="2">
        <v>176</v>
      </c>
      <c r="C177" s="2">
        <v>4</v>
      </c>
      <c r="D177" s="2">
        <v>1</v>
      </c>
      <c r="E177" s="2">
        <v>0.82099999999999995</v>
      </c>
      <c r="F177" s="2">
        <v>2</v>
      </c>
    </row>
    <row r="178" spans="1:6" ht="14.25" customHeight="1">
      <c r="A178" s="2">
        <v>46</v>
      </c>
      <c r="B178" s="2">
        <v>177</v>
      </c>
      <c r="C178" s="2">
        <v>8</v>
      </c>
      <c r="E178" s="2">
        <v>2.0009999999999999</v>
      </c>
    </row>
    <row r="179" spans="1:6" ht="14.25" customHeight="1">
      <c r="A179" s="2">
        <v>46</v>
      </c>
      <c r="B179" s="2">
        <v>178</v>
      </c>
      <c r="C179" s="2">
        <v>4</v>
      </c>
      <c r="D179" s="2">
        <v>1</v>
      </c>
      <c r="E179" s="2">
        <v>1.474</v>
      </c>
      <c r="F179" s="2">
        <v>2</v>
      </c>
    </row>
    <row r="180" spans="1:6" ht="14.25" customHeight="1">
      <c r="A180" s="2">
        <v>46</v>
      </c>
      <c r="B180" s="2">
        <v>179</v>
      </c>
      <c r="C180" s="2">
        <v>2</v>
      </c>
      <c r="D180" s="2">
        <v>0</v>
      </c>
      <c r="E180" s="2">
        <v>0.94499999999999995</v>
      </c>
      <c r="F180" s="2">
        <v>2</v>
      </c>
    </row>
    <row r="181" spans="1:6" ht="14.25" customHeight="1">
      <c r="A181" s="2">
        <v>46</v>
      </c>
      <c r="B181" s="2">
        <v>180</v>
      </c>
      <c r="C181" s="2">
        <v>8</v>
      </c>
      <c r="D181" s="2">
        <v>1</v>
      </c>
      <c r="E181" s="2">
        <v>1.466</v>
      </c>
      <c r="F181" s="2">
        <v>2</v>
      </c>
    </row>
    <row r="182" spans="1:6" ht="14.25" customHeight="1">
      <c r="A182" s="2">
        <v>46</v>
      </c>
      <c r="B182" s="2">
        <v>181</v>
      </c>
      <c r="C182" s="2">
        <v>5</v>
      </c>
      <c r="E182" s="2">
        <v>2</v>
      </c>
    </row>
    <row r="183" spans="1:6" ht="14.25" customHeight="1">
      <c r="A183" s="2">
        <v>46</v>
      </c>
      <c r="B183" s="2">
        <v>182</v>
      </c>
      <c r="C183" s="2">
        <v>1</v>
      </c>
      <c r="D183" s="2">
        <v>0</v>
      </c>
      <c r="E183" s="2">
        <v>1.125</v>
      </c>
      <c r="F183" s="2">
        <v>2</v>
      </c>
    </row>
    <row r="184" spans="1:6" ht="14.25" customHeight="1">
      <c r="A184" s="2">
        <v>46</v>
      </c>
      <c r="B184" s="2">
        <v>183</v>
      </c>
      <c r="C184" s="2">
        <v>3</v>
      </c>
      <c r="E184" s="2">
        <v>2</v>
      </c>
    </row>
    <row r="185" spans="1:6" ht="14.25" customHeight="1">
      <c r="A185" s="2">
        <v>46</v>
      </c>
      <c r="B185" s="2">
        <v>184</v>
      </c>
      <c r="C185" s="2">
        <v>7</v>
      </c>
      <c r="D185" s="2">
        <v>0</v>
      </c>
      <c r="E185" s="2">
        <v>1.0349999999999999</v>
      </c>
      <c r="F185" s="2">
        <v>2</v>
      </c>
    </row>
    <row r="186" spans="1:6" ht="14.25" customHeight="1">
      <c r="A186" s="2">
        <v>46</v>
      </c>
      <c r="B186" s="2">
        <v>185</v>
      </c>
      <c r="C186" s="2">
        <v>8</v>
      </c>
      <c r="E186" s="2">
        <v>2</v>
      </c>
    </row>
    <row r="187" spans="1:6" ht="14.25" customHeight="1">
      <c r="A187" s="2">
        <v>46</v>
      </c>
      <c r="B187" s="2">
        <v>186</v>
      </c>
      <c r="C187" s="2">
        <v>3</v>
      </c>
      <c r="D187" s="2">
        <v>1</v>
      </c>
      <c r="E187" s="2">
        <v>1.603</v>
      </c>
      <c r="F187" s="2">
        <v>2</v>
      </c>
    </row>
    <row r="188" spans="1:6" ht="14.25" customHeight="1">
      <c r="A188" s="2">
        <v>46</v>
      </c>
      <c r="B188" s="2">
        <v>187</v>
      </c>
      <c r="C188" s="2">
        <v>6</v>
      </c>
      <c r="D188" s="2">
        <v>0</v>
      </c>
      <c r="E188" s="2">
        <v>1.5840000000000001</v>
      </c>
      <c r="F188" s="2">
        <v>2</v>
      </c>
    </row>
    <row r="189" spans="1:6" ht="14.25" customHeight="1">
      <c r="A189" s="2">
        <v>46</v>
      </c>
      <c r="B189" s="2">
        <v>188</v>
      </c>
      <c r="C189" s="2">
        <v>5</v>
      </c>
      <c r="D189" s="2">
        <v>0</v>
      </c>
      <c r="E189" s="2">
        <v>1.839</v>
      </c>
      <c r="F189" s="2">
        <v>2</v>
      </c>
    </row>
    <row r="190" spans="1:6" ht="14.25" customHeight="1">
      <c r="A190" s="2">
        <v>46</v>
      </c>
      <c r="B190" s="2">
        <v>189</v>
      </c>
      <c r="C190" s="2">
        <v>2</v>
      </c>
      <c r="D190" s="2">
        <v>1</v>
      </c>
      <c r="E190" s="2">
        <v>1.177</v>
      </c>
      <c r="F190" s="2">
        <v>2</v>
      </c>
    </row>
    <row r="191" spans="1:6" ht="14.25" customHeight="1">
      <c r="A191" s="2">
        <v>46</v>
      </c>
      <c r="B191" s="2">
        <v>190</v>
      </c>
      <c r="C191" s="2">
        <v>3</v>
      </c>
      <c r="D191" s="2">
        <v>1</v>
      </c>
      <c r="E191" s="2">
        <v>1.762</v>
      </c>
      <c r="F191" s="2">
        <v>2</v>
      </c>
    </row>
    <row r="192" spans="1:6" ht="14.25" customHeight="1">
      <c r="A192" s="2">
        <v>46</v>
      </c>
      <c r="B192" s="2">
        <v>191</v>
      </c>
      <c r="C192" s="2">
        <v>6</v>
      </c>
      <c r="D192" s="2">
        <v>1</v>
      </c>
      <c r="E192" s="2">
        <v>1.8380000000000001</v>
      </c>
      <c r="F192" s="2">
        <v>2</v>
      </c>
    </row>
    <row r="193" spans="1:6" ht="14.25" customHeight="1">
      <c r="A193" s="2">
        <v>46</v>
      </c>
      <c r="B193" s="2">
        <v>192</v>
      </c>
      <c r="C193" s="2">
        <v>2</v>
      </c>
      <c r="D193" s="2">
        <v>1</v>
      </c>
      <c r="E193" s="2">
        <v>1.1719999999999999</v>
      </c>
      <c r="F193" s="2">
        <v>2</v>
      </c>
    </row>
    <row r="194" spans="1:6" ht="14.25" customHeight="1">
      <c r="A194" s="2">
        <v>46</v>
      </c>
      <c r="B194" s="2">
        <v>193</v>
      </c>
      <c r="C194" s="2">
        <v>1</v>
      </c>
      <c r="E194" s="2">
        <v>2</v>
      </c>
    </row>
    <row r="195" spans="1:6" ht="14.25" customHeight="1">
      <c r="A195" s="2">
        <v>46</v>
      </c>
      <c r="B195" s="2">
        <v>194</v>
      </c>
      <c r="C195" s="2">
        <v>6</v>
      </c>
      <c r="D195" s="2">
        <v>1</v>
      </c>
      <c r="E195" s="2">
        <v>1.018</v>
      </c>
      <c r="F195" s="2">
        <v>2</v>
      </c>
    </row>
    <row r="196" spans="1:6" ht="14.25" customHeight="1">
      <c r="A196" s="2">
        <v>46</v>
      </c>
      <c r="B196" s="2">
        <v>195</v>
      </c>
      <c r="C196" s="2">
        <v>2</v>
      </c>
      <c r="E196" s="2">
        <v>2</v>
      </c>
    </row>
    <row r="197" spans="1:6" ht="14.25" customHeight="1">
      <c r="A197" s="2">
        <v>46</v>
      </c>
      <c r="B197" s="2">
        <v>196</v>
      </c>
      <c r="C197" s="2">
        <v>7</v>
      </c>
      <c r="D197" s="2">
        <v>1</v>
      </c>
      <c r="E197" s="2">
        <v>0.73599999999999999</v>
      </c>
      <c r="F197" s="2">
        <v>2</v>
      </c>
    </row>
    <row r="198" spans="1:6" ht="14.25" customHeight="1">
      <c r="A198" s="2">
        <v>46</v>
      </c>
      <c r="B198" s="2">
        <v>197</v>
      </c>
      <c r="C198" s="2">
        <v>2</v>
      </c>
      <c r="D198" s="2">
        <v>0</v>
      </c>
      <c r="E198" s="2">
        <v>1.3520000000000001</v>
      </c>
      <c r="F198" s="2">
        <v>2</v>
      </c>
    </row>
    <row r="199" spans="1:6" ht="14.25" customHeight="1">
      <c r="A199" s="2">
        <v>46</v>
      </c>
      <c r="B199" s="2">
        <v>198</v>
      </c>
      <c r="C199" s="2">
        <v>6</v>
      </c>
      <c r="D199" s="2">
        <v>1</v>
      </c>
      <c r="E199" s="2">
        <v>1.429</v>
      </c>
      <c r="F199" s="2">
        <v>2</v>
      </c>
    </row>
    <row r="200" spans="1:6" ht="14.25" customHeight="1">
      <c r="A200" s="2">
        <v>46</v>
      </c>
      <c r="B200" s="2">
        <v>199</v>
      </c>
      <c r="C200" s="2">
        <v>1</v>
      </c>
      <c r="D200" s="2">
        <v>0</v>
      </c>
      <c r="E200" s="2">
        <v>1.46</v>
      </c>
      <c r="F200" s="2">
        <v>2</v>
      </c>
    </row>
    <row r="201" spans="1:6" ht="14.25" customHeight="1">
      <c r="A201" s="2">
        <v>46</v>
      </c>
      <c r="B201" s="2">
        <v>200</v>
      </c>
      <c r="C201" s="2">
        <v>7</v>
      </c>
      <c r="E201" s="2">
        <v>2</v>
      </c>
    </row>
    <row r="202" spans="1:6" ht="14.25" customHeight="1">
      <c r="A202" s="2">
        <v>46</v>
      </c>
      <c r="B202" s="2">
        <v>201</v>
      </c>
      <c r="C202" s="2">
        <v>5</v>
      </c>
      <c r="D202" s="2">
        <v>1</v>
      </c>
      <c r="E202" s="2">
        <v>1.5469999999999999</v>
      </c>
      <c r="F202" s="2">
        <v>1</v>
      </c>
    </row>
    <row r="203" spans="1:6" ht="14.25" customHeight="1">
      <c r="A203" s="2">
        <v>46</v>
      </c>
      <c r="B203" s="2">
        <v>202</v>
      </c>
      <c r="C203" s="2">
        <v>6</v>
      </c>
      <c r="D203" s="2">
        <v>0</v>
      </c>
      <c r="E203" s="2">
        <v>1.2350000000000001</v>
      </c>
      <c r="F203" s="2">
        <v>1</v>
      </c>
    </row>
    <row r="204" spans="1:6" ht="14.25" customHeight="1">
      <c r="A204" s="2">
        <v>46</v>
      </c>
      <c r="B204" s="2">
        <v>203</v>
      </c>
      <c r="C204" s="2">
        <v>3</v>
      </c>
      <c r="D204" s="2">
        <v>1</v>
      </c>
      <c r="E204" s="2">
        <v>1.145</v>
      </c>
      <c r="F204" s="2">
        <v>2</v>
      </c>
    </row>
    <row r="205" spans="1:6" ht="14.25" customHeight="1">
      <c r="A205" s="2">
        <v>46</v>
      </c>
      <c r="B205" s="2">
        <v>204</v>
      </c>
      <c r="C205" s="2">
        <v>8</v>
      </c>
      <c r="D205" s="2">
        <v>1</v>
      </c>
      <c r="E205" s="2">
        <v>1.4370000000000001</v>
      </c>
      <c r="F205" s="2">
        <v>1</v>
      </c>
    </row>
    <row r="206" spans="1:6" ht="14.25" customHeight="1">
      <c r="A206" s="2">
        <v>46</v>
      </c>
      <c r="B206" s="2">
        <v>205</v>
      </c>
      <c r="C206" s="2">
        <v>2</v>
      </c>
      <c r="D206" s="2">
        <v>0</v>
      </c>
      <c r="E206" s="2">
        <v>1.115</v>
      </c>
      <c r="F206" s="2">
        <v>2</v>
      </c>
    </row>
    <row r="207" spans="1:6" ht="14.25" customHeight="1">
      <c r="A207" s="2">
        <v>46</v>
      </c>
      <c r="B207" s="2">
        <v>206</v>
      </c>
      <c r="C207" s="2">
        <v>4</v>
      </c>
      <c r="D207" s="2">
        <v>1</v>
      </c>
      <c r="E207" s="2">
        <v>1.649</v>
      </c>
      <c r="F207" s="2">
        <v>2</v>
      </c>
    </row>
    <row r="208" spans="1:6" ht="14.25" customHeight="1">
      <c r="A208" s="2">
        <v>46</v>
      </c>
      <c r="B208" s="2">
        <v>207</v>
      </c>
      <c r="C208" s="2">
        <v>8</v>
      </c>
      <c r="D208" s="2">
        <v>1</v>
      </c>
      <c r="E208" s="2">
        <v>1.0109999999999999</v>
      </c>
      <c r="F208" s="2">
        <v>1</v>
      </c>
    </row>
    <row r="209" spans="1:6" ht="14.25" customHeight="1">
      <c r="A209" s="2">
        <v>46</v>
      </c>
      <c r="B209" s="2">
        <v>208</v>
      </c>
      <c r="C209" s="2">
        <v>6</v>
      </c>
      <c r="D209" s="2">
        <v>1</v>
      </c>
      <c r="E209" s="2">
        <v>1.107</v>
      </c>
      <c r="F209" s="2">
        <v>2</v>
      </c>
    </row>
    <row r="210" spans="1:6" ht="14.25" customHeight="1">
      <c r="A210" s="2">
        <v>46</v>
      </c>
      <c r="B210" s="2">
        <v>209</v>
      </c>
      <c r="C210" s="2">
        <v>7</v>
      </c>
      <c r="D210" s="2">
        <v>1</v>
      </c>
      <c r="E210" s="2">
        <v>1.3120000000000001</v>
      </c>
      <c r="F210" s="2">
        <v>1</v>
      </c>
    </row>
    <row r="211" spans="1:6" ht="14.25" customHeight="1">
      <c r="A211" s="2">
        <v>46</v>
      </c>
      <c r="B211" s="2">
        <v>210</v>
      </c>
      <c r="C211" s="2">
        <v>1</v>
      </c>
      <c r="D211" s="2">
        <v>0</v>
      </c>
      <c r="E211" s="2">
        <v>1.534</v>
      </c>
      <c r="F211" s="2">
        <v>1</v>
      </c>
    </row>
    <row r="212" spans="1:6" ht="14.25" customHeight="1">
      <c r="A212" s="2">
        <v>46</v>
      </c>
      <c r="B212" s="2">
        <v>211</v>
      </c>
      <c r="C212" s="2">
        <v>4</v>
      </c>
      <c r="D212" s="2">
        <v>1</v>
      </c>
      <c r="E212" s="2">
        <v>1.456</v>
      </c>
      <c r="F212" s="2">
        <v>2</v>
      </c>
    </row>
    <row r="213" spans="1:6" ht="14.25" customHeight="1">
      <c r="A213" s="2">
        <v>46</v>
      </c>
      <c r="B213" s="2">
        <v>212</v>
      </c>
      <c r="C213" s="2">
        <v>3</v>
      </c>
      <c r="D213" s="2">
        <v>1</v>
      </c>
      <c r="E213" s="2">
        <v>1.379</v>
      </c>
      <c r="F213" s="2">
        <v>1</v>
      </c>
    </row>
    <row r="214" spans="1:6" ht="14.25" customHeight="1">
      <c r="A214" s="2">
        <v>46</v>
      </c>
      <c r="B214" s="2">
        <v>213</v>
      </c>
      <c r="C214" s="2">
        <v>8</v>
      </c>
      <c r="D214" s="2">
        <v>1</v>
      </c>
      <c r="E214" s="2">
        <v>1.1459999999999999</v>
      </c>
      <c r="F214" s="2">
        <v>1</v>
      </c>
    </row>
    <row r="215" spans="1:6" ht="14.25" customHeight="1">
      <c r="A215" s="2">
        <v>46</v>
      </c>
      <c r="B215" s="2">
        <v>214</v>
      </c>
      <c r="C215" s="2">
        <v>7</v>
      </c>
      <c r="D215" s="2">
        <v>1</v>
      </c>
      <c r="E215" s="2">
        <v>1.284</v>
      </c>
      <c r="F215" s="2">
        <v>1</v>
      </c>
    </row>
    <row r="216" spans="1:6" ht="14.25" customHeight="1">
      <c r="A216" s="2">
        <v>46</v>
      </c>
      <c r="B216" s="2">
        <v>215</v>
      </c>
      <c r="C216" s="2">
        <v>6</v>
      </c>
      <c r="D216" s="2">
        <v>1</v>
      </c>
      <c r="E216" s="2">
        <v>0.83599999999999997</v>
      </c>
      <c r="F216" s="2">
        <v>2</v>
      </c>
    </row>
    <row r="217" spans="1:6" ht="14.25" customHeight="1">
      <c r="A217" s="2">
        <v>46</v>
      </c>
      <c r="B217" s="2">
        <v>216</v>
      </c>
      <c r="C217" s="2">
        <v>4</v>
      </c>
      <c r="D217" s="2">
        <v>1</v>
      </c>
      <c r="E217" s="2">
        <v>1.218</v>
      </c>
      <c r="F217" s="2">
        <v>1</v>
      </c>
    </row>
    <row r="218" spans="1:6" ht="14.25" customHeight="1">
      <c r="A218" s="2">
        <v>46</v>
      </c>
      <c r="B218" s="2">
        <v>217</v>
      </c>
      <c r="C218" s="2">
        <v>7</v>
      </c>
      <c r="D218" s="2">
        <v>1</v>
      </c>
      <c r="E218" s="2">
        <v>0.70399999999999996</v>
      </c>
      <c r="F218" s="2">
        <v>2</v>
      </c>
    </row>
    <row r="219" spans="1:6" ht="14.25" customHeight="1">
      <c r="A219" s="2">
        <v>46</v>
      </c>
      <c r="B219" s="2">
        <v>218</v>
      </c>
      <c r="C219" s="2">
        <v>8</v>
      </c>
      <c r="D219" s="2">
        <v>1</v>
      </c>
      <c r="E219" s="2">
        <v>1.42</v>
      </c>
      <c r="F219" s="2">
        <v>1</v>
      </c>
    </row>
    <row r="220" spans="1:6" ht="14.25" customHeight="1">
      <c r="A220" s="2">
        <v>46</v>
      </c>
      <c r="B220" s="2">
        <v>219</v>
      </c>
      <c r="C220" s="2">
        <v>4</v>
      </c>
      <c r="D220" s="2">
        <v>1</v>
      </c>
      <c r="E220" s="2">
        <v>0.76200000000000001</v>
      </c>
      <c r="F220" s="2">
        <v>2</v>
      </c>
    </row>
    <row r="221" spans="1:6" ht="14.25" customHeight="1">
      <c r="A221" s="2">
        <v>46</v>
      </c>
      <c r="B221" s="2">
        <v>220</v>
      </c>
      <c r="C221" s="2">
        <v>3</v>
      </c>
      <c r="D221" s="2">
        <v>1</v>
      </c>
      <c r="E221" s="2">
        <v>1.694</v>
      </c>
      <c r="F221" s="2">
        <v>2</v>
      </c>
    </row>
    <row r="222" spans="1:6" ht="14.25" customHeight="1">
      <c r="A222" s="2">
        <v>46</v>
      </c>
      <c r="B222" s="2">
        <v>221</v>
      </c>
      <c r="C222" s="2">
        <v>5</v>
      </c>
      <c r="D222" s="2">
        <v>1</v>
      </c>
      <c r="E222" s="2">
        <v>0.70499999999999996</v>
      </c>
      <c r="F222" s="2">
        <v>2</v>
      </c>
    </row>
    <row r="223" spans="1:6" ht="14.25" customHeight="1">
      <c r="A223" s="2">
        <v>46</v>
      </c>
      <c r="B223" s="2">
        <v>222</v>
      </c>
      <c r="C223" s="2">
        <v>1</v>
      </c>
      <c r="D223" s="2">
        <v>1</v>
      </c>
      <c r="E223" s="2">
        <v>1.1890000000000001</v>
      </c>
      <c r="F223" s="2">
        <v>1</v>
      </c>
    </row>
    <row r="224" spans="1:6" ht="14.25" customHeight="1">
      <c r="A224" s="2">
        <v>46</v>
      </c>
      <c r="B224" s="2">
        <v>223</v>
      </c>
      <c r="C224" s="2">
        <v>7</v>
      </c>
      <c r="D224" s="2">
        <v>1</v>
      </c>
      <c r="E224" s="2">
        <v>0.66300000000000003</v>
      </c>
      <c r="F224" s="2">
        <v>2</v>
      </c>
    </row>
    <row r="225" spans="1:6" ht="14.25" customHeight="1">
      <c r="A225" s="2">
        <v>46</v>
      </c>
      <c r="B225" s="2">
        <v>224</v>
      </c>
      <c r="C225" s="2">
        <v>1</v>
      </c>
      <c r="D225" s="2">
        <v>1</v>
      </c>
      <c r="E225" s="2">
        <v>0.85499999999999998</v>
      </c>
      <c r="F225" s="2">
        <v>1</v>
      </c>
    </row>
    <row r="226" spans="1:6" ht="14.25" customHeight="1">
      <c r="A226" s="2">
        <v>46</v>
      </c>
      <c r="B226" s="2">
        <v>225</v>
      </c>
      <c r="C226" s="2">
        <v>7</v>
      </c>
      <c r="D226" s="2">
        <v>0</v>
      </c>
      <c r="E226" s="2">
        <v>1.6739999999999999</v>
      </c>
      <c r="F226" s="2">
        <v>2</v>
      </c>
    </row>
    <row r="227" spans="1:6" ht="14.25" customHeight="1">
      <c r="A227" s="2">
        <v>46</v>
      </c>
      <c r="B227" s="2">
        <v>226</v>
      </c>
      <c r="C227" s="2">
        <v>8</v>
      </c>
      <c r="D227" s="2">
        <v>1</v>
      </c>
      <c r="E227" s="2">
        <v>0.85499999999999998</v>
      </c>
      <c r="F227" s="2">
        <v>2</v>
      </c>
    </row>
    <row r="228" spans="1:6" ht="14.25" customHeight="1">
      <c r="A228" s="2">
        <v>46</v>
      </c>
      <c r="B228" s="2">
        <v>227</v>
      </c>
      <c r="C228" s="2">
        <v>3</v>
      </c>
      <c r="D228" s="2">
        <v>1</v>
      </c>
      <c r="E228" s="2">
        <v>1.4379999999999999</v>
      </c>
      <c r="F228" s="2">
        <v>1</v>
      </c>
    </row>
    <row r="229" spans="1:6" ht="14.25" customHeight="1">
      <c r="A229" s="2">
        <v>46</v>
      </c>
      <c r="B229" s="2">
        <v>228</v>
      </c>
      <c r="C229" s="2">
        <v>1</v>
      </c>
      <c r="D229" s="2">
        <v>0</v>
      </c>
      <c r="E229" s="2">
        <v>1.3049999999999999</v>
      </c>
      <c r="F229" s="2">
        <v>1</v>
      </c>
    </row>
    <row r="230" spans="1:6" ht="14.25" customHeight="1">
      <c r="A230" s="2">
        <v>46</v>
      </c>
      <c r="B230" s="2">
        <v>229</v>
      </c>
      <c r="C230" s="2">
        <v>6</v>
      </c>
      <c r="D230" s="2">
        <v>1</v>
      </c>
      <c r="E230" s="2">
        <v>1.8109999999999999</v>
      </c>
      <c r="F230" s="2">
        <v>1</v>
      </c>
    </row>
    <row r="231" spans="1:6" ht="14.25" customHeight="1">
      <c r="A231" s="2">
        <v>46</v>
      </c>
      <c r="B231" s="2">
        <v>230</v>
      </c>
      <c r="C231" s="2">
        <v>8</v>
      </c>
      <c r="D231" s="2">
        <v>1</v>
      </c>
      <c r="E231" s="2">
        <v>1.621</v>
      </c>
      <c r="F231" s="2">
        <v>2</v>
      </c>
    </row>
    <row r="232" spans="1:6" ht="14.25" customHeight="1">
      <c r="A232" s="2">
        <v>46</v>
      </c>
      <c r="B232" s="2">
        <v>231</v>
      </c>
      <c r="C232" s="2">
        <v>5</v>
      </c>
      <c r="D232" s="2">
        <v>1</v>
      </c>
      <c r="E232" s="2">
        <v>1.4590000000000001</v>
      </c>
      <c r="F232" s="2">
        <v>2</v>
      </c>
    </row>
    <row r="233" spans="1:6" ht="14.25" customHeight="1">
      <c r="A233" s="2">
        <v>46</v>
      </c>
      <c r="B233" s="2">
        <v>232</v>
      </c>
      <c r="C233" s="2">
        <v>6</v>
      </c>
      <c r="D233" s="2">
        <v>1</v>
      </c>
      <c r="E233" s="2">
        <v>0.79400000000000004</v>
      </c>
      <c r="F233" s="2">
        <v>1</v>
      </c>
    </row>
    <row r="234" spans="1:6" ht="14.25" customHeight="1">
      <c r="A234" s="2">
        <v>46</v>
      </c>
      <c r="B234" s="2">
        <v>233</v>
      </c>
      <c r="C234" s="2">
        <v>4</v>
      </c>
      <c r="D234" s="2">
        <v>1</v>
      </c>
      <c r="E234" s="2">
        <v>1.095</v>
      </c>
      <c r="F234" s="2">
        <v>2</v>
      </c>
    </row>
    <row r="235" spans="1:6" ht="14.25" customHeight="1">
      <c r="A235" s="2">
        <v>46</v>
      </c>
      <c r="B235" s="2">
        <v>234</v>
      </c>
      <c r="C235" s="2">
        <v>3</v>
      </c>
      <c r="D235" s="2">
        <v>1</v>
      </c>
      <c r="E235" s="2">
        <v>1.0429999999999999</v>
      </c>
      <c r="F235" s="2">
        <v>1</v>
      </c>
    </row>
    <row r="236" spans="1:6" ht="14.25" customHeight="1">
      <c r="A236" s="2">
        <v>46</v>
      </c>
      <c r="B236" s="2">
        <v>235</v>
      </c>
      <c r="C236" s="2">
        <v>5</v>
      </c>
      <c r="D236" s="2">
        <v>1</v>
      </c>
      <c r="E236" s="2">
        <v>1.131</v>
      </c>
      <c r="F236" s="2">
        <v>1</v>
      </c>
    </row>
    <row r="237" spans="1:6" ht="14.25" customHeight="1">
      <c r="A237" s="2">
        <v>46</v>
      </c>
      <c r="B237" s="2">
        <v>236</v>
      </c>
      <c r="C237" s="2">
        <v>4</v>
      </c>
      <c r="D237" s="2">
        <v>1</v>
      </c>
      <c r="E237" s="2">
        <v>1.224</v>
      </c>
      <c r="F237" s="2">
        <v>2</v>
      </c>
    </row>
    <row r="238" spans="1:6" ht="14.25" customHeight="1">
      <c r="A238" s="2">
        <v>46</v>
      </c>
      <c r="B238" s="2">
        <v>237</v>
      </c>
      <c r="C238" s="2">
        <v>2</v>
      </c>
      <c r="D238" s="2">
        <v>1</v>
      </c>
      <c r="E238" s="2">
        <v>1.2350000000000001</v>
      </c>
      <c r="F238" s="2">
        <v>1</v>
      </c>
    </row>
    <row r="239" spans="1:6" ht="14.25" customHeight="1">
      <c r="A239" s="2">
        <v>46</v>
      </c>
      <c r="B239" s="2">
        <v>238</v>
      </c>
      <c r="C239" s="2">
        <v>8</v>
      </c>
      <c r="D239" s="2">
        <v>1</v>
      </c>
      <c r="E239" s="2">
        <v>1.881</v>
      </c>
      <c r="F239" s="2">
        <v>1</v>
      </c>
    </row>
    <row r="240" spans="1:6" ht="14.25" customHeight="1">
      <c r="A240" s="2">
        <v>46</v>
      </c>
      <c r="B240" s="2">
        <v>239</v>
      </c>
      <c r="C240" s="2">
        <v>2</v>
      </c>
      <c r="D240" s="2">
        <v>1</v>
      </c>
      <c r="E240" s="2">
        <v>0.88300000000000001</v>
      </c>
      <c r="F240" s="2">
        <v>2</v>
      </c>
    </row>
    <row r="241" spans="1:6" ht="14.25" customHeight="1">
      <c r="A241" s="2">
        <v>46</v>
      </c>
      <c r="B241" s="2">
        <v>240</v>
      </c>
      <c r="C241" s="2">
        <v>5</v>
      </c>
      <c r="D241" s="2">
        <v>1</v>
      </c>
      <c r="E241" s="2">
        <v>1.1859999999999999</v>
      </c>
      <c r="F241" s="2">
        <v>2</v>
      </c>
    </row>
    <row r="242" spans="1:6" ht="14.25" customHeight="1">
      <c r="A242" s="2">
        <v>46</v>
      </c>
      <c r="B242" s="2">
        <v>241</v>
      </c>
      <c r="C242" s="2">
        <v>2</v>
      </c>
      <c r="D242" s="2">
        <v>1</v>
      </c>
      <c r="E242" s="2">
        <v>1.0649999999999999</v>
      </c>
      <c r="F242" s="2">
        <v>2</v>
      </c>
    </row>
    <row r="243" spans="1:6" ht="14.25" customHeight="1">
      <c r="A243" s="2">
        <v>46</v>
      </c>
      <c r="B243" s="2">
        <v>242</v>
      </c>
      <c r="C243" s="2">
        <v>1</v>
      </c>
      <c r="D243" s="2">
        <v>1</v>
      </c>
      <c r="E243" s="2">
        <v>0.97899999999999998</v>
      </c>
      <c r="F243" s="2">
        <v>2</v>
      </c>
    </row>
    <row r="244" spans="1:6" ht="14.25" customHeight="1">
      <c r="A244" s="2">
        <v>46</v>
      </c>
      <c r="B244" s="2">
        <v>243</v>
      </c>
      <c r="C244" s="2">
        <v>5</v>
      </c>
      <c r="D244" s="2">
        <v>1</v>
      </c>
      <c r="E244" s="2">
        <v>1.228</v>
      </c>
      <c r="F244" s="2">
        <v>1</v>
      </c>
    </row>
    <row r="245" spans="1:6" ht="14.25" customHeight="1">
      <c r="A245" s="2">
        <v>46</v>
      </c>
      <c r="B245" s="2">
        <v>244</v>
      </c>
      <c r="C245" s="2">
        <v>2</v>
      </c>
      <c r="D245" s="2">
        <v>1</v>
      </c>
      <c r="E245" s="2">
        <v>0.78200000000000003</v>
      </c>
      <c r="F245" s="2">
        <v>2</v>
      </c>
    </row>
    <row r="246" spans="1:6" ht="14.25" customHeight="1">
      <c r="A246" s="2">
        <v>46</v>
      </c>
      <c r="B246" s="2">
        <v>245</v>
      </c>
      <c r="C246" s="2">
        <v>1</v>
      </c>
      <c r="D246" s="2">
        <v>0</v>
      </c>
      <c r="E246" s="2">
        <v>1.1319999999999999</v>
      </c>
      <c r="F246" s="2">
        <v>2</v>
      </c>
    </row>
    <row r="247" spans="1:6" ht="14.25" customHeight="1">
      <c r="A247" s="2">
        <v>46</v>
      </c>
      <c r="B247" s="2">
        <v>246</v>
      </c>
      <c r="C247" s="2">
        <v>3</v>
      </c>
      <c r="D247" s="2">
        <v>1</v>
      </c>
      <c r="E247" s="2">
        <v>0.78600000000000003</v>
      </c>
      <c r="F247" s="2">
        <v>2</v>
      </c>
    </row>
    <row r="248" spans="1:6" ht="14.25" customHeight="1">
      <c r="A248" s="2">
        <v>46</v>
      </c>
      <c r="B248" s="2">
        <v>247</v>
      </c>
      <c r="C248" s="2">
        <v>7</v>
      </c>
      <c r="D248" s="2">
        <v>1</v>
      </c>
      <c r="E248" s="2">
        <v>1.177</v>
      </c>
      <c r="F248" s="2">
        <v>1</v>
      </c>
    </row>
    <row r="249" spans="1:6" ht="14.25" customHeight="1">
      <c r="A249" s="2">
        <v>46</v>
      </c>
      <c r="B249" s="2">
        <v>248</v>
      </c>
      <c r="C249" s="2">
        <v>1</v>
      </c>
      <c r="D249" s="2">
        <v>1</v>
      </c>
      <c r="E249" s="2">
        <v>1.569</v>
      </c>
      <c r="F249" s="2">
        <v>2</v>
      </c>
    </row>
    <row r="250" spans="1:6" ht="14.25" customHeight="1">
      <c r="A250" s="2">
        <v>46</v>
      </c>
      <c r="B250" s="2">
        <v>249</v>
      </c>
      <c r="C250" s="2">
        <v>2</v>
      </c>
      <c r="D250" s="2">
        <v>1</v>
      </c>
      <c r="E250" s="2">
        <v>1.542</v>
      </c>
      <c r="F250" s="2">
        <v>1</v>
      </c>
    </row>
    <row r="251" spans="1:6" ht="14.25" customHeight="1">
      <c r="A251" s="2">
        <v>46</v>
      </c>
      <c r="B251" s="2">
        <v>250</v>
      </c>
      <c r="C251" s="2">
        <v>6</v>
      </c>
      <c r="D251" s="2">
        <v>1</v>
      </c>
      <c r="E251" s="2">
        <v>1.139</v>
      </c>
      <c r="F251" s="2">
        <v>1</v>
      </c>
    </row>
    <row r="252" spans="1:6" ht="14.25" customHeight="1">
      <c r="A252" s="2">
        <v>46</v>
      </c>
      <c r="B252" s="2">
        <v>251</v>
      </c>
      <c r="C252" s="2">
        <v>7</v>
      </c>
      <c r="D252" s="2">
        <v>1</v>
      </c>
      <c r="E252" s="2">
        <v>1.536</v>
      </c>
      <c r="F252" s="2">
        <v>1</v>
      </c>
    </row>
    <row r="253" spans="1:6" ht="14.25" customHeight="1">
      <c r="A253" s="2">
        <v>46</v>
      </c>
      <c r="B253" s="2">
        <v>252</v>
      </c>
      <c r="C253" s="2">
        <v>2</v>
      </c>
      <c r="D253" s="2">
        <v>0</v>
      </c>
      <c r="E253" s="2">
        <v>1.968</v>
      </c>
      <c r="F253" s="2">
        <v>1</v>
      </c>
    </row>
    <row r="254" spans="1:6" ht="14.25" customHeight="1">
      <c r="A254" s="2">
        <v>46</v>
      </c>
      <c r="B254" s="2">
        <v>253</v>
      </c>
      <c r="C254" s="2">
        <v>8</v>
      </c>
      <c r="D254" s="2">
        <v>1</v>
      </c>
      <c r="E254" s="2">
        <v>1.254</v>
      </c>
      <c r="F254" s="2">
        <v>2</v>
      </c>
    </row>
    <row r="255" spans="1:6" ht="14.25" customHeight="1">
      <c r="A255" s="2">
        <v>46</v>
      </c>
      <c r="B255" s="2">
        <v>254</v>
      </c>
      <c r="C255" s="2">
        <v>5</v>
      </c>
      <c r="D255" s="2">
        <v>1</v>
      </c>
      <c r="E255" s="2">
        <v>1.0409999999999999</v>
      </c>
      <c r="F255" s="2">
        <v>1</v>
      </c>
    </row>
    <row r="256" spans="1:6" ht="14.25" customHeight="1">
      <c r="A256" s="2">
        <v>46</v>
      </c>
      <c r="B256" s="2">
        <v>255</v>
      </c>
      <c r="C256" s="2">
        <v>3</v>
      </c>
      <c r="D256" s="2">
        <v>1</v>
      </c>
      <c r="E256" s="2">
        <v>1.1859999999999999</v>
      </c>
      <c r="F256" s="2">
        <v>1</v>
      </c>
    </row>
    <row r="257" spans="1:6" ht="14.25" customHeight="1">
      <c r="A257" s="2">
        <v>46</v>
      </c>
      <c r="B257" s="2">
        <v>256</v>
      </c>
      <c r="C257" s="2">
        <v>8</v>
      </c>
      <c r="D257" s="2">
        <v>1</v>
      </c>
      <c r="E257" s="2">
        <v>1.323</v>
      </c>
      <c r="F257" s="2">
        <v>2</v>
      </c>
    </row>
    <row r="258" spans="1:6" ht="14.25" customHeight="1">
      <c r="A258" s="2">
        <v>46</v>
      </c>
      <c r="B258" s="2">
        <v>257</v>
      </c>
      <c r="C258" s="2">
        <v>6</v>
      </c>
      <c r="D258" s="2">
        <v>1</v>
      </c>
      <c r="E258" s="2">
        <v>1.639</v>
      </c>
      <c r="F258" s="2">
        <v>1</v>
      </c>
    </row>
    <row r="259" spans="1:6" ht="14.25" customHeight="1">
      <c r="A259" s="2">
        <v>46</v>
      </c>
      <c r="B259" s="2">
        <v>258</v>
      </c>
      <c r="C259" s="2">
        <v>8</v>
      </c>
      <c r="D259" s="2">
        <v>1</v>
      </c>
      <c r="E259" s="2">
        <v>0.80900000000000005</v>
      </c>
      <c r="F259" s="2">
        <v>2</v>
      </c>
    </row>
    <row r="260" spans="1:6" ht="14.25" customHeight="1">
      <c r="A260" s="2">
        <v>46</v>
      </c>
      <c r="B260" s="2">
        <v>259</v>
      </c>
      <c r="C260" s="2">
        <v>2</v>
      </c>
      <c r="D260" s="2">
        <v>1</v>
      </c>
      <c r="E260" s="2">
        <v>1.2569999999999999</v>
      </c>
      <c r="F260" s="2">
        <v>1</v>
      </c>
    </row>
    <row r="261" spans="1:6" ht="14.25" customHeight="1">
      <c r="A261" s="2">
        <v>46</v>
      </c>
      <c r="B261" s="2">
        <v>260</v>
      </c>
      <c r="C261" s="2">
        <v>1</v>
      </c>
      <c r="D261" s="2">
        <v>1</v>
      </c>
      <c r="E261" s="2">
        <v>1.177</v>
      </c>
      <c r="F261" s="2">
        <v>2</v>
      </c>
    </row>
    <row r="262" spans="1:6" ht="14.25" customHeight="1">
      <c r="A262" s="2">
        <v>46</v>
      </c>
      <c r="B262" s="2">
        <v>261</v>
      </c>
      <c r="C262" s="2">
        <v>7</v>
      </c>
      <c r="D262" s="2">
        <v>1</v>
      </c>
      <c r="E262" s="2">
        <v>1.591</v>
      </c>
      <c r="F262" s="2">
        <v>2</v>
      </c>
    </row>
    <row r="263" spans="1:6" ht="14.25" customHeight="1">
      <c r="A263" s="2">
        <v>46</v>
      </c>
      <c r="B263" s="2">
        <v>262</v>
      </c>
      <c r="C263" s="2">
        <v>2</v>
      </c>
      <c r="D263" s="2">
        <v>1</v>
      </c>
      <c r="E263" s="2">
        <v>1.5069999999999999</v>
      </c>
      <c r="F263" s="2">
        <v>1</v>
      </c>
    </row>
    <row r="264" spans="1:6" ht="14.25" customHeight="1">
      <c r="A264" s="2">
        <v>46</v>
      </c>
      <c r="B264" s="2">
        <v>263</v>
      </c>
      <c r="C264" s="2">
        <v>4</v>
      </c>
      <c r="D264" s="2">
        <v>1</v>
      </c>
      <c r="E264" s="2">
        <v>1.3</v>
      </c>
      <c r="F264" s="2">
        <v>1</v>
      </c>
    </row>
    <row r="265" spans="1:6" ht="14.25" customHeight="1">
      <c r="A265" s="2">
        <v>46</v>
      </c>
      <c r="B265" s="2">
        <v>264</v>
      </c>
      <c r="C265" s="2">
        <v>8</v>
      </c>
      <c r="D265" s="2">
        <v>1</v>
      </c>
      <c r="E265" s="2">
        <v>0.83599999999999997</v>
      </c>
      <c r="F265" s="2">
        <v>1</v>
      </c>
    </row>
    <row r="266" spans="1:6" ht="14.25" customHeight="1">
      <c r="A266" s="2">
        <v>46</v>
      </c>
      <c r="B266" s="2">
        <v>265</v>
      </c>
      <c r="C266" s="2">
        <v>4</v>
      </c>
      <c r="D266" s="2">
        <v>1</v>
      </c>
      <c r="E266" s="2">
        <v>0.79900000000000004</v>
      </c>
      <c r="F266" s="2">
        <v>2</v>
      </c>
    </row>
    <row r="267" spans="1:6" ht="14.25" customHeight="1">
      <c r="A267" s="2">
        <v>46</v>
      </c>
      <c r="B267" s="2">
        <v>266</v>
      </c>
      <c r="C267" s="2">
        <v>5</v>
      </c>
      <c r="D267" s="2">
        <v>1</v>
      </c>
      <c r="E267" s="2">
        <v>1.3460000000000001</v>
      </c>
      <c r="F267" s="2">
        <v>1</v>
      </c>
    </row>
    <row r="268" spans="1:6" ht="14.25" customHeight="1">
      <c r="A268" s="2">
        <v>46</v>
      </c>
      <c r="B268" s="2">
        <v>267</v>
      </c>
      <c r="C268" s="2">
        <v>8</v>
      </c>
      <c r="D268" s="2">
        <v>1</v>
      </c>
      <c r="E268" s="2">
        <v>0.96699999999999997</v>
      </c>
      <c r="F268" s="2">
        <v>2</v>
      </c>
    </row>
    <row r="269" spans="1:6" ht="14.25" customHeight="1">
      <c r="A269" s="2">
        <v>46</v>
      </c>
      <c r="B269" s="2">
        <v>268</v>
      </c>
      <c r="C269" s="2">
        <v>4</v>
      </c>
      <c r="D269" s="2">
        <v>1</v>
      </c>
      <c r="E269" s="2">
        <v>1.3049999999999999</v>
      </c>
      <c r="F269" s="2">
        <v>1</v>
      </c>
    </row>
    <row r="270" spans="1:6" ht="14.25" customHeight="1">
      <c r="A270" s="2">
        <v>46</v>
      </c>
      <c r="B270" s="2">
        <v>269</v>
      </c>
      <c r="C270" s="2">
        <v>6</v>
      </c>
      <c r="D270" s="2">
        <v>1</v>
      </c>
      <c r="E270" s="2">
        <v>0.754</v>
      </c>
      <c r="F270" s="2">
        <v>2</v>
      </c>
    </row>
    <row r="271" spans="1:6" ht="14.25" customHeight="1">
      <c r="A271" s="2">
        <v>46</v>
      </c>
      <c r="B271" s="2">
        <v>270</v>
      </c>
      <c r="C271" s="2">
        <v>3</v>
      </c>
      <c r="D271" s="2">
        <v>1</v>
      </c>
      <c r="E271" s="2">
        <v>1.3049999999999999</v>
      </c>
      <c r="F271" s="2">
        <v>2</v>
      </c>
    </row>
    <row r="272" spans="1:6" ht="14.25" customHeight="1">
      <c r="A272" s="2">
        <v>46</v>
      </c>
      <c r="B272" s="2">
        <v>271</v>
      </c>
      <c r="C272" s="2">
        <v>2</v>
      </c>
      <c r="D272" s="2">
        <v>1</v>
      </c>
      <c r="E272" s="2">
        <v>0.69099999999999995</v>
      </c>
      <c r="F272" s="2">
        <v>2</v>
      </c>
    </row>
    <row r="273" spans="1:6" ht="14.25" customHeight="1">
      <c r="A273" s="2">
        <v>46</v>
      </c>
      <c r="B273" s="2">
        <v>272</v>
      </c>
      <c r="C273" s="2">
        <v>6</v>
      </c>
      <c r="D273" s="2">
        <v>1</v>
      </c>
      <c r="E273" s="2">
        <v>1.2330000000000001</v>
      </c>
      <c r="F273" s="2">
        <v>1</v>
      </c>
    </row>
    <row r="274" spans="1:6" ht="14.25" customHeight="1">
      <c r="A274" s="2">
        <v>46</v>
      </c>
      <c r="B274" s="2">
        <v>273</v>
      </c>
      <c r="C274" s="2">
        <v>5</v>
      </c>
      <c r="D274" s="2">
        <v>1</v>
      </c>
      <c r="E274" s="2">
        <v>0.97</v>
      </c>
      <c r="F274" s="2">
        <v>2</v>
      </c>
    </row>
    <row r="275" spans="1:6" ht="14.25" customHeight="1">
      <c r="A275" s="2">
        <v>46</v>
      </c>
      <c r="B275" s="2">
        <v>274</v>
      </c>
      <c r="C275" s="2">
        <v>1</v>
      </c>
      <c r="D275" s="2">
        <v>1</v>
      </c>
      <c r="E275" s="2">
        <v>1.7609999999999999</v>
      </c>
      <c r="F275" s="2">
        <v>1</v>
      </c>
    </row>
    <row r="276" spans="1:6" ht="14.25" customHeight="1">
      <c r="A276" s="2">
        <v>46</v>
      </c>
      <c r="B276" s="2">
        <v>275</v>
      </c>
      <c r="C276" s="2">
        <v>3</v>
      </c>
      <c r="D276" s="2">
        <v>1</v>
      </c>
      <c r="E276" s="2">
        <v>1.3320000000000001</v>
      </c>
      <c r="F276" s="2">
        <v>1</v>
      </c>
    </row>
    <row r="277" spans="1:6" ht="14.25" customHeight="1">
      <c r="A277" s="2">
        <v>46</v>
      </c>
      <c r="B277" s="2">
        <v>276</v>
      </c>
      <c r="C277" s="2">
        <v>5</v>
      </c>
      <c r="D277" s="2">
        <v>1</v>
      </c>
      <c r="E277" s="2">
        <v>0.86199999999999999</v>
      </c>
      <c r="F277" s="2">
        <v>2</v>
      </c>
    </row>
    <row r="278" spans="1:6" ht="14.25" customHeight="1">
      <c r="A278" s="2">
        <v>46</v>
      </c>
      <c r="B278" s="2">
        <v>277</v>
      </c>
      <c r="C278" s="2">
        <v>6</v>
      </c>
      <c r="D278" s="2">
        <v>0</v>
      </c>
      <c r="E278" s="2">
        <v>1.492</v>
      </c>
      <c r="F278" s="2">
        <v>2</v>
      </c>
    </row>
    <row r="279" spans="1:6" ht="14.25" customHeight="1">
      <c r="A279" s="2">
        <v>46</v>
      </c>
      <c r="B279" s="2">
        <v>278</v>
      </c>
      <c r="C279" s="2">
        <v>7</v>
      </c>
      <c r="D279" s="2">
        <v>1</v>
      </c>
      <c r="E279" s="2">
        <v>1.984</v>
      </c>
      <c r="F279" s="2">
        <v>2</v>
      </c>
    </row>
    <row r="280" spans="1:6" ht="14.25" customHeight="1">
      <c r="A280" s="2">
        <v>46</v>
      </c>
      <c r="B280" s="2">
        <v>279</v>
      </c>
      <c r="C280" s="2">
        <v>1</v>
      </c>
      <c r="D280" s="2">
        <v>1</v>
      </c>
      <c r="E280" s="2">
        <v>0.82799999999999996</v>
      </c>
      <c r="F280" s="2">
        <v>1</v>
      </c>
    </row>
    <row r="281" spans="1:6" ht="14.25" customHeight="1">
      <c r="A281" s="2">
        <v>46</v>
      </c>
      <c r="B281" s="2">
        <v>280</v>
      </c>
      <c r="C281" s="2">
        <v>8</v>
      </c>
      <c r="D281" s="2">
        <v>1</v>
      </c>
      <c r="E281" s="2">
        <v>1.08</v>
      </c>
      <c r="F281" s="2">
        <v>2</v>
      </c>
    </row>
    <row r="282" spans="1:6" ht="14.25" customHeight="1">
      <c r="A282" s="2">
        <v>46</v>
      </c>
      <c r="B282" s="2">
        <v>281</v>
      </c>
      <c r="C282" s="2">
        <v>5</v>
      </c>
      <c r="D282" s="2">
        <v>1</v>
      </c>
      <c r="E282" s="2">
        <v>1.6579999999999999</v>
      </c>
      <c r="F282" s="2">
        <v>2</v>
      </c>
    </row>
    <row r="283" spans="1:6" ht="14.25" customHeight="1">
      <c r="A283" s="2">
        <v>46</v>
      </c>
      <c r="B283" s="2">
        <v>282</v>
      </c>
      <c r="C283" s="2">
        <v>2</v>
      </c>
      <c r="D283" s="2">
        <v>1</v>
      </c>
      <c r="E283" s="2">
        <v>0.85399999999999998</v>
      </c>
      <c r="F283" s="2">
        <v>1</v>
      </c>
    </row>
    <row r="284" spans="1:6" ht="14.25" customHeight="1">
      <c r="A284" s="2">
        <v>46</v>
      </c>
      <c r="B284" s="2">
        <v>283</v>
      </c>
      <c r="C284" s="2">
        <v>1</v>
      </c>
      <c r="D284" s="2">
        <v>1</v>
      </c>
      <c r="E284" s="2">
        <v>1.569</v>
      </c>
      <c r="F284" s="2">
        <v>2</v>
      </c>
    </row>
    <row r="285" spans="1:6" ht="14.25" customHeight="1">
      <c r="A285" s="2">
        <v>46</v>
      </c>
      <c r="B285" s="2">
        <v>284</v>
      </c>
      <c r="C285" s="2">
        <v>6</v>
      </c>
      <c r="D285" s="2">
        <v>1</v>
      </c>
      <c r="E285" s="2">
        <v>0.91100000000000003</v>
      </c>
      <c r="F285" s="2">
        <v>1</v>
      </c>
    </row>
    <row r="286" spans="1:6" ht="14.25" customHeight="1">
      <c r="A286" s="2">
        <v>46</v>
      </c>
      <c r="B286" s="2">
        <v>285</v>
      </c>
      <c r="C286" s="2">
        <v>1</v>
      </c>
      <c r="D286" s="2">
        <v>1</v>
      </c>
      <c r="E286" s="2">
        <v>1.5329999999999999</v>
      </c>
      <c r="F286" s="2">
        <v>1</v>
      </c>
    </row>
    <row r="287" spans="1:6" ht="14.25" customHeight="1">
      <c r="A287" s="2">
        <v>46</v>
      </c>
      <c r="B287" s="2">
        <v>286</v>
      </c>
      <c r="C287" s="2">
        <v>3</v>
      </c>
      <c r="D287" s="2">
        <v>1</v>
      </c>
      <c r="E287" s="2">
        <v>1.454</v>
      </c>
      <c r="F287" s="2">
        <v>2</v>
      </c>
    </row>
    <row r="288" spans="1:6" ht="14.25" customHeight="1">
      <c r="A288" s="2">
        <v>46</v>
      </c>
      <c r="B288" s="2">
        <v>287</v>
      </c>
      <c r="C288" s="2">
        <v>1</v>
      </c>
      <c r="D288" s="2">
        <v>1</v>
      </c>
      <c r="E288" s="2">
        <v>1.034</v>
      </c>
      <c r="F288" s="2">
        <v>1</v>
      </c>
    </row>
    <row r="289" spans="1:6" ht="14.25" customHeight="1">
      <c r="A289" s="2">
        <v>46</v>
      </c>
      <c r="B289" s="2">
        <v>288</v>
      </c>
      <c r="C289" s="2">
        <v>4</v>
      </c>
      <c r="D289" s="2">
        <v>1</v>
      </c>
      <c r="E289" s="2">
        <v>0.874</v>
      </c>
      <c r="F289" s="2">
        <v>1</v>
      </c>
    </row>
    <row r="290" spans="1:6" ht="14.25" customHeight="1">
      <c r="A290" s="2">
        <v>46</v>
      </c>
      <c r="B290" s="2">
        <v>289</v>
      </c>
      <c r="C290" s="2">
        <v>7</v>
      </c>
      <c r="E290" s="2">
        <v>2</v>
      </c>
    </row>
    <row r="291" spans="1:6" ht="14.25" customHeight="1">
      <c r="A291" s="2">
        <v>46</v>
      </c>
      <c r="B291" s="2">
        <v>290</v>
      </c>
      <c r="C291" s="2">
        <v>8</v>
      </c>
      <c r="D291" s="2">
        <v>1</v>
      </c>
      <c r="E291" s="2">
        <v>1.2390000000000001</v>
      </c>
      <c r="F291" s="2">
        <v>2</v>
      </c>
    </row>
    <row r="292" spans="1:6" ht="14.25" customHeight="1">
      <c r="A292" s="2">
        <v>46</v>
      </c>
      <c r="B292" s="2">
        <v>291</v>
      </c>
      <c r="C292" s="2">
        <v>1</v>
      </c>
      <c r="D292" s="2">
        <v>1</v>
      </c>
      <c r="E292" s="2">
        <v>0.84399999999999997</v>
      </c>
      <c r="F292" s="2">
        <v>2</v>
      </c>
    </row>
    <row r="293" spans="1:6" ht="14.25" customHeight="1">
      <c r="A293" s="2">
        <v>46</v>
      </c>
      <c r="B293" s="2">
        <v>292</v>
      </c>
      <c r="C293" s="2">
        <v>6</v>
      </c>
      <c r="D293" s="2">
        <v>1</v>
      </c>
      <c r="E293" s="2">
        <v>0.72199999999999998</v>
      </c>
      <c r="F293" s="2">
        <v>2</v>
      </c>
    </row>
    <row r="294" spans="1:6" ht="14.25" customHeight="1">
      <c r="A294" s="2">
        <v>46</v>
      </c>
      <c r="B294" s="2">
        <v>293</v>
      </c>
      <c r="C294" s="2">
        <v>5</v>
      </c>
      <c r="D294" s="2">
        <v>1</v>
      </c>
      <c r="E294" s="2">
        <v>1.234</v>
      </c>
      <c r="F294" s="2">
        <v>1</v>
      </c>
    </row>
    <row r="295" spans="1:6" ht="14.25" customHeight="1">
      <c r="A295" s="2">
        <v>46</v>
      </c>
      <c r="B295" s="2">
        <v>294</v>
      </c>
      <c r="C295" s="2">
        <v>3</v>
      </c>
      <c r="D295" s="2">
        <v>1</v>
      </c>
      <c r="E295" s="2">
        <v>1.0329999999999999</v>
      </c>
      <c r="F295" s="2">
        <v>2</v>
      </c>
    </row>
    <row r="296" spans="1:6" ht="14.25" customHeight="1">
      <c r="A296" s="2">
        <v>46</v>
      </c>
      <c r="B296" s="2">
        <v>295</v>
      </c>
      <c r="C296" s="2">
        <v>7</v>
      </c>
      <c r="D296" s="2">
        <v>1</v>
      </c>
      <c r="E296" s="2">
        <v>0.86699999999999999</v>
      </c>
      <c r="F296" s="2">
        <v>1</v>
      </c>
    </row>
    <row r="297" spans="1:6" ht="14.25" customHeight="1">
      <c r="A297" s="2">
        <v>46</v>
      </c>
      <c r="B297" s="2">
        <v>296</v>
      </c>
      <c r="C297" s="2">
        <v>4</v>
      </c>
      <c r="D297" s="2">
        <v>1</v>
      </c>
      <c r="E297" s="2">
        <v>0.70099999999999996</v>
      </c>
      <c r="F297" s="2">
        <v>2</v>
      </c>
    </row>
    <row r="298" spans="1:6" ht="14.25" customHeight="1">
      <c r="A298" s="2">
        <v>46</v>
      </c>
      <c r="B298" s="2">
        <v>297</v>
      </c>
      <c r="C298" s="2">
        <v>7</v>
      </c>
      <c r="D298" s="2">
        <v>1</v>
      </c>
      <c r="E298" s="2">
        <v>0.82699999999999996</v>
      </c>
      <c r="F298" s="2">
        <v>1</v>
      </c>
    </row>
    <row r="299" spans="1:6" ht="14.25" customHeight="1">
      <c r="A299" s="2">
        <v>46</v>
      </c>
      <c r="B299" s="2">
        <v>298</v>
      </c>
      <c r="C299" s="2">
        <v>4</v>
      </c>
      <c r="D299" s="2">
        <v>1</v>
      </c>
      <c r="E299" s="2">
        <v>1.224</v>
      </c>
      <c r="F299" s="2">
        <v>2</v>
      </c>
    </row>
    <row r="300" spans="1:6" ht="14.25" customHeight="1">
      <c r="A300" s="2">
        <v>46</v>
      </c>
      <c r="B300" s="2">
        <v>299</v>
      </c>
      <c r="C300" s="2">
        <v>3</v>
      </c>
      <c r="D300" s="2">
        <v>0</v>
      </c>
      <c r="E300" s="2">
        <v>1.123</v>
      </c>
      <c r="F300" s="2">
        <v>2</v>
      </c>
    </row>
    <row r="301" spans="1:6" ht="14.25" customHeight="1">
      <c r="A301" s="2">
        <v>46</v>
      </c>
      <c r="B301" s="2">
        <v>300</v>
      </c>
      <c r="C301" s="2">
        <v>2</v>
      </c>
      <c r="D301" s="2">
        <v>1</v>
      </c>
      <c r="E301" s="2">
        <v>0.68899999999999995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>
        <v>47</v>
      </c>
      <c r="B1" s="2">
        <v>1</v>
      </c>
      <c r="C1" s="2">
        <v>4</v>
      </c>
      <c r="E1" s="2">
        <v>2.0009999999999999</v>
      </c>
      <c r="H1" s="2">
        <v>47</v>
      </c>
      <c r="I1" s="2">
        <v>1</v>
      </c>
      <c r="J1" s="2">
        <v>4</v>
      </c>
      <c r="L1" s="2">
        <v>2.0009999999999999</v>
      </c>
    </row>
    <row r="2" spans="1:22" ht="14.25" customHeight="1">
      <c r="A2" s="2">
        <v>47</v>
      </c>
      <c r="B2" s="2">
        <v>2</v>
      </c>
      <c r="C2" s="2">
        <v>5</v>
      </c>
      <c r="D2" s="2">
        <v>1</v>
      </c>
      <c r="E2" s="2">
        <v>0.81</v>
      </c>
      <c r="F2" s="2">
        <v>2</v>
      </c>
      <c r="H2" s="2">
        <v>47</v>
      </c>
      <c r="I2" s="2">
        <v>2</v>
      </c>
      <c r="J2" s="2">
        <v>5</v>
      </c>
      <c r="K2" s="2">
        <v>1</v>
      </c>
      <c r="L2" s="2">
        <v>0.81</v>
      </c>
      <c r="M2" s="2">
        <v>2</v>
      </c>
    </row>
    <row r="3" spans="1:22" ht="14.25" customHeight="1">
      <c r="A3" s="2">
        <v>47</v>
      </c>
      <c r="B3" s="2">
        <v>3</v>
      </c>
      <c r="C3" s="2">
        <v>7</v>
      </c>
      <c r="D3" s="2">
        <v>0</v>
      </c>
      <c r="E3" s="2">
        <v>0.55800000000000005</v>
      </c>
      <c r="F3" s="2">
        <v>2</v>
      </c>
      <c r="H3" s="2">
        <v>47</v>
      </c>
      <c r="I3" s="2">
        <v>3</v>
      </c>
      <c r="J3" s="2">
        <v>7</v>
      </c>
      <c r="K3" s="2">
        <v>0</v>
      </c>
      <c r="L3" s="2">
        <v>0.55800000000000005</v>
      </c>
      <c r="M3" s="2">
        <v>2</v>
      </c>
    </row>
    <row r="4" spans="1:22" ht="14.25" customHeight="1">
      <c r="A4" s="2">
        <v>47</v>
      </c>
      <c r="B4" s="2">
        <v>4</v>
      </c>
      <c r="C4" s="2">
        <v>3</v>
      </c>
      <c r="D4" s="2">
        <v>0</v>
      </c>
      <c r="E4" s="2">
        <v>1.141</v>
      </c>
      <c r="F4" s="2">
        <v>1</v>
      </c>
      <c r="H4" s="2">
        <v>47</v>
      </c>
      <c r="I4" s="2">
        <v>4</v>
      </c>
      <c r="J4" s="2">
        <v>3</v>
      </c>
      <c r="K4" s="2">
        <v>0</v>
      </c>
      <c r="L4" s="2">
        <v>1.141</v>
      </c>
      <c r="M4" s="2">
        <v>1</v>
      </c>
      <c r="O4" s="2" t="s">
        <v>6</v>
      </c>
    </row>
    <row r="5" spans="1:22" ht="14.25" customHeight="1">
      <c r="A5" s="2">
        <v>47</v>
      </c>
      <c r="B5" s="2">
        <v>5</v>
      </c>
      <c r="C5" s="2">
        <v>6</v>
      </c>
      <c r="D5" s="2">
        <v>1</v>
      </c>
      <c r="E5" s="2">
        <v>1.357</v>
      </c>
      <c r="F5" s="2">
        <v>2</v>
      </c>
      <c r="H5" s="2">
        <v>47</v>
      </c>
      <c r="I5" s="2">
        <v>5</v>
      </c>
      <c r="J5" s="2">
        <v>6</v>
      </c>
      <c r="K5" s="2">
        <v>1</v>
      </c>
      <c r="L5" s="2">
        <v>1.357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47</v>
      </c>
      <c r="B6" s="2">
        <v>6</v>
      </c>
      <c r="C6" s="2">
        <v>5</v>
      </c>
      <c r="D6" s="2">
        <v>1</v>
      </c>
      <c r="E6" s="2">
        <v>1.1419999999999999</v>
      </c>
      <c r="F6" s="2">
        <v>2</v>
      </c>
      <c r="H6" s="2">
        <v>47</v>
      </c>
      <c r="I6" s="2">
        <v>6</v>
      </c>
      <c r="J6" s="2">
        <v>5</v>
      </c>
      <c r="K6" s="2">
        <v>1</v>
      </c>
      <c r="L6" s="2">
        <v>1.1419999999999999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47</v>
      </c>
      <c r="B7" s="2">
        <v>7</v>
      </c>
      <c r="C7" s="2">
        <v>4</v>
      </c>
      <c r="D7" s="2">
        <v>1</v>
      </c>
      <c r="E7" s="2">
        <v>1.143</v>
      </c>
      <c r="F7" s="2">
        <v>1</v>
      </c>
      <c r="H7" s="2">
        <v>47</v>
      </c>
      <c r="I7" s="2">
        <v>7</v>
      </c>
      <c r="J7" s="2">
        <v>4</v>
      </c>
      <c r="K7" s="2">
        <v>1</v>
      </c>
      <c r="L7" s="2">
        <v>1.143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47</v>
      </c>
      <c r="B8" s="2">
        <v>8</v>
      </c>
      <c r="C8" s="2">
        <v>6</v>
      </c>
      <c r="D8" s="2">
        <v>1</v>
      </c>
      <c r="E8" s="2">
        <v>1.272</v>
      </c>
      <c r="F8" s="2">
        <v>2</v>
      </c>
      <c r="H8" s="2">
        <v>47</v>
      </c>
      <c r="I8" s="2">
        <v>8</v>
      </c>
      <c r="J8" s="2">
        <v>6</v>
      </c>
      <c r="K8" s="2">
        <v>1</v>
      </c>
      <c r="L8" s="2">
        <v>1.272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47</v>
      </c>
      <c r="B9" s="2">
        <v>9</v>
      </c>
      <c r="C9" s="2">
        <v>5</v>
      </c>
      <c r="D9" s="2">
        <v>1</v>
      </c>
      <c r="E9" s="2">
        <v>0.91300000000000003</v>
      </c>
      <c r="F9" s="2">
        <v>2</v>
      </c>
      <c r="H9" s="2">
        <v>47</v>
      </c>
      <c r="I9" s="2">
        <v>9</v>
      </c>
      <c r="J9" s="2">
        <v>5</v>
      </c>
      <c r="K9" s="2">
        <v>1</v>
      </c>
      <c r="L9" s="2">
        <v>0.91300000000000003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47</v>
      </c>
      <c r="B10" s="2">
        <v>10</v>
      </c>
      <c r="C10" s="2">
        <v>3</v>
      </c>
      <c r="D10" s="2">
        <v>0</v>
      </c>
      <c r="E10" s="2">
        <v>0.93899999999999995</v>
      </c>
      <c r="F10" s="2">
        <v>1</v>
      </c>
      <c r="H10" s="2">
        <v>47</v>
      </c>
      <c r="I10" s="2">
        <v>10</v>
      </c>
      <c r="J10" s="2">
        <v>3</v>
      </c>
      <c r="K10" s="2">
        <v>0</v>
      </c>
      <c r="L10" s="2">
        <v>0.93899999999999995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47</v>
      </c>
      <c r="B11" s="2">
        <v>11</v>
      </c>
      <c r="C11" s="2">
        <v>7</v>
      </c>
      <c r="D11" s="2">
        <v>0</v>
      </c>
      <c r="E11" s="2">
        <v>1.18</v>
      </c>
      <c r="F11" s="2">
        <v>2</v>
      </c>
      <c r="H11" s="2">
        <v>47</v>
      </c>
      <c r="I11" s="2">
        <v>11</v>
      </c>
      <c r="J11" s="2">
        <v>7</v>
      </c>
      <c r="K11" s="2">
        <v>0</v>
      </c>
      <c r="L11" s="2">
        <v>1.18</v>
      </c>
      <c r="M11" s="2">
        <v>2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47</v>
      </c>
      <c r="B12" s="2">
        <v>12</v>
      </c>
      <c r="C12" s="2">
        <v>1</v>
      </c>
      <c r="D12" s="2">
        <v>1</v>
      </c>
      <c r="E12" s="2">
        <v>1.1439999999999999</v>
      </c>
      <c r="F12" s="2">
        <v>2</v>
      </c>
      <c r="H12" s="2">
        <v>47</v>
      </c>
      <c r="I12" s="2">
        <v>12</v>
      </c>
      <c r="J12" s="2">
        <v>1</v>
      </c>
      <c r="K12" s="2">
        <v>1</v>
      </c>
      <c r="L12" s="2">
        <v>1.1439999999999999</v>
      </c>
      <c r="M12" s="2">
        <v>2</v>
      </c>
    </row>
    <row r="13" spans="1:22" ht="14.25" customHeight="1">
      <c r="A13" s="2">
        <v>47</v>
      </c>
      <c r="B13" s="2">
        <v>13</v>
      </c>
      <c r="C13" s="2">
        <v>7</v>
      </c>
      <c r="D13" s="2">
        <v>1</v>
      </c>
      <c r="E13" s="2">
        <v>0.80200000000000005</v>
      </c>
      <c r="F13" s="2">
        <v>1</v>
      </c>
      <c r="H13" s="2">
        <v>47</v>
      </c>
      <c r="I13" s="2">
        <v>13</v>
      </c>
      <c r="J13" s="2">
        <v>7</v>
      </c>
      <c r="K13" s="2">
        <v>1</v>
      </c>
      <c r="L13" s="2">
        <v>0.80200000000000005</v>
      </c>
      <c r="M13" s="2">
        <v>1</v>
      </c>
    </row>
    <row r="14" spans="1:22" ht="14.25" customHeight="1">
      <c r="A14" s="2">
        <v>47</v>
      </c>
      <c r="B14" s="2">
        <v>14</v>
      </c>
      <c r="C14" s="2">
        <v>2</v>
      </c>
      <c r="D14" s="2">
        <v>0</v>
      </c>
      <c r="E14" s="2">
        <v>0.92900000000000005</v>
      </c>
      <c r="F14" s="2">
        <v>2</v>
      </c>
      <c r="H14" s="2">
        <v>47</v>
      </c>
      <c r="I14" s="2">
        <v>14</v>
      </c>
      <c r="J14" s="2">
        <v>2</v>
      </c>
      <c r="K14" s="2">
        <v>0</v>
      </c>
      <c r="L14" s="2">
        <v>0.92900000000000005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47</v>
      </c>
      <c r="B15" s="2">
        <v>15</v>
      </c>
      <c r="C15" s="2">
        <v>8</v>
      </c>
      <c r="D15" s="2">
        <v>0</v>
      </c>
      <c r="E15" s="2">
        <v>1.208</v>
      </c>
      <c r="F15" s="2">
        <v>2</v>
      </c>
      <c r="H15" s="2">
        <v>47</v>
      </c>
      <c r="I15" s="2">
        <v>15</v>
      </c>
      <c r="J15" s="2">
        <v>8</v>
      </c>
      <c r="K15" s="2">
        <v>0</v>
      </c>
      <c r="L15" s="2">
        <v>1.208</v>
      </c>
      <c r="M15" s="2">
        <v>2</v>
      </c>
      <c r="O15" s="2" t="s">
        <v>9</v>
      </c>
    </row>
    <row r="16" spans="1:22" ht="14.25" customHeight="1">
      <c r="A16" s="2">
        <v>47</v>
      </c>
      <c r="B16" s="2">
        <v>16</v>
      </c>
      <c r="C16" s="2">
        <v>6</v>
      </c>
      <c r="D16" s="2">
        <v>1</v>
      </c>
      <c r="E16" s="2">
        <v>1.425</v>
      </c>
      <c r="F16" s="2">
        <v>2</v>
      </c>
      <c r="H16" s="2">
        <v>47</v>
      </c>
      <c r="I16" s="2">
        <v>16</v>
      </c>
      <c r="J16" s="2">
        <v>6</v>
      </c>
      <c r="K16" s="2">
        <v>1</v>
      </c>
      <c r="L16" s="2">
        <v>1.425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47</v>
      </c>
      <c r="B17" s="2">
        <v>17</v>
      </c>
      <c r="C17" s="2">
        <v>2</v>
      </c>
      <c r="D17" s="2">
        <v>1</v>
      </c>
      <c r="E17" s="2">
        <v>0.82</v>
      </c>
      <c r="F17" s="2">
        <v>1</v>
      </c>
      <c r="H17" s="2">
        <v>47</v>
      </c>
      <c r="I17" s="2">
        <v>17</v>
      </c>
      <c r="J17" s="2">
        <v>2</v>
      </c>
      <c r="K17" s="2">
        <v>1</v>
      </c>
      <c r="L17" s="2">
        <v>0.82</v>
      </c>
      <c r="M17" s="2">
        <v>1</v>
      </c>
      <c r="N17" s="2">
        <v>1</v>
      </c>
      <c r="O17" s="2">
        <f t="shared" ref="O17:O22" si="0">(O6*COUNTIF($J$1:$J$100,O$16) - COUNTIFS($J$1:$J$100,O$16,$K$1:$K$100,"=1"))^2</f>
        <v>28.089999999999989</v>
      </c>
      <c r="P17" s="2">
        <f t="shared" ref="P17:P22" si="1">(P6*COUNTIF($J$1:$J$100,P$16) - COUNTIFS($J$1:$J$100,P$16,$K$1:$K$100,"=0"))^2</f>
        <v>5.76</v>
      </c>
      <c r="Q17" s="2">
        <f t="shared" ref="Q17:Q22" si="2">(Q6*COUNTIF($J$1:$J$100,Q$16) - COUNTIFS($J$1:$J$100,Q$16,$K$1:$K$100,"=1"))^2</f>
        <v>68.889999999999986</v>
      </c>
      <c r="R17" s="2">
        <f t="shared" ref="R17:R22" si="3">(R6*COUNTIF($J$1:$J$100,R$16) - COUNTIFS($J$1:$J$100,R$16,$K$1:$K$100,"=0"))^2</f>
        <v>1.9599999999999997</v>
      </c>
      <c r="S17" s="2">
        <f t="shared" ref="S17:T17" si="4">(S6*COUNTIF($J$1:$J$100,S$16) - COUNTIFS($J$1:$J$100,S$16,$K$1:$K$100,"=1"))^2</f>
        <v>5.7599999999999936</v>
      </c>
      <c r="T17" s="2">
        <f t="shared" si="4"/>
        <v>11.55999999999999</v>
      </c>
      <c r="U17" s="2">
        <f t="shared" ref="U17:V17" si="5">(U6*COUNTIF($J$1:$J$100,U$16) - COUNTIFS($J$1:$J$100,U$16,$K$1:$K$100,"=0"))^2</f>
        <v>1.9599999999999997</v>
      </c>
      <c r="V17" s="2">
        <f t="shared" si="5"/>
        <v>41.602499999999999</v>
      </c>
    </row>
    <row r="18" spans="1:22" ht="14.25" customHeight="1">
      <c r="A18" s="2">
        <v>47</v>
      </c>
      <c r="B18" s="2">
        <v>18</v>
      </c>
      <c r="C18" s="2">
        <v>8</v>
      </c>
      <c r="D18" s="2">
        <v>1</v>
      </c>
      <c r="E18" s="2">
        <v>1.782</v>
      </c>
      <c r="F18" s="2">
        <v>1</v>
      </c>
      <c r="H18" s="2">
        <v>47</v>
      </c>
      <c r="I18" s="2">
        <v>18</v>
      </c>
      <c r="J18" s="2">
        <v>8</v>
      </c>
      <c r="K18" s="2">
        <v>1</v>
      </c>
      <c r="L18" s="2">
        <v>1.782</v>
      </c>
      <c r="M18" s="2">
        <v>1</v>
      </c>
      <c r="N18" s="2">
        <v>2</v>
      </c>
      <c r="O18" s="2">
        <f t="shared" si="0"/>
        <v>28.089999999999989</v>
      </c>
      <c r="P18" s="2">
        <f t="shared" si="1"/>
        <v>70.559999999999974</v>
      </c>
      <c r="Q18" s="2">
        <f t="shared" si="2"/>
        <v>18.489999999999998</v>
      </c>
      <c r="R18" s="2">
        <f t="shared" si="3"/>
        <v>1.9599999999999997</v>
      </c>
      <c r="S18" s="2">
        <f t="shared" ref="S18:T18" si="6">(S7*COUNTIF($J$1:$J$100,S$16) - COUNTIFS($J$1:$J$100,S$16,$K$1:$K$100,"=1"))^2</f>
        <v>5.7599999999999936</v>
      </c>
      <c r="T18" s="2">
        <f t="shared" si="6"/>
        <v>11.55999999999999</v>
      </c>
      <c r="U18" s="2">
        <f t="shared" ref="U18:V18" si="7">(U7*COUNTIF($J$1:$J$100,U$16) - COUNTIFS($J$1:$J$100,U$16,$K$1:$K$100,"=0"))^2</f>
        <v>1.9599999999999997</v>
      </c>
      <c r="V18" s="2">
        <f t="shared" si="7"/>
        <v>41.602499999999999</v>
      </c>
    </row>
    <row r="19" spans="1:22" ht="14.25" customHeight="1">
      <c r="A19" s="2">
        <v>47</v>
      </c>
      <c r="B19" s="2">
        <v>19</v>
      </c>
      <c r="C19" s="2">
        <v>7</v>
      </c>
      <c r="D19" s="2">
        <v>1</v>
      </c>
      <c r="E19" s="2">
        <v>1.109</v>
      </c>
      <c r="F19" s="2">
        <v>1</v>
      </c>
      <c r="H19" s="2">
        <v>47</v>
      </c>
      <c r="I19" s="2">
        <v>19</v>
      </c>
      <c r="J19" s="2">
        <v>7</v>
      </c>
      <c r="K19" s="2">
        <v>1</v>
      </c>
      <c r="L19" s="2">
        <v>1.109</v>
      </c>
      <c r="M19" s="2">
        <v>1</v>
      </c>
      <c r="N19" s="2">
        <v>3</v>
      </c>
      <c r="O19" s="2">
        <f t="shared" si="0"/>
        <v>28.089999999999989</v>
      </c>
      <c r="P19" s="2">
        <f t="shared" si="1"/>
        <v>5.76</v>
      </c>
      <c r="Q19" s="2">
        <f t="shared" si="2"/>
        <v>68.889999999999986</v>
      </c>
      <c r="R19" s="2">
        <f t="shared" si="3"/>
        <v>1.9599999999999997</v>
      </c>
      <c r="S19" s="2">
        <f t="shared" ref="S19:T19" si="8">(S8*COUNTIF($J$1:$J$100,S$16) - COUNTIFS($J$1:$J$100,S$16,$K$1:$K$100,"=1"))^2</f>
        <v>5.7599999999999936</v>
      </c>
      <c r="T19" s="2">
        <f t="shared" si="8"/>
        <v>54.760000000000005</v>
      </c>
      <c r="U19" s="2">
        <f t="shared" ref="U19:V19" si="9">(U8*COUNTIF($J$1:$J$100,U$16) - COUNTIFS($J$1:$J$100,U$16,$K$1:$K$100,"=0"))^2</f>
        <v>88.359999999999971</v>
      </c>
      <c r="V19" s="2">
        <f t="shared" si="9"/>
        <v>41.602499999999999</v>
      </c>
    </row>
    <row r="20" spans="1:22" ht="14.25" customHeight="1">
      <c r="A20" s="2">
        <v>47</v>
      </c>
      <c r="B20" s="2">
        <v>20</v>
      </c>
      <c r="C20" s="2">
        <v>2</v>
      </c>
      <c r="D20" s="2">
        <v>1</v>
      </c>
      <c r="E20" s="2">
        <v>1.284</v>
      </c>
      <c r="F20" s="2">
        <v>1</v>
      </c>
      <c r="H20" s="2">
        <v>47</v>
      </c>
      <c r="I20" s="2">
        <v>20</v>
      </c>
      <c r="J20" s="2">
        <v>2</v>
      </c>
      <c r="K20" s="2">
        <v>1</v>
      </c>
      <c r="L20" s="2">
        <v>1.284</v>
      </c>
      <c r="M20" s="2">
        <v>1</v>
      </c>
      <c r="N20" s="2">
        <v>4</v>
      </c>
      <c r="O20" s="2">
        <f t="shared" si="0"/>
        <v>1</v>
      </c>
      <c r="P20" s="2">
        <f t="shared" si="1"/>
        <v>9</v>
      </c>
      <c r="Q20" s="2">
        <f t="shared" si="2"/>
        <v>4</v>
      </c>
      <c r="R20" s="2">
        <f t="shared" si="3"/>
        <v>16</v>
      </c>
      <c r="S20" s="2">
        <f t="shared" ref="S20:T20" si="10">(S9*COUNTIF($J$1:$J$100,S$16) - COUNTIFS($J$1:$J$100,S$16,$K$1:$K$100,"=1"))^2</f>
        <v>5.7599999999999936</v>
      </c>
      <c r="T20" s="2">
        <f t="shared" si="10"/>
        <v>11.55999999999999</v>
      </c>
      <c r="U20" s="2">
        <f t="shared" ref="U20:V20" si="11">(U9*COUNTIF($J$1:$J$100,U$16) - COUNTIFS($J$1:$J$100,U$16,$K$1:$K$100,"=0"))^2</f>
        <v>1.9599999999999997</v>
      </c>
      <c r="V20" s="2">
        <f t="shared" si="11"/>
        <v>41.602499999999999</v>
      </c>
    </row>
    <row r="21" spans="1:22" ht="14.25" customHeight="1">
      <c r="A21" s="2">
        <v>47</v>
      </c>
      <c r="B21" s="2">
        <v>21</v>
      </c>
      <c r="C21" s="2">
        <v>4</v>
      </c>
      <c r="D21" s="2">
        <v>0</v>
      </c>
      <c r="E21" s="2">
        <v>1.3</v>
      </c>
      <c r="F21" s="2">
        <v>2</v>
      </c>
      <c r="H21" s="2">
        <v>47</v>
      </c>
      <c r="I21" s="2">
        <v>21</v>
      </c>
      <c r="J21" s="2">
        <v>4</v>
      </c>
      <c r="K21" s="2">
        <v>0</v>
      </c>
      <c r="L21" s="2">
        <v>1.3</v>
      </c>
      <c r="M21" s="2">
        <v>2</v>
      </c>
      <c r="N21" s="2">
        <v>5</v>
      </c>
      <c r="O21" s="2">
        <f t="shared" si="0"/>
        <v>28.089999999999989</v>
      </c>
      <c r="P21" s="2">
        <f t="shared" si="1"/>
        <v>5.76</v>
      </c>
      <c r="Q21" s="2">
        <f t="shared" si="2"/>
        <v>68.889999999999986</v>
      </c>
      <c r="R21" s="2">
        <f t="shared" si="3"/>
        <v>1.9599999999999997</v>
      </c>
      <c r="S21" s="2">
        <f t="shared" ref="S21:T21" si="12">(S10*COUNTIF($J$1:$J$100,S$16) - COUNTIFS($J$1:$J$100,S$16,$K$1:$K$100,"=1"))^2</f>
        <v>9</v>
      </c>
      <c r="T21" s="2">
        <f t="shared" si="12"/>
        <v>4</v>
      </c>
      <c r="U21" s="2">
        <f t="shared" ref="U21:V21" si="13">(U10*COUNTIF($J$1:$J$100,U$16) - COUNTIFS($J$1:$J$100,U$16,$K$1:$K$100,"=0"))^2</f>
        <v>16</v>
      </c>
      <c r="V21" s="2">
        <f t="shared" si="13"/>
        <v>2.25</v>
      </c>
    </row>
    <row r="22" spans="1:22" ht="14.25" customHeight="1">
      <c r="A22" s="2">
        <v>47</v>
      </c>
      <c r="B22" s="2">
        <v>22</v>
      </c>
      <c r="C22" s="2">
        <v>3</v>
      </c>
      <c r="D22" s="2">
        <v>0</v>
      </c>
      <c r="E22" s="2">
        <v>1.2669999999999999</v>
      </c>
      <c r="F22" s="2">
        <v>1</v>
      </c>
      <c r="H22" s="2">
        <v>47</v>
      </c>
      <c r="I22" s="2">
        <v>22</v>
      </c>
      <c r="J22" s="2">
        <v>3</v>
      </c>
      <c r="K22" s="2">
        <v>0</v>
      </c>
      <c r="L22" s="2">
        <v>1.2669999999999999</v>
      </c>
      <c r="M22" s="2">
        <v>1</v>
      </c>
      <c r="N22" s="2">
        <v>6</v>
      </c>
      <c r="O22" s="2">
        <f t="shared" si="0"/>
        <v>1</v>
      </c>
      <c r="P22" s="2">
        <f t="shared" si="1"/>
        <v>9</v>
      </c>
      <c r="Q22" s="2">
        <f t="shared" si="2"/>
        <v>4</v>
      </c>
      <c r="R22" s="2">
        <f t="shared" si="3"/>
        <v>16</v>
      </c>
      <c r="S22" s="2">
        <f t="shared" ref="S22:T22" si="14">(S11*COUNTIF($J$1:$J$100,S$16) - COUNTIFS($J$1:$J$100,S$16,$K$1:$K$100,"=1"))^2</f>
        <v>9</v>
      </c>
      <c r="T22" s="2">
        <f t="shared" si="14"/>
        <v>4</v>
      </c>
      <c r="U22" s="2">
        <f t="shared" ref="U22:V22" si="15">(U11*COUNTIF($J$1:$J$100,U$16) - COUNTIFS($J$1:$J$100,U$16,$K$1:$K$100,"=0"))^2</f>
        <v>16</v>
      </c>
      <c r="V22" s="2">
        <f t="shared" si="15"/>
        <v>2.25</v>
      </c>
    </row>
    <row r="23" spans="1:22" ht="14.25" customHeight="1">
      <c r="A23" s="2">
        <v>47</v>
      </c>
      <c r="B23" s="2">
        <v>23</v>
      </c>
      <c r="C23" s="2">
        <v>8</v>
      </c>
      <c r="D23" s="2">
        <v>0</v>
      </c>
      <c r="E23" s="2">
        <v>1.6160000000000001</v>
      </c>
      <c r="F23" s="2">
        <v>2</v>
      </c>
      <c r="H23" s="2">
        <v>47</v>
      </c>
      <c r="I23" s="2">
        <v>23</v>
      </c>
      <c r="J23" s="2">
        <v>8</v>
      </c>
      <c r="K23" s="2">
        <v>0</v>
      </c>
      <c r="L23" s="2">
        <v>1.6160000000000001</v>
      </c>
      <c r="M23" s="2">
        <v>2</v>
      </c>
    </row>
    <row r="24" spans="1:22" ht="14.25" customHeight="1">
      <c r="A24" s="2">
        <v>47</v>
      </c>
      <c r="B24" s="2">
        <v>24</v>
      </c>
      <c r="C24" s="2">
        <v>2</v>
      </c>
      <c r="D24" s="2">
        <v>0</v>
      </c>
      <c r="E24" s="2">
        <v>1.94</v>
      </c>
      <c r="F24" s="2">
        <v>2</v>
      </c>
      <c r="H24" s="2">
        <v>47</v>
      </c>
      <c r="I24" s="2">
        <v>24</v>
      </c>
      <c r="J24" s="2">
        <v>2</v>
      </c>
      <c r="K24" s="2">
        <v>0</v>
      </c>
      <c r="L24" s="2">
        <v>1.94</v>
      </c>
      <c r="M24" s="2">
        <v>2</v>
      </c>
    </row>
    <row r="25" spans="1:22" ht="14.25" customHeight="1">
      <c r="A25" s="2">
        <v>47</v>
      </c>
      <c r="B25" s="2">
        <v>25</v>
      </c>
      <c r="C25" s="2">
        <v>7</v>
      </c>
      <c r="D25" s="2">
        <v>1</v>
      </c>
      <c r="E25" s="2">
        <v>1.2909999999999999</v>
      </c>
      <c r="F25" s="2">
        <v>1</v>
      </c>
      <c r="H25" s="2">
        <v>47</v>
      </c>
      <c r="I25" s="2">
        <v>25</v>
      </c>
      <c r="J25" s="2">
        <v>7</v>
      </c>
      <c r="K25" s="2">
        <v>1</v>
      </c>
      <c r="L25" s="2">
        <v>1.2909999999999999</v>
      </c>
      <c r="M25" s="2">
        <v>1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47</v>
      </c>
      <c r="B26" s="2">
        <v>26</v>
      </c>
      <c r="C26" s="2">
        <v>3</v>
      </c>
      <c r="D26" s="2">
        <v>1</v>
      </c>
      <c r="E26" s="2">
        <v>1.329</v>
      </c>
      <c r="F26" s="2">
        <v>2</v>
      </c>
      <c r="H26" s="2">
        <v>47</v>
      </c>
      <c r="I26" s="2">
        <v>26</v>
      </c>
      <c r="J26" s="2">
        <v>3</v>
      </c>
      <c r="K26" s="2">
        <v>1</v>
      </c>
      <c r="L26" s="2">
        <v>1.329</v>
      </c>
      <c r="M26" s="2">
        <v>2</v>
      </c>
      <c r="O26" s="2">
        <f t="shared" ref="O26:V26" si="16">COUNTIF($J$1:$J$100,O$16)^2</f>
        <v>196</v>
      </c>
      <c r="P26" s="2">
        <f t="shared" si="16"/>
        <v>144</v>
      </c>
      <c r="Q26" s="2">
        <f t="shared" si="16"/>
        <v>196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144</v>
      </c>
      <c r="V26" s="2">
        <f t="shared" si="16"/>
        <v>121</v>
      </c>
    </row>
    <row r="27" spans="1:22" ht="14.25" customHeight="1">
      <c r="A27" s="2">
        <v>47</v>
      </c>
      <c r="B27" s="2">
        <v>27</v>
      </c>
      <c r="C27" s="2">
        <v>6</v>
      </c>
      <c r="D27" s="2">
        <v>1</v>
      </c>
      <c r="E27" s="2">
        <v>1.7450000000000001</v>
      </c>
      <c r="F27" s="2">
        <v>2</v>
      </c>
      <c r="H27" s="2">
        <v>47</v>
      </c>
      <c r="I27" s="2">
        <v>27</v>
      </c>
      <c r="J27" s="2">
        <v>6</v>
      </c>
      <c r="K27" s="2">
        <v>1</v>
      </c>
      <c r="L27" s="2">
        <v>1.7450000000000001</v>
      </c>
      <c r="M27" s="2">
        <v>2</v>
      </c>
    </row>
    <row r="28" spans="1:22" ht="14.25" customHeight="1">
      <c r="A28" s="2">
        <v>47</v>
      </c>
      <c r="B28" s="2">
        <v>28</v>
      </c>
      <c r="C28" s="2">
        <v>4</v>
      </c>
      <c r="D28" s="2">
        <v>1</v>
      </c>
      <c r="E28" s="2">
        <v>1.425</v>
      </c>
      <c r="F28" s="2">
        <v>1</v>
      </c>
      <c r="H28" s="2">
        <v>47</v>
      </c>
      <c r="I28" s="2">
        <v>28</v>
      </c>
      <c r="J28" s="2">
        <v>4</v>
      </c>
      <c r="K28" s="2">
        <v>1</v>
      </c>
      <c r="L28" s="2">
        <v>1.425</v>
      </c>
      <c r="M28" s="2">
        <v>1</v>
      </c>
    </row>
    <row r="29" spans="1:22" ht="14.25" customHeight="1">
      <c r="A29" s="2">
        <v>47</v>
      </c>
      <c r="B29" s="2">
        <v>29</v>
      </c>
      <c r="C29" s="2">
        <v>1</v>
      </c>
      <c r="D29" s="2">
        <v>1</v>
      </c>
      <c r="E29" s="2">
        <v>1.722</v>
      </c>
      <c r="F29" s="2">
        <v>2</v>
      </c>
      <c r="H29" s="2">
        <v>47</v>
      </c>
      <c r="I29" s="2">
        <v>29</v>
      </c>
      <c r="J29" s="2">
        <v>1</v>
      </c>
      <c r="K29" s="2">
        <v>1</v>
      </c>
      <c r="L29" s="2">
        <v>1.722</v>
      </c>
      <c r="M29" s="2">
        <v>2</v>
      </c>
    </row>
    <row r="30" spans="1:22" ht="14.25" customHeight="1">
      <c r="A30" s="2">
        <v>47</v>
      </c>
      <c r="B30" s="2">
        <v>30</v>
      </c>
      <c r="C30" s="2">
        <v>5</v>
      </c>
      <c r="D30" s="2">
        <v>0</v>
      </c>
      <c r="E30" s="2">
        <v>1.3939999999999999</v>
      </c>
      <c r="F30" s="2">
        <v>1</v>
      </c>
      <c r="H30" s="2">
        <v>47</v>
      </c>
      <c r="I30" s="2">
        <v>30</v>
      </c>
      <c r="J30" s="2">
        <v>5</v>
      </c>
      <c r="K30" s="2">
        <v>0</v>
      </c>
      <c r="L30" s="2">
        <v>1.3939999999999999</v>
      </c>
      <c r="M30" s="2">
        <v>1</v>
      </c>
    </row>
    <row r="31" spans="1:22" ht="14.25" customHeight="1">
      <c r="A31" s="2">
        <v>47</v>
      </c>
      <c r="B31" s="2">
        <v>31</v>
      </c>
      <c r="C31" s="2">
        <v>1</v>
      </c>
      <c r="D31" s="2">
        <v>0</v>
      </c>
      <c r="E31" s="2">
        <v>0.8</v>
      </c>
      <c r="F31" s="2">
        <v>1</v>
      </c>
      <c r="H31" s="2">
        <v>47</v>
      </c>
      <c r="I31" s="2">
        <v>31</v>
      </c>
      <c r="J31" s="2">
        <v>1</v>
      </c>
      <c r="K31" s="2">
        <v>0</v>
      </c>
      <c r="L31" s="2">
        <v>0.8</v>
      </c>
      <c r="M31" s="2">
        <v>1</v>
      </c>
      <c r="N31" s="2">
        <v>1</v>
      </c>
      <c r="O31" s="2">
        <f t="shared" ref="O31:O36" si="17">SUM(O17:V17)/(SUM($O$26:$V$26))</f>
        <v>0.13429237631792373</v>
      </c>
    </row>
    <row r="32" spans="1:22" ht="14.25" customHeight="1">
      <c r="A32" s="2">
        <v>47</v>
      </c>
      <c r="B32" s="2">
        <v>32</v>
      </c>
      <c r="C32" s="2">
        <v>4</v>
      </c>
      <c r="D32" s="2">
        <v>1</v>
      </c>
      <c r="E32" s="2">
        <v>1.702</v>
      </c>
      <c r="F32" s="2">
        <v>1</v>
      </c>
      <c r="H32" s="2">
        <v>47</v>
      </c>
      <c r="I32" s="2">
        <v>32</v>
      </c>
      <c r="J32" s="2">
        <v>4</v>
      </c>
      <c r="K32" s="2">
        <v>1</v>
      </c>
      <c r="L32" s="2">
        <v>1.702</v>
      </c>
      <c r="M32" s="2">
        <v>1</v>
      </c>
      <c r="N32" s="2">
        <v>2</v>
      </c>
      <c r="O32" s="2">
        <f t="shared" si="17"/>
        <v>0.14597120843471204</v>
      </c>
    </row>
    <row r="33" spans="1:19" ht="14.25" customHeight="1">
      <c r="A33" s="2">
        <v>47</v>
      </c>
      <c r="B33" s="2">
        <v>33</v>
      </c>
      <c r="C33" s="2">
        <v>3</v>
      </c>
      <c r="D33" s="2">
        <v>1</v>
      </c>
      <c r="E33" s="2">
        <v>1.393</v>
      </c>
      <c r="F33" s="2">
        <v>2</v>
      </c>
      <c r="H33" s="2">
        <v>47</v>
      </c>
      <c r="I33" s="2">
        <v>33</v>
      </c>
      <c r="J33" s="2">
        <v>3</v>
      </c>
      <c r="K33" s="2">
        <v>1</v>
      </c>
      <c r="L33" s="2">
        <v>1.393</v>
      </c>
      <c r="M33" s="2">
        <v>2</v>
      </c>
      <c r="N33" s="2">
        <v>3</v>
      </c>
      <c r="O33" s="2">
        <f t="shared" si="17"/>
        <v>0.23940186536901861</v>
      </c>
    </row>
    <row r="34" spans="1:19" ht="14.25" customHeight="1">
      <c r="A34" s="2">
        <v>47</v>
      </c>
      <c r="B34" s="2">
        <v>34</v>
      </c>
      <c r="C34" s="2">
        <v>6</v>
      </c>
      <c r="D34" s="2">
        <v>0</v>
      </c>
      <c r="E34" s="2">
        <v>1.282</v>
      </c>
      <c r="F34" s="2">
        <v>1</v>
      </c>
      <c r="H34" s="2">
        <v>47</v>
      </c>
      <c r="I34" s="2">
        <v>34</v>
      </c>
      <c r="J34" s="2">
        <v>6</v>
      </c>
      <c r="K34" s="2">
        <v>0</v>
      </c>
      <c r="L34" s="2">
        <v>1.282</v>
      </c>
      <c r="M34" s="2">
        <v>1</v>
      </c>
      <c r="N34" s="2">
        <v>4</v>
      </c>
      <c r="O34" s="2">
        <f t="shared" si="17"/>
        <v>7.3708434712084325E-2</v>
      </c>
    </row>
    <row r="35" spans="1:19" ht="14.25" customHeight="1">
      <c r="A35" s="2">
        <v>47</v>
      </c>
      <c r="B35" s="2">
        <v>35</v>
      </c>
      <c r="C35" s="2">
        <v>1</v>
      </c>
      <c r="D35" s="2">
        <v>0</v>
      </c>
      <c r="E35" s="2">
        <v>1.385</v>
      </c>
      <c r="F35" s="2">
        <v>1</v>
      </c>
      <c r="H35" s="2">
        <v>47</v>
      </c>
      <c r="I35" s="2">
        <v>35</v>
      </c>
      <c r="J35" s="2">
        <v>1</v>
      </c>
      <c r="K35" s="2">
        <v>0</v>
      </c>
      <c r="L35" s="2">
        <v>1.385</v>
      </c>
      <c r="M35" s="2">
        <v>1</v>
      </c>
      <c r="N35" s="2">
        <v>5</v>
      </c>
      <c r="O35" s="2">
        <f t="shared" si="17"/>
        <v>0.11025952960259529</v>
      </c>
    </row>
    <row r="36" spans="1:19" ht="14.25" customHeight="1">
      <c r="A36" s="2">
        <v>47</v>
      </c>
      <c r="B36" s="2">
        <v>36</v>
      </c>
      <c r="C36" s="2">
        <v>6</v>
      </c>
      <c r="D36" s="2">
        <v>1</v>
      </c>
      <c r="E36" s="2">
        <v>1.7350000000000001</v>
      </c>
      <c r="F36" s="2">
        <v>2</v>
      </c>
      <c r="H36" s="2">
        <v>47</v>
      </c>
      <c r="I36" s="2">
        <v>36</v>
      </c>
      <c r="J36" s="2">
        <v>6</v>
      </c>
      <c r="K36" s="2">
        <v>1</v>
      </c>
      <c r="L36" s="2">
        <v>1.7350000000000001</v>
      </c>
      <c r="M36" s="2">
        <v>2</v>
      </c>
      <c r="N36" s="2">
        <v>6</v>
      </c>
      <c r="O36" s="2">
        <f t="shared" si="17"/>
        <v>4.9675587996755879E-2</v>
      </c>
    </row>
    <row r="37" spans="1:19" ht="14.25" customHeight="1">
      <c r="A37" s="2">
        <v>47</v>
      </c>
      <c r="B37" s="2">
        <v>37</v>
      </c>
      <c r="C37" s="2">
        <v>1</v>
      </c>
      <c r="D37" s="2">
        <v>0</v>
      </c>
      <c r="E37" s="2">
        <v>1.5589999999999999</v>
      </c>
      <c r="F37" s="2">
        <v>1</v>
      </c>
      <c r="H37" s="2">
        <v>47</v>
      </c>
      <c r="I37" s="2">
        <v>37</v>
      </c>
      <c r="J37" s="2">
        <v>1</v>
      </c>
      <c r="K37" s="2">
        <v>0</v>
      </c>
      <c r="L37" s="2">
        <v>1.5589999999999999</v>
      </c>
      <c r="M37" s="2">
        <v>1</v>
      </c>
      <c r="P37" s="2">
        <v>0.17351910828025474</v>
      </c>
      <c r="Q37" s="2">
        <v>0.1207370820668693</v>
      </c>
      <c r="R37" s="2">
        <v>0.15565614617940196</v>
      </c>
      <c r="S37" s="2">
        <v>6.0031847133757985E-3</v>
      </c>
    </row>
    <row r="38" spans="1:19" ht="14.25" customHeight="1">
      <c r="A38" s="2">
        <v>47</v>
      </c>
      <c r="B38" s="2">
        <v>38</v>
      </c>
      <c r="C38" s="2">
        <v>8</v>
      </c>
      <c r="D38" s="2">
        <v>0</v>
      </c>
      <c r="E38" s="2">
        <v>1.569</v>
      </c>
      <c r="F38" s="2">
        <v>2</v>
      </c>
      <c r="H38" s="2">
        <v>47</v>
      </c>
      <c r="I38" s="2">
        <v>38</v>
      </c>
      <c r="J38" s="2">
        <v>8</v>
      </c>
      <c r="K38" s="2">
        <v>0</v>
      </c>
      <c r="L38" s="2">
        <v>1.569</v>
      </c>
      <c r="M38" s="2">
        <v>2</v>
      </c>
      <c r="P38" s="2">
        <v>0.18785031847133757</v>
      </c>
      <c r="Q38" s="2">
        <v>0.12894376899696047</v>
      </c>
      <c r="R38" s="2">
        <v>0.21246677740863784</v>
      </c>
      <c r="S38" s="2">
        <v>0.21523885350318475</v>
      </c>
    </row>
    <row r="39" spans="1:19" ht="14.25" customHeight="1">
      <c r="A39" s="2">
        <v>47</v>
      </c>
      <c r="B39" s="2">
        <v>39</v>
      </c>
      <c r="C39" s="2">
        <v>3</v>
      </c>
      <c r="D39" s="2">
        <v>1</v>
      </c>
      <c r="E39" s="2">
        <v>1.3129999999999999</v>
      </c>
      <c r="F39" s="2">
        <v>2</v>
      </c>
      <c r="H39" s="2">
        <v>47</v>
      </c>
      <c r="I39" s="2">
        <v>39</v>
      </c>
      <c r="J39" s="2">
        <v>3</v>
      </c>
      <c r="K39" s="2">
        <v>1</v>
      </c>
      <c r="L39" s="2">
        <v>1.3129999999999999</v>
      </c>
      <c r="M39" s="2">
        <v>2</v>
      </c>
      <c r="P39" s="2">
        <v>0.27670382165605095</v>
      </c>
      <c r="Q39" s="2">
        <v>0.2192173252279635</v>
      </c>
      <c r="R39" s="2">
        <v>0.22741694352159464</v>
      </c>
      <c r="S39" s="2">
        <v>0.21237261146496816</v>
      </c>
    </row>
    <row r="40" spans="1:19" ht="14.25" customHeight="1">
      <c r="A40" s="2">
        <v>47</v>
      </c>
      <c r="B40" s="2">
        <v>40</v>
      </c>
      <c r="C40" s="2">
        <v>2</v>
      </c>
      <c r="D40" s="2">
        <v>1</v>
      </c>
      <c r="E40" s="2">
        <v>1.32</v>
      </c>
      <c r="F40" s="2">
        <v>1</v>
      </c>
      <c r="H40" s="2">
        <v>47</v>
      </c>
      <c r="I40" s="2">
        <v>40</v>
      </c>
      <c r="J40" s="2">
        <v>2</v>
      </c>
      <c r="K40" s="2">
        <v>1</v>
      </c>
      <c r="L40" s="2">
        <v>1.32</v>
      </c>
      <c r="M40" s="2">
        <v>1</v>
      </c>
      <c r="P40" s="2">
        <v>9.8280254777070059E-2</v>
      </c>
      <c r="Q40" s="2">
        <v>8.2097264437689957E-2</v>
      </c>
      <c r="R40" s="2">
        <v>9.6378737541528217E-2</v>
      </c>
      <c r="S40" s="2">
        <v>8.5541401273885348E-2</v>
      </c>
    </row>
    <row r="41" spans="1:19" ht="14.25" customHeight="1">
      <c r="A41" s="2">
        <v>47</v>
      </c>
      <c r="B41" s="2">
        <v>41</v>
      </c>
      <c r="C41" s="2">
        <v>3</v>
      </c>
      <c r="D41" s="2">
        <v>0</v>
      </c>
      <c r="E41" s="2">
        <v>1.472</v>
      </c>
      <c r="F41" s="2">
        <v>1</v>
      </c>
      <c r="H41" s="2">
        <v>47</v>
      </c>
      <c r="I41" s="2">
        <v>41</v>
      </c>
      <c r="J41" s="2">
        <v>3</v>
      </c>
      <c r="K41" s="2">
        <v>0</v>
      </c>
      <c r="L41" s="2">
        <v>1.472</v>
      </c>
      <c r="M41" s="2">
        <v>1</v>
      </c>
      <c r="P41" s="2">
        <v>0.11504777070063692</v>
      </c>
      <c r="Q41" s="2">
        <v>0.13058510638297871</v>
      </c>
      <c r="R41" s="2">
        <v>7.6719269102990012E-2</v>
      </c>
      <c r="S41" s="2">
        <v>0.11950636942675159</v>
      </c>
    </row>
    <row r="42" spans="1:19" ht="14.25" customHeight="1">
      <c r="A42" s="2">
        <v>47</v>
      </c>
      <c r="B42" s="2">
        <v>42</v>
      </c>
      <c r="C42" s="2">
        <v>5</v>
      </c>
      <c r="D42" s="2">
        <v>0</v>
      </c>
      <c r="E42" s="2">
        <v>1.7470000000000001</v>
      </c>
      <c r="F42" s="2">
        <v>1</v>
      </c>
      <c r="H42" s="2">
        <v>47</v>
      </c>
      <c r="I42" s="2">
        <v>42</v>
      </c>
      <c r="J42" s="2">
        <v>5</v>
      </c>
      <c r="K42" s="2">
        <v>0</v>
      </c>
      <c r="L42" s="2">
        <v>1.7470000000000001</v>
      </c>
      <c r="M42" s="2">
        <v>1</v>
      </c>
      <c r="P42" s="2">
        <v>3.9808917197452227E-2</v>
      </c>
      <c r="Q42" s="2">
        <v>9.1945288753799398E-2</v>
      </c>
      <c r="R42" s="2">
        <v>1.7441860465116279E-2</v>
      </c>
      <c r="S42" s="2">
        <v>0.19904458598726116</v>
      </c>
    </row>
    <row r="43" spans="1:19" ht="14.25" customHeight="1">
      <c r="A43" s="2">
        <v>47</v>
      </c>
      <c r="B43" s="2">
        <v>43</v>
      </c>
      <c r="C43" s="2">
        <v>8</v>
      </c>
      <c r="D43" s="2">
        <v>0</v>
      </c>
      <c r="E43" s="2">
        <v>1.2729999999999999</v>
      </c>
      <c r="F43" s="2">
        <v>2</v>
      </c>
      <c r="H43" s="2">
        <v>47</v>
      </c>
      <c r="I43" s="2">
        <v>43</v>
      </c>
      <c r="J43" s="2">
        <v>8</v>
      </c>
      <c r="K43" s="2">
        <v>0</v>
      </c>
      <c r="L43" s="2">
        <v>1.2729999999999999</v>
      </c>
      <c r="M43" s="2">
        <v>2</v>
      </c>
    </row>
    <row r="44" spans="1:19" ht="14.25" customHeight="1">
      <c r="A44" s="2">
        <v>47</v>
      </c>
      <c r="B44" s="2">
        <v>44</v>
      </c>
      <c r="C44" s="2">
        <v>2</v>
      </c>
      <c r="D44" s="2">
        <v>1</v>
      </c>
      <c r="E44" s="2">
        <v>1.421</v>
      </c>
      <c r="F44" s="2">
        <v>1</v>
      </c>
      <c r="H44" s="2">
        <v>47</v>
      </c>
      <c r="I44" s="2">
        <v>44</v>
      </c>
      <c r="J44" s="2">
        <v>2</v>
      </c>
      <c r="K44" s="2">
        <v>1</v>
      </c>
      <c r="L44" s="2">
        <v>1.421</v>
      </c>
      <c r="M44" s="2">
        <v>1</v>
      </c>
    </row>
    <row r="45" spans="1:19" ht="14.25" customHeight="1">
      <c r="A45" s="2">
        <v>47</v>
      </c>
      <c r="B45" s="2">
        <v>45</v>
      </c>
      <c r="C45" s="2">
        <v>4</v>
      </c>
      <c r="D45" s="2">
        <v>0</v>
      </c>
      <c r="E45" s="2">
        <v>1.3620000000000001</v>
      </c>
      <c r="F45" s="2">
        <v>2</v>
      </c>
      <c r="H45" s="2">
        <v>47</v>
      </c>
      <c r="I45" s="2">
        <v>45</v>
      </c>
      <c r="J45" s="2">
        <v>4</v>
      </c>
      <c r="K45" s="2">
        <v>0</v>
      </c>
      <c r="L45" s="2">
        <v>1.3620000000000001</v>
      </c>
      <c r="M45" s="2">
        <v>2</v>
      </c>
    </row>
    <row r="46" spans="1:19" ht="14.25" customHeight="1">
      <c r="A46" s="2">
        <v>47</v>
      </c>
      <c r="B46" s="2">
        <v>46</v>
      </c>
      <c r="C46" s="2">
        <v>5</v>
      </c>
      <c r="D46" s="2">
        <v>1</v>
      </c>
      <c r="E46" s="2">
        <v>1.387</v>
      </c>
      <c r="F46" s="2">
        <v>2</v>
      </c>
      <c r="H46" s="2">
        <v>47</v>
      </c>
      <c r="I46" s="2">
        <v>46</v>
      </c>
      <c r="J46" s="2">
        <v>5</v>
      </c>
      <c r="K46" s="2">
        <v>1</v>
      </c>
      <c r="L46" s="2">
        <v>1.387</v>
      </c>
      <c r="M46" s="2">
        <v>2</v>
      </c>
    </row>
    <row r="47" spans="1:19" ht="14.25" customHeight="1">
      <c r="A47" s="2">
        <v>47</v>
      </c>
      <c r="B47" s="2">
        <v>47</v>
      </c>
      <c r="C47" s="2">
        <v>1</v>
      </c>
      <c r="D47" s="2">
        <v>1</v>
      </c>
      <c r="E47" s="2">
        <v>1.635</v>
      </c>
      <c r="F47" s="2">
        <v>2</v>
      </c>
      <c r="H47" s="2">
        <v>47</v>
      </c>
      <c r="I47" s="2">
        <v>47</v>
      </c>
      <c r="J47" s="2">
        <v>1</v>
      </c>
      <c r="K47" s="2">
        <v>1</v>
      </c>
      <c r="L47" s="2">
        <v>1.635</v>
      </c>
      <c r="M47" s="2">
        <v>2</v>
      </c>
    </row>
    <row r="48" spans="1:19" ht="14.25" customHeight="1">
      <c r="A48" s="2">
        <v>47</v>
      </c>
      <c r="B48" s="2">
        <v>48</v>
      </c>
      <c r="C48" s="2">
        <v>7</v>
      </c>
      <c r="D48" s="2">
        <v>1</v>
      </c>
      <c r="E48" s="2">
        <v>1.718</v>
      </c>
      <c r="F48" s="2">
        <v>1</v>
      </c>
      <c r="H48" s="2">
        <v>47</v>
      </c>
      <c r="I48" s="2">
        <v>48</v>
      </c>
      <c r="J48" s="2">
        <v>7</v>
      </c>
      <c r="K48" s="2">
        <v>1</v>
      </c>
      <c r="L48" s="2">
        <v>1.718</v>
      </c>
      <c r="M48" s="2">
        <v>1</v>
      </c>
    </row>
    <row r="49" spans="1:13" ht="14.25" customHeight="1">
      <c r="A49" s="2">
        <v>47</v>
      </c>
      <c r="B49" s="2">
        <v>49</v>
      </c>
      <c r="C49" s="2">
        <v>8</v>
      </c>
      <c r="D49" s="2">
        <v>0</v>
      </c>
      <c r="E49" s="2">
        <v>1.617</v>
      </c>
      <c r="F49" s="2">
        <v>2</v>
      </c>
      <c r="H49" s="2">
        <v>47</v>
      </c>
      <c r="I49" s="2">
        <v>49</v>
      </c>
      <c r="J49" s="2">
        <v>8</v>
      </c>
      <c r="K49" s="2">
        <v>0</v>
      </c>
      <c r="L49" s="2">
        <v>1.617</v>
      </c>
      <c r="M49" s="2">
        <v>2</v>
      </c>
    </row>
    <row r="50" spans="1:13" ht="14.25" customHeight="1">
      <c r="A50" s="2">
        <v>47</v>
      </c>
      <c r="B50" s="2">
        <v>50</v>
      </c>
      <c r="C50" s="2">
        <v>1</v>
      </c>
      <c r="D50" s="2">
        <v>1</v>
      </c>
      <c r="E50" s="2">
        <v>1.661</v>
      </c>
      <c r="F50" s="2">
        <v>2</v>
      </c>
      <c r="H50" s="2">
        <v>47</v>
      </c>
      <c r="I50" s="2">
        <v>50</v>
      </c>
      <c r="J50" s="2">
        <v>1</v>
      </c>
      <c r="K50" s="2">
        <v>1</v>
      </c>
      <c r="L50" s="2">
        <v>1.661</v>
      </c>
      <c r="M50" s="2">
        <v>2</v>
      </c>
    </row>
    <row r="51" spans="1:13" ht="14.25" customHeight="1">
      <c r="A51" s="2">
        <v>47</v>
      </c>
      <c r="B51" s="2">
        <v>51</v>
      </c>
      <c r="C51" s="2">
        <v>4</v>
      </c>
      <c r="D51" s="2">
        <v>1</v>
      </c>
      <c r="E51" s="2">
        <v>1.613</v>
      </c>
      <c r="F51" s="2">
        <v>1</v>
      </c>
      <c r="H51" s="2">
        <v>47</v>
      </c>
      <c r="I51" s="2">
        <v>51</v>
      </c>
      <c r="J51" s="2">
        <v>4</v>
      </c>
      <c r="K51" s="2">
        <v>1</v>
      </c>
      <c r="L51" s="2">
        <v>1.613</v>
      </c>
      <c r="M51" s="2">
        <v>1</v>
      </c>
    </row>
    <row r="52" spans="1:13" ht="14.25" customHeight="1">
      <c r="A52" s="2">
        <v>47</v>
      </c>
      <c r="B52" s="2">
        <v>52</v>
      </c>
      <c r="C52" s="2">
        <v>2</v>
      </c>
      <c r="D52" s="2">
        <v>1</v>
      </c>
      <c r="E52" s="2">
        <v>0.92600000000000005</v>
      </c>
      <c r="F52" s="2">
        <v>2</v>
      </c>
      <c r="H52" s="2">
        <v>47</v>
      </c>
      <c r="I52" s="2">
        <v>52</v>
      </c>
      <c r="J52" s="2">
        <v>2</v>
      </c>
      <c r="K52" s="2">
        <v>1</v>
      </c>
      <c r="L52" s="2">
        <v>0.92600000000000005</v>
      </c>
      <c r="M52" s="2">
        <v>2</v>
      </c>
    </row>
    <row r="53" spans="1:13" ht="14.25" customHeight="1">
      <c r="A53" s="2">
        <v>47</v>
      </c>
      <c r="B53" s="2">
        <v>53</v>
      </c>
      <c r="C53" s="2">
        <v>6</v>
      </c>
      <c r="D53" s="2">
        <v>0</v>
      </c>
      <c r="E53" s="2">
        <v>0.748</v>
      </c>
      <c r="F53" s="2">
        <v>2</v>
      </c>
      <c r="H53" s="2">
        <v>47</v>
      </c>
      <c r="I53" s="2">
        <v>53</v>
      </c>
      <c r="J53" s="2">
        <v>6</v>
      </c>
      <c r="K53" s="2">
        <v>0</v>
      </c>
      <c r="L53" s="2">
        <v>0.748</v>
      </c>
      <c r="M53" s="2">
        <v>2</v>
      </c>
    </row>
    <row r="54" spans="1:13" ht="14.25" customHeight="1">
      <c r="A54" s="2">
        <v>47</v>
      </c>
      <c r="B54" s="2">
        <v>54</v>
      </c>
      <c r="C54" s="2">
        <v>4</v>
      </c>
      <c r="D54" s="2">
        <v>1</v>
      </c>
      <c r="E54" s="2">
        <v>1.333</v>
      </c>
      <c r="F54" s="2">
        <v>2</v>
      </c>
      <c r="H54" s="2">
        <v>47</v>
      </c>
      <c r="I54" s="2">
        <v>54</v>
      </c>
      <c r="J54" s="2">
        <v>4</v>
      </c>
      <c r="K54" s="2">
        <v>1</v>
      </c>
      <c r="L54" s="2">
        <v>1.333</v>
      </c>
      <c r="M54" s="2">
        <v>2</v>
      </c>
    </row>
    <row r="55" spans="1:13" ht="14.25" customHeight="1">
      <c r="A55" s="2">
        <v>47</v>
      </c>
      <c r="B55" s="2">
        <v>55</v>
      </c>
      <c r="C55" s="2">
        <v>3</v>
      </c>
      <c r="D55" s="2">
        <v>0</v>
      </c>
      <c r="E55" s="2">
        <v>1.3759999999999999</v>
      </c>
      <c r="F55" s="2">
        <v>1</v>
      </c>
      <c r="H55" s="2">
        <v>47</v>
      </c>
      <c r="I55" s="2">
        <v>55</v>
      </c>
      <c r="J55" s="2">
        <v>3</v>
      </c>
      <c r="K55" s="2">
        <v>0</v>
      </c>
      <c r="L55" s="2">
        <v>1.3759999999999999</v>
      </c>
      <c r="M55" s="2">
        <v>1</v>
      </c>
    </row>
    <row r="56" spans="1:13" ht="14.25" customHeight="1">
      <c r="A56" s="2">
        <v>47</v>
      </c>
      <c r="B56" s="2">
        <v>56</v>
      </c>
      <c r="C56" s="2">
        <v>2</v>
      </c>
      <c r="D56" s="2">
        <v>1</v>
      </c>
      <c r="E56" s="2">
        <v>1.665</v>
      </c>
      <c r="F56" s="2">
        <v>2</v>
      </c>
      <c r="H56" s="2">
        <v>47</v>
      </c>
      <c r="I56" s="2">
        <v>56</v>
      </c>
      <c r="J56" s="2">
        <v>2</v>
      </c>
      <c r="K56" s="2">
        <v>1</v>
      </c>
      <c r="L56" s="2">
        <v>1.665</v>
      </c>
      <c r="M56" s="2">
        <v>2</v>
      </c>
    </row>
    <row r="57" spans="1:13" ht="14.25" customHeight="1">
      <c r="A57" s="2">
        <v>47</v>
      </c>
      <c r="B57" s="2">
        <v>57</v>
      </c>
      <c r="C57" s="2">
        <v>7</v>
      </c>
      <c r="D57" s="2">
        <v>1</v>
      </c>
      <c r="E57" s="2">
        <v>1.095</v>
      </c>
      <c r="F57" s="2">
        <v>1</v>
      </c>
      <c r="H57" s="2">
        <v>47</v>
      </c>
      <c r="I57" s="2">
        <v>57</v>
      </c>
      <c r="J57" s="2">
        <v>7</v>
      </c>
      <c r="K57" s="2">
        <v>1</v>
      </c>
      <c r="L57" s="2">
        <v>1.095</v>
      </c>
      <c r="M57" s="2">
        <v>1</v>
      </c>
    </row>
    <row r="58" spans="1:13" ht="14.25" customHeight="1">
      <c r="A58" s="2">
        <v>47</v>
      </c>
      <c r="B58" s="2">
        <v>58</v>
      </c>
      <c r="C58" s="2">
        <v>2</v>
      </c>
      <c r="D58" s="2">
        <v>1</v>
      </c>
      <c r="E58" s="2">
        <v>1.512</v>
      </c>
      <c r="F58" s="2">
        <v>2</v>
      </c>
      <c r="H58" s="2">
        <v>47</v>
      </c>
      <c r="I58" s="2">
        <v>58</v>
      </c>
      <c r="J58" s="2">
        <v>2</v>
      </c>
      <c r="K58" s="2">
        <v>1</v>
      </c>
      <c r="L58" s="2">
        <v>1.512</v>
      </c>
      <c r="M58" s="2">
        <v>2</v>
      </c>
    </row>
    <row r="59" spans="1:13" ht="14.25" customHeight="1">
      <c r="A59" s="2">
        <v>47</v>
      </c>
      <c r="B59" s="2">
        <v>59</v>
      </c>
      <c r="C59" s="2">
        <v>4</v>
      </c>
      <c r="D59" s="2">
        <v>1</v>
      </c>
      <c r="E59" s="2">
        <v>1.3</v>
      </c>
      <c r="F59" s="2">
        <v>2</v>
      </c>
      <c r="H59" s="2">
        <v>47</v>
      </c>
      <c r="I59" s="2">
        <v>59</v>
      </c>
      <c r="J59" s="2">
        <v>4</v>
      </c>
      <c r="K59" s="2">
        <v>1</v>
      </c>
      <c r="L59" s="2">
        <v>1.3</v>
      </c>
      <c r="M59" s="2">
        <v>2</v>
      </c>
    </row>
    <row r="60" spans="1:13" ht="14.25" customHeight="1">
      <c r="A60" s="2">
        <v>47</v>
      </c>
      <c r="B60" s="2">
        <v>60</v>
      </c>
      <c r="C60" s="2">
        <v>5</v>
      </c>
      <c r="D60" s="2">
        <v>0</v>
      </c>
      <c r="E60" s="2">
        <v>1.0429999999999999</v>
      </c>
      <c r="F60" s="2">
        <v>1</v>
      </c>
      <c r="H60" s="2">
        <v>47</v>
      </c>
      <c r="I60" s="2">
        <v>60</v>
      </c>
      <c r="J60" s="2">
        <v>5</v>
      </c>
      <c r="K60" s="2">
        <v>0</v>
      </c>
      <c r="L60" s="2">
        <v>1.0429999999999999</v>
      </c>
      <c r="M60" s="2">
        <v>1</v>
      </c>
    </row>
    <row r="61" spans="1:13" ht="14.25" customHeight="1">
      <c r="A61" s="2">
        <v>47</v>
      </c>
      <c r="B61" s="2">
        <v>61</v>
      </c>
      <c r="C61" s="2">
        <v>1</v>
      </c>
      <c r="D61" s="2">
        <v>0</v>
      </c>
      <c r="E61" s="2">
        <v>1.41</v>
      </c>
      <c r="F61" s="2">
        <v>2</v>
      </c>
      <c r="H61" s="2">
        <v>47</v>
      </c>
      <c r="I61" s="2">
        <v>61</v>
      </c>
      <c r="J61" s="2">
        <v>1</v>
      </c>
      <c r="K61" s="2">
        <v>0</v>
      </c>
      <c r="L61" s="2">
        <v>1.41</v>
      </c>
      <c r="M61" s="2">
        <v>2</v>
      </c>
    </row>
    <row r="62" spans="1:13" ht="14.25" customHeight="1">
      <c r="A62" s="2">
        <v>47</v>
      </c>
      <c r="B62" s="2">
        <v>62</v>
      </c>
      <c r="C62" s="2">
        <v>8</v>
      </c>
      <c r="D62" s="2">
        <v>1</v>
      </c>
      <c r="E62" s="2">
        <v>1.425</v>
      </c>
      <c r="F62" s="2">
        <v>2</v>
      </c>
      <c r="H62" s="2">
        <v>47</v>
      </c>
      <c r="I62" s="2">
        <v>62</v>
      </c>
      <c r="J62" s="2">
        <v>8</v>
      </c>
      <c r="K62" s="2">
        <v>1</v>
      </c>
      <c r="L62" s="2">
        <v>1.425</v>
      </c>
      <c r="M62" s="2">
        <v>2</v>
      </c>
    </row>
    <row r="63" spans="1:13" ht="14.25" customHeight="1">
      <c r="A63" s="2">
        <v>47</v>
      </c>
      <c r="B63" s="2">
        <v>63</v>
      </c>
      <c r="C63" s="2">
        <v>1</v>
      </c>
      <c r="D63" s="2">
        <v>1</v>
      </c>
      <c r="E63" s="2">
        <v>1.4670000000000001</v>
      </c>
      <c r="F63" s="2">
        <v>1</v>
      </c>
      <c r="H63" s="2">
        <v>47</v>
      </c>
      <c r="I63" s="2">
        <v>63</v>
      </c>
      <c r="J63" s="2">
        <v>1</v>
      </c>
      <c r="K63" s="2">
        <v>1</v>
      </c>
      <c r="L63" s="2">
        <v>1.4670000000000001</v>
      </c>
      <c r="M63" s="2">
        <v>1</v>
      </c>
    </row>
    <row r="64" spans="1:13" ht="14.25" customHeight="1">
      <c r="A64" s="2">
        <v>47</v>
      </c>
      <c r="B64" s="2">
        <v>64</v>
      </c>
      <c r="C64" s="2">
        <v>6</v>
      </c>
      <c r="D64" s="2">
        <v>1</v>
      </c>
      <c r="E64" s="2">
        <v>1.6890000000000001</v>
      </c>
      <c r="F64" s="2">
        <v>1</v>
      </c>
      <c r="H64" s="2">
        <v>47</v>
      </c>
      <c r="I64" s="2">
        <v>64</v>
      </c>
      <c r="J64" s="2">
        <v>6</v>
      </c>
      <c r="K64" s="2">
        <v>1</v>
      </c>
      <c r="L64" s="2">
        <v>1.6890000000000001</v>
      </c>
      <c r="M64" s="2">
        <v>1</v>
      </c>
    </row>
    <row r="65" spans="1:13" ht="14.25" customHeight="1">
      <c r="A65" s="2">
        <v>47</v>
      </c>
      <c r="B65" s="2">
        <v>65</v>
      </c>
      <c r="C65" s="2">
        <v>5</v>
      </c>
      <c r="D65" s="2">
        <v>1</v>
      </c>
      <c r="E65" s="2">
        <v>0.90600000000000003</v>
      </c>
      <c r="F65" s="2">
        <v>1</v>
      </c>
      <c r="H65" s="2">
        <v>47</v>
      </c>
      <c r="I65" s="2">
        <v>65</v>
      </c>
      <c r="J65" s="2">
        <v>5</v>
      </c>
      <c r="K65" s="2">
        <v>1</v>
      </c>
      <c r="L65" s="2">
        <v>0.90600000000000003</v>
      </c>
      <c r="M65" s="2">
        <v>1</v>
      </c>
    </row>
    <row r="66" spans="1:13" ht="14.25" customHeight="1">
      <c r="A66" s="2">
        <v>47</v>
      </c>
      <c r="B66" s="2">
        <v>66</v>
      </c>
      <c r="C66" s="2">
        <v>4</v>
      </c>
      <c r="D66" s="2">
        <v>1</v>
      </c>
      <c r="E66" s="2">
        <v>1.7190000000000001</v>
      </c>
      <c r="F66" s="2">
        <v>2</v>
      </c>
      <c r="H66" s="2">
        <v>47</v>
      </c>
      <c r="I66" s="2">
        <v>66</v>
      </c>
      <c r="J66" s="2">
        <v>4</v>
      </c>
      <c r="K66" s="2">
        <v>1</v>
      </c>
      <c r="L66" s="2">
        <v>1.7190000000000001</v>
      </c>
      <c r="M66" s="2">
        <v>2</v>
      </c>
    </row>
    <row r="67" spans="1:13" ht="14.25" customHeight="1">
      <c r="A67" s="2">
        <v>47</v>
      </c>
      <c r="B67" s="2">
        <v>67</v>
      </c>
      <c r="C67" s="2">
        <v>7</v>
      </c>
      <c r="D67" s="2">
        <v>1</v>
      </c>
      <c r="E67" s="2">
        <v>1.4670000000000001</v>
      </c>
      <c r="F67" s="2">
        <v>1</v>
      </c>
      <c r="H67" s="2">
        <v>47</v>
      </c>
      <c r="I67" s="2">
        <v>67</v>
      </c>
      <c r="J67" s="2">
        <v>7</v>
      </c>
      <c r="K67" s="2">
        <v>1</v>
      </c>
      <c r="L67" s="2">
        <v>1.4670000000000001</v>
      </c>
      <c r="M67" s="2">
        <v>1</v>
      </c>
    </row>
    <row r="68" spans="1:13" ht="14.25" customHeight="1">
      <c r="A68" s="2">
        <v>47</v>
      </c>
      <c r="B68" s="2">
        <v>68</v>
      </c>
      <c r="C68" s="2">
        <v>5</v>
      </c>
      <c r="D68" s="2">
        <v>1</v>
      </c>
      <c r="E68" s="2">
        <v>1.722</v>
      </c>
      <c r="F68" s="2">
        <v>1</v>
      </c>
      <c r="H68" s="2">
        <v>47</v>
      </c>
      <c r="I68" s="2">
        <v>68</v>
      </c>
      <c r="J68" s="2">
        <v>5</v>
      </c>
      <c r="K68" s="2">
        <v>1</v>
      </c>
      <c r="L68" s="2">
        <v>1.722</v>
      </c>
      <c r="M68" s="2">
        <v>1</v>
      </c>
    </row>
    <row r="69" spans="1:13" ht="14.25" customHeight="1">
      <c r="A69" s="2">
        <v>47</v>
      </c>
      <c r="B69" s="2">
        <v>69</v>
      </c>
      <c r="C69" s="2">
        <v>1</v>
      </c>
      <c r="D69" s="2">
        <v>0</v>
      </c>
      <c r="E69" s="2">
        <v>1.2749999999999999</v>
      </c>
      <c r="F69" s="2">
        <v>2</v>
      </c>
      <c r="H69" s="2">
        <v>47</v>
      </c>
      <c r="I69" s="2">
        <v>69</v>
      </c>
      <c r="J69" s="2">
        <v>1</v>
      </c>
      <c r="K69" s="2">
        <v>0</v>
      </c>
      <c r="L69" s="2">
        <v>1.2749999999999999</v>
      </c>
      <c r="M69" s="2">
        <v>2</v>
      </c>
    </row>
    <row r="70" spans="1:13" ht="14.25" customHeight="1">
      <c r="A70" s="2">
        <v>47</v>
      </c>
      <c r="B70" s="2">
        <v>70</v>
      </c>
      <c r="C70" s="2">
        <v>6</v>
      </c>
      <c r="D70" s="2">
        <v>1</v>
      </c>
      <c r="E70" s="2">
        <v>1.8009999999999999</v>
      </c>
      <c r="F70" s="2">
        <v>1</v>
      </c>
      <c r="H70" s="2">
        <v>47</v>
      </c>
      <c r="I70" s="2">
        <v>70</v>
      </c>
      <c r="J70" s="2">
        <v>6</v>
      </c>
      <c r="K70" s="2">
        <v>1</v>
      </c>
      <c r="L70" s="2">
        <v>1.8009999999999999</v>
      </c>
      <c r="M70" s="2">
        <v>1</v>
      </c>
    </row>
    <row r="71" spans="1:13" ht="14.25" customHeight="1">
      <c r="A71" s="2">
        <v>47</v>
      </c>
      <c r="B71" s="2">
        <v>71</v>
      </c>
      <c r="C71" s="2">
        <v>5</v>
      </c>
      <c r="D71" s="2">
        <v>1</v>
      </c>
      <c r="E71" s="2">
        <v>1.6180000000000001</v>
      </c>
      <c r="F71" s="2">
        <v>1</v>
      </c>
      <c r="H71" s="2">
        <v>47</v>
      </c>
      <c r="I71" s="2">
        <v>71</v>
      </c>
      <c r="J71" s="2">
        <v>5</v>
      </c>
      <c r="K71" s="2">
        <v>1</v>
      </c>
      <c r="L71" s="2">
        <v>1.6180000000000001</v>
      </c>
      <c r="M71" s="2">
        <v>1</v>
      </c>
    </row>
    <row r="72" spans="1:13" ht="14.25" customHeight="1">
      <c r="A72" s="2">
        <v>47</v>
      </c>
      <c r="B72" s="2">
        <v>72</v>
      </c>
      <c r="C72" s="2">
        <v>8</v>
      </c>
      <c r="D72" s="2">
        <v>1</v>
      </c>
      <c r="E72" s="2">
        <v>1.417</v>
      </c>
      <c r="F72" s="2">
        <v>2</v>
      </c>
      <c r="H72" s="2">
        <v>47</v>
      </c>
      <c r="I72" s="2">
        <v>72</v>
      </c>
      <c r="J72" s="2">
        <v>8</v>
      </c>
      <c r="K72" s="2">
        <v>1</v>
      </c>
      <c r="L72" s="2">
        <v>1.417</v>
      </c>
      <c r="M72" s="2">
        <v>2</v>
      </c>
    </row>
    <row r="73" spans="1:13" ht="14.25" customHeight="1">
      <c r="A73" s="2">
        <v>47</v>
      </c>
      <c r="B73" s="2">
        <v>73</v>
      </c>
      <c r="C73" s="2">
        <v>3</v>
      </c>
      <c r="D73" s="2">
        <v>0</v>
      </c>
      <c r="E73" s="2">
        <v>1.361</v>
      </c>
      <c r="F73" s="2">
        <v>2</v>
      </c>
      <c r="H73" s="2">
        <v>47</v>
      </c>
      <c r="I73" s="2">
        <v>73</v>
      </c>
      <c r="J73" s="2">
        <v>3</v>
      </c>
      <c r="K73" s="2">
        <v>0</v>
      </c>
      <c r="L73" s="2">
        <v>1.361</v>
      </c>
      <c r="M73" s="2">
        <v>2</v>
      </c>
    </row>
    <row r="74" spans="1:13" ht="14.25" customHeight="1">
      <c r="A74" s="2">
        <v>47</v>
      </c>
      <c r="B74" s="2">
        <v>74</v>
      </c>
      <c r="C74" s="2">
        <v>7</v>
      </c>
      <c r="D74" s="2">
        <v>1</v>
      </c>
      <c r="E74" s="2">
        <v>0.83399999999999996</v>
      </c>
      <c r="F74" s="2">
        <v>1</v>
      </c>
      <c r="H74" s="2">
        <v>47</v>
      </c>
      <c r="I74" s="2">
        <v>74</v>
      </c>
      <c r="J74" s="2">
        <v>7</v>
      </c>
      <c r="K74" s="2">
        <v>1</v>
      </c>
      <c r="L74" s="2">
        <v>0.83399999999999996</v>
      </c>
      <c r="M74" s="2">
        <v>1</v>
      </c>
    </row>
    <row r="75" spans="1:13" ht="14.25" customHeight="1">
      <c r="A75" s="2">
        <v>47</v>
      </c>
      <c r="B75" s="2">
        <v>75</v>
      </c>
      <c r="C75" s="2">
        <v>3</v>
      </c>
      <c r="D75" s="2">
        <v>0</v>
      </c>
      <c r="E75" s="2">
        <v>1.393</v>
      </c>
      <c r="F75" s="2">
        <v>2</v>
      </c>
      <c r="H75" s="2">
        <v>47</v>
      </c>
      <c r="I75" s="2">
        <v>75</v>
      </c>
      <c r="J75" s="2">
        <v>3</v>
      </c>
      <c r="K75" s="2">
        <v>0</v>
      </c>
      <c r="L75" s="2">
        <v>1.393</v>
      </c>
      <c r="M75" s="2">
        <v>2</v>
      </c>
    </row>
    <row r="76" spans="1:13" ht="14.25" customHeight="1">
      <c r="A76" s="2">
        <v>47</v>
      </c>
      <c r="B76" s="2">
        <v>76</v>
      </c>
      <c r="C76" s="2">
        <v>1</v>
      </c>
      <c r="D76" s="2">
        <v>0</v>
      </c>
      <c r="E76" s="2">
        <v>1.6339999999999999</v>
      </c>
      <c r="F76" s="2">
        <v>1</v>
      </c>
      <c r="H76" s="2">
        <v>47</v>
      </c>
      <c r="I76" s="2">
        <v>76</v>
      </c>
      <c r="J76" s="2">
        <v>1</v>
      </c>
      <c r="K76" s="2">
        <v>0</v>
      </c>
      <c r="L76" s="2">
        <v>1.6339999999999999</v>
      </c>
      <c r="M76" s="2">
        <v>1</v>
      </c>
    </row>
    <row r="77" spans="1:13" ht="14.25" customHeight="1">
      <c r="A77" s="2">
        <v>47</v>
      </c>
      <c r="B77" s="2">
        <v>77</v>
      </c>
      <c r="C77" s="2">
        <v>3</v>
      </c>
      <c r="D77" s="2">
        <v>0</v>
      </c>
      <c r="E77" s="2">
        <v>1.7849999999999999</v>
      </c>
      <c r="F77" s="2">
        <v>1</v>
      </c>
      <c r="H77" s="2">
        <v>47</v>
      </c>
      <c r="I77" s="2">
        <v>77</v>
      </c>
      <c r="J77" s="2">
        <v>3</v>
      </c>
      <c r="K77" s="2">
        <v>0</v>
      </c>
      <c r="L77" s="2">
        <v>1.7849999999999999</v>
      </c>
      <c r="M77" s="2">
        <v>1</v>
      </c>
    </row>
    <row r="78" spans="1:13" ht="14.25" customHeight="1">
      <c r="A78" s="2">
        <v>47</v>
      </c>
      <c r="B78" s="2">
        <v>78</v>
      </c>
      <c r="C78" s="2">
        <v>1</v>
      </c>
      <c r="D78" s="2">
        <v>1</v>
      </c>
      <c r="E78" s="2">
        <v>1.661</v>
      </c>
      <c r="F78" s="2">
        <v>1</v>
      </c>
      <c r="H78" s="2">
        <v>47</v>
      </c>
      <c r="I78" s="2">
        <v>78</v>
      </c>
      <c r="J78" s="2">
        <v>1</v>
      </c>
      <c r="K78" s="2">
        <v>1</v>
      </c>
      <c r="L78" s="2">
        <v>1.661</v>
      </c>
      <c r="M78" s="2">
        <v>1</v>
      </c>
    </row>
    <row r="79" spans="1:13" ht="14.25" customHeight="1">
      <c r="A79" s="2">
        <v>47</v>
      </c>
      <c r="B79" s="2">
        <v>79</v>
      </c>
      <c r="C79" s="2">
        <v>8</v>
      </c>
      <c r="D79" s="2">
        <v>1</v>
      </c>
      <c r="E79" s="2">
        <v>1.7210000000000001</v>
      </c>
      <c r="F79" s="2">
        <v>2</v>
      </c>
      <c r="H79" s="2">
        <v>47</v>
      </c>
      <c r="I79" s="2">
        <v>79</v>
      </c>
      <c r="J79" s="2">
        <v>8</v>
      </c>
      <c r="K79" s="2">
        <v>1</v>
      </c>
      <c r="L79" s="2">
        <v>1.7210000000000001</v>
      </c>
      <c r="M79" s="2">
        <v>2</v>
      </c>
    </row>
    <row r="80" spans="1:13" ht="14.25" customHeight="1">
      <c r="A80" s="2">
        <v>47</v>
      </c>
      <c r="B80" s="2">
        <v>80</v>
      </c>
      <c r="C80" s="2">
        <v>2</v>
      </c>
      <c r="D80" s="2">
        <v>1</v>
      </c>
      <c r="E80" s="2">
        <v>1.2969999999999999</v>
      </c>
      <c r="F80" s="2">
        <v>2</v>
      </c>
      <c r="H80" s="2">
        <v>47</v>
      </c>
      <c r="I80" s="2">
        <v>80</v>
      </c>
      <c r="J80" s="2">
        <v>2</v>
      </c>
      <c r="K80" s="2">
        <v>1</v>
      </c>
      <c r="L80" s="2">
        <v>1.2969999999999999</v>
      </c>
      <c r="M80" s="2">
        <v>2</v>
      </c>
    </row>
    <row r="81" spans="1:13" ht="14.25" customHeight="1">
      <c r="A81" s="2">
        <v>47</v>
      </c>
      <c r="B81" s="2">
        <v>81</v>
      </c>
      <c r="C81" s="2">
        <v>7</v>
      </c>
      <c r="E81" s="2">
        <v>2</v>
      </c>
      <c r="H81" s="2">
        <v>47</v>
      </c>
      <c r="I81" s="2">
        <v>81</v>
      </c>
      <c r="J81" s="2">
        <v>7</v>
      </c>
      <c r="L81" s="2">
        <v>2</v>
      </c>
    </row>
    <row r="82" spans="1:13" ht="14.25" customHeight="1">
      <c r="A82" s="2">
        <v>47</v>
      </c>
      <c r="B82" s="2">
        <v>82</v>
      </c>
      <c r="C82" s="2">
        <v>4</v>
      </c>
      <c r="D82" s="2">
        <v>1</v>
      </c>
      <c r="E82" s="2">
        <v>1.1659999999999999</v>
      </c>
      <c r="F82" s="2">
        <v>1</v>
      </c>
      <c r="H82" s="2">
        <v>47</v>
      </c>
      <c r="I82" s="2">
        <v>82</v>
      </c>
      <c r="J82" s="2">
        <v>4</v>
      </c>
      <c r="K82" s="2">
        <v>1</v>
      </c>
      <c r="L82" s="2">
        <v>1.1659999999999999</v>
      </c>
      <c r="M82" s="2">
        <v>1</v>
      </c>
    </row>
    <row r="83" spans="1:13" ht="14.25" customHeight="1">
      <c r="A83" s="2">
        <v>47</v>
      </c>
      <c r="B83" s="2">
        <v>83</v>
      </c>
      <c r="C83" s="2">
        <v>3</v>
      </c>
      <c r="D83" s="2">
        <v>1</v>
      </c>
      <c r="E83" s="2">
        <v>1.633</v>
      </c>
      <c r="F83" s="2">
        <v>2</v>
      </c>
      <c r="H83" s="2">
        <v>47</v>
      </c>
      <c r="I83" s="2">
        <v>83</v>
      </c>
      <c r="J83" s="2">
        <v>3</v>
      </c>
      <c r="K83" s="2">
        <v>1</v>
      </c>
      <c r="L83" s="2">
        <v>1.633</v>
      </c>
      <c r="M83" s="2">
        <v>2</v>
      </c>
    </row>
    <row r="84" spans="1:13" ht="14.25" customHeight="1">
      <c r="A84" s="2">
        <v>47</v>
      </c>
      <c r="B84" s="2">
        <v>84</v>
      </c>
      <c r="C84" s="2">
        <v>6</v>
      </c>
      <c r="D84" s="2">
        <v>0</v>
      </c>
      <c r="E84" s="2">
        <v>1.518</v>
      </c>
      <c r="F84" s="2">
        <v>1</v>
      </c>
      <c r="H84" s="2">
        <v>47</v>
      </c>
      <c r="I84" s="2">
        <v>84</v>
      </c>
      <c r="J84" s="2">
        <v>6</v>
      </c>
      <c r="K84" s="2">
        <v>0</v>
      </c>
      <c r="L84" s="2">
        <v>1.518</v>
      </c>
      <c r="M84" s="2">
        <v>1</v>
      </c>
    </row>
    <row r="85" spans="1:13" ht="14.25" customHeight="1">
      <c r="A85" s="2">
        <v>47</v>
      </c>
      <c r="B85" s="2">
        <v>85</v>
      </c>
      <c r="C85" s="2">
        <v>4</v>
      </c>
      <c r="D85" s="2">
        <v>1</v>
      </c>
      <c r="E85" s="2">
        <v>1.6990000000000001</v>
      </c>
      <c r="F85" s="2">
        <v>2</v>
      </c>
      <c r="H85" s="2">
        <v>47</v>
      </c>
      <c r="I85" s="2">
        <v>85</v>
      </c>
      <c r="J85" s="2">
        <v>4</v>
      </c>
      <c r="K85" s="2">
        <v>1</v>
      </c>
      <c r="L85" s="2">
        <v>1.6990000000000001</v>
      </c>
      <c r="M85" s="2">
        <v>2</v>
      </c>
    </row>
    <row r="86" spans="1:13" ht="14.25" customHeight="1">
      <c r="A86" s="2">
        <v>47</v>
      </c>
      <c r="B86" s="2">
        <v>86</v>
      </c>
      <c r="C86" s="2">
        <v>3</v>
      </c>
      <c r="D86" s="2">
        <v>0</v>
      </c>
      <c r="E86" s="2">
        <v>1.5169999999999999</v>
      </c>
      <c r="F86" s="2">
        <v>1</v>
      </c>
      <c r="H86" s="2">
        <v>47</v>
      </c>
      <c r="I86" s="2">
        <v>86</v>
      </c>
      <c r="J86" s="2">
        <v>3</v>
      </c>
      <c r="K86" s="2">
        <v>0</v>
      </c>
      <c r="L86" s="2">
        <v>1.5169999999999999</v>
      </c>
      <c r="M86" s="2">
        <v>1</v>
      </c>
    </row>
    <row r="87" spans="1:13" ht="14.25" customHeight="1">
      <c r="A87" s="2">
        <v>47</v>
      </c>
      <c r="B87" s="2">
        <v>87</v>
      </c>
      <c r="C87" s="2">
        <v>5</v>
      </c>
      <c r="D87" s="2">
        <v>1</v>
      </c>
      <c r="E87" s="2">
        <v>1.7230000000000001</v>
      </c>
      <c r="F87" s="2">
        <v>2</v>
      </c>
      <c r="H87" s="2">
        <v>47</v>
      </c>
      <c r="I87" s="2">
        <v>87</v>
      </c>
      <c r="J87" s="2">
        <v>5</v>
      </c>
      <c r="K87" s="2">
        <v>1</v>
      </c>
      <c r="L87" s="2">
        <v>1.7230000000000001</v>
      </c>
      <c r="M87" s="2">
        <v>2</v>
      </c>
    </row>
    <row r="88" spans="1:13" ht="14.25" customHeight="1">
      <c r="A88" s="2">
        <v>47</v>
      </c>
      <c r="B88" s="2">
        <v>88</v>
      </c>
      <c r="C88" s="2">
        <v>6</v>
      </c>
      <c r="D88" s="2">
        <v>0</v>
      </c>
      <c r="E88" s="2">
        <v>1.6439999999999999</v>
      </c>
      <c r="F88" s="2">
        <v>2</v>
      </c>
      <c r="H88" s="2">
        <v>47</v>
      </c>
      <c r="I88" s="2">
        <v>88</v>
      </c>
      <c r="J88" s="2">
        <v>6</v>
      </c>
      <c r="K88" s="2">
        <v>0</v>
      </c>
      <c r="L88" s="2">
        <v>1.6439999999999999</v>
      </c>
      <c r="M88" s="2">
        <v>2</v>
      </c>
    </row>
    <row r="89" spans="1:13" ht="14.25" customHeight="1">
      <c r="A89" s="2">
        <v>47</v>
      </c>
      <c r="B89" s="2">
        <v>89</v>
      </c>
      <c r="C89" s="2">
        <v>8</v>
      </c>
      <c r="D89" s="2">
        <v>0</v>
      </c>
      <c r="E89" s="2">
        <v>1.8740000000000001</v>
      </c>
      <c r="F89" s="2">
        <v>1</v>
      </c>
      <c r="H89" s="2">
        <v>47</v>
      </c>
      <c r="I89" s="2">
        <v>89</v>
      </c>
      <c r="J89" s="2">
        <v>8</v>
      </c>
      <c r="K89" s="2">
        <v>0</v>
      </c>
      <c r="L89" s="2">
        <v>1.8740000000000001</v>
      </c>
      <c r="M89" s="2">
        <v>1</v>
      </c>
    </row>
    <row r="90" spans="1:13" ht="14.25" customHeight="1">
      <c r="A90" s="2">
        <v>47</v>
      </c>
      <c r="B90" s="2">
        <v>90</v>
      </c>
      <c r="C90" s="2">
        <v>2</v>
      </c>
      <c r="D90" s="2">
        <v>1</v>
      </c>
      <c r="E90" s="2">
        <v>1.6919999999999999</v>
      </c>
      <c r="F90" s="2">
        <v>1</v>
      </c>
      <c r="H90" s="2">
        <v>47</v>
      </c>
      <c r="I90" s="2">
        <v>90</v>
      </c>
      <c r="J90" s="2">
        <v>2</v>
      </c>
      <c r="K90" s="2">
        <v>1</v>
      </c>
      <c r="L90" s="2">
        <v>1.6919999999999999</v>
      </c>
      <c r="M90" s="2">
        <v>1</v>
      </c>
    </row>
    <row r="91" spans="1:13" ht="14.25" customHeight="1">
      <c r="A91" s="2">
        <v>47</v>
      </c>
      <c r="B91" s="2">
        <v>91</v>
      </c>
      <c r="C91" s="2">
        <v>6</v>
      </c>
      <c r="D91" s="2">
        <v>1</v>
      </c>
      <c r="E91" s="2">
        <v>1.456</v>
      </c>
      <c r="F91" s="2">
        <v>2</v>
      </c>
      <c r="H91" s="2">
        <v>47</v>
      </c>
      <c r="I91" s="2">
        <v>91</v>
      </c>
      <c r="J91" s="2">
        <v>6</v>
      </c>
      <c r="K91" s="2">
        <v>1</v>
      </c>
      <c r="L91" s="2">
        <v>1.456</v>
      </c>
      <c r="M91" s="2">
        <v>2</v>
      </c>
    </row>
    <row r="92" spans="1:13" ht="14.25" customHeight="1">
      <c r="A92" s="2">
        <v>47</v>
      </c>
      <c r="B92" s="2">
        <v>92</v>
      </c>
      <c r="C92" s="2">
        <v>3</v>
      </c>
      <c r="D92" s="2">
        <v>1</v>
      </c>
      <c r="E92" s="2">
        <v>1.415</v>
      </c>
      <c r="F92" s="2">
        <v>2</v>
      </c>
      <c r="H92" s="2">
        <v>47</v>
      </c>
      <c r="I92" s="2">
        <v>92</v>
      </c>
      <c r="J92" s="2">
        <v>3</v>
      </c>
      <c r="K92" s="2">
        <v>1</v>
      </c>
      <c r="L92" s="2">
        <v>1.415</v>
      </c>
      <c r="M92" s="2">
        <v>2</v>
      </c>
    </row>
    <row r="93" spans="1:13" ht="14.25" customHeight="1">
      <c r="A93" s="2">
        <v>47</v>
      </c>
      <c r="B93" s="2">
        <v>93</v>
      </c>
      <c r="C93" s="2">
        <v>8</v>
      </c>
      <c r="D93" s="2">
        <v>0</v>
      </c>
      <c r="E93" s="2">
        <v>1.5209999999999999</v>
      </c>
      <c r="F93" s="2">
        <v>2</v>
      </c>
      <c r="H93" s="2">
        <v>47</v>
      </c>
      <c r="I93" s="2">
        <v>93</v>
      </c>
      <c r="J93" s="2">
        <v>8</v>
      </c>
      <c r="K93" s="2">
        <v>0</v>
      </c>
      <c r="L93" s="2">
        <v>1.5209999999999999</v>
      </c>
      <c r="M93" s="2">
        <v>2</v>
      </c>
    </row>
    <row r="94" spans="1:13" ht="14.25" customHeight="1">
      <c r="A94" s="2">
        <v>47</v>
      </c>
      <c r="B94" s="2">
        <v>94</v>
      </c>
      <c r="C94" s="2">
        <v>1</v>
      </c>
      <c r="D94" s="2">
        <v>1</v>
      </c>
      <c r="E94" s="2">
        <v>1.143</v>
      </c>
      <c r="F94" s="2">
        <v>1</v>
      </c>
      <c r="H94" s="2">
        <v>47</v>
      </c>
      <c r="I94" s="2">
        <v>94</v>
      </c>
      <c r="J94" s="2">
        <v>1</v>
      </c>
      <c r="K94" s="2">
        <v>1</v>
      </c>
      <c r="L94" s="2">
        <v>1.143</v>
      </c>
      <c r="M94" s="2">
        <v>1</v>
      </c>
    </row>
    <row r="95" spans="1:13" ht="14.25" customHeight="1">
      <c r="A95" s="2">
        <v>47</v>
      </c>
      <c r="B95" s="2">
        <v>95</v>
      </c>
      <c r="C95" s="2">
        <v>5</v>
      </c>
      <c r="D95" s="2">
        <v>1</v>
      </c>
      <c r="E95" s="2">
        <v>1.3220000000000001</v>
      </c>
      <c r="F95" s="2">
        <v>1</v>
      </c>
      <c r="H95" s="2">
        <v>47</v>
      </c>
      <c r="I95" s="2">
        <v>95</v>
      </c>
      <c r="J95" s="2">
        <v>5</v>
      </c>
      <c r="K95" s="2">
        <v>1</v>
      </c>
      <c r="L95" s="2">
        <v>1.3220000000000001</v>
      </c>
      <c r="M95" s="2">
        <v>1</v>
      </c>
    </row>
    <row r="96" spans="1:13" ht="14.25" customHeight="1">
      <c r="A96" s="2">
        <v>47</v>
      </c>
      <c r="B96" s="2">
        <v>96</v>
      </c>
      <c r="C96" s="2">
        <v>1</v>
      </c>
      <c r="D96" s="2">
        <v>1</v>
      </c>
      <c r="E96" s="2">
        <v>1.3759999999999999</v>
      </c>
      <c r="F96" s="2">
        <v>2</v>
      </c>
      <c r="H96" s="2">
        <v>47</v>
      </c>
      <c r="I96" s="2">
        <v>96</v>
      </c>
      <c r="J96" s="2">
        <v>1</v>
      </c>
      <c r="K96" s="2">
        <v>1</v>
      </c>
      <c r="L96" s="2">
        <v>1.3759999999999999</v>
      </c>
      <c r="M96" s="2">
        <v>2</v>
      </c>
    </row>
    <row r="97" spans="1:13" ht="14.25" customHeight="1">
      <c r="A97" s="2">
        <v>47</v>
      </c>
      <c r="B97" s="2">
        <v>97</v>
      </c>
      <c r="C97" s="2">
        <v>7</v>
      </c>
      <c r="D97" s="2">
        <v>1</v>
      </c>
      <c r="E97" s="2">
        <v>1.3129999999999999</v>
      </c>
      <c r="F97" s="2">
        <v>2</v>
      </c>
      <c r="H97" s="2">
        <v>47</v>
      </c>
      <c r="I97" s="2">
        <v>97</v>
      </c>
      <c r="J97" s="2">
        <v>7</v>
      </c>
      <c r="K97" s="2">
        <v>1</v>
      </c>
      <c r="L97" s="2">
        <v>1.3129999999999999</v>
      </c>
      <c r="M97" s="2">
        <v>2</v>
      </c>
    </row>
    <row r="98" spans="1:13" ht="14.25" customHeight="1">
      <c r="A98" s="2">
        <v>47</v>
      </c>
      <c r="B98" s="2">
        <v>98</v>
      </c>
      <c r="C98" s="2">
        <v>2</v>
      </c>
      <c r="D98" s="2">
        <v>0</v>
      </c>
      <c r="E98" s="2">
        <v>1.0780000000000001</v>
      </c>
      <c r="F98" s="2">
        <v>2</v>
      </c>
      <c r="H98" s="2">
        <v>47</v>
      </c>
      <c r="I98" s="2">
        <v>98</v>
      </c>
      <c r="J98" s="2">
        <v>2</v>
      </c>
      <c r="K98" s="2">
        <v>0</v>
      </c>
      <c r="L98" s="2">
        <v>1.0780000000000001</v>
      </c>
      <c r="M98" s="2">
        <v>2</v>
      </c>
    </row>
    <row r="99" spans="1:13" ht="14.25" customHeight="1">
      <c r="A99" s="2">
        <v>47</v>
      </c>
      <c r="B99" s="2">
        <v>99</v>
      </c>
      <c r="C99" s="2">
        <v>7</v>
      </c>
      <c r="D99" s="2">
        <v>1</v>
      </c>
      <c r="E99" s="2">
        <v>1.5209999999999999</v>
      </c>
      <c r="F99" s="2">
        <v>1</v>
      </c>
      <c r="H99" s="2">
        <v>47</v>
      </c>
      <c r="I99" s="2">
        <v>99</v>
      </c>
      <c r="J99" s="2">
        <v>7</v>
      </c>
      <c r="K99" s="2">
        <v>1</v>
      </c>
      <c r="L99" s="2">
        <v>1.5209999999999999</v>
      </c>
      <c r="M99" s="2">
        <v>1</v>
      </c>
    </row>
    <row r="100" spans="1:13" ht="14.25" customHeight="1"/>
    <row r="101" spans="1:13" ht="14.25" customHeight="1">
      <c r="A101" s="2">
        <v>47</v>
      </c>
      <c r="B101" s="2">
        <v>100</v>
      </c>
      <c r="C101" s="2">
        <v>8</v>
      </c>
      <c r="D101" s="2">
        <v>1</v>
      </c>
      <c r="E101" s="2">
        <v>1.1859999999999999</v>
      </c>
      <c r="F101" s="2">
        <v>2</v>
      </c>
    </row>
    <row r="102" spans="1:13" ht="14.25" customHeight="1">
      <c r="A102" s="2">
        <v>47</v>
      </c>
      <c r="B102" s="2">
        <v>101</v>
      </c>
      <c r="C102" s="2">
        <v>7</v>
      </c>
      <c r="D102" s="2">
        <v>0</v>
      </c>
      <c r="E102" s="2">
        <v>1.407</v>
      </c>
      <c r="F102" s="2">
        <v>2</v>
      </c>
    </row>
    <row r="103" spans="1:13" ht="14.25" customHeight="1">
      <c r="A103" s="2">
        <v>47</v>
      </c>
      <c r="B103" s="2">
        <v>102</v>
      </c>
      <c r="C103" s="2">
        <v>2</v>
      </c>
      <c r="D103" s="2">
        <v>1</v>
      </c>
      <c r="E103" s="2">
        <v>0.88800000000000001</v>
      </c>
      <c r="F103" s="2">
        <v>2</v>
      </c>
    </row>
    <row r="104" spans="1:13" ht="14.25" customHeight="1">
      <c r="A104" s="2">
        <v>47</v>
      </c>
      <c r="B104" s="2">
        <v>103</v>
      </c>
      <c r="C104" s="2">
        <v>8</v>
      </c>
      <c r="D104" s="2">
        <v>0</v>
      </c>
      <c r="E104" s="2">
        <v>0.88500000000000001</v>
      </c>
      <c r="F104" s="2">
        <v>2</v>
      </c>
    </row>
    <row r="105" spans="1:13" ht="14.25" customHeight="1">
      <c r="A105" s="2">
        <v>47</v>
      </c>
      <c r="B105" s="2">
        <v>104</v>
      </c>
      <c r="C105" s="2">
        <v>2</v>
      </c>
      <c r="D105" s="2">
        <v>1</v>
      </c>
      <c r="E105" s="2">
        <v>1.177</v>
      </c>
      <c r="F105" s="2">
        <v>2</v>
      </c>
    </row>
    <row r="106" spans="1:13" ht="14.25" customHeight="1">
      <c r="A106" s="2">
        <v>47</v>
      </c>
      <c r="B106" s="2">
        <v>105</v>
      </c>
      <c r="C106" s="2">
        <v>4</v>
      </c>
      <c r="D106" s="2">
        <v>0</v>
      </c>
      <c r="E106" s="2">
        <v>0.96899999999999997</v>
      </c>
      <c r="F106" s="2">
        <v>1</v>
      </c>
    </row>
    <row r="107" spans="1:13" ht="14.25" customHeight="1">
      <c r="A107" s="2">
        <v>47</v>
      </c>
      <c r="B107" s="2">
        <v>106</v>
      </c>
      <c r="C107" s="2">
        <v>7</v>
      </c>
      <c r="D107" s="2">
        <v>1</v>
      </c>
      <c r="E107" s="2">
        <v>1.347</v>
      </c>
      <c r="F107" s="2">
        <v>2</v>
      </c>
    </row>
    <row r="108" spans="1:13" ht="14.25" customHeight="1">
      <c r="A108" s="2">
        <v>47</v>
      </c>
      <c r="B108" s="2">
        <v>107</v>
      </c>
      <c r="C108" s="2">
        <v>4</v>
      </c>
      <c r="D108" s="2">
        <v>1</v>
      </c>
      <c r="E108" s="2">
        <v>1.2529999999999999</v>
      </c>
      <c r="F108" s="2">
        <v>1</v>
      </c>
    </row>
    <row r="109" spans="1:13" ht="14.25" customHeight="1">
      <c r="A109" s="2">
        <v>47</v>
      </c>
      <c r="B109" s="2">
        <v>108</v>
      </c>
      <c r="C109" s="2">
        <v>5</v>
      </c>
      <c r="D109" s="2">
        <v>0</v>
      </c>
      <c r="E109" s="2">
        <v>1.0760000000000001</v>
      </c>
      <c r="F109" s="2">
        <v>1</v>
      </c>
    </row>
    <row r="110" spans="1:13" ht="14.25" customHeight="1">
      <c r="A110" s="2">
        <v>47</v>
      </c>
      <c r="B110" s="2">
        <v>109</v>
      </c>
      <c r="C110" s="2">
        <v>4</v>
      </c>
      <c r="D110" s="2">
        <v>1</v>
      </c>
      <c r="E110" s="2">
        <v>1.446</v>
      </c>
      <c r="F110" s="2">
        <v>2</v>
      </c>
    </row>
    <row r="111" spans="1:13" ht="14.25" customHeight="1">
      <c r="A111" s="2">
        <v>47</v>
      </c>
      <c r="B111" s="2">
        <v>110</v>
      </c>
      <c r="C111" s="2">
        <v>7</v>
      </c>
      <c r="D111" s="2">
        <v>0</v>
      </c>
      <c r="E111" s="2">
        <v>1.33</v>
      </c>
      <c r="F111" s="2">
        <v>1</v>
      </c>
    </row>
    <row r="112" spans="1:13" ht="14.25" customHeight="1">
      <c r="A112" s="2">
        <v>47</v>
      </c>
      <c r="B112" s="2">
        <v>111</v>
      </c>
      <c r="C112" s="2">
        <v>6</v>
      </c>
      <c r="D112" s="2">
        <v>0</v>
      </c>
      <c r="E112" s="2">
        <v>1.216</v>
      </c>
      <c r="F112" s="2">
        <v>2</v>
      </c>
    </row>
    <row r="113" spans="1:6" ht="14.25" customHeight="1">
      <c r="A113" s="2">
        <v>47</v>
      </c>
      <c r="B113" s="2">
        <v>112</v>
      </c>
      <c r="C113" s="2">
        <v>7</v>
      </c>
      <c r="D113" s="2">
        <v>1</v>
      </c>
      <c r="E113" s="2">
        <v>1.8120000000000001</v>
      </c>
      <c r="F113" s="2">
        <v>2</v>
      </c>
    </row>
    <row r="114" spans="1:6" ht="14.25" customHeight="1">
      <c r="A114" s="2">
        <v>47</v>
      </c>
      <c r="B114" s="2">
        <v>113</v>
      </c>
      <c r="C114" s="2">
        <v>4</v>
      </c>
      <c r="D114" s="2">
        <v>0</v>
      </c>
      <c r="E114" s="2">
        <v>1.3460000000000001</v>
      </c>
      <c r="F114" s="2">
        <v>2</v>
      </c>
    </row>
    <row r="115" spans="1:6" ht="14.25" customHeight="1">
      <c r="A115" s="2">
        <v>47</v>
      </c>
      <c r="B115" s="2">
        <v>114</v>
      </c>
      <c r="C115" s="2">
        <v>5</v>
      </c>
      <c r="D115" s="2">
        <v>1</v>
      </c>
      <c r="E115" s="2">
        <v>1.4590000000000001</v>
      </c>
      <c r="F115" s="2">
        <v>1</v>
      </c>
    </row>
    <row r="116" spans="1:6" ht="14.25" customHeight="1">
      <c r="A116" s="2">
        <v>47</v>
      </c>
      <c r="B116" s="2">
        <v>115</v>
      </c>
      <c r="C116" s="2">
        <v>3</v>
      </c>
      <c r="D116" s="2">
        <v>0</v>
      </c>
      <c r="E116" s="2">
        <v>1.841</v>
      </c>
      <c r="F116" s="2">
        <v>2</v>
      </c>
    </row>
    <row r="117" spans="1:6" ht="14.25" customHeight="1">
      <c r="A117" s="2">
        <v>47</v>
      </c>
      <c r="B117" s="2">
        <v>116</v>
      </c>
      <c r="C117" s="2">
        <v>6</v>
      </c>
      <c r="D117" s="2">
        <v>1</v>
      </c>
      <c r="E117" s="2">
        <v>1.444</v>
      </c>
      <c r="F117" s="2">
        <v>2</v>
      </c>
    </row>
    <row r="118" spans="1:6" ht="14.25" customHeight="1">
      <c r="A118" s="2">
        <v>47</v>
      </c>
      <c r="B118" s="2">
        <v>117</v>
      </c>
      <c r="C118" s="2">
        <v>8</v>
      </c>
      <c r="D118" s="2">
        <v>1</v>
      </c>
      <c r="E118" s="2">
        <v>0.83499999999999996</v>
      </c>
      <c r="F118" s="2">
        <v>1</v>
      </c>
    </row>
    <row r="119" spans="1:6" ht="14.25" customHeight="1">
      <c r="A119" s="2">
        <v>47</v>
      </c>
      <c r="B119" s="2">
        <v>118</v>
      </c>
      <c r="C119" s="2">
        <v>3</v>
      </c>
      <c r="D119" s="2">
        <v>0</v>
      </c>
      <c r="E119" s="2">
        <v>1.5489999999999999</v>
      </c>
      <c r="F119" s="2">
        <v>2</v>
      </c>
    </row>
    <row r="120" spans="1:6" ht="14.25" customHeight="1">
      <c r="A120" s="2">
        <v>47</v>
      </c>
      <c r="B120" s="2">
        <v>119</v>
      </c>
      <c r="C120" s="2">
        <v>5</v>
      </c>
      <c r="D120" s="2">
        <v>1</v>
      </c>
      <c r="E120" s="2">
        <v>1.8320000000000001</v>
      </c>
      <c r="F120" s="2">
        <v>1</v>
      </c>
    </row>
    <row r="121" spans="1:6" ht="14.25" customHeight="1">
      <c r="A121" s="2">
        <v>47</v>
      </c>
      <c r="B121" s="2">
        <v>120</v>
      </c>
      <c r="C121" s="2">
        <v>3</v>
      </c>
      <c r="D121" s="2">
        <v>1</v>
      </c>
      <c r="E121" s="2">
        <v>1.202</v>
      </c>
      <c r="F121" s="2">
        <v>1</v>
      </c>
    </row>
    <row r="122" spans="1:6" ht="14.25" customHeight="1">
      <c r="A122" s="2">
        <v>47</v>
      </c>
      <c r="B122" s="2">
        <v>121</v>
      </c>
      <c r="C122" s="2">
        <v>5</v>
      </c>
      <c r="D122" s="2">
        <v>0</v>
      </c>
      <c r="E122" s="2">
        <v>1.157</v>
      </c>
      <c r="F122" s="2">
        <v>2</v>
      </c>
    </row>
    <row r="123" spans="1:6" ht="14.25" customHeight="1">
      <c r="A123" s="2">
        <v>47</v>
      </c>
      <c r="B123" s="2">
        <v>122</v>
      </c>
      <c r="C123" s="2">
        <v>8</v>
      </c>
      <c r="D123" s="2">
        <v>0</v>
      </c>
      <c r="E123" s="2">
        <v>1.601</v>
      </c>
      <c r="F123" s="2">
        <v>1</v>
      </c>
    </row>
    <row r="124" spans="1:6" ht="14.25" customHeight="1">
      <c r="A124" s="2">
        <v>47</v>
      </c>
      <c r="B124" s="2">
        <v>123</v>
      </c>
      <c r="C124" s="2">
        <v>1</v>
      </c>
      <c r="D124" s="2">
        <v>0</v>
      </c>
      <c r="E124" s="2">
        <v>1.5049999999999999</v>
      </c>
      <c r="F124" s="2">
        <v>2</v>
      </c>
    </row>
    <row r="125" spans="1:6" ht="14.25" customHeight="1">
      <c r="A125" s="2">
        <v>47</v>
      </c>
      <c r="B125" s="2">
        <v>124</v>
      </c>
      <c r="C125" s="2">
        <v>6</v>
      </c>
      <c r="D125" s="2">
        <v>1</v>
      </c>
      <c r="E125" s="2">
        <v>1.1519999999999999</v>
      </c>
      <c r="F125" s="2">
        <v>1</v>
      </c>
    </row>
    <row r="126" spans="1:6" ht="14.25" customHeight="1">
      <c r="A126" s="2">
        <v>47</v>
      </c>
      <c r="B126" s="2">
        <v>125</v>
      </c>
      <c r="C126" s="2">
        <v>5</v>
      </c>
      <c r="D126" s="2">
        <v>1</v>
      </c>
      <c r="E126" s="2">
        <v>1.2729999999999999</v>
      </c>
      <c r="F126" s="2">
        <v>1</v>
      </c>
    </row>
    <row r="127" spans="1:6" ht="14.25" customHeight="1">
      <c r="A127" s="2">
        <v>47</v>
      </c>
      <c r="B127" s="2">
        <v>126</v>
      </c>
      <c r="C127" s="2">
        <v>1</v>
      </c>
      <c r="D127" s="2">
        <v>1</v>
      </c>
      <c r="E127" s="2">
        <v>0.91100000000000003</v>
      </c>
      <c r="F127" s="2">
        <v>2</v>
      </c>
    </row>
    <row r="128" spans="1:6" ht="14.25" customHeight="1">
      <c r="A128" s="2">
        <v>47</v>
      </c>
      <c r="B128" s="2">
        <v>127</v>
      </c>
      <c r="C128" s="2">
        <v>4</v>
      </c>
      <c r="D128" s="2">
        <v>1</v>
      </c>
      <c r="E128" s="2">
        <v>1.2330000000000001</v>
      </c>
      <c r="F128" s="2">
        <v>2</v>
      </c>
    </row>
    <row r="129" spans="1:6" ht="14.25" customHeight="1">
      <c r="A129" s="2">
        <v>47</v>
      </c>
      <c r="B129" s="2">
        <v>128</v>
      </c>
      <c r="C129" s="2">
        <v>2</v>
      </c>
      <c r="D129" s="2">
        <v>1</v>
      </c>
      <c r="E129" s="2">
        <v>1.169</v>
      </c>
      <c r="F129" s="2">
        <v>1</v>
      </c>
    </row>
    <row r="130" spans="1:6" ht="14.25" customHeight="1">
      <c r="A130" s="2">
        <v>47</v>
      </c>
      <c r="B130" s="2">
        <v>129</v>
      </c>
      <c r="C130" s="2">
        <v>6</v>
      </c>
      <c r="D130" s="2">
        <v>1</v>
      </c>
      <c r="E130" s="2">
        <v>1.319</v>
      </c>
      <c r="F130" s="2">
        <v>2</v>
      </c>
    </row>
    <row r="131" spans="1:6" ht="14.25" customHeight="1">
      <c r="A131" s="2">
        <v>47</v>
      </c>
      <c r="B131" s="2">
        <v>130</v>
      </c>
      <c r="C131" s="2">
        <v>3</v>
      </c>
      <c r="D131" s="2">
        <v>1</v>
      </c>
      <c r="E131" s="2">
        <v>1.5940000000000001</v>
      </c>
      <c r="F131" s="2">
        <v>2</v>
      </c>
    </row>
    <row r="132" spans="1:6" ht="14.25" customHeight="1">
      <c r="A132" s="2">
        <v>47</v>
      </c>
      <c r="B132" s="2">
        <v>131</v>
      </c>
      <c r="C132" s="2">
        <v>8</v>
      </c>
      <c r="D132" s="2">
        <v>1</v>
      </c>
      <c r="E132" s="2">
        <v>1.194</v>
      </c>
      <c r="F132" s="2">
        <v>2</v>
      </c>
    </row>
    <row r="133" spans="1:6" ht="14.25" customHeight="1">
      <c r="A133" s="2">
        <v>47</v>
      </c>
      <c r="B133" s="2">
        <v>132</v>
      </c>
      <c r="C133" s="2">
        <v>7</v>
      </c>
      <c r="E133" s="2">
        <v>2</v>
      </c>
    </row>
    <row r="134" spans="1:6" ht="14.25" customHeight="1">
      <c r="A134" s="2">
        <v>47</v>
      </c>
      <c r="B134" s="2">
        <v>133</v>
      </c>
      <c r="C134" s="2">
        <v>1</v>
      </c>
      <c r="D134" s="2">
        <v>0</v>
      </c>
      <c r="E134" s="2">
        <v>1.6859999999999999</v>
      </c>
      <c r="F134" s="2">
        <v>1</v>
      </c>
    </row>
    <row r="135" spans="1:6" ht="14.25" customHeight="1">
      <c r="A135" s="2">
        <v>47</v>
      </c>
      <c r="B135" s="2">
        <v>134</v>
      </c>
      <c r="C135" s="2">
        <v>6</v>
      </c>
      <c r="D135" s="2">
        <v>1</v>
      </c>
      <c r="E135" s="2">
        <v>1.0249999999999999</v>
      </c>
      <c r="F135" s="2">
        <v>2</v>
      </c>
    </row>
    <row r="136" spans="1:6" ht="14.25" customHeight="1">
      <c r="A136" s="2">
        <v>47</v>
      </c>
      <c r="B136" s="2">
        <v>135</v>
      </c>
      <c r="C136" s="2">
        <v>2</v>
      </c>
      <c r="D136" s="2">
        <v>1</v>
      </c>
      <c r="E136" s="2">
        <v>1.389</v>
      </c>
      <c r="F136" s="2">
        <v>2</v>
      </c>
    </row>
    <row r="137" spans="1:6" ht="14.25" customHeight="1">
      <c r="A137" s="2">
        <v>47</v>
      </c>
      <c r="B137" s="2">
        <v>136</v>
      </c>
      <c r="C137" s="2">
        <v>4</v>
      </c>
      <c r="D137" s="2">
        <v>1</v>
      </c>
      <c r="E137" s="2">
        <v>1.337</v>
      </c>
      <c r="F137" s="2">
        <v>2</v>
      </c>
    </row>
    <row r="138" spans="1:6" ht="14.25" customHeight="1">
      <c r="A138" s="2">
        <v>47</v>
      </c>
      <c r="B138" s="2">
        <v>137</v>
      </c>
      <c r="C138" s="2">
        <v>2</v>
      </c>
      <c r="D138" s="2">
        <v>0</v>
      </c>
      <c r="E138" s="2">
        <v>1.367</v>
      </c>
      <c r="F138" s="2">
        <v>1</v>
      </c>
    </row>
    <row r="139" spans="1:6" ht="14.25" customHeight="1">
      <c r="A139" s="2">
        <v>47</v>
      </c>
      <c r="B139" s="2">
        <v>138</v>
      </c>
      <c r="C139" s="2">
        <v>3</v>
      </c>
      <c r="D139" s="2">
        <v>1</v>
      </c>
      <c r="E139" s="2">
        <v>1.446</v>
      </c>
      <c r="F139" s="2">
        <v>1</v>
      </c>
    </row>
    <row r="140" spans="1:6" ht="14.25" customHeight="1">
      <c r="A140" s="2">
        <v>47</v>
      </c>
      <c r="B140" s="2">
        <v>139</v>
      </c>
      <c r="C140" s="2">
        <v>8</v>
      </c>
      <c r="D140" s="2">
        <v>0</v>
      </c>
      <c r="E140" s="2">
        <v>1.0580000000000001</v>
      </c>
      <c r="F140" s="2">
        <v>1</v>
      </c>
    </row>
    <row r="141" spans="1:6" ht="14.25" customHeight="1">
      <c r="A141" s="2">
        <v>47</v>
      </c>
      <c r="B141" s="2">
        <v>140</v>
      </c>
      <c r="C141" s="2">
        <v>3</v>
      </c>
      <c r="D141" s="2">
        <v>1</v>
      </c>
      <c r="E141" s="2">
        <v>1.2190000000000001</v>
      </c>
      <c r="F141" s="2">
        <v>1</v>
      </c>
    </row>
    <row r="142" spans="1:6" ht="14.25" customHeight="1">
      <c r="A142" s="2">
        <v>47</v>
      </c>
      <c r="B142" s="2">
        <v>141</v>
      </c>
      <c r="C142" s="2">
        <v>1</v>
      </c>
      <c r="D142" s="2">
        <v>0</v>
      </c>
      <c r="E142" s="2">
        <v>1.5469999999999999</v>
      </c>
      <c r="F142" s="2">
        <v>1</v>
      </c>
    </row>
    <row r="143" spans="1:6" ht="14.25" customHeight="1">
      <c r="A143" s="2">
        <v>47</v>
      </c>
      <c r="B143" s="2">
        <v>142</v>
      </c>
      <c r="C143" s="2">
        <v>5</v>
      </c>
      <c r="D143" s="2">
        <v>0</v>
      </c>
      <c r="E143" s="2">
        <v>1.425</v>
      </c>
      <c r="F143" s="2">
        <v>1</v>
      </c>
    </row>
    <row r="144" spans="1:6" ht="14.25" customHeight="1">
      <c r="A144" s="2">
        <v>47</v>
      </c>
      <c r="B144" s="2">
        <v>143</v>
      </c>
      <c r="C144" s="2">
        <v>2</v>
      </c>
      <c r="D144" s="2">
        <v>0</v>
      </c>
      <c r="E144" s="2">
        <v>1.3280000000000001</v>
      </c>
      <c r="F144" s="2">
        <v>2</v>
      </c>
    </row>
    <row r="145" spans="1:6" ht="14.25" customHeight="1">
      <c r="A145" s="2">
        <v>47</v>
      </c>
      <c r="B145" s="2">
        <v>144</v>
      </c>
      <c r="C145" s="2">
        <v>1</v>
      </c>
      <c r="D145" s="2">
        <v>1</v>
      </c>
      <c r="E145" s="2">
        <v>1.1539999999999999</v>
      </c>
      <c r="F145" s="2">
        <v>1</v>
      </c>
    </row>
    <row r="146" spans="1:6" ht="14.25" customHeight="1">
      <c r="A146" s="2">
        <v>47</v>
      </c>
      <c r="B146" s="2">
        <v>145</v>
      </c>
      <c r="C146" s="2">
        <v>6</v>
      </c>
      <c r="D146" s="2">
        <v>0</v>
      </c>
      <c r="E146" s="2">
        <v>1.25</v>
      </c>
      <c r="F146" s="2">
        <v>2</v>
      </c>
    </row>
    <row r="147" spans="1:6" ht="14.25" customHeight="1">
      <c r="A147" s="2">
        <v>47</v>
      </c>
      <c r="B147" s="2">
        <v>146</v>
      </c>
      <c r="C147" s="2">
        <v>1</v>
      </c>
      <c r="D147" s="2">
        <v>1</v>
      </c>
      <c r="E147" s="2">
        <v>1.345</v>
      </c>
      <c r="F147" s="2">
        <v>2</v>
      </c>
    </row>
    <row r="148" spans="1:6" ht="14.25" customHeight="1">
      <c r="A148" s="2">
        <v>47</v>
      </c>
      <c r="B148" s="2">
        <v>147</v>
      </c>
      <c r="C148" s="2">
        <v>3</v>
      </c>
      <c r="D148" s="2">
        <v>0</v>
      </c>
      <c r="E148" s="2">
        <v>1.504</v>
      </c>
      <c r="F148" s="2">
        <v>1</v>
      </c>
    </row>
    <row r="149" spans="1:6" ht="14.25" customHeight="1">
      <c r="A149" s="2">
        <v>47</v>
      </c>
      <c r="B149" s="2">
        <v>148</v>
      </c>
      <c r="C149" s="2">
        <v>7</v>
      </c>
      <c r="D149" s="2">
        <v>1</v>
      </c>
      <c r="E149" s="2">
        <v>1.5449999999999999</v>
      </c>
      <c r="F149" s="2">
        <v>1</v>
      </c>
    </row>
    <row r="150" spans="1:6" ht="14.25" customHeight="1">
      <c r="A150" s="2">
        <v>47</v>
      </c>
      <c r="B150" s="2">
        <v>149</v>
      </c>
      <c r="C150" s="2">
        <v>8</v>
      </c>
      <c r="D150" s="2">
        <v>0</v>
      </c>
      <c r="E150" s="2">
        <v>1.153</v>
      </c>
      <c r="F150" s="2">
        <v>2</v>
      </c>
    </row>
    <row r="151" spans="1:6" ht="14.25" customHeight="1">
      <c r="A151" s="2">
        <v>47</v>
      </c>
      <c r="B151" s="2">
        <v>150</v>
      </c>
      <c r="C151" s="2">
        <v>1</v>
      </c>
      <c r="D151" s="2">
        <v>0</v>
      </c>
      <c r="E151" s="2">
        <v>1.325</v>
      </c>
      <c r="F151" s="2">
        <v>1</v>
      </c>
    </row>
    <row r="152" spans="1:6" ht="14.25" customHeight="1">
      <c r="A152" s="2">
        <v>47</v>
      </c>
      <c r="B152" s="2">
        <v>151</v>
      </c>
      <c r="C152" s="2">
        <v>4</v>
      </c>
      <c r="D152" s="2">
        <v>1</v>
      </c>
      <c r="E152" s="2">
        <v>1.5189999999999999</v>
      </c>
    </row>
    <row r="153" spans="1:6" ht="14.25" customHeight="1">
      <c r="A153" s="2">
        <v>47</v>
      </c>
      <c r="B153" s="2">
        <v>152</v>
      </c>
      <c r="C153" s="2">
        <v>8</v>
      </c>
      <c r="D153" s="2">
        <v>1</v>
      </c>
      <c r="E153" s="2">
        <v>1.4139999999999999</v>
      </c>
    </row>
    <row r="154" spans="1:6" ht="14.25" customHeight="1">
      <c r="A154" s="2">
        <v>47</v>
      </c>
      <c r="B154" s="2">
        <v>153</v>
      </c>
      <c r="C154" s="2">
        <v>5</v>
      </c>
      <c r="D154" s="2">
        <v>1</v>
      </c>
      <c r="E154" s="2">
        <v>1.0880000000000001</v>
      </c>
    </row>
    <row r="155" spans="1:6" ht="14.25" customHeight="1">
      <c r="A155" s="2">
        <v>47</v>
      </c>
      <c r="B155" s="2">
        <v>154</v>
      </c>
      <c r="C155" s="2">
        <v>2</v>
      </c>
      <c r="D155" s="2">
        <v>1</v>
      </c>
      <c r="E155" s="2">
        <v>1.0820000000000001</v>
      </c>
    </row>
    <row r="156" spans="1:6" ht="14.25" customHeight="1">
      <c r="A156" s="2">
        <v>47</v>
      </c>
      <c r="B156" s="2">
        <v>155</v>
      </c>
      <c r="C156" s="2">
        <v>5</v>
      </c>
      <c r="D156" s="2">
        <v>1</v>
      </c>
      <c r="E156" s="2">
        <v>1.161</v>
      </c>
    </row>
    <row r="157" spans="1:6" ht="14.25" customHeight="1">
      <c r="A157" s="2">
        <v>47</v>
      </c>
      <c r="B157" s="2">
        <v>156</v>
      </c>
      <c r="C157" s="2">
        <v>1</v>
      </c>
      <c r="D157" s="2">
        <v>1</v>
      </c>
      <c r="E157" s="2">
        <v>1.2969999999999999</v>
      </c>
    </row>
    <row r="158" spans="1:6" ht="14.25" customHeight="1">
      <c r="A158" s="2">
        <v>47</v>
      </c>
      <c r="B158" s="2">
        <v>157</v>
      </c>
      <c r="C158" s="2">
        <v>3</v>
      </c>
      <c r="D158" s="2">
        <v>1</v>
      </c>
      <c r="E158" s="2">
        <v>1.7230000000000001</v>
      </c>
    </row>
    <row r="159" spans="1:6" ht="14.25" customHeight="1">
      <c r="A159" s="2">
        <v>47</v>
      </c>
      <c r="B159" s="2">
        <v>158</v>
      </c>
      <c r="C159" s="2">
        <v>2</v>
      </c>
      <c r="D159" s="2">
        <v>1</v>
      </c>
      <c r="E159" s="2">
        <v>1.179</v>
      </c>
    </row>
    <row r="160" spans="1:6" ht="14.25" customHeight="1">
      <c r="A160" s="2">
        <v>47</v>
      </c>
      <c r="B160" s="2">
        <v>159</v>
      </c>
      <c r="C160" s="2">
        <v>4</v>
      </c>
      <c r="D160" s="2">
        <v>1</v>
      </c>
      <c r="E160" s="2">
        <v>1.387</v>
      </c>
    </row>
    <row r="161" spans="1:5" ht="14.25" customHeight="1">
      <c r="A161" s="2">
        <v>47</v>
      </c>
      <c r="B161" s="2">
        <v>160</v>
      </c>
      <c r="C161" s="2">
        <v>6</v>
      </c>
      <c r="D161" s="2">
        <v>1</v>
      </c>
      <c r="E161" s="2">
        <v>1.26</v>
      </c>
    </row>
    <row r="162" spans="1:5" ht="14.25" customHeight="1">
      <c r="A162" s="2">
        <v>47</v>
      </c>
      <c r="B162" s="2">
        <v>161</v>
      </c>
      <c r="C162" s="2">
        <v>2</v>
      </c>
      <c r="D162" s="2">
        <v>1</v>
      </c>
      <c r="E162" s="2">
        <v>1.393</v>
      </c>
    </row>
    <row r="163" spans="1:5" ht="14.25" customHeight="1">
      <c r="A163" s="2">
        <v>47</v>
      </c>
      <c r="B163" s="2">
        <v>162</v>
      </c>
      <c r="C163" s="2">
        <v>5</v>
      </c>
      <c r="D163" s="2">
        <v>1</v>
      </c>
      <c r="E163" s="2">
        <v>1.49</v>
      </c>
    </row>
    <row r="164" spans="1:5" ht="14.25" customHeight="1">
      <c r="A164" s="2">
        <v>47</v>
      </c>
      <c r="B164" s="2">
        <v>163</v>
      </c>
      <c r="C164" s="2">
        <v>1</v>
      </c>
      <c r="D164" s="2">
        <v>1</v>
      </c>
      <c r="E164" s="2">
        <v>1.238</v>
      </c>
    </row>
    <row r="165" spans="1:5" ht="14.25" customHeight="1">
      <c r="A165" s="2">
        <v>47</v>
      </c>
      <c r="B165" s="2">
        <v>164</v>
      </c>
      <c r="C165" s="2">
        <v>7</v>
      </c>
      <c r="D165" s="2">
        <v>1</v>
      </c>
      <c r="E165" s="2">
        <v>1.121</v>
      </c>
    </row>
    <row r="166" spans="1:5" ht="14.25" customHeight="1">
      <c r="A166" s="2">
        <v>47</v>
      </c>
      <c r="B166" s="2">
        <v>165</v>
      </c>
      <c r="C166" s="2">
        <v>1</v>
      </c>
      <c r="D166" s="2">
        <v>1</v>
      </c>
      <c r="E166" s="2">
        <v>1.4419999999999999</v>
      </c>
    </row>
    <row r="167" spans="1:5" ht="14.25" customHeight="1">
      <c r="A167" s="2">
        <v>47</v>
      </c>
      <c r="B167" s="2">
        <v>166</v>
      </c>
      <c r="C167" s="2">
        <v>5</v>
      </c>
      <c r="D167" s="2">
        <v>1</v>
      </c>
      <c r="E167" s="2">
        <v>0.879</v>
      </c>
    </row>
    <row r="168" spans="1:5" ht="14.25" customHeight="1">
      <c r="A168" s="2">
        <v>47</v>
      </c>
      <c r="B168" s="2">
        <v>167</v>
      </c>
      <c r="C168" s="2">
        <v>8</v>
      </c>
      <c r="D168" s="2">
        <v>1</v>
      </c>
      <c r="E168" s="2">
        <v>0.81899999999999995</v>
      </c>
    </row>
    <row r="169" spans="1:5" ht="14.25" customHeight="1">
      <c r="A169" s="2">
        <v>47</v>
      </c>
      <c r="B169" s="2">
        <v>168</v>
      </c>
      <c r="C169" s="2">
        <v>4</v>
      </c>
      <c r="D169" s="2">
        <v>1</v>
      </c>
      <c r="E169" s="2">
        <v>1.296</v>
      </c>
    </row>
    <row r="170" spans="1:5" ht="14.25" customHeight="1">
      <c r="A170" s="2">
        <v>47</v>
      </c>
      <c r="B170" s="2">
        <v>169</v>
      </c>
      <c r="C170" s="2">
        <v>8</v>
      </c>
      <c r="D170" s="2">
        <v>1</v>
      </c>
      <c r="E170" s="2">
        <v>1.161</v>
      </c>
    </row>
    <row r="171" spans="1:5" ht="14.25" customHeight="1">
      <c r="A171" s="2">
        <v>47</v>
      </c>
      <c r="B171" s="2">
        <v>170</v>
      </c>
      <c r="C171" s="2">
        <v>3</v>
      </c>
      <c r="D171" s="2">
        <v>1</v>
      </c>
      <c r="E171" s="2">
        <v>0.79200000000000004</v>
      </c>
    </row>
    <row r="172" spans="1:5" ht="14.25" customHeight="1">
      <c r="A172" s="2">
        <v>47</v>
      </c>
      <c r="B172" s="2">
        <v>171</v>
      </c>
      <c r="C172" s="2">
        <v>2</v>
      </c>
      <c r="D172" s="2">
        <v>0</v>
      </c>
      <c r="E172" s="2">
        <v>1.1220000000000001</v>
      </c>
    </row>
    <row r="173" spans="1:5" ht="14.25" customHeight="1">
      <c r="A173" s="2">
        <v>47</v>
      </c>
      <c r="B173" s="2">
        <v>172</v>
      </c>
      <c r="C173" s="2">
        <v>6</v>
      </c>
      <c r="D173" s="2">
        <v>1</v>
      </c>
      <c r="E173" s="2">
        <v>1.2090000000000001</v>
      </c>
    </row>
    <row r="174" spans="1:5" ht="14.25" customHeight="1">
      <c r="A174" s="2">
        <v>47</v>
      </c>
      <c r="B174" s="2">
        <v>173</v>
      </c>
      <c r="C174" s="2">
        <v>1</v>
      </c>
      <c r="D174" s="2">
        <v>0</v>
      </c>
      <c r="E174" s="2">
        <v>1.3069999999999999</v>
      </c>
    </row>
    <row r="175" spans="1:5" ht="14.25" customHeight="1">
      <c r="A175" s="2">
        <v>47</v>
      </c>
      <c r="B175" s="2">
        <v>174</v>
      </c>
      <c r="C175" s="2">
        <v>2</v>
      </c>
      <c r="D175" s="2">
        <v>1</v>
      </c>
      <c r="E175" s="2">
        <v>0.78700000000000003</v>
      </c>
    </row>
    <row r="176" spans="1:5" ht="14.25" customHeight="1">
      <c r="A176" s="2">
        <v>47</v>
      </c>
      <c r="B176" s="2">
        <v>175</v>
      </c>
      <c r="C176" s="2">
        <v>8</v>
      </c>
      <c r="D176" s="2">
        <v>1</v>
      </c>
      <c r="E176" s="2">
        <v>1.61</v>
      </c>
    </row>
    <row r="177" spans="1:5" ht="14.25" customHeight="1">
      <c r="A177" s="2">
        <v>47</v>
      </c>
      <c r="B177" s="2">
        <v>176</v>
      </c>
      <c r="C177" s="2">
        <v>5</v>
      </c>
      <c r="D177" s="2">
        <v>1</v>
      </c>
      <c r="E177" s="2">
        <v>1.262</v>
      </c>
    </row>
    <row r="178" spans="1:5" ht="14.25" customHeight="1">
      <c r="A178" s="2">
        <v>47</v>
      </c>
      <c r="B178" s="2">
        <v>177</v>
      </c>
      <c r="C178" s="2">
        <v>4</v>
      </c>
      <c r="D178" s="2">
        <v>1</v>
      </c>
      <c r="E178" s="2">
        <v>1.012</v>
      </c>
    </row>
    <row r="179" spans="1:5" ht="14.25" customHeight="1">
      <c r="A179" s="2">
        <v>47</v>
      </c>
      <c r="B179" s="2">
        <v>178</v>
      </c>
      <c r="C179" s="2">
        <v>5</v>
      </c>
      <c r="D179" s="2">
        <v>1</v>
      </c>
      <c r="E179" s="2">
        <v>1.0820000000000001</v>
      </c>
    </row>
    <row r="180" spans="1:5" ht="14.25" customHeight="1">
      <c r="A180" s="2">
        <v>47</v>
      </c>
      <c r="B180" s="2">
        <v>179</v>
      </c>
      <c r="C180" s="2">
        <v>3</v>
      </c>
      <c r="D180" s="2">
        <v>1</v>
      </c>
      <c r="E180" s="2">
        <v>1.232</v>
      </c>
    </row>
    <row r="181" spans="1:5" ht="14.25" customHeight="1">
      <c r="A181" s="2">
        <v>47</v>
      </c>
      <c r="B181" s="2">
        <v>180</v>
      </c>
      <c r="C181" s="2">
        <v>6</v>
      </c>
      <c r="D181" s="2">
        <v>1</v>
      </c>
      <c r="E181" s="2">
        <v>1.371</v>
      </c>
    </row>
    <row r="182" spans="1:5" ht="14.25" customHeight="1">
      <c r="A182" s="2">
        <v>47</v>
      </c>
      <c r="B182" s="2">
        <v>181</v>
      </c>
      <c r="C182" s="2">
        <v>1</v>
      </c>
      <c r="D182" s="2">
        <v>1</v>
      </c>
      <c r="E182" s="2">
        <v>1.353</v>
      </c>
    </row>
    <row r="183" spans="1:5" ht="14.25" customHeight="1">
      <c r="A183" s="2">
        <v>47</v>
      </c>
      <c r="B183" s="2">
        <v>182</v>
      </c>
      <c r="C183" s="2">
        <v>3</v>
      </c>
      <c r="D183" s="2">
        <v>1</v>
      </c>
      <c r="E183" s="2">
        <v>1.214</v>
      </c>
    </row>
    <row r="184" spans="1:5" ht="14.25" customHeight="1">
      <c r="A184" s="2">
        <v>47</v>
      </c>
      <c r="B184" s="2">
        <v>183</v>
      </c>
      <c r="C184" s="2">
        <v>8</v>
      </c>
      <c r="D184" s="2">
        <v>1</v>
      </c>
      <c r="E184" s="2">
        <v>1.2150000000000001</v>
      </c>
    </row>
    <row r="185" spans="1:5" ht="14.25" customHeight="1">
      <c r="A185" s="2">
        <v>47</v>
      </c>
      <c r="B185" s="2">
        <v>184</v>
      </c>
      <c r="C185" s="2">
        <v>3</v>
      </c>
      <c r="D185" s="2">
        <v>1</v>
      </c>
      <c r="E185" s="2">
        <v>0.97199999999999998</v>
      </c>
    </row>
    <row r="186" spans="1:5" ht="14.25" customHeight="1">
      <c r="A186" s="2">
        <v>47</v>
      </c>
      <c r="B186" s="2">
        <v>185</v>
      </c>
      <c r="C186" s="2">
        <v>7</v>
      </c>
      <c r="D186" s="2">
        <v>1</v>
      </c>
      <c r="E186" s="2">
        <v>1.111</v>
      </c>
    </row>
    <row r="187" spans="1:5" ht="14.25" customHeight="1">
      <c r="A187" s="2">
        <v>47</v>
      </c>
      <c r="B187" s="2">
        <v>186</v>
      </c>
      <c r="C187" s="2">
        <v>8</v>
      </c>
      <c r="D187" s="2">
        <v>1</v>
      </c>
      <c r="E187" s="2">
        <v>0.83399999999999996</v>
      </c>
    </row>
    <row r="188" spans="1:5" ht="14.25" customHeight="1">
      <c r="A188" s="2">
        <v>47</v>
      </c>
      <c r="B188" s="2">
        <v>187</v>
      </c>
      <c r="C188" s="2">
        <v>1</v>
      </c>
      <c r="D188" s="2">
        <v>1</v>
      </c>
      <c r="E188" s="2">
        <v>0.84</v>
      </c>
    </row>
    <row r="189" spans="1:5" ht="14.25" customHeight="1">
      <c r="A189" s="2">
        <v>47</v>
      </c>
      <c r="B189" s="2">
        <v>188</v>
      </c>
      <c r="C189" s="2">
        <v>4</v>
      </c>
      <c r="D189" s="2">
        <v>0</v>
      </c>
      <c r="E189" s="2">
        <v>1.1279999999999999</v>
      </c>
    </row>
    <row r="190" spans="1:5" ht="14.25" customHeight="1">
      <c r="A190" s="2">
        <v>47</v>
      </c>
      <c r="B190" s="2">
        <v>189</v>
      </c>
      <c r="C190" s="2">
        <v>7</v>
      </c>
      <c r="D190" s="2">
        <v>1</v>
      </c>
      <c r="E190" s="2">
        <v>1.3360000000000001</v>
      </c>
    </row>
    <row r="191" spans="1:5" ht="14.25" customHeight="1">
      <c r="A191" s="2">
        <v>47</v>
      </c>
      <c r="B191" s="2">
        <v>190</v>
      </c>
      <c r="C191" s="2">
        <v>1</v>
      </c>
      <c r="D191" s="2">
        <v>1</v>
      </c>
      <c r="E191" s="2">
        <v>0.99199999999999999</v>
      </c>
    </row>
    <row r="192" spans="1:5" ht="14.25" customHeight="1">
      <c r="A192" s="2">
        <v>47</v>
      </c>
      <c r="B192" s="2">
        <v>191</v>
      </c>
      <c r="C192" s="2">
        <v>6</v>
      </c>
      <c r="D192" s="2">
        <v>1</v>
      </c>
      <c r="E192" s="2">
        <v>1.3080000000000001</v>
      </c>
    </row>
    <row r="193" spans="1:5" ht="14.25" customHeight="1">
      <c r="A193" s="2">
        <v>47</v>
      </c>
      <c r="B193" s="2">
        <v>192</v>
      </c>
      <c r="C193" s="2">
        <v>2</v>
      </c>
      <c r="D193" s="2">
        <v>1</v>
      </c>
      <c r="E193" s="2">
        <v>1.1459999999999999</v>
      </c>
    </row>
    <row r="194" spans="1:5" ht="14.25" customHeight="1">
      <c r="A194" s="2">
        <v>47</v>
      </c>
      <c r="B194" s="2">
        <v>193</v>
      </c>
      <c r="C194" s="2">
        <v>7</v>
      </c>
      <c r="D194" s="2">
        <v>1</v>
      </c>
      <c r="E194" s="2">
        <v>0.96099999999999997</v>
      </c>
    </row>
    <row r="195" spans="1:5" ht="14.25" customHeight="1">
      <c r="A195" s="2">
        <v>47</v>
      </c>
      <c r="B195" s="2">
        <v>194</v>
      </c>
      <c r="C195" s="2">
        <v>6</v>
      </c>
      <c r="D195" s="2">
        <v>1</v>
      </c>
      <c r="E195" s="2">
        <v>0.99099999999999999</v>
      </c>
    </row>
    <row r="196" spans="1:5" ht="14.25" customHeight="1">
      <c r="A196" s="2">
        <v>47</v>
      </c>
      <c r="B196" s="2">
        <v>195</v>
      </c>
      <c r="C196" s="2">
        <v>3</v>
      </c>
      <c r="D196" s="2">
        <v>1</v>
      </c>
      <c r="E196" s="2">
        <v>1.5940000000000001</v>
      </c>
    </row>
    <row r="197" spans="1:5" ht="14.25" customHeight="1">
      <c r="A197" s="2">
        <v>47</v>
      </c>
      <c r="B197" s="2">
        <v>196</v>
      </c>
      <c r="C197" s="2">
        <v>7</v>
      </c>
      <c r="D197" s="2">
        <v>1</v>
      </c>
      <c r="E197" s="2">
        <v>0.872</v>
      </c>
    </row>
    <row r="198" spans="1:5" ht="14.25" customHeight="1">
      <c r="A198" s="2">
        <v>47</v>
      </c>
      <c r="B198" s="2">
        <v>197</v>
      </c>
      <c r="C198" s="2">
        <v>6</v>
      </c>
      <c r="D198" s="2">
        <v>1</v>
      </c>
      <c r="E198" s="2">
        <v>0.99299999999999999</v>
      </c>
    </row>
    <row r="199" spans="1:5" ht="14.25" customHeight="1">
      <c r="A199" s="2">
        <v>47</v>
      </c>
      <c r="B199" s="2">
        <v>198</v>
      </c>
      <c r="C199" s="2">
        <v>7</v>
      </c>
      <c r="D199" s="2">
        <v>1</v>
      </c>
      <c r="E199" s="2">
        <v>1.113</v>
      </c>
    </row>
    <row r="200" spans="1:5" ht="14.25" customHeight="1">
      <c r="A200" s="2">
        <v>47</v>
      </c>
      <c r="B200" s="2">
        <v>199</v>
      </c>
      <c r="C200" s="2">
        <v>3</v>
      </c>
      <c r="D200" s="2">
        <v>1</v>
      </c>
      <c r="E200" s="2">
        <v>1.258</v>
      </c>
    </row>
    <row r="201" spans="1:5" ht="14.25" customHeight="1">
      <c r="A201" s="2">
        <v>47</v>
      </c>
      <c r="B201" s="2">
        <v>200</v>
      </c>
      <c r="C201" s="2">
        <v>4</v>
      </c>
      <c r="D201" s="2">
        <v>1</v>
      </c>
      <c r="E201" s="2">
        <v>0.96199999999999997</v>
      </c>
    </row>
    <row r="202" spans="1:5" ht="14.25" customHeight="1">
      <c r="A202" s="2">
        <v>47</v>
      </c>
      <c r="B202" s="2">
        <v>201</v>
      </c>
      <c r="C202" s="2">
        <v>5</v>
      </c>
    </row>
    <row r="203" spans="1:5" ht="14.25" customHeight="1">
      <c r="A203" s="2">
        <v>47</v>
      </c>
      <c r="B203" s="2">
        <v>202</v>
      </c>
      <c r="C203" s="2">
        <v>6</v>
      </c>
    </row>
    <row r="204" spans="1:5" ht="14.25" customHeight="1">
      <c r="A204" s="2">
        <v>47</v>
      </c>
      <c r="B204" s="2">
        <v>203</v>
      </c>
      <c r="C204" s="2">
        <v>3</v>
      </c>
    </row>
    <row r="205" spans="1:5" ht="14.25" customHeight="1">
      <c r="A205" s="2">
        <v>47</v>
      </c>
      <c r="B205" s="2">
        <v>204</v>
      </c>
      <c r="C205" s="2">
        <v>2</v>
      </c>
    </row>
    <row r="206" spans="1:5" ht="14.25" customHeight="1">
      <c r="A206" s="2">
        <v>47</v>
      </c>
      <c r="B206" s="2">
        <v>205</v>
      </c>
      <c r="C206" s="2">
        <v>3</v>
      </c>
    </row>
    <row r="207" spans="1:5" ht="14.25" customHeight="1">
      <c r="A207" s="2">
        <v>47</v>
      </c>
      <c r="B207" s="2">
        <v>206</v>
      </c>
      <c r="C207" s="2">
        <v>7</v>
      </c>
    </row>
    <row r="208" spans="1:5" ht="14.25" customHeight="1">
      <c r="A208" s="2">
        <v>47</v>
      </c>
      <c r="B208" s="2">
        <v>207</v>
      </c>
      <c r="C208" s="2">
        <v>1</v>
      </c>
    </row>
    <row r="209" spans="1:3" ht="14.25" customHeight="1">
      <c r="A209" s="2">
        <v>47</v>
      </c>
      <c r="B209" s="2">
        <v>208</v>
      </c>
      <c r="C209" s="2">
        <v>3</v>
      </c>
    </row>
    <row r="210" spans="1:3" ht="14.25" customHeight="1">
      <c r="A210" s="2">
        <v>47</v>
      </c>
      <c r="B210" s="2">
        <v>209</v>
      </c>
      <c r="C210" s="2">
        <v>8</v>
      </c>
    </row>
    <row r="211" spans="1:3" ht="14.25" customHeight="1">
      <c r="A211" s="2">
        <v>47</v>
      </c>
      <c r="B211" s="2">
        <v>210</v>
      </c>
      <c r="C211" s="2">
        <v>6</v>
      </c>
    </row>
    <row r="212" spans="1:3" ht="14.25" customHeight="1">
      <c r="A212" s="2">
        <v>47</v>
      </c>
      <c r="B212" s="2">
        <v>211</v>
      </c>
      <c r="C212" s="2">
        <v>3</v>
      </c>
    </row>
    <row r="213" spans="1:3" ht="14.25" customHeight="1">
      <c r="A213" s="2">
        <v>47</v>
      </c>
      <c r="B213" s="2">
        <v>212</v>
      </c>
      <c r="C213" s="2">
        <v>4</v>
      </c>
    </row>
    <row r="214" spans="1:3" ht="14.25" customHeight="1">
      <c r="A214" s="2">
        <v>47</v>
      </c>
      <c r="B214" s="2">
        <v>213</v>
      </c>
      <c r="C214" s="2">
        <v>2</v>
      </c>
    </row>
    <row r="215" spans="1:3" ht="14.25" customHeight="1">
      <c r="A215" s="2">
        <v>47</v>
      </c>
      <c r="B215" s="2">
        <v>214</v>
      </c>
      <c r="C215" s="2">
        <v>1</v>
      </c>
    </row>
    <row r="216" spans="1:3" ht="14.25" customHeight="1">
      <c r="A216" s="2">
        <v>47</v>
      </c>
      <c r="B216" s="2">
        <v>215</v>
      </c>
      <c r="C216" s="2">
        <v>2</v>
      </c>
    </row>
    <row r="217" spans="1:3" ht="14.25" customHeight="1">
      <c r="A217" s="2">
        <v>47</v>
      </c>
      <c r="B217" s="2">
        <v>216</v>
      </c>
      <c r="C217" s="2">
        <v>8</v>
      </c>
    </row>
    <row r="218" spans="1:3" ht="14.25" customHeight="1">
      <c r="A218" s="2">
        <v>47</v>
      </c>
      <c r="B218" s="2">
        <v>217</v>
      </c>
      <c r="C218" s="2">
        <v>1</v>
      </c>
    </row>
    <row r="219" spans="1:3" ht="14.25" customHeight="1">
      <c r="A219" s="2">
        <v>47</v>
      </c>
      <c r="B219" s="2">
        <v>218</v>
      </c>
      <c r="C219" s="2">
        <v>2</v>
      </c>
    </row>
    <row r="220" spans="1:3" ht="14.25" customHeight="1">
      <c r="A220" s="2">
        <v>47</v>
      </c>
      <c r="B220" s="2">
        <v>219</v>
      </c>
      <c r="C220" s="2">
        <v>8</v>
      </c>
    </row>
    <row r="221" spans="1:3" ht="14.25" customHeight="1">
      <c r="A221" s="2">
        <v>47</v>
      </c>
      <c r="B221" s="2">
        <v>220</v>
      </c>
      <c r="C221" s="2">
        <v>6</v>
      </c>
    </row>
    <row r="222" spans="1:3" ht="14.25" customHeight="1">
      <c r="A222" s="2">
        <v>47</v>
      </c>
      <c r="B222" s="2">
        <v>221</v>
      </c>
      <c r="C222" s="2">
        <v>3</v>
      </c>
    </row>
    <row r="223" spans="1:3" ht="14.25" customHeight="1">
      <c r="A223" s="2">
        <v>47</v>
      </c>
      <c r="B223" s="2">
        <v>222</v>
      </c>
      <c r="C223" s="2">
        <v>5</v>
      </c>
    </row>
    <row r="224" spans="1:3" ht="14.25" customHeight="1">
      <c r="A224" s="2">
        <v>47</v>
      </c>
      <c r="B224" s="2">
        <v>223</v>
      </c>
      <c r="C224" s="2">
        <v>4</v>
      </c>
    </row>
    <row r="225" spans="1:3" ht="14.25" customHeight="1">
      <c r="A225" s="2">
        <v>47</v>
      </c>
      <c r="B225" s="2">
        <v>224</v>
      </c>
      <c r="C225" s="2">
        <v>5</v>
      </c>
    </row>
    <row r="226" spans="1:3" ht="14.25" customHeight="1">
      <c r="A226" s="2">
        <v>47</v>
      </c>
      <c r="B226" s="2">
        <v>225</v>
      </c>
      <c r="C226" s="2">
        <v>4</v>
      </c>
    </row>
    <row r="227" spans="1:3" ht="14.25" customHeight="1">
      <c r="A227" s="2">
        <v>47</v>
      </c>
      <c r="B227" s="2">
        <v>226</v>
      </c>
      <c r="C227" s="2">
        <v>7</v>
      </c>
    </row>
    <row r="228" spans="1:3" ht="14.25" customHeight="1">
      <c r="A228" s="2">
        <v>47</v>
      </c>
      <c r="B228" s="2">
        <v>227</v>
      </c>
      <c r="C228" s="2">
        <v>1</v>
      </c>
    </row>
    <row r="229" spans="1:3" ht="14.25" customHeight="1">
      <c r="A229" s="2">
        <v>47</v>
      </c>
      <c r="B229" s="2">
        <v>228</v>
      </c>
      <c r="C229" s="2">
        <v>3</v>
      </c>
    </row>
    <row r="230" spans="1:3" ht="14.25" customHeight="1">
      <c r="A230" s="2">
        <v>47</v>
      </c>
      <c r="B230" s="2">
        <v>229</v>
      </c>
      <c r="C230" s="2">
        <v>8</v>
      </c>
    </row>
    <row r="231" spans="1:3" ht="14.25" customHeight="1">
      <c r="A231" s="2">
        <v>47</v>
      </c>
      <c r="B231" s="2">
        <v>230</v>
      </c>
      <c r="C231" s="2">
        <v>7</v>
      </c>
    </row>
    <row r="232" spans="1:3" ht="14.25" customHeight="1">
      <c r="A232" s="2">
        <v>47</v>
      </c>
      <c r="B232" s="2">
        <v>231</v>
      </c>
      <c r="C232" s="2">
        <v>5</v>
      </c>
    </row>
    <row r="233" spans="1:3" ht="14.25" customHeight="1">
      <c r="A233" s="2">
        <v>47</v>
      </c>
      <c r="B233" s="2">
        <v>232</v>
      </c>
      <c r="C233" s="2">
        <v>7</v>
      </c>
    </row>
    <row r="234" spans="1:3" ht="14.25" customHeight="1">
      <c r="A234" s="2">
        <v>47</v>
      </c>
      <c r="B234" s="2">
        <v>233</v>
      </c>
      <c r="C234" s="2">
        <v>1</v>
      </c>
    </row>
    <row r="235" spans="1:3" ht="14.25" customHeight="1">
      <c r="A235" s="2">
        <v>47</v>
      </c>
      <c r="B235" s="2">
        <v>234</v>
      </c>
      <c r="C235" s="2">
        <v>4</v>
      </c>
    </row>
    <row r="236" spans="1:3" ht="14.25" customHeight="1">
      <c r="A236" s="2">
        <v>47</v>
      </c>
      <c r="B236" s="2">
        <v>235</v>
      </c>
      <c r="C236" s="2">
        <v>6</v>
      </c>
    </row>
    <row r="237" spans="1:3" ht="14.25" customHeight="1">
      <c r="A237" s="2">
        <v>47</v>
      </c>
      <c r="B237" s="2">
        <v>236</v>
      </c>
      <c r="C237" s="2">
        <v>7</v>
      </c>
    </row>
    <row r="238" spans="1:3" ht="14.25" customHeight="1">
      <c r="A238" s="2">
        <v>47</v>
      </c>
      <c r="B238" s="2">
        <v>237</v>
      </c>
      <c r="C238" s="2">
        <v>4</v>
      </c>
    </row>
    <row r="239" spans="1:3" ht="14.25" customHeight="1">
      <c r="A239" s="2">
        <v>47</v>
      </c>
      <c r="B239" s="2">
        <v>238</v>
      </c>
      <c r="C239" s="2">
        <v>6</v>
      </c>
    </row>
    <row r="240" spans="1:3" ht="14.25" customHeight="1">
      <c r="A240" s="2">
        <v>47</v>
      </c>
      <c r="B240" s="2">
        <v>239</v>
      </c>
      <c r="C240" s="2">
        <v>5</v>
      </c>
    </row>
    <row r="241" spans="1:3" ht="14.25" customHeight="1">
      <c r="A241" s="2">
        <v>47</v>
      </c>
      <c r="B241" s="2">
        <v>240</v>
      </c>
      <c r="C241" s="2">
        <v>2</v>
      </c>
    </row>
    <row r="242" spans="1:3" ht="14.25" customHeight="1">
      <c r="A242" s="2">
        <v>47</v>
      </c>
      <c r="B242" s="2">
        <v>241</v>
      </c>
      <c r="C242" s="2">
        <v>4</v>
      </c>
    </row>
    <row r="243" spans="1:3" ht="14.25" customHeight="1">
      <c r="A243" s="2">
        <v>47</v>
      </c>
      <c r="B243" s="2">
        <v>242</v>
      </c>
      <c r="C243" s="2">
        <v>7</v>
      </c>
    </row>
    <row r="244" spans="1:3" ht="14.25" customHeight="1">
      <c r="A244" s="2">
        <v>47</v>
      </c>
      <c r="B244" s="2">
        <v>243</v>
      </c>
      <c r="C244" s="2">
        <v>3</v>
      </c>
    </row>
    <row r="245" spans="1:3" ht="14.25" customHeight="1">
      <c r="A245" s="2">
        <v>47</v>
      </c>
      <c r="B245" s="2">
        <v>244</v>
      </c>
      <c r="C245" s="2">
        <v>8</v>
      </c>
    </row>
    <row r="246" spans="1:3" ht="14.25" customHeight="1">
      <c r="A246" s="2">
        <v>47</v>
      </c>
      <c r="B246" s="2">
        <v>245</v>
      </c>
      <c r="C246" s="2">
        <v>1</v>
      </c>
    </row>
    <row r="247" spans="1:3" ht="14.25" customHeight="1">
      <c r="A247" s="2">
        <v>47</v>
      </c>
      <c r="B247" s="2">
        <v>246</v>
      </c>
      <c r="C247" s="2">
        <v>6</v>
      </c>
    </row>
    <row r="248" spans="1:3" ht="14.25" customHeight="1">
      <c r="A248" s="2">
        <v>47</v>
      </c>
      <c r="B248" s="2">
        <v>247</v>
      </c>
      <c r="C248" s="2">
        <v>1</v>
      </c>
    </row>
    <row r="249" spans="1:3" ht="14.25" customHeight="1">
      <c r="A249" s="2">
        <v>47</v>
      </c>
      <c r="B249" s="2">
        <v>248</v>
      </c>
      <c r="C249" s="2">
        <v>5</v>
      </c>
    </row>
    <row r="250" spans="1:3" ht="14.25" customHeight="1">
      <c r="A250" s="2">
        <v>47</v>
      </c>
      <c r="B250" s="2">
        <v>249</v>
      </c>
      <c r="C250" s="2">
        <v>2</v>
      </c>
    </row>
    <row r="251" spans="1:3" ht="14.25" customHeight="1">
      <c r="A251" s="2">
        <v>47</v>
      </c>
      <c r="B251" s="2">
        <v>250</v>
      </c>
      <c r="C251" s="2">
        <v>8</v>
      </c>
    </row>
    <row r="252" spans="1:3" ht="14.25" customHeight="1">
      <c r="A252" s="2">
        <v>47</v>
      </c>
      <c r="B252" s="2">
        <v>251</v>
      </c>
      <c r="C252" s="2">
        <v>4</v>
      </c>
    </row>
    <row r="253" spans="1:3" ht="14.25" customHeight="1">
      <c r="A253" s="2">
        <v>47</v>
      </c>
      <c r="B253" s="2">
        <v>252</v>
      </c>
      <c r="C253" s="2">
        <v>6</v>
      </c>
    </row>
    <row r="254" spans="1:3" ht="14.25" customHeight="1">
      <c r="A254" s="2">
        <v>47</v>
      </c>
      <c r="B254" s="2">
        <v>253</v>
      </c>
      <c r="C254" s="2">
        <v>5</v>
      </c>
    </row>
    <row r="255" spans="1:3" ht="14.25" customHeight="1">
      <c r="A255" s="2">
        <v>47</v>
      </c>
      <c r="B255" s="2">
        <v>254</v>
      </c>
      <c r="C255" s="2">
        <v>3</v>
      </c>
    </row>
    <row r="256" spans="1:3" ht="14.25" customHeight="1">
      <c r="A256" s="2">
        <v>47</v>
      </c>
      <c r="B256" s="2">
        <v>255</v>
      </c>
      <c r="C256" s="2">
        <v>1</v>
      </c>
    </row>
    <row r="257" spans="1:3" ht="14.25" customHeight="1">
      <c r="A257" s="2">
        <v>47</v>
      </c>
      <c r="B257" s="2">
        <v>256</v>
      </c>
      <c r="C257" s="2">
        <v>3</v>
      </c>
    </row>
    <row r="258" spans="1:3" ht="14.25" customHeight="1">
      <c r="A258" s="2">
        <v>47</v>
      </c>
      <c r="B258" s="2">
        <v>257</v>
      </c>
      <c r="C258" s="2">
        <v>5</v>
      </c>
    </row>
    <row r="259" spans="1:3" ht="14.25" customHeight="1">
      <c r="A259" s="2">
        <v>47</v>
      </c>
      <c r="B259" s="2">
        <v>258</v>
      </c>
      <c r="C259" s="2">
        <v>4</v>
      </c>
    </row>
    <row r="260" spans="1:3" ht="14.25" customHeight="1">
      <c r="A260" s="2">
        <v>47</v>
      </c>
      <c r="B260" s="2">
        <v>259</v>
      </c>
      <c r="C260" s="2">
        <v>6</v>
      </c>
    </row>
    <row r="261" spans="1:3" ht="14.25" customHeight="1">
      <c r="A261" s="2">
        <v>47</v>
      </c>
      <c r="B261" s="2">
        <v>260</v>
      </c>
      <c r="C261" s="2">
        <v>1</v>
      </c>
    </row>
    <row r="262" spans="1:3" ht="14.25" customHeight="1">
      <c r="A262" s="2">
        <v>47</v>
      </c>
      <c r="B262" s="2">
        <v>261</v>
      </c>
      <c r="C262" s="2">
        <v>8</v>
      </c>
    </row>
    <row r="263" spans="1:3" ht="14.25" customHeight="1">
      <c r="A263" s="2">
        <v>47</v>
      </c>
      <c r="B263" s="2">
        <v>262</v>
      </c>
      <c r="C263" s="2">
        <v>3</v>
      </c>
    </row>
    <row r="264" spans="1:3" ht="14.25" customHeight="1">
      <c r="A264" s="2">
        <v>47</v>
      </c>
      <c r="B264" s="2">
        <v>263</v>
      </c>
      <c r="C264" s="2">
        <v>6</v>
      </c>
    </row>
    <row r="265" spans="1:3" ht="14.25" customHeight="1">
      <c r="A265" s="2">
        <v>47</v>
      </c>
      <c r="B265" s="2">
        <v>264</v>
      </c>
      <c r="C265" s="2">
        <v>4</v>
      </c>
    </row>
    <row r="266" spans="1:3" ht="14.25" customHeight="1">
      <c r="A266" s="2">
        <v>47</v>
      </c>
      <c r="B266" s="2">
        <v>265</v>
      </c>
      <c r="C266" s="2">
        <v>7</v>
      </c>
    </row>
    <row r="267" spans="1:3" ht="14.25" customHeight="1">
      <c r="A267" s="2">
        <v>47</v>
      </c>
      <c r="B267" s="2">
        <v>266</v>
      </c>
      <c r="C267" s="2">
        <v>2</v>
      </c>
    </row>
    <row r="268" spans="1:3" ht="14.25" customHeight="1">
      <c r="A268" s="2">
        <v>47</v>
      </c>
      <c r="B268" s="2">
        <v>267</v>
      </c>
      <c r="C268" s="2">
        <v>1</v>
      </c>
    </row>
    <row r="269" spans="1:3" ht="14.25" customHeight="1">
      <c r="A269" s="2">
        <v>47</v>
      </c>
      <c r="B269" s="2">
        <v>268</v>
      </c>
      <c r="C269" s="2">
        <v>6</v>
      </c>
    </row>
    <row r="270" spans="1:3" ht="14.25" customHeight="1">
      <c r="A270" s="2">
        <v>47</v>
      </c>
      <c r="B270" s="2">
        <v>269</v>
      </c>
      <c r="C270" s="2">
        <v>8</v>
      </c>
    </row>
    <row r="271" spans="1:3" ht="14.25" customHeight="1">
      <c r="A271" s="2">
        <v>47</v>
      </c>
      <c r="B271" s="2">
        <v>270</v>
      </c>
      <c r="C271" s="2">
        <v>7</v>
      </c>
    </row>
    <row r="272" spans="1:3" ht="14.25" customHeight="1">
      <c r="A272" s="2">
        <v>47</v>
      </c>
      <c r="B272" s="2">
        <v>271</v>
      </c>
      <c r="C272" s="2">
        <v>3</v>
      </c>
    </row>
    <row r="273" spans="1:3" ht="14.25" customHeight="1">
      <c r="A273" s="2">
        <v>47</v>
      </c>
      <c r="B273" s="2">
        <v>272</v>
      </c>
      <c r="C273" s="2">
        <v>8</v>
      </c>
    </row>
    <row r="274" spans="1:3" ht="14.25" customHeight="1">
      <c r="A274" s="2">
        <v>47</v>
      </c>
      <c r="B274" s="2">
        <v>273</v>
      </c>
      <c r="C274" s="2">
        <v>5</v>
      </c>
    </row>
    <row r="275" spans="1:3" ht="14.25" customHeight="1">
      <c r="A275" s="2">
        <v>47</v>
      </c>
      <c r="B275" s="2">
        <v>274</v>
      </c>
      <c r="C275" s="2">
        <v>4</v>
      </c>
    </row>
    <row r="276" spans="1:3" ht="14.25" customHeight="1">
      <c r="A276" s="2">
        <v>47</v>
      </c>
      <c r="B276" s="2">
        <v>275</v>
      </c>
      <c r="C276" s="2">
        <v>1</v>
      </c>
    </row>
    <row r="277" spans="1:3" ht="14.25" customHeight="1">
      <c r="A277" s="2">
        <v>47</v>
      </c>
      <c r="B277" s="2">
        <v>276</v>
      </c>
      <c r="C277" s="2">
        <v>7</v>
      </c>
    </row>
    <row r="278" spans="1:3" ht="14.25" customHeight="1">
      <c r="A278" s="2">
        <v>47</v>
      </c>
      <c r="B278" s="2">
        <v>277</v>
      </c>
      <c r="C278" s="2">
        <v>1</v>
      </c>
    </row>
    <row r="279" spans="1:3" ht="14.25" customHeight="1">
      <c r="A279" s="2">
        <v>47</v>
      </c>
      <c r="B279" s="2">
        <v>278</v>
      </c>
      <c r="C279" s="2">
        <v>6</v>
      </c>
    </row>
    <row r="280" spans="1:3" ht="14.25" customHeight="1">
      <c r="A280" s="2">
        <v>47</v>
      </c>
      <c r="B280" s="2">
        <v>279</v>
      </c>
      <c r="C280" s="2">
        <v>2</v>
      </c>
    </row>
    <row r="281" spans="1:3" ht="14.25" customHeight="1">
      <c r="A281" s="2">
        <v>47</v>
      </c>
      <c r="B281" s="2">
        <v>280</v>
      </c>
      <c r="C281" s="2">
        <v>5</v>
      </c>
    </row>
    <row r="282" spans="1:3" ht="14.25" customHeight="1">
      <c r="A282" s="2">
        <v>47</v>
      </c>
      <c r="B282" s="2">
        <v>281</v>
      </c>
      <c r="C282" s="2">
        <v>4</v>
      </c>
    </row>
    <row r="283" spans="1:3" ht="14.25" customHeight="1">
      <c r="A283" s="2">
        <v>47</v>
      </c>
      <c r="B283" s="2">
        <v>282</v>
      </c>
      <c r="C283" s="2">
        <v>3</v>
      </c>
    </row>
    <row r="284" spans="1:3" ht="14.25" customHeight="1">
      <c r="A284" s="2">
        <v>47</v>
      </c>
      <c r="B284" s="2">
        <v>283</v>
      </c>
      <c r="C284" s="2">
        <v>8</v>
      </c>
    </row>
    <row r="285" spans="1:3" ht="14.25" customHeight="1">
      <c r="A285" s="2">
        <v>47</v>
      </c>
      <c r="B285" s="2">
        <v>284</v>
      </c>
      <c r="C285" s="2">
        <v>3</v>
      </c>
    </row>
    <row r="286" spans="1:3" ht="14.25" customHeight="1">
      <c r="A286" s="2">
        <v>47</v>
      </c>
      <c r="B286" s="2">
        <v>285</v>
      </c>
      <c r="C286" s="2">
        <v>5</v>
      </c>
    </row>
    <row r="287" spans="1:3" ht="14.25" customHeight="1">
      <c r="A287" s="2">
        <v>47</v>
      </c>
      <c r="B287" s="2">
        <v>286</v>
      </c>
      <c r="C287" s="2">
        <v>8</v>
      </c>
    </row>
    <row r="288" spans="1:3" ht="14.25" customHeight="1">
      <c r="A288" s="2">
        <v>47</v>
      </c>
      <c r="B288" s="2">
        <v>287</v>
      </c>
      <c r="C288" s="2">
        <v>1</v>
      </c>
    </row>
    <row r="289" spans="1:4" ht="14.25" customHeight="1">
      <c r="A289" s="2">
        <v>47</v>
      </c>
      <c r="B289" s="2">
        <v>288</v>
      </c>
      <c r="C289" s="2">
        <v>2</v>
      </c>
    </row>
    <row r="290" spans="1:4" ht="14.25" customHeight="1">
      <c r="A290" s="2">
        <v>47</v>
      </c>
      <c r="B290" s="2">
        <v>289</v>
      </c>
      <c r="C290" s="2">
        <v>7</v>
      </c>
    </row>
    <row r="291" spans="1:4" ht="14.25" customHeight="1">
      <c r="A291" s="2">
        <v>47</v>
      </c>
      <c r="B291" s="2">
        <v>290</v>
      </c>
      <c r="C291" s="2">
        <v>8</v>
      </c>
    </row>
    <row r="292" spans="1:4" ht="14.25" customHeight="1">
      <c r="A292" s="2">
        <v>47</v>
      </c>
      <c r="B292" s="2">
        <v>291</v>
      </c>
      <c r="C292" s="2">
        <v>2</v>
      </c>
    </row>
    <row r="293" spans="1:4" ht="14.25" customHeight="1">
      <c r="A293" s="2">
        <v>47</v>
      </c>
      <c r="B293" s="2">
        <v>292</v>
      </c>
      <c r="C293" s="2">
        <v>7</v>
      </c>
    </row>
    <row r="294" spans="1:4" ht="14.25" customHeight="1">
      <c r="A294" s="2">
        <v>47</v>
      </c>
      <c r="B294" s="2">
        <v>293</v>
      </c>
      <c r="C294" s="2">
        <v>5</v>
      </c>
    </row>
    <row r="295" spans="1:4" ht="14.25" customHeight="1">
      <c r="A295" s="2">
        <v>47</v>
      </c>
      <c r="B295" s="2">
        <v>294</v>
      </c>
      <c r="C295" s="2">
        <v>1</v>
      </c>
    </row>
    <row r="296" spans="1:4" ht="14.25" customHeight="1">
      <c r="A296" s="2">
        <v>47</v>
      </c>
      <c r="B296" s="2">
        <v>295</v>
      </c>
      <c r="C296" s="2">
        <v>6</v>
      </c>
    </row>
    <row r="297" spans="1:4" ht="14.25" customHeight="1">
      <c r="A297" s="2">
        <v>47</v>
      </c>
      <c r="B297" s="2">
        <v>296</v>
      </c>
      <c r="C297" s="2">
        <v>2</v>
      </c>
    </row>
    <row r="298" spans="1:4" ht="14.25" customHeight="1">
      <c r="A298" s="2">
        <v>47</v>
      </c>
      <c r="B298" s="2">
        <v>297</v>
      </c>
      <c r="C298" s="2">
        <v>4</v>
      </c>
    </row>
    <row r="299" spans="1:4" ht="14.25" customHeight="1">
      <c r="A299" s="2">
        <v>47</v>
      </c>
      <c r="B299" s="2">
        <v>298</v>
      </c>
      <c r="C299" s="2">
        <v>3</v>
      </c>
    </row>
    <row r="300" spans="1:4" ht="14.25" customHeight="1">
      <c r="A300" s="2">
        <v>47</v>
      </c>
      <c r="B300" s="2">
        <v>299</v>
      </c>
      <c r="C300" s="2">
        <v>7</v>
      </c>
    </row>
    <row r="301" spans="1:4" ht="14.25" customHeight="1">
      <c r="A301" s="2">
        <v>47</v>
      </c>
      <c r="B301" s="2">
        <v>300</v>
      </c>
      <c r="C301" s="2">
        <v>2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48</v>
      </c>
      <c r="I1" s="2">
        <v>101</v>
      </c>
      <c r="J1" s="2">
        <v>1</v>
      </c>
      <c r="K1" s="2">
        <v>0</v>
      </c>
      <c r="L1" s="2">
        <v>1.3560000000000001</v>
      </c>
      <c r="M1" s="2">
        <v>1</v>
      </c>
    </row>
    <row r="2" spans="1:25" ht="14.25" customHeight="1">
      <c r="A2" s="2">
        <v>48</v>
      </c>
      <c r="B2" s="2">
        <v>1</v>
      </c>
      <c r="C2" s="2">
        <v>7</v>
      </c>
      <c r="D2" s="2">
        <v>0</v>
      </c>
      <c r="E2" s="2">
        <v>1.546</v>
      </c>
      <c r="F2" s="2">
        <v>1</v>
      </c>
      <c r="H2" s="2">
        <v>48</v>
      </c>
      <c r="I2" s="2">
        <v>102</v>
      </c>
      <c r="J2" s="2">
        <v>8</v>
      </c>
      <c r="K2" s="2">
        <v>1</v>
      </c>
      <c r="L2" s="2">
        <v>1.516</v>
      </c>
      <c r="M2" s="2">
        <v>1</v>
      </c>
    </row>
    <row r="3" spans="1:25" ht="14.25" customHeight="1">
      <c r="A3" s="2">
        <v>48</v>
      </c>
      <c r="B3" s="2">
        <v>2</v>
      </c>
      <c r="C3" s="2">
        <v>1</v>
      </c>
      <c r="D3" s="2">
        <v>1</v>
      </c>
      <c r="E3" s="2">
        <v>1.6830000000000001</v>
      </c>
      <c r="F3" s="2">
        <v>1</v>
      </c>
      <c r="H3" s="2">
        <v>48</v>
      </c>
      <c r="I3" s="2">
        <v>103</v>
      </c>
      <c r="J3" s="2">
        <v>4</v>
      </c>
      <c r="K3" s="2">
        <v>1</v>
      </c>
      <c r="L3" s="2">
        <v>0.93</v>
      </c>
      <c r="M3" s="2">
        <v>2</v>
      </c>
    </row>
    <row r="4" spans="1:25" ht="14.25" customHeight="1">
      <c r="A4" s="2">
        <v>48</v>
      </c>
      <c r="B4" s="2">
        <v>3</v>
      </c>
      <c r="C4" s="2">
        <v>4</v>
      </c>
      <c r="D4" s="2">
        <v>1</v>
      </c>
      <c r="E4" s="2">
        <v>1.3340000000000001</v>
      </c>
      <c r="F4" s="2">
        <v>2</v>
      </c>
      <c r="H4" s="2">
        <v>48</v>
      </c>
      <c r="I4" s="2">
        <v>104</v>
      </c>
      <c r="J4" s="2">
        <v>2</v>
      </c>
      <c r="K4" s="2">
        <v>1</v>
      </c>
      <c r="L4" s="2">
        <v>1.921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48</v>
      </c>
      <c r="B5" s="2">
        <v>4</v>
      </c>
      <c r="C5" s="2">
        <v>2</v>
      </c>
      <c r="D5" s="2">
        <v>0</v>
      </c>
      <c r="E5" s="2">
        <v>0.97199999999999998</v>
      </c>
      <c r="F5" s="2">
        <v>1</v>
      </c>
      <c r="H5" s="2">
        <v>48</v>
      </c>
      <c r="I5" s="2">
        <v>105</v>
      </c>
      <c r="J5" s="2">
        <v>6</v>
      </c>
      <c r="K5" s="2">
        <v>0</v>
      </c>
      <c r="L5" s="2">
        <v>1.343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48</v>
      </c>
      <c r="B6" s="2">
        <v>5</v>
      </c>
      <c r="C6" s="2">
        <v>8</v>
      </c>
      <c r="D6" s="2">
        <v>0</v>
      </c>
      <c r="E6" s="2">
        <v>1.349</v>
      </c>
      <c r="F6" s="2">
        <v>1</v>
      </c>
      <c r="H6" s="2">
        <v>48</v>
      </c>
      <c r="I6" s="2">
        <v>106</v>
      </c>
      <c r="J6" s="2">
        <v>7</v>
      </c>
      <c r="K6" s="2">
        <v>1</v>
      </c>
      <c r="L6" s="2">
        <v>0.79600000000000004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48</v>
      </c>
      <c r="B7" s="2">
        <v>6</v>
      </c>
      <c r="C7" s="2">
        <v>6</v>
      </c>
      <c r="D7" s="2">
        <v>0</v>
      </c>
      <c r="E7" s="2">
        <v>0.84599999999999997</v>
      </c>
      <c r="F7" s="2">
        <v>2</v>
      </c>
      <c r="H7" s="2">
        <v>48</v>
      </c>
      <c r="I7" s="2">
        <v>107</v>
      </c>
      <c r="J7" s="2">
        <v>5</v>
      </c>
      <c r="K7" s="2">
        <v>0</v>
      </c>
      <c r="L7" s="2">
        <v>1.8819999999999999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48</v>
      </c>
      <c r="B8" s="2">
        <v>7</v>
      </c>
      <c r="C8" s="2">
        <v>3</v>
      </c>
      <c r="D8" s="2">
        <v>0</v>
      </c>
      <c r="E8" s="2">
        <v>1.395</v>
      </c>
      <c r="F8" s="2">
        <v>2</v>
      </c>
      <c r="H8" s="2">
        <v>48</v>
      </c>
      <c r="I8" s="2">
        <v>108</v>
      </c>
      <c r="J8" s="2">
        <v>4</v>
      </c>
      <c r="K8" s="2">
        <v>1</v>
      </c>
      <c r="L8" s="2">
        <v>1.0720000000000001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48</v>
      </c>
      <c r="B9" s="2">
        <v>8</v>
      </c>
      <c r="C9" s="2">
        <v>1</v>
      </c>
      <c r="D9" s="2">
        <v>1</v>
      </c>
      <c r="E9" s="2">
        <v>1.431</v>
      </c>
      <c r="F9" s="2">
        <v>1</v>
      </c>
      <c r="H9" s="2">
        <v>48</v>
      </c>
      <c r="I9" s="2">
        <v>109</v>
      </c>
      <c r="J9" s="2">
        <v>1</v>
      </c>
      <c r="L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48</v>
      </c>
      <c r="B10" s="2">
        <v>9</v>
      </c>
      <c r="C10" s="2">
        <v>6</v>
      </c>
      <c r="D10" s="2">
        <v>0</v>
      </c>
      <c r="E10" s="2">
        <v>1.351</v>
      </c>
      <c r="F10" s="2">
        <v>2</v>
      </c>
      <c r="H10" s="2">
        <v>48</v>
      </c>
      <c r="I10" s="2">
        <v>110</v>
      </c>
      <c r="J10" s="2">
        <v>6</v>
      </c>
      <c r="K10" s="2">
        <v>0</v>
      </c>
      <c r="L10" s="2">
        <v>1.0149999999999999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48</v>
      </c>
      <c r="B11" s="2">
        <v>10</v>
      </c>
      <c r="C11" s="2">
        <v>1</v>
      </c>
      <c r="D11" s="2">
        <v>1</v>
      </c>
      <c r="E11" s="2">
        <v>0.84299999999999997</v>
      </c>
      <c r="F11" s="2">
        <v>1</v>
      </c>
      <c r="H11" s="2">
        <v>48</v>
      </c>
      <c r="I11" s="2">
        <v>111</v>
      </c>
      <c r="J11" s="2">
        <v>1</v>
      </c>
      <c r="K11" s="2">
        <v>0</v>
      </c>
      <c r="L11" s="2">
        <v>0.60399999999999998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48</v>
      </c>
      <c r="B12" s="2">
        <v>11</v>
      </c>
      <c r="C12" s="2">
        <v>2</v>
      </c>
      <c r="D12" s="2">
        <v>0</v>
      </c>
      <c r="E12" s="2">
        <v>1.0629999999999999</v>
      </c>
      <c r="F12" s="2">
        <v>1</v>
      </c>
      <c r="H12" s="2">
        <v>48</v>
      </c>
      <c r="I12" s="2">
        <v>112</v>
      </c>
      <c r="J12" s="2">
        <v>8</v>
      </c>
      <c r="K12" s="2">
        <v>0</v>
      </c>
      <c r="L12" s="2">
        <v>0.89600000000000002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48</v>
      </c>
      <c r="B13" s="2">
        <v>12</v>
      </c>
      <c r="C13" s="2">
        <v>8</v>
      </c>
      <c r="D13" s="2">
        <v>1</v>
      </c>
      <c r="E13" s="2">
        <v>0.98699999999999999</v>
      </c>
      <c r="F13" s="2">
        <v>2</v>
      </c>
      <c r="H13" s="2">
        <v>48</v>
      </c>
      <c r="I13" s="2">
        <v>113</v>
      </c>
      <c r="J13" s="2">
        <v>1</v>
      </c>
      <c r="K13" s="2">
        <v>1</v>
      </c>
      <c r="L13" s="2">
        <v>0.70399999999999996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48</v>
      </c>
      <c r="B14" s="2">
        <v>13</v>
      </c>
      <c r="C14" s="2">
        <v>2</v>
      </c>
      <c r="E14" s="2">
        <v>2</v>
      </c>
      <c r="H14" s="2">
        <v>48</v>
      </c>
      <c r="I14" s="2">
        <v>114</v>
      </c>
      <c r="J14" s="2">
        <v>8</v>
      </c>
      <c r="K14" s="2">
        <v>0</v>
      </c>
      <c r="L14" s="2">
        <v>1.2030000000000001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48</v>
      </c>
      <c r="B15" s="2">
        <v>14</v>
      </c>
      <c r="C15" s="2">
        <v>8</v>
      </c>
      <c r="D15" s="2">
        <v>0</v>
      </c>
      <c r="E15" s="2">
        <v>0.89800000000000002</v>
      </c>
      <c r="F15" s="2">
        <v>1</v>
      </c>
      <c r="H15" s="2">
        <v>48</v>
      </c>
      <c r="I15" s="2">
        <v>115</v>
      </c>
      <c r="J15" s="2">
        <v>4</v>
      </c>
      <c r="K15" s="2">
        <v>1</v>
      </c>
      <c r="L15" s="2">
        <v>1.0429999999999999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48</v>
      </c>
      <c r="B16" s="2">
        <v>15</v>
      </c>
      <c r="C16" s="2">
        <v>2</v>
      </c>
      <c r="D16" s="2">
        <v>1</v>
      </c>
      <c r="E16" s="2">
        <v>0.54600000000000004</v>
      </c>
      <c r="F16" s="2">
        <v>2</v>
      </c>
      <c r="H16" s="2">
        <v>48</v>
      </c>
      <c r="I16" s="2">
        <v>116</v>
      </c>
      <c r="J16" s="2">
        <v>6</v>
      </c>
      <c r="K16" s="2">
        <v>0</v>
      </c>
      <c r="L16" s="2">
        <v>1.1719999999999999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48</v>
      </c>
      <c r="B17" s="2">
        <v>16</v>
      </c>
      <c r="C17" s="2">
        <v>8</v>
      </c>
      <c r="D17" s="2">
        <v>1</v>
      </c>
      <c r="E17" s="2">
        <v>0.84799999999999998</v>
      </c>
      <c r="F17" s="2">
        <v>2</v>
      </c>
      <c r="H17" s="2">
        <v>48</v>
      </c>
      <c r="I17" s="2">
        <v>117</v>
      </c>
      <c r="J17" s="2">
        <v>2</v>
      </c>
      <c r="K17" s="2">
        <v>1</v>
      </c>
      <c r="L17" s="2">
        <v>1.331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21.622500000000002</v>
      </c>
      <c r="P17" s="3">
        <f t="shared" ref="P17:P22" si="1">(P6*COUNTIF($J$1:$J$101,P$16) - COUNTIFS($J$1:$J$101,P$16,$K$1:$K$101,"=1"))^2</f>
        <v>0.42249999999999932</v>
      </c>
      <c r="Q17" s="3">
        <f t="shared" ref="Q17:Q22" si="2">(Q6*COUNTIF($J$1:$J$101,Q$16) - COUNTIFS($J$1:$J$101,Q$16,$K$1:$K$101,"=0"))^2</f>
        <v>1.9599999999999997</v>
      </c>
      <c r="R17" s="3">
        <f t="shared" ref="R17:R22" si="3">(R6*COUNTIF($J$1:$J$101,R$16) - COUNTIFS($J$1:$J$101,R$16,$K$1:$K$101,"=1"))^2</f>
        <v>9.0000000000000427E-2</v>
      </c>
      <c r="S17" s="3">
        <f t="shared" ref="S17:T17" si="4">(S6*COUNTIF($J$1:$J$101,S$16) - COUNTIFS($J$1:$J$101,S$16,$K$1:$K$101,"=0"))^2</f>
        <v>13.690000000000001</v>
      </c>
      <c r="T17" s="3">
        <f t="shared" si="4"/>
        <v>22.090000000000003</v>
      </c>
      <c r="U17" s="3">
        <f t="shared" ref="U17:V17" si="5">(U6*COUNTIF($J$1:$J$101,U$16) - COUNTIFS($J$1:$J$101,U$16,$K$1:$K$101,"=1"))^2</f>
        <v>2.8899999999999975</v>
      </c>
      <c r="V17" s="3">
        <f t="shared" si="5"/>
        <v>7.2899999999999965</v>
      </c>
      <c r="W17" s="4"/>
      <c r="X17" s="4"/>
      <c r="Y17" s="4"/>
    </row>
    <row r="18" spans="1:25" ht="14.25" customHeight="1">
      <c r="A18" s="2">
        <v>48</v>
      </c>
      <c r="B18" s="2">
        <v>17</v>
      </c>
      <c r="C18" s="2">
        <v>1</v>
      </c>
      <c r="D18" s="2">
        <v>0</v>
      </c>
      <c r="E18" s="2">
        <v>1.3380000000000001</v>
      </c>
      <c r="F18" s="2">
        <v>2</v>
      </c>
      <c r="H18" s="2">
        <v>48</v>
      </c>
      <c r="I18" s="2">
        <v>118</v>
      </c>
      <c r="J18" s="2">
        <v>5</v>
      </c>
      <c r="K18" s="2">
        <v>1</v>
      </c>
      <c r="L18" s="2">
        <v>1.675</v>
      </c>
      <c r="M18" s="2">
        <v>2</v>
      </c>
      <c r="N18" s="3">
        <v>2</v>
      </c>
      <c r="O18" s="3">
        <f t="shared" si="0"/>
        <v>21.622500000000002</v>
      </c>
      <c r="P18" s="3">
        <f t="shared" si="1"/>
        <v>31.922500000000003</v>
      </c>
      <c r="Q18" s="6">
        <f t="shared" si="2"/>
        <v>16</v>
      </c>
      <c r="R18" s="3">
        <f t="shared" si="3"/>
        <v>9.0000000000000427E-2</v>
      </c>
      <c r="S18" s="6">
        <f t="shared" ref="S18:T18" si="6">(S7*COUNTIF($J$1:$J$101,S$16) - COUNTIFS($J$1:$J$101,S$16,$K$1:$K$101,"=0"))^2</f>
        <v>13.690000000000001</v>
      </c>
      <c r="T18" s="6">
        <f t="shared" si="6"/>
        <v>22.090000000000003</v>
      </c>
      <c r="U18" s="6">
        <f t="shared" ref="U18:V18" si="7">(U7*COUNTIF($J$1:$J$101,U$16) - COUNTIFS($J$1:$J$101,U$16,$K$1:$K$101,"=1"))^2</f>
        <v>2.8899999999999975</v>
      </c>
      <c r="V18" s="6">
        <f t="shared" si="7"/>
        <v>7.2899999999999965</v>
      </c>
      <c r="W18" s="4"/>
      <c r="X18" s="4"/>
      <c r="Y18" s="4"/>
    </row>
    <row r="19" spans="1:25" ht="14.25" customHeight="1">
      <c r="A19" s="2">
        <v>48</v>
      </c>
      <c r="B19" s="2">
        <v>18</v>
      </c>
      <c r="C19" s="2">
        <v>2</v>
      </c>
      <c r="D19" s="2">
        <v>1</v>
      </c>
      <c r="E19" s="2">
        <v>0.92900000000000005</v>
      </c>
      <c r="F19" s="2">
        <v>2</v>
      </c>
      <c r="H19" s="2">
        <v>48</v>
      </c>
      <c r="I19" s="2">
        <v>119</v>
      </c>
      <c r="J19" s="2">
        <v>3</v>
      </c>
      <c r="K19" s="2">
        <v>1</v>
      </c>
      <c r="L19" s="2">
        <v>1.147</v>
      </c>
      <c r="M19" s="2">
        <v>1</v>
      </c>
      <c r="N19" s="3">
        <v>3</v>
      </c>
      <c r="O19" s="3">
        <f t="shared" si="0"/>
        <v>21.622500000000002</v>
      </c>
      <c r="P19" s="3">
        <f t="shared" si="1"/>
        <v>0.42249999999999932</v>
      </c>
      <c r="Q19" s="3">
        <f t="shared" si="2"/>
        <v>1.9599999999999997</v>
      </c>
      <c r="R19" s="3">
        <f t="shared" si="3"/>
        <v>9.0000000000000427E-2</v>
      </c>
      <c r="S19" s="6">
        <f t="shared" ref="S19:T19" si="8">(S8*COUNTIF($J$1:$J$101,S$16) - COUNTIFS($J$1:$J$101,S$16,$K$1:$K$101,"=0"))^2</f>
        <v>13.690000000000001</v>
      </c>
      <c r="T19" s="6">
        <f t="shared" si="8"/>
        <v>0.48999999999999899</v>
      </c>
      <c r="U19" s="3">
        <f t="shared" ref="U19:V19" si="9">(U8*COUNTIF($J$1:$J$101,U$16) - COUNTIFS($J$1:$J$101,U$16,$K$1:$K$101,"=1"))^2</f>
        <v>13.690000000000001</v>
      </c>
      <c r="V19" s="6">
        <f t="shared" si="9"/>
        <v>7.2899999999999965</v>
      </c>
      <c r="W19" s="4"/>
      <c r="X19" s="4"/>
      <c r="Y19" s="4"/>
    </row>
    <row r="20" spans="1:25" ht="14.25" customHeight="1">
      <c r="A20" s="2">
        <v>48</v>
      </c>
      <c r="B20" s="2">
        <v>19</v>
      </c>
      <c r="C20" s="2">
        <v>3</v>
      </c>
      <c r="D20" s="2">
        <v>1</v>
      </c>
      <c r="E20" s="2">
        <v>1.0169999999999999</v>
      </c>
      <c r="F20" s="2">
        <v>1</v>
      </c>
      <c r="H20" s="2">
        <v>48</v>
      </c>
      <c r="I20" s="2">
        <v>120</v>
      </c>
      <c r="J20" s="2">
        <v>2</v>
      </c>
      <c r="K20" s="2">
        <v>0</v>
      </c>
      <c r="L20" s="2">
        <v>0.80200000000000005</v>
      </c>
      <c r="M20" s="2">
        <v>2</v>
      </c>
      <c r="N20" s="3">
        <v>4</v>
      </c>
      <c r="O20" s="3">
        <f t="shared" si="0"/>
        <v>2.25</v>
      </c>
      <c r="P20" s="3">
        <f t="shared" si="1"/>
        <v>6.25</v>
      </c>
      <c r="Q20" s="3">
        <f t="shared" si="2"/>
        <v>1</v>
      </c>
      <c r="R20" s="3">
        <f t="shared" si="3"/>
        <v>9</v>
      </c>
      <c r="S20" s="6">
        <f t="shared" ref="S20:T20" si="10">(S9*COUNTIF($J$1:$J$101,S$16) - COUNTIFS($J$1:$J$101,S$16,$K$1:$K$101,"=0"))^2</f>
        <v>13.690000000000001</v>
      </c>
      <c r="T20" s="6">
        <f t="shared" si="10"/>
        <v>22.090000000000003</v>
      </c>
      <c r="U20" s="6">
        <f t="shared" ref="U20:V20" si="11">(U9*COUNTIF($J$1:$J$101,U$16) - COUNTIFS($J$1:$J$101,U$16,$K$1:$K$101,"=1"))^2</f>
        <v>2.8899999999999975</v>
      </c>
      <c r="V20" s="6">
        <f t="shared" si="11"/>
        <v>7.2899999999999965</v>
      </c>
      <c r="W20" s="4"/>
      <c r="X20" s="4"/>
      <c r="Y20" s="4"/>
    </row>
    <row r="21" spans="1:25" ht="14.25" customHeight="1">
      <c r="A21" s="2">
        <v>48</v>
      </c>
      <c r="B21" s="2">
        <v>20</v>
      </c>
      <c r="C21" s="2">
        <v>5</v>
      </c>
      <c r="D21" s="2">
        <v>0</v>
      </c>
      <c r="E21" s="2">
        <v>1.44</v>
      </c>
      <c r="F21" s="2">
        <v>2</v>
      </c>
      <c r="H21" s="2">
        <v>48</v>
      </c>
      <c r="I21" s="2">
        <v>121</v>
      </c>
      <c r="J21" s="2">
        <v>6</v>
      </c>
      <c r="K21" s="2">
        <v>0</v>
      </c>
      <c r="L21" s="2">
        <v>0.71</v>
      </c>
      <c r="M21" s="2">
        <v>1</v>
      </c>
      <c r="N21" s="3">
        <v>5</v>
      </c>
      <c r="O21" s="3">
        <f t="shared" si="0"/>
        <v>21.622500000000002</v>
      </c>
      <c r="P21" s="3">
        <f t="shared" si="1"/>
        <v>0.42249999999999932</v>
      </c>
      <c r="Q21" s="3">
        <f t="shared" si="2"/>
        <v>1.9599999999999997</v>
      </c>
      <c r="R21" s="3">
        <f t="shared" si="3"/>
        <v>9.0000000000000427E-2</v>
      </c>
      <c r="S21" s="6">
        <f t="shared" ref="S21:T21" si="12">(S10*COUNTIF($J$1:$J$101,S$16) - COUNTIFS($J$1:$J$101,S$16,$K$1:$K$101,"=0"))^2</f>
        <v>1</v>
      </c>
      <c r="T21" s="6">
        <f t="shared" si="12"/>
        <v>4</v>
      </c>
      <c r="U21" s="6">
        <f t="shared" ref="U21:V21" si="13">(U10*COUNTIF($J$1:$J$101,U$16) - COUNTIFS($J$1:$J$101,U$16,$K$1:$K$101,"=1"))^2</f>
        <v>1</v>
      </c>
      <c r="V21" s="6">
        <f t="shared" si="13"/>
        <v>0</v>
      </c>
      <c r="W21" s="4"/>
      <c r="X21" s="4"/>
      <c r="Y21" s="4"/>
    </row>
    <row r="22" spans="1:25" ht="14.25" customHeight="1">
      <c r="A22" s="2">
        <v>48</v>
      </c>
      <c r="B22" s="2">
        <v>21</v>
      </c>
      <c r="C22" s="2">
        <v>8</v>
      </c>
      <c r="D22" s="2">
        <v>0</v>
      </c>
      <c r="E22" s="2">
        <v>0.80900000000000005</v>
      </c>
      <c r="F22" s="2">
        <v>1</v>
      </c>
      <c r="H22" s="2">
        <v>48</v>
      </c>
      <c r="I22" s="2">
        <v>122</v>
      </c>
      <c r="J22" s="2">
        <v>2</v>
      </c>
      <c r="K22" s="2">
        <v>1</v>
      </c>
      <c r="L22" s="2">
        <v>1.288</v>
      </c>
      <c r="M22" s="2">
        <v>1</v>
      </c>
      <c r="N22" s="3">
        <v>6</v>
      </c>
      <c r="O22" s="3">
        <f t="shared" si="0"/>
        <v>2.25</v>
      </c>
      <c r="P22" s="3">
        <f t="shared" si="1"/>
        <v>6.25</v>
      </c>
      <c r="Q22" s="3">
        <f t="shared" si="2"/>
        <v>1</v>
      </c>
      <c r="R22" s="3">
        <f t="shared" si="3"/>
        <v>9</v>
      </c>
      <c r="S22" s="6">
        <f t="shared" ref="S22:T22" si="14">(S11*COUNTIF($J$1:$J$101,S$16) - COUNTIFS($J$1:$J$101,S$16,$K$1:$K$101,"=0"))^2</f>
        <v>1</v>
      </c>
      <c r="T22" s="6">
        <f t="shared" si="14"/>
        <v>4</v>
      </c>
      <c r="U22" s="6">
        <f t="shared" ref="U22:V22" si="15">(U11*COUNTIF($J$1:$J$101,U$16) - COUNTIFS($J$1:$J$101,U$16,$K$1:$K$101,"=1"))^2</f>
        <v>1</v>
      </c>
      <c r="V22" s="6">
        <f t="shared" si="15"/>
        <v>0</v>
      </c>
      <c r="W22" s="4"/>
      <c r="X22" s="4"/>
      <c r="Y22" s="4"/>
    </row>
    <row r="23" spans="1:25" ht="14.25" customHeight="1">
      <c r="A23" s="2">
        <v>48</v>
      </c>
      <c r="B23" s="2">
        <v>22</v>
      </c>
      <c r="C23" s="2">
        <v>5</v>
      </c>
      <c r="D23" s="2">
        <v>0</v>
      </c>
      <c r="E23" s="2">
        <v>0.73</v>
      </c>
      <c r="F23" s="2">
        <v>2</v>
      </c>
      <c r="H23" s="2">
        <v>48</v>
      </c>
      <c r="I23" s="2">
        <v>123</v>
      </c>
      <c r="J23" s="2">
        <v>5</v>
      </c>
      <c r="K23" s="2">
        <v>0</v>
      </c>
      <c r="L23" s="2">
        <v>0.71699999999999997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48</v>
      </c>
      <c r="B24" s="2">
        <v>23</v>
      </c>
      <c r="C24" s="2">
        <v>1</v>
      </c>
      <c r="D24" s="2">
        <v>1</v>
      </c>
      <c r="E24" s="2">
        <v>1.8660000000000001</v>
      </c>
      <c r="F24" s="2">
        <v>1</v>
      </c>
      <c r="H24" s="2">
        <v>48</v>
      </c>
      <c r="I24" s="2">
        <v>124</v>
      </c>
      <c r="J24" s="2">
        <v>7</v>
      </c>
      <c r="K24" s="2">
        <v>1</v>
      </c>
      <c r="L24" s="2">
        <v>1.0489999999999999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48</v>
      </c>
      <c r="B25" s="2">
        <v>24</v>
      </c>
      <c r="C25" s="2">
        <v>2</v>
      </c>
      <c r="D25" s="2">
        <v>0</v>
      </c>
      <c r="E25" s="2">
        <v>1.577</v>
      </c>
      <c r="F25" s="2">
        <v>1</v>
      </c>
      <c r="H25" s="2">
        <v>48</v>
      </c>
      <c r="I25" s="2">
        <v>125</v>
      </c>
      <c r="J25" s="2">
        <v>4</v>
      </c>
      <c r="K25" s="2">
        <v>1</v>
      </c>
      <c r="L25" s="2">
        <v>1.46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48</v>
      </c>
      <c r="B26" s="2">
        <v>25</v>
      </c>
      <c r="C26" s="2">
        <v>3</v>
      </c>
      <c r="D26" s="2">
        <v>0</v>
      </c>
      <c r="E26" s="2">
        <v>0.81799999999999995</v>
      </c>
      <c r="F26" s="2">
        <v>2</v>
      </c>
      <c r="H26" s="2">
        <v>48</v>
      </c>
      <c r="I26" s="2">
        <v>126</v>
      </c>
      <c r="J26" s="2">
        <v>2</v>
      </c>
      <c r="K26" s="2">
        <v>1</v>
      </c>
      <c r="L26" s="2">
        <v>1.139</v>
      </c>
      <c r="M26" s="2">
        <v>2</v>
      </c>
      <c r="N26" s="4"/>
      <c r="O26" s="3">
        <f t="shared" ref="O26:V26" si="16">COUNTIF($J$1:$J$102,O16)*COUNTIF($J$1:$J$102,O16)</f>
        <v>49</v>
      </c>
      <c r="P26" s="3">
        <f t="shared" si="16"/>
        <v>49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36</v>
      </c>
      <c r="W26" s="4"/>
      <c r="X26" s="4"/>
      <c r="Y26" s="4"/>
    </row>
    <row r="27" spans="1:25" ht="14.25" customHeight="1">
      <c r="A27" s="2">
        <v>48</v>
      </c>
      <c r="B27" s="2">
        <v>26</v>
      </c>
      <c r="C27" s="2">
        <v>4</v>
      </c>
      <c r="D27" s="2">
        <v>0</v>
      </c>
      <c r="E27" s="2">
        <v>1.1160000000000001</v>
      </c>
      <c r="F27" s="2">
        <v>1</v>
      </c>
      <c r="H27" s="2">
        <v>48</v>
      </c>
      <c r="I27" s="2">
        <v>127</v>
      </c>
      <c r="J27" s="2">
        <v>5</v>
      </c>
      <c r="K27" s="2">
        <v>1</v>
      </c>
      <c r="L27" s="2">
        <v>1.27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48</v>
      </c>
      <c r="B28" s="2">
        <v>27</v>
      </c>
      <c r="C28" s="2">
        <v>7</v>
      </c>
      <c r="D28" s="2">
        <v>0</v>
      </c>
      <c r="E28" s="2">
        <v>1.4630000000000001</v>
      </c>
      <c r="F28" s="2">
        <v>1</v>
      </c>
      <c r="H28" s="2">
        <v>48</v>
      </c>
      <c r="I28" s="2">
        <v>128</v>
      </c>
      <c r="J28" s="2">
        <v>7</v>
      </c>
      <c r="K28" s="2">
        <v>1</v>
      </c>
      <c r="L28" s="2">
        <v>0.90800000000000003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48</v>
      </c>
      <c r="B29" s="2">
        <v>28</v>
      </c>
      <c r="C29" s="2">
        <v>5</v>
      </c>
      <c r="D29" s="2">
        <v>0</v>
      </c>
      <c r="E29" s="2">
        <v>0.55200000000000005</v>
      </c>
      <c r="F29" s="2">
        <v>2</v>
      </c>
      <c r="H29" s="2">
        <v>48</v>
      </c>
      <c r="I29" s="2">
        <v>129</v>
      </c>
      <c r="J29" s="2">
        <v>3</v>
      </c>
      <c r="K29" s="2">
        <v>0</v>
      </c>
      <c r="L29" s="2">
        <v>0.68899999999999995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48</v>
      </c>
      <c r="B30" s="2">
        <v>29</v>
      </c>
      <c r="C30" s="2">
        <v>6</v>
      </c>
      <c r="D30" s="2">
        <v>0</v>
      </c>
      <c r="E30" s="2">
        <v>1.3520000000000001</v>
      </c>
      <c r="F30" s="2">
        <v>2</v>
      </c>
      <c r="H30" s="2">
        <v>48</v>
      </c>
      <c r="I30" s="2">
        <v>130</v>
      </c>
      <c r="J30" s="2">
        <v>4</v>
      </c>
      <c r="K30" s="2">
        <v>1</v>
      </c>
      <c r="L30" s="2">
        <v>0.99199999999999999</v>
      </c>
      <c r="M30" s="2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48</v>
      </c>
      <c r="B31" s="2">
        <v>30</v>
      </c>
      <c r="C31" s="2">
        <v>3</v>
      </c>
      <c r="D31" s="2">
        <v>1</v>
      </c>
      <c r="E31" s="2">
        <v>0.93100000000000005</v>
      </c>
      <c r="F31" s="2">
        <v>1</v>
      </c>
      <c r="H31" s="2">
        <v>48</v>
      </c>
      <c r="I31" s="2">
        <v>131</v>
      </c>
      <c r="J31" s="2">
        <v>8</v>
      </c>
      <c r="K31" s="2">
        <v>0</v>
      </c>
      <c r="L31" s="2">
        <v>0.80200000000000005</v>
      </c>
      <c r="M31" s="2">
        <v>2</v>
      </c>
      <c r="N31" s="3">
        <v>1</v>
      </c>
      <c r="O31" s="3">
        <f t="shared" ref="O31:O36" si="17">SUM(O17:V17)/SUM(O$26:V$26)</f>
        <v>0.22310509554140129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48</v>
      </c>
      <c r="B32" s="2">
        <v>31</v>
      </c>
      <c r="C32" s="2">
        <v>5</v>
      </c>
      <c r="D32" s="2">
        <v>0</v>
      </c>
      <c r="E32" s="2">
        <v>1.5549999999999999</v>
      </c>
      <c r="F32" s="2">
        <v>2</v>
      </c>
      <c r="H32" s="2">
        <v>48</v>
      </c>
      <c r="I32" s="2">
        <v>132</v>
      </c>
      <c r="J32" s="2">
        <v>1</v>
      </c>
      <c r="K32" s="2">
        <v>0</v>
      </c>
      <c r="L32" s="2">
        <v>1.202</v>
      </c>
      <c r="M32" s="2">
        <v>1</v>
      </c>
      <c r="N32" s="3">
        <v>2</v>
      </c>
      <c r="O32" s="3">
        <f t="shared" si="17"/>
        <v>0.36813694267515923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48</v>
      </c>
      <c r="B33" s="2">
        <v>32</v>
      </c>
      <c r="C33" s="2">
        <v>7</v>
      </c>
      <c r="D33" s="2">
        <v>0</v>
      </c>
      <c r="E33" s="2">
        <v>1.704</v>
      </c>
      <c r="F33" s="2">
        <v>1</v>
      </c>
      <c r="H33" s="2">
        <v>48</v>
      </c>
      <c r="I33" s="2">
        <v>133</v>
      </c>
      <c r="J33" s="2">
        <v>3</v>
      </c>
      <c r="K33" s="2">
        <v>1</v>
      </c>
      <c r="L33" s="2">
        <v>0.73599999999999999</v>
      </c>
      <c r="M33" s="2">
        <v>2</v>
      </c>
      <c r="N33" s="3">
        <v>3</v>
      </c>
      <c r="O33" s="3">
        <f t="shared" si="17"/>
        <v>0.18871019108280257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48</v>
      </c>
      <c r="B34" s="2">
        <v>33</v>
      </c>
      <c r="C34" s="2">
        <v>4</v>
      </c>
      <c r="D34" s="2">
        <v>1</v>
      </c>
      <c r="E34" s="2">
        <v>1.036</v>
      </c>
      <c r="F34" s="2">
        <v>2</v>
      </c>
      <c r="H34" s="2">
        <v>48</v>
      </c>
      <c r="I34" s="2">
        <v>134</v>
      </c>
      <c r="J34" s="2">
        <v>7</v>
      </c>
      <c r="K34" s="2">
        <v>0</v>
      </c>
      <c r="L34" s="2">
        <v>0.59299999999999997</v>
      </c>
      <c r="M34" s="2">
        <v>2</v>
      </c>
      <c r="N34" s="3">
        <v>4</v>
      </c>
      <c r="O34" s="3">
        <f t="shared" si="17"/>
        <v>0.20528662420382163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48</v>
      </c>
      <c r="B35" s="2">
        <v>34</v>
      </c>
      <c r="C35" s="2">
        <v>3</v>
      </c>
      <c r="D35" s="2">
        <v>0</v>
      </c>
      <c r="E35" s="2">
        <v>1.137</v>
      </c>
      <c r="F35" s="2">
        <v>2</v>
      </c>
      <c r="H35" s="2">
        <v>48</v>
      </c>
      <c r="I35" s="2">
        <v>135</v>
      </c>
      <c r="J35" s="2">
        <v>1</v>
      </c>
      <c r="K35" s="2">
        <v>0</v>
      </c>
      <c r="L35" s="2">
        <v>1.208</v>
      </c>
      <c r="M35" s="2">
        <v>2</v>
      </c>
      <c r="N35" s="3">
        <v>5</v>
      </c>
      <c r="O35" s="3">
        <f t="shared" si="17"/>
        <v>9.5843949044585999E-2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48</v>
      </c>
      <c r="B36" s="2">
        <v>35</v>
      </c>
      <c r="C36" s="2">
        <v>5</v>
      </c>
      <c r="D36" s="2">
        <v>0</v>
      </c>
      <c r="E36" s="2">
        <v>1.331</v>
      </c>
      <c r="F36" s="2">
        <v>2</v>
      </c>
      <c r="H36" s="2">
        <v>48</v>
      </c>
      <c r="I36" s="2">
        <v>136</v>
      </c>
      <c r="J36" s="2">
        <v>5</v>
      </c>
      <c r="K36" s="2">
        <v>0</v>
      </c>
      <c r="L36" s="2">
        <v>0.78100000000000003</v>
      </c>
      <c r="M36" s="2">
        <v>1</v>
      </c>
      <c r="N36" s="3">
        <v>6</v>
      </c>
      <c r="O36" s="3">
        <f t="shared" si="17"/>
        <v>7.8025477707006366E-2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48</v>
      </c>
      <c r="B37" s="2">
        <v>36</v>
      </c>
      <c r="C37" s="2">
        <v>7</v>
      </c>
      <c r="D37" s="2">
        <v>0</v>
      </c>
      <c r="E37" s="2">
        <v>1.9570000000000001</v>
      </c>
      <c r="F37" s="2">
        <v>1</v>
      </c>
      <c r="H37" s="2">
        <v>48</v>
      </c>
      <c r="I37" s="2">
        <v>137</v>
      </c>
      <c r="J37" s="2">
        <v>6</v>
      </c>
      <c r="K37" s="2">
        <v>0</v>
      </c>
      <c r="L37" s="2">
        <v>1.53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48</v>
      </c>
      <c r="B38" s="2">
        <v>37</v>
      </c>
      <c r="C38" s="2">
        <v>6</v>
      </c>
      <c r="D38" s="2">
        <v>0</v>
      </c>
      <c r="E38" s="2">
        <v>0.62</v>
      </c>
      <c r="F38" s="2">
        <v>2</v>
      </c>
      <c r="H38" s="2">
        <v>48</v>
      </c>
      <c r="I38" s="2">
        <v>138</v>
      </c>
      <c r="J38" s="2">
        <v>3</v>
      </c>
      <c r="K38" s="2">
        <v>1</v>
      </c>
      <c r="L38" s="2">
        <v>0.94899999999999995</v>
      </c>
      <c r="M38" s="2">
        <v>1</v>
      </c>
    </row>
    <row r="39" spans="1:25" ht="14.25" customHeight="1">
      <c r="A39" s="2">
        <v>48</v>
      </c>
      <c r="B39" s="2">
        <v>38</v>
      </c>
      <c r="C39" s="2">
        <v>5</v>
      </c>
      <c r="D39" s="2">
        <v>1</v>
      </c>
      <c r="E39" s="2">
        <v>1.2629999999999999</v>
      </c>
      <c r="F39" s="2">
        <v>1</v>
      </c>
      <c r="H39" s="2">
        <v>48</v>
      </c>
      <c r="I39" s="2">
        <v>139</v>
      </c>
      <c r="J39" s="2">
        <v>7</v>
      </c>
      <c r="K39" s="2">
        <v>1</v>
      </c>
      <c r="L39" s="2">
        <v>0.68600000000000005</v>
      </c>
      <c r="M39" s="2">
        <v>2</v>
      </c>
    </row>
    <row r="40" spans="1:25" ht="14.25" customHeight="1">
      <c r="A40" s="2">
        <v>48</v>
      </c>
      <c r="B40" s="2">
        <v>39</v>
      </c>
      <c r="C40" s="2">
        <v>4</v>
      </c>
      <c r="D40" s="2">
        <v>1</v>
      </c>
      <c r="E40" s="2">
        <v>1.2709999999999999</v>
      </c>
      <c r="F40" s="2">
        <v>2</v>
      </c>
      <c r="H40" s="2">
        <v>48</v>
      </c>
      <c r="I40" s="2">
        <v>140</v>
      </c>
      <c r="J40" s="2">
        <v>2</v>
      </c>
      <c r="K40" s="2">
        <v>1</v>
      </c>
      <c r="L40" s="2">
        <v>0.84099999999999997</v>
      </c>
      <c r="M40" s="2">
        <v>1</v>
      </c>
    </row>
    <row r="41" spans="1:25" ht="14.25" customHeight="1">
      <c r="A41" s="2">
        <v>48</v>
      </c>
      <c r="B41" s="2">
        <v>40</v>
      </c>
      <c r="C41" s="2">
        <v>1</v>
      </c>
      <c r="D41" s="2">
        <v>1</v>
      </c>
      <c r="E41" s="2">
        <v>1.5429999999999999</v>
      </c>
      <c r="F41" s="2">
        <v>1</v>
      </c>
      <c r="H41" s="2">
        <v>48</v>
      </c>
      <c r="I41" s="2">
        <v>141</v>
      </c>
      <c r="J41" s="2">
        <v>3</v>
      </c>
      <c r="K41" s="2">
        <v>1</v>
      </c>
      <c r="L41" s="2">
        <v>0.874</v>
      </c>
      <c r="M41" s="2">
        <v>2</v>
      </c>
    </row>
    <row r="42" spans="1:25" ht="14.25" customHeight="1">
      <c r="A42" s="2">
        <v>48</v>
      </c>
      <c r="B42" s="2">
        <v>41</v>
      </c>
      <c r="C42" s="2">
        <v>4</v>
      </c>
      <c r="D42" s="2">
        <v>0</v>
      </c>
      <c r="E42" s="2">
        <v>1.5640000000000001</v>
      </c>
      <c r="F42" s="2">
        <v>1</v>
      </c>
      <c r="H42" s="2">
        <v>48</v>
      </c>
      <c r="I42" s="2">
        <v>142</v>
      </c>
      <c r="J42" s="2">
        <v>7</v>
      </c>
      <c r="K42" s="2">
        <v>0</v>
      </c>
      <c r="L42" s="2">
        <v>0.68200000000000005</v>
      </c>
      <c r="M42" s="2">
        <v>1</v>
      </c>
    </row>
    <row r="43" spans="1:25" ht="14.25" customHeight="1">
      <c r="A43" s="2">
        <v>48</v>
      </c>
      <c r="B43" s="2">
        <v>42</v>
      </c>
      <c r="C43" s="2">
        <v>7</v>
      </c>
      <c r="D43" s="2">
        <v>1</v>
      </c>
      <c r="E43" s="2">
        <v>1.377</v>
      </c>
      <c r="F43" s="2">
        <v>2</v>
      </c>
      <c r="H43" s="2">
        <v>48</v>
      </c>
      <c r="I43" s="2">
        <v>143</v>
      </c>
      <c r="J43" s="2">
        <v>1</v>
      </c>
      <c r="K43" s="2">
        <v>0</v>
      </c>
      <c r="L43" s="2">
        <v>0.54500000000000004</v>
      </c>
      <c r="M43" s="2">
        <v>2</v>
      </c>
    </row>
    <row r="44" spans="1:25" ht="14.25" customHeight="1">
      <c r="A44" s="2">
        <v>48</v>
      </c>
      <c r="B44" s="2">
        <v>43</v>
      </c>
      <c r="C44" s="2">
        <v>3</v>
      </c>
      <c r="D44" s="2">
        <v>0</v>
      </c>
      <c r="E44" s="2">
        <v>1.401</v>
      </c>
      <c r="F44" s="2">
        <v>2</v>
      </c>
      <c r="H44" s="2">
        <v>48</v>
      </c>
      <c r="I44" s="2">
        <v>144</v>
      </c>
      <c r="J44" s="2">
        <v>2</v>
      </c>
      <c r="K44" s="2">
        <v>1</v>
      </c>
      <c r="L44" s="2">
        <v>0.73799999999999999</v>
      </c>
      <c r="M44" s="2">
        <v>1</v>
      </c>
    </row>
    <row r="45" spans="1:25" ht="14.25" customHeight="1">
      <c r="A45" s="2">
        <v>48</v>
      </c>
      <c r="B45" s="2">
        <v>44</v>
      </c>
      <c r="C45" s="2">
        <v>6</v>
      </c>
      <c r="E45" s="2">
        <v>2</v>
      </c>
      <c r="H45" s="2">
        <v>48</v>
      </c>
      <c r="I45" s="2">
        <v>145</v>
      </c>
      <c r="J45" s="2">
        <v>8</v>
      </c>
      <c r="K45" s="2">
        <v>1</v>
      </c>
      <c r="L45" s="2">
        <v>0.59499999999999997</v>
      </c>
      <c r="M45" s="2">
        <v>2</v>
      </c>
    </row>
    <row r="46" spans="1:25" ht="14.25" customHeight="1">
      <c r="A46" s="2">
        <v>48</v>
      </c>
      <c r="B46" s="2">
        <v>45</v>
      </c>
      <c r="C46" s="2">
        <v>4</v>
      </c>
      <c r="D46" s="2">
        <v>1</v>
      </c>
      <c r="E46" s="2">
        <v>0.66500000000000004</v>
      </c>
      <c r="F46" s="2">
        <v>2</v>
      </c>
      <c r="H46" s="2">
        <v>48</v>
      </c>
      <c r="I46" s="2">
        <v>146</v>
      </c>
      <c r="J46" s="2">
        <v>3</v>
      </c>
      <c r="K46" s="2">
        <v>0</v>
      </c>
      <c r="L46" s="2">
        <v>0.84799999999999998</v>
      </c>
      <c r="M46" s="2">
        <v>1</v>
      </c>
    </row>
    <row r="47" spans="1:25" ht="14.25" customHeight="1">
      <c r="A47" s="2">
        <v>48</v>
      </c>
      <c r="B47" s="2">
        <v>46</v>
      </c>
      <c r="C47" s="2">
        <v>2</v>
      </c>
      <c r="D47" s="2">
        <v>0</v>
      </c>
      <c r="E47" s="2">
        <v>0.91300000000000003</v>
      </c>
      <c r="F47" s="2">
        <v>1</v>
      </c>
      <c r="H47" s="2">
        <v>48</v>
      </c>
      <c r="I47" s="2">
        <v>147</v>
      </c>
      <c r="J47" s="2">
        <v>4</v>
      </c>
      <c r="K47" s="2">
        <v>1</v>
      </c>
      <c r="L47" s="2">
        <v>1.321</v>
      </c>
      <c r="M47" s="2">
        <v>2</v>
      </c>
    </row>
    <row r="48" spans="1:25" ht="14.25" customHeight="1">
      <c r="A48" s="2">
        <v>48</v>
      </c>
      <c r="B48" s="2">
        <v>47</v>
      </c>
      <c r="C48" s="2">
        <v>7</v>
      </c>
      <c r="D48" s="2">
        <v>0</v>
      </c>
      <c r="E48" s="2">
        <v>1.3</v>
      </c>
      <c r="F48" s="2">
        <v>1</v>
      </c>
      <c r="H48" s="2">
        <v>48</v>
      </c>
      <c r="I48" s="2">
        <v>148</v>
      </c>
      <c r="J48" s="2">
        <v>8</v>
      </c>
      <c r="K48" s="2">
        <v>1</v>
      </c>
      <c r="L48" s="2">
        <v>1.0980000000000001</v>
      </c>
      <c r="M48" s="2">
        <v>2</v>
      </c>
    </row>
    <row r="49" spans="1:13" ht="14.25" customHeight="1">
      <c r="A49" s="2">
        <v>48</v>
      </c>
      <c r="B49" s="2">
        <v>48</v>
      </c>
      <c r="C49" s="2">
        <v>8</v>
      </c>
      <c r="D49" s="2">
        <v>0</v>
      </c>
      <c r="E49" s="2">
        <v>1.431</v>
      </c>
      <c r="F49" s="2">
        <v>1</v>
      </c>
      <c r="H49" s="2">
        <v>48</v>
      </c>
      <c r="I49" s="2">
        <v>149</v>
      </c>
      <c r="J49" s="2">
        <v>6</v>
      </c>
      <c r="K49" s="2">
        <v>1</v>
      </c>
      <c r="L49" s="2">
        <v>1.3320000000000001</v>
      </c>
      <c r="M49" s="2">
        <v>1</v>
      </c>
    </row>
    <row r="50" spans="1:13" ht="14.25" customHeight="1">
      <c r="A50" s="2">
        <v>48</v>
      </c>
      <c r="B50" s="2">
        <v>49</v>
      </c>
      <c r="C50" s="2">
        <v>1</v>
      </c>
      <c r="D50" s="2">
        <v>0</v>
      </c>
      <c r="E50" s="2">
        <v>0.84199999999999997</v>
      </c>
      <c r="F50" s="2">
        <v>2</v>
      </c>
      <c r="H50" s="2">
        <v>48</v>
      </c>
      <c r="I50" s="2">
        <v>150</v>
      </c>
      <c r="J50" s="2">
        <v>5</v>
      </c>
      <c r="K50" s="2">
        <v>0</v>
      </c>
      <c r="L50" s="2">
        <v>1.4339999999999999</v>
      </c>
      <c r="M50" s="2">
        <v>2</v>
      </c>
    </row>
    <row r="51" spans="1:13" ht="14.25" customHeight="1">
      <c r="A51" s="2">
        <v>48</v>
      </c>
      <c r="B51" s="2">
        <v>50</v>
      </c>
      <c r="C51" s="2">
        <v>6</v>
      </c>
      <c r="D51" s="2">
        <v>1</v>
      </c>
      <c r="E51" s="2">
        <v>0.95499999999999996</v>
      </c>
      <c r="F51" s="2">
        <v>1</v>
      </c>
    </row>
    <row r="52" spans="1:13" ht="14.25" customHeight="1">
      <c r="A52" s="2">
        <v>48</v>
      </c>
      <c r="B52" s="2">
        <v>51</v>
      </c>
      <c r="C52" s="2">
        <v>5</v>
      </c>
      <c r="D52" s="2">
        <v>1</v>
      </c>
      <c r="E52" s="2">
        <v>1.6619999999999999</v>
      </c>
      <c r="F52" s="2">
        <v>2</v>
      </c>
    </row>
    <row r="53" spans="1:13" ht="14.25" customHeight="1">
      <c r="A53" s="2">
        <v>48</v>
      </c>
      <c r="B53" s="2">
        <v>52</v>
      </c>
      <c r="C53" s="2">
        <v>2</v>
      </c>
      <c r="D53" s="2">
        <v>1</v>
      </c>
      <c r="E53" s="2">
        <v>1.4019999999999999</v>
      </c>
      <c r="F53" s="2">
        <v>1</v>
      </c>
    </row>
    <row r="54" spans="1:13" ht="14.25" customHeight="1">
      <c r="A54" s="2">
        <v>48</v>
      </c>
      <c r="B54" s="2">
        <v>53</v>
      </c>
      <c r="C54" s="2">
        <v>4</v>
      </c>
      <c r="D54" s="2">
        <v>1</v>
      </c>
      <c r="E54" s="2">
        <v>1.4179999999999999</v>
      </c>
      <c r="F54" s="2">
        <v>2</v>
      </c>
    </row>
    <row r="55" spans="1:13" ht="14.25" customHeight="1">
      <c r="A55" s="2">
        <v>48</v>
      </c>
      <c r="B55" s="2">
        <v>54</v>
      </c>
      <c r="C55" s="2">
        <v>6</v>
      </c>
      <c r="D55" s="2">
        <v>0</v>
      </c>
      <c r="E55" s="2">
        <v>1.0209999999999999</v>
      </c>
      <c r="F55" s="2">
        <v>1</v>
      </c>
    </row>
    <row r="56" spans="1:13" ht="14.25" customHeight="1">
      <c r="A56" s="2">
        <v>48</v>
      </c>
      <c r="B56" s="2">
        <v>55</v>
      </c>
      <c r="C56" s="2">
        <v>8</v>
      </c>
      <c r="D56" s="2">
        <v>1</v>
      </c>
      <c r="E56" s="2">
        <v>1.994</v>
      </c>
      <c r="F56" s="2">
        <v>2</v>
      </c>
    </row>
    <row r="57" spans="1:13" ht="14.25" customHeight="1">
      <c r="A57" s="2">
        <v>48</v>
      </c>
      <c r="B57" s="2">
        <v>56</v>
      </c>
      <c r="C57" s="2">
        <v>2</v>
      </c>
      <c r="D57" s="2">
        <v>0</v>
      </c>
      <c r="E57" s="2">
        <v>1.637</v>
      </c>
      <c r="F57" s="2">
        <v>2</v>
      </c>
    </row>
    <row r="58" spans="1:13" ht="14.25" customHeight="1">
      <c r="A58" s="2">
        <v>48</v>
      </c>
      <c r="B58" s="2">
        <v>57</v>
      </c>
      <c r="C58" s="2">
        <v>5</v>
      </c>
      <c r="D58" s="2">
        <v>0</v>
      </c>
      <c r="E58" s="2">
        <v>0.96399999999999997</v>
      </c>
      <c r="F58" s="2">
        <v>2</v>
      </c>
    </row>
    <row r="59" spans="1:13" ht="14.25" customHeight="1">
      <c r="A59" s="2">
        <v>48</v>
      </c>
      <c r="B59" s="2">
        <v>58</v>
      </c>
      <c r="C59" s="2">
        <v>3</v>
      </c>
      <c r="D59" s="2">
        <v>1</v>
      </c>
      <c r="E59" s="2">
        <v>1.9390000000000001</v>
      </c>
      <c r="F59" s="2">
        <v>1</v>
      </c>
    </row>
    <row r="60" spans="1:13" ht="14.25" customHeight="1">
      <c r="A60" s="2">
        <v>48</v>
      </c>
      <c r="B60" s="2">
        <v>59</v>
      </c>
      <c r="C60" s="2">
        <v>8</v>
      </c>
      <c r="D60" s="2">
        <v>0</v>
      </c>
      <c r="E60" s="2">
        <v>1.7709999999999999</v>
      </c>
      <c r="F60" s="2">
        <v>2</v>
      </c>
    </row>
    <row r="61" spans="1:13" ht="14.25" customHeight="1">
      <c r="A61" s="2">
        <v>48</v>
      </c>
      <c r="B61" s="2">
        <v>60</v>
      </c>
      <c r="C61" s="2">
        <v>4</v>
      </c>
      <c r="D61" s="2">
        <v>1</v>
      </c>
      <c r="E61" s="2">
        <v>1.766</v>
      </c>
      <c r="F61" s="2">
        <v>1</v>
      </c>
    </row>
    <row r="62" spans="1:13" ht="14.25" customHeight="1">
      <c r="A62" s="2">
        <v>48</v>
      </c>
      <c r="B62" s="2">
        <v>61</v>
      </c>
      <c r="C62" s="2">
        <v>6</v>
      </c>
      <c r="D62" s="2">
        <v>0</v>
      </c>
      <c r="E62" s="2">
        <v>1.216</v>
      </c>
      <c r="F62" s="2">
        <v>1</v>
      </c>
    </row>
    <row r="63" spans="1:13" ht="14.25" customHeight="1">
      <c r="A63" s="2">
        <v>48</v>
      </c>
      <c r="B63" s="2">
        <v>62</v>
      </c>
      <c r="C63" s="2">
        <v>3</v>
      </c>
      <c r="D63" s="2">
        <v>1</v>
      </c>
      <c r="E63" s="2">
        <v>1.073</v>
      </c>
      <c r="F63" s="2">
        <v>2</v>
      </c>
    </row>
    <row r="64" spans="1:13" ht="14.25" customHeight="1">
      <c r="A64" s="2">
        <v>48</v>
      </c>
      <c r="B64" s="2">
        <v>63</v>
      </c>
      <c r="C64" s="2">
        <v>7</v>
      </c>
      <c r="D64" s="2">
        <v>1</v>
      </c>
      <c r="E64" s="2">
        <v>1.3540000000000001</v>
      </c>
      <c r="F64" s="2">
        <v>2</v>
      </c>
    </row>
    <row r="65" spans="1:6" ht="14.25" customHeight="1">
      <c r="A65" s="2">
        <v>48</v>
      </c>
      <c r="B65" s="2">
        <v>64</v>
      </c>
      <c r="C65" s="2">
        <v>1</v>
      </c>
      <c r="D65" s="2">
        <v>1</v>
      </c>
      <c r="E65" s="2">
        <v>1.04</v>
      </c>
      <c r="F65" s="2">
        <v>2</v>
      </c>
    </row>
    <row r="66" spans="1:6" ht="14.25" customHeight="1">
      <c r="A66" s="2">
        <v>48</v>
      </c>
      <c r="B66" s="2">
        <v>65</v>
      </c>
      <c r="C66" s="2">
        <v>7</v>
      </c>
      <c r="D66" s="2">
        <v>1</v>
      </c>
      <c r="E66" s="2">
        <v>1.1779999999999999</v>
      </c>
      <c r="F66" s="2">
        <v>2</v>
      </c>
    </row>
    <row r="67" spans="1:6" ht="14.25" customHeight="1">
      <c r="A67" s="2">
        <v>48</v>
      </c>
      <c r="B67" s="2">
        <v>66</v>
      </c>
      <c r="C67" s="2">
        <v>2</v>
      </c>
      <c r="D67" s="2">
        <v>1</v>
      </c>
      <c r="E67" s="2">
        <v>0.98399999999999999</v>
      </c>
      <c r="F67" s="2">
        <v>2</v>
      </c>
    </row>
    <row r="68" spans="1:6" ht="14.25" customHeight="1">
      <c r="A68" s="2">
        <v>48</v>
      </c>
      <c r="B68" s="2">
        <v>67</v>
      </c>
      <c r="C68" s="2">
        <v>5</v>
      </c>
      <c r="D68" s="2">
        <v>0</v>
      </c>
      <c r="E68" s="2">
        <v>1.1759999999999999</v>
      </c>
      <c r="F68" s="2">
        <v>2</v>
      </c>
    </row>
    <row r="69" spans="1:6" ht="14.25" customHeight="1">
      <c r="A69" s="2">
        <v>48</v>
      </c>
      <c r="B69" s="2">
        <v>68</v>
      </c>
      <c r="C69" s="2">
        <v>1</v>
      </c>
      <c r="D69" s="2">
        <v>1</v>
      </c>
      <c r="E69" s="2">
        <v>1.167</v>
      </c>
      <c r="F69" s="2">
        <v>2</v>
      </c>
    </row>
    <row r="70" spans="1:6" ht="14.25" customHeight="1">
      <c r="A70" s="2">
        <v>48</v>
      </c>
      <c r="B70" s="2">
        <v>69</v>
      </c>
      <c r="C70" s="2">
        <v>3</v>
      </c>
      <c r="E70" s="2">
        <v>2.0009999999999999</v>
      </c>
    </row>
    <row r="71" spans="1:6" ht="14.25" customHeight="1">
      <c r="A71" s="2">
        <v>48</v>
      </c>
      <c r="B71" s="2">
        <v>70</v>
      </c>
      <c r="C71" s="2">
        <v>8</v>
      </c>
      <c r="D71" s="2">
        <v>0</v>
      </c>
      <c r="E71" s="2">
        <v>0.73099999999999998</v>
      </c>
      <c r="F71" s="2">
        <v>2</v>
      </c>
    </row>
    <row r="72" spans="1:6" ht="14.25" customHeight="1">
      <c r="A72" s="2">
        <v>48</v>
      </c>
      <c r="B72" s="2">
        <v>71</v>
      </c>
      <c r="C72" s="2">
        <v>1</v>
      </c>
      <c r="D72" s="2">
        <v>0</v>
      </c>
      <c r="E72" s="2">
        <v>0.53200000000000003</v>
      </c>
      <c r="F72" s="2">
        <v>1</v>
      </c>
    </row>
    <row r="73" spans="1:6" ht="14.25" customHeight="1">
      <c r="A73" s="2">
        <v>48</v>
      </c>
      <c r="B73" s="2">
        <v>72</v>
      </c>
      <c r="C73" s="2">
        <v>4</v>
      </c>
      <c r="D73" s="2">
        <v>0</v>
      </c>
      <c r="E73" s="2">
        <v>1.101</v>
      </c>
      <c r="F73" s="2">
        <v>2</v>
      </c>
    </row>
    <row r="74" spans="1:6" ht="14.25" customHeight="1">
      <c r="A74" s="2">
        <v>48</v>
      </c>
      <c r="B74" s="2">
        <v>73</v>
      </c>
      <c r="C74" s="2">
        <v>2</v>
      </c>
      <c r="D74" s="2">
        <v>1</v>
      </c>
      <c r="E74" s="2">
        <v>1.532</v>
      </c>
      <c r="F74" s="2">
        <v>1</v>
      </c>
    </row>
    <row r="75" spans="1:6" ht="14.25" customHeight="1">
      <c r="A75" s="2">
        <v>48</v>
      </c>
      <c r="B75" s="2">
        <v>74</v>
      </c>
      <c r="C75" s="2">
        <v>7</v>
      </c>
      <c r="D75" s="2">
        <v>1</v>
      </c>
      <c r="E75" s="2">
        <v>1.25</v>
      </c>
      <c r="F75" s="2">
        <v>2</v>
      </c>
    </row>
    <row r="76" spans="1:6" ht="14.25" customHeight="1">
      <c r="A76" s="2">
        <v>48</v>
      </c>
      <c r="B76" s="2">
        <v>75</v>
      </c>
      <c r="C76" s="2">
        <v>2</v>
      </c>
      <c r="D76" s="2">
        <v>0</v>
      </c>
      <c r="E76" s="2">
        <v>1.639</v>
      </c>
      <c r="F76" s="2">
        <v>2</v>
      </c>
    </row>
    <row r="77" spans="1:6" ht="14.25" customHeight="1">
      <c r="A77" s="2">
        <v>48</v>
      </c>
      <c r="B77" s="2">
        <v>76</v>
      </c>
      <c r="C77" s="2">
        <v>6</v>
      </c>
      <c r="D77" s="2">
        <v>0</v>
      </c>
      <c r="E77" s="2">
        <v>1.643</v>
      </c>
      <c r="F77" s="2">
        <v>1</v>
      </c>
    </row>
    <row r="78" spans="1:6" ht="14.25" customHeight="1">
      <c r="A78" s="2">
        <v>48</v>
      </c>
      <c r="B78" s="2">
        <v>77</v>
      </c>
      <c r="C78" s="2">
        <v>8</v>
      </c>
      <c r="D78" s="2">
        <v>1</v>
      </c>
      <c r="E78" s="2">
        <v>1.4570000000000001</v>
      </c>
      <c r="F78" s="2">
        <v>2</v>
      </c>
    </row>
    <row r="79" spans="1:6" ht="14.25" customHeight="1">
      <c r="A79" s="2">
        <v>48</v>
      </c>
      <c r="B79" s="2">
        <v>78</v>
      </c>
      <c r="C79" s="2">
        <v>3</v>
      </c>
      <c r="E79" s="2">
        <v>2</v>
      </c>
    </row>
    <row r="80" spans="1:6" ht="14.25" customHeight="1">
      <c r="A80" s="2">
        <v>48</v>
      </c>
      <c r="B80" s="2">
        <v>79</v>
      </c>
      <c r="C80" s="2">
        <v>5</v>
      </c>
      <c r="D80" s="2">
        <v>0</v>
      </c>
      <c r="E80" s="2">
        <v>1.7150000000000001</v>
      </c>
      <c r="F80" s="2">
        <v>2</v>
      </c>
    </row>
    <row r="81" spans="1:6" ht="14.25" customHeight="1">
      <c r="A81" s="2">
        <v>48</v>
      </c>
      <c r="B81" s="2">
        <v>80</v>
      </c>
      <c r="C81" s="2">
        <v>6</v>
      </c>
      <c r="D81" s="2">
        <v>1</v>
      </c>
      <c r="E81" s="2">
        <v>1.0900000000000001</v>
      </c>
      <c r="F81" s="2">
        <v>1</v>
      </c>
    </row>
    <row r="82" spans="1:6" ht="14.25" customHeight="1">
      <c r="A82" s="2">
        <v>48</v>
      </c>
      <c r="B82" s="2">
        <v>81</v>
      </c>
      <c r="C82" s="2">
        <v>1</v>
      </c>
      <c r="D82" s="2">
        <v>0</v>
      </c>
      <c r="E82" s="2">
        <v>1.913</v>
      </c>
      <c r="F82" s="2">
        <v>2</v>
      </c>
    </row>
    <row r="83" spans="1:6" ht="14.25" customHeight="1">
      <c r="A83" s="2">
        <v>48</v>
      </c>
      <c r="B83" s="2">
        <v>82</v>
      </c>
      <c r="C83" s="2">
        <v>8</v>
      </c>
      <c r="D83" s="2">
        <v>0</v>
      </c>
      <c r="E83" s="2">
        <v>1.47</v>
      </c>
      <c r="F83" s="2">
        <v>1</v>
      </c>
    </row>
    <row r="84" spans="1:6" ht="14.25" customHeight="1">
      <c r="A84" s="2">
        <v>48</v>
      </c>
      <c r="B84" s="2">
        <v>83</v>
      </c>
      <c r="C84" s="2">
        <v>1</v>
      </c>
      <c r="D84" s="2">
        <v>1</v>
      </c>
      <c r="E84" s="2">
        <v>1.536</v>
      </c>
      <c r="F84" s="2">
        <v>2</v>
      </c>
    </row>
    <row r="85" spans="1:6" ht="14.25" customHeight="1">
      <c r="A85" s="2">
        <v>48</v>
      </c>
      <c r="B85" s="2">
        <v>84</v>
      </c>
      <c r="C85" s="2">
        <v>4</v>
      </c>
      <c r="E85" s="2">
        <v>2.0009999999999999</v>
      </c>
    </row>
    <row r="86" spans="1:6" ht="14.25" customHeight="1">
      <c r="A86" s="2">
        <v>48</v>
      </c>
      <c r="B86" s="2">
        <v>85</v>
      </c>
      <c r="C86" s="2">
        <v>7</v>
      </c>
      <c r="D86" s="2">
        <v>0</v>
      </c>
      <c r="E86" s="2">
        <v>1.504</v>
      </c>
      <c r="F86" s="2">
        <v>2</v>
      </c>
    </row>
    <row r="87" spans="1:6" ht="14.25" customHeight="1">
      <c r="A87" s="2">
        <v>48</v>
      </c>
      <c r="B87" s="2">
        <v>86</v>
      </c>
      <c r="C87" s="2">
        <v>1</v>
      </c>
      <c r="D87" s="2">
        <v>0</v>
      </c>
      <c r="E87" s="2">
        <v>1.0960000000000001</v>
      </c>
      <c r="F87" s="2">
        <v>1</v>
      </c>
    </row>
    <row r="88" spans="1:6" ht="14.25" customHeight="1">
      <c r="A88" s="2">
        <v>48</v>
      </c>
      <c r="B88" s="2">
        <v>87</v>
      </c>
      <c r="C88" s="2">
        <v>6</v>
      </c>
      <c r="D88" s="2">
        <v>0</v>
      </c>
      <c r="E88" s="2">
        <v>0.84899999999999998</v>
      </c>
      <c r="F88" s="2">
        <v>2</v>
      </c>
    </row>
    <row r="89" spans="1:6" ht="14.25" customHeight="1">
      <c r="A89" s="2">
        <v>48</v>
      </c>
      <c r="B89" s="2">
        <v>88</v>
      </c>
      <c r="C89" s="2">
        <v>1</v>
      </c>
      <c r="D89" s="2">
        <v>1</v>
      </c>
      <c r="E89" s="2">
        <v>1.472</v>
      </c>
      <c r="F89" s="2">
        <v>1</v>
      </c>
    </row>
    <row r="90" spans="1:6" ht="14.25" customHeight="1">
      <c r="A90" s="2">
        <v>48</v>
      </c>
      <c r="B90" s="2">
        <v>89</v>
      </c>
      <c r="C90" s="2">
        <v>7</v>
      </c>
      <c r="D90" s="2">
        <v>0</v>
      </c>
      <c r="E90" s="2">
        <v>0.80300000000000005</v>
      </c>
      <c r="F90" s="2">
        <v>1</v>
      </c>
    </row>
    <row r="91" spans="1:6" ht="14.25" customHeight="1">
      <c r="A91" s="2">
        <v>48</v>
      </c>
      <c r="B91" s="2">
        <v>90</v>
      </c>
      <c r="C91" s="2">
        <v>3</v>
      </c>
      <c r="D91" s="2">
        <v>0</v>
      </c>
      <c r="E91" s="2">
        <v>1.978</v>
      </c>
      <c r="F91" s="2">
        <v>2</v>
      </c>
    </row>
    <row r="92" spans="1:6" ht="14.25" customHeight="1">
      <c r="A92" s="2">
        <v>48</v>
      </c>
      <c r="B92" s="2">
        <v>91</v>
      </c>
      <c r="C92" s="2">
        <v>2</v>
      </c>
      <c r="D92" s="2">
        <v>0</v>
      </c>
      <c r="E92" s="2">
        <v>1.5049999999999999</v>
      </c>
      <c r="F92" s="2">
        <v>1</v>
      </c>
    </row>
    <row r="93" spans="1:6" ht="14.25" customHeight="1">
      <c r="A93" s="2">
        <v>48</v>
      </c>
      <c r="B93" s="2">
        <v>92</v>
      </c>
      <c r="C93" s="2">
        <v>5</v>
      </c>
      <c r="D93" s="2">
        <v>1</v>
      </c>
      <c r="E93" s="2">
        <v>1.4670000000000001</v>
      </c>
      <c r="F93" s="2">
        <v>2</v>
      </c>
    </row>
    <row r="94" spans="1:6" ht="14.25" customHeight="1">
      <c r="A94" s="2">
        <v>48</v>
      </c>
      <c r="B94" s="2">
        <v>93</v>
      </c>
      <c r="C94" s="2">
        <v>2</v>
      </c>
      <c r="D94" s="2">
        <v>0</v>
      </c>
      <c r="E94" s="2">
        <v>1.897</v>
      </c>
      <c r="F94" s="2">
        <v>2</v>
      </c>
    </row>
    <row r="95" spans="1:6" ht="14.25" customHeight="1">
      <c r="A95" s="2">
        <v>48</v>
      </c>
      <c r="B95" s="2">
        <v>94</v>
      </c>
      <c r="C95" s="2">
        <v>7</v>
      </c>
      <c r="D95" s="2">
        <v>1</v>
      </c>
      <c r="E95" s="2">
        <v>0.92</v>
      </c>
      <c r="F95" s="2">
        <v>1</v>
      </c>
    </row>
    <row r="96" spans="1:6" ht="14.25" customHeight="1">
      <c r="A96" s="2">
        <v>48</v>
      </c>
      <c r="B96" s="2">
        <v>95</v>
      </c>
      <c r="C96" s="2">
        <v>4</v>
      </c>
      <c r="D96" s="2">
        <v>0</v>
      </c>
      <c r="E96" s="2">
        <v>1.913</v>
      </c>
      <c r="F96" s="2">
        <v>1</v>
      </c>
    </row>
    <row r="97" spans="1:6" ht="14.25" customHeight="1">
      <c r="A97" s="2">
        <v>48</v>
      </c>
      <c r="B97" s="2">
        <v>96</v>
      </c>
      <c r="C97" s="2">
        <v>5</v>
      </c>
      <c r="D97" s="2">
        <v>1</v>
      </c>
      <c r="E97" s="2">
        <v>0.67500000000000004</v>
      </c>
      <c r="F97" s="2">
        <v>2</v>
      </c>
    </row>
    <row r="98" spans="1:6" ht="14.25" customHeight="1">
      <c r="A98" s="2">
        <v>48</v>
      </c>
      <c r="B98" s="2">
        <v>97</v>
      </c>
      <c r="C98" s="2">
        <v>6</v>
      </c>
      <c r="D98" s="2">
        <v>1</v>
      </c>
      <c r="E98" s="2">
        <v>0.89600000000000002</v>
      </c>
      <c r="F98" s="2">
        <v>2</v>
      </c>
    </row>
    <row r="99" spans="1:6" ht="14.25" customHeight="1">
      <c r="A99" s="2">
        <v>48</v>
      </c>
      <c r="B99" s="2">
        <v>98</v>
      </c>
      <c r="C99" s="2">
        <v>8</v>
      </c>
      <c r="D99" s="2">
        <v>0</v>
      </c>
      <c r="E99" s="2">
        <v>1.08</v>
      </c>
      <c r="F99" s="2">
        <v>1</v>
      </c>
    </row>
    <row r="100" spans="1:6" ht="14.25" customHeight="1">
      <c r="A100" s="2">
        <v>48</v>
      </c>
      <c r="B100" s="2">
        <v>99</v>
      </c>
      <c r="C100" s="2">
        <v>4</v>
      </c>
      <c r="D100" s="2">
        <v>1</v>
      </c>
      <c r="E100" s="2">
        <v>1.617</v>
      </c>
      <c r="F100" s="2">
        <v>1</v>
      </c>
    </row>
    <row r="101" spans="1:6" ht="14.25" customHeight="1">
      <c r="A101" s="2">
        <v>48</v>
      </c>
      <c r="B101" s="2">
        <v>100</v>
      </c>
      <c r="C101" s="2">
        <v>3</v>
      </c>
      <c r="D101" s="2">
        <v>0</v>
      </c>
      <c r="E101" s="2">
        <v>0.93</v>
      </c>
      <c r="F101" s="2">
        <v>2</v>
      </c>
    </row>
    <row r="102" spans="1:6" ht="14.25" customHeight="1">
      <c r="A102" s="2">
        <v>48</v>
      </c>
      <c r="B102" s="2">
        <v>101</v>
      </c>
      <c r="C102" s="2">
        <v>1</v>
      </c>
      <c r="D102" s="2">
        <v>0</v>
      </c>
      <c r="E102" s="2">
        <v>1.3560000000000001</v>
      </c>
      <c r="F102" s="2">
        <v>1</v>
      </c>
    </row>
    <row r="103" spans="1:6" ht="14.25" customHeight="1">
      <c r="A103" s="2">
        <v>48</v>
      </c>
      <c r="B103" s="2">
        <v>102</v>
      </c>
      <c r="C103" s="2">
        <v>8</v>
      </c>
      <c r="D103" s="2">
        <v>1</v>
      </c>
      <c r="E103" s="2">
        <v>1.516</v>
      </c>
      <c r="F103" s="2">
        <v>1</v>
      </c>
    </row>
    <row r="104" spans="1:6" ht="14.25" customHeight="1">
      <c r="A104" s="2">
        <v>48</v>
      </c>
      <c r="B104" s="2">
        <v>103</v>
      </c>
      <c r="C104" s="2">
        <v>4</v>
      </c>
      <c r="D104" s="2">
        <v>1</v>
      </c>
      <c r="E104" s="2">
        <v>0.93</v>
      </c>
      <c r="F104" s="2">
        <v>2</v>
      </c>
    </row>
    <row r="105" spans="1:6" ht="14.25" customHeight="1">
      <c r="A105" s="2">
        <v>48</v>
      </c>
      <c r="B105" s="2">
        <v>104</v>
      </c>
      <c r="C105" s="2">
        <v>2</v>
      </c>
      <c r="D105" s="2">
        <v>1</v>
      </c>
      <c r="E105" s="2">
        <v>1.921</v>
      </c>
      <c r="F105" s="2">
        <v>2</v>
      </c>
    </row>
    <row r="106" spans="1:6" ht="14.25" customHeight="1">
      <c r="A106" s="2">
        <v>48</v>
      </c>
      <c r="B106" s="2">
        <v>105</v>
      </c>
      <c r="C106" s="2">
        <v>6</v>
      </c>
      <c r="D106" s="2">
        <v>0</v>
      </c>
      <c r="E106" s="2">
        <v>1.343</v>
      </c>
      <c r="F106" s="2">
        <v>1</v>
      </c>
    </row>
    <row r="107" spans="1:6" ht="14.25" customHeight="1">
      <c r="A107" s="2">
        <v>48</v>
      </c>
      <c r="B107" s="2">
        <v>106</v>
      </c>
      <c r="C107" s="2">
        <v>7</v>
      </c>
      <c r="D107" s="2">
        <v>1</v>
      </c>
      <c r="E107" s="2">
        <v>0.79600000000000004</v>
      </c>
      <c r="F107" s="2">
        <v>1</v>
      </c>
    </row>
    <row r="108" spans="1:6" ht="14.25" customHeight="1">
      <c r="A108" s="2">
        <v>48</v>
      </c>
      <c r="B108" s="2">
        <v>107</v>
      </c>
      <c r="C108" s="2">
        <v>5</v>
      </c>
      <c r="D108" s="2">
        <v>0</v>
      </c>
      <c r="E108" s="2">
        <v>1.8819999999999999</v>
      </c>
      <c r="F108" s="2">
        <v>2</v>
      </c>
    </row>
    <row r="109" spans="1:6" ht="14.25" customHeight="1">
      <c r="A109" s="2">
        <v>48</v>
      </c>
      <c r="B109" s="2">
        <v>108</v>
      </c>
      <c r="C109" s="2">
        <v>4</v>
      </c>
      <c r="D109" s="2">
        <v>1</v>
      </c>
      <c r="E109" s="2">
        <v>1.0720000000000001</v>
      </c>
      <c r="F109" s="2">
        <v>1</v>
      </c>
    </row>
    <row r="110" spans="1:6" ht="14.25" customHeight="1">
      <c r="A110" s="2">
        <v>48</v>
      </c>
      <c r="B110" s="2">
        <v>109</v>
      </c>
      <c r="C110" s="2">
        <v>1</v>
      </c>
      <c r="E110" s="2">
        <v>2</v>
      </c>
    </row>
    <row r="111" spans="1:6" ht="14.25" customHeight="1">
      <c r="A111" s="2">
        <v>48</v>
      </c>
      <c r="B111" s="2">
        <v>110</v>
      </c>
      <c r="C111" s="2">
        <v>6</v>
      </c>
      <c r="D111" s="2">
        <v>0</v>
      </c>
      <c r="E111" s="2">
        <v>1.0149999999999999</v>
      </c>
      <c r="F111" s="2">
        <v>2</v>
      </c>
    </row>
    <row r="112" spans="1:6" ht="14.25" customHeight="1">
      <c r="A112" s="2">
        <v>48</v>
      </c>
      <c r="B112" s="2">
        <v>111</v>
      </c>
      <c r="C112" s="2">
        <v>1</v>
      </c>
      <c r="D112" s="2">
        <v>0</v>
      </c>
      <c r="E112" s="2">
        <v>0.60399999999999998</v>
      </c>
      <c r="F112" s="2">
        <v>1</v>
      </c>
    </row>
    <row r="113" spans="1:6" ht="14.25" customHeight="1">
      <c r="A113" s="2">
        <v>48</v>
      </c>
      <c r="B113" s="2">
        <v>112</v>
      </c>
      <c r="C113" s="2">
        <v>8</v>
      </c>
      <c r="D113" s="2">
        <v>0</v>
      </c>
      <c r="E113" s="2">
        <v>0.89600000000000002</v>
      </c>
      <c r="F113" s="2">
        <v>1</v>
      </c>
    </row>
    <row r="114" spans="1:6" ht="14.25" customHeight="1">
      <c r="A114" s="2">
        <v>48</v>
      </c>
      <c r="B114" s="2">
        <v>113</v>
      </c>
      <c r="C114" s="2">
        <v>1</v>
      </c>
      <c r="D114" s="2">
        <v>1</v>
      </c>
      <c r="E114" s="2">
        <v>0.70399999999999996</v>
      </c>
      <c r="F114" s="2">
        <v>2</v>
      </c>
    </row>
    <row r="115" spans="1:6" ht="14.25" customHeight="1">
      <c r="A115" s="2">
        <v>48</v>
      </c>
      <c r="B115" s="2">
        <v>114</v>
      </c>
      <c r="C115" s="2">
        <v>8</v>
      </c>
      <c r="D115" s="2">
        <v>0</v>
      </c>
      <c r="E115" s="2">
        <v>1.2030000000000001</v>
      </c>
      <c r="F115" s="2">
        <v>1</v>
      </c>
    </row>
    <row r="116" spans="1:6" ht="14.25" customHeight="1">
      <c r="A116" s="2">
        <v>48</v>
      </c>
      <c r="B116" s="2">
        <v>115</v>
      </c>
      <c r="C116" s="2">
        <v>4</v>
      </c>
      <c r="D116" s="2">
        <v>1</v>
      </c>
      <c r="E116" s="2">
        <v>1.0429999999999999</v>
      </c>
      <c r="F116" s="2">
        <v>2</v>
      </c>
    </row>
    <row r="117" spans="1:6" ht="14.25" customHeight="1">
      <c r="A117" s="2">
        <v>48</v>
      </c>
      <c r="B117" s="2">
        <v>116</v>
      </c>
      <c r="C117" s="2">
        <v>6</v>
      </c>
      <c r="D117" s="2">
        <v>0</v>
      </c>
      <c r="E117" s="2">
        <v>1.1719999999999999</v>
      </c>
      <c r="F117" s="2">
        <v>1</v>
      </c>
    </row>
    <row r="118" spans="1:6" ht="14.25" customHeight="1">
      <c r="A118" s="2">
        <v>48</v>
      </c>
      <c r="B118" s="2">
        <v>117</v>
      </c>
      <c r="C118" s="2">
        <v>2</v>
      </c>
      <c r="D118" s="2">
        <v>1</v>
      </c>
      <c r="E118" s="2">
        <v>1.331</v>
      </c>
      <c r="F118" s="2">
        <v>1</v>
      </c>
    </row>
    <row r="119" spans="1:6" ht="14.25" customHeight="1">
      <c r="A119" s="2">
        <v>48</v>
      </c>
      <c r="B119" s="2">
        <v>118</v>
      </c>
      <c r="C119" s="2">
        <v>5</v>
      </c>
      <c r="D119" s="2">
        <v>1</v>
      </c>
      <c r="E119" s="2">
        <v>1.675</v>
      </c>
      <c r="F119" s="2">
        <v>2</v>
      </c>
    </row>
    <row r="120" spans="1:6" ht="14.25" customHeight="1">
      <c r="A120" s="2">
        <v>48</v>
      </c>
      <c r="B120" s="2">
        <v>119</v>
      </c>
      <c r="C120" s="2">
        <v>3</v>
      </c>
      <c r="D120" s="2">
        <v>1</v>
      </c>
      <c r="E120" s="2">
        <v>1.147</v>
      </c>
      <c r="F120" s="2">
        <v>1</v>
      </c>
    </row>
    <row r="121" spans="1:6" ht="14.25" customHeight="1">
      <c r="A121" s="2">
        <v>48</v>
      </c>
      <c r="B121" s="2">
        <v>120</v>
      </c>
      <c r="C121" s="2">
        <v>2</v>
      </c>
      <c r="D121" s="2">
        <v>0</v>
      </c>
      <c r="E121" s="2">
        <v>0.80200000000000005</v>
      </c>
      <c r="F121" s="2">
        <v>2</v>
      </c>
    </row>
    <row r="122" spans="1:6" ht="14.25" customHeight="1">
      <c r="A122" s="2">
        <v>48</v>
      </c>
      <c r="B122" s="2">
        <v>121</v>
      </c>
      <c r="C122" s="2">
        <v>6</v>
      </c>
      <c r="D122" s="2">
        <v>0</v>
      </c>
      <c r="E122" s="2">
        <v>0.71</v>
      </c>
      <c r="F122" s="2">
        <v>1</v>
      </c>
    </row>
    <row r="123" spans="1:6" ht="14.25" customHeight="1">
      <c r="A123" s="2">
        <v>48</v>
      </c>
      <c r="B123" s="2">
        <v>122</v>
      </c>
      <c r="C123" s="2">
        <v>2</v>
      </c>
      <c r="D123" s="2">
        <v>1</v>
      </c>
      <c r="E123" s="2">
        <v>1.288</v>
      </c>
      <c r="F123" s="2">
        <v>1</v>
      </c>
    </row>
    <row r="124" spans="1:6" ht="14.25" customHeight="1">
      <c r="A124" s="2">
        <v>48</v>
      </c>
      <c r="B124" s="2">
        <v>123</v>
      </c>
      <c r="C124" s="2">
        <v>5</v>
      </c>
      <c r="D124" s="2">
        <v>0</v>
      </c>
      <c r="E124" s="2">
        <v>0.71699999999999997</v>
      </c>
      <c r="F124" s="2">
        <v>2</v>
      </c>
    </row>
    <row r="125" spans="1:6" ht="14.25" customHeight="1">
      <c r="A125" s="2">
        <v>48</v>
      </c>
      <c r="B125" s="2">
        <v>124</v>
      </c>
      <c r="C125" s="2">
        <v>7</v>
      </c>
      <c r="D125" s="2">
        <v>1</v>
      </c>
      <c r="E125" s="2">
        <v>1.0489999999999999</v>
      </c>
      <c r="F125" s="2">
        <v>2</v>
      </c>
    </row>
    <row r="126" spans="1:6" ht="14.25" customHeight="1">
      <c r="A126" s="2">
        <v>48</v>
      </c>
      <c r="B126" s="2">
        <v>125</v>
      </c>
      <c r="C126" s="2">
        <v>4</v>
      </c>
      <c r="D126" s="2">
        <v>1</v>
      </c>
      <c r="E126" s="2">
        <v>1.46</v>
      </c>
      <c r="F126" s="2">
        <v>1</v>
      </c>
    </row>
    <row r="127" spans="1:6" ht="14.25" customHeight="1">
      <c r="A127" s="2">
        <v>48</v>
      </c>
      <c r="B127" s="2">
        <v>126</v>
      </c>
      <c r="C127" s="2">
        <v>2</v>
      </c>
      <c r="D127" s="2">
        <v>1</v>
      </c>
      <c r="E127" s="2">
        <v>1.139</v>
      </c>
      <c r="F127" s="2">
        <v>2</v>
      </c>
    </row>
    <row r="128" spans="1:6" ht="14.25" customHeight="1">
      <c r="A128" s="2">
        <v>48</v>
      </c>
      <c r="B128" s="2">
        <v>127</v>
      </c>
      <c r="C128" s="2">
        <v>5</v>
      </c>
      <c r="D128" s="2">
        <v>1</v>
      </c>
      <c r="E128" s="2">
        <v>1.27</v>
      </c>
      <c r="F128" s="2">
        <v>2</v>
      </c>
    </row>
    <row r="129" spans="1:6" ht="14.25" customHeight="1">
      <c r="A129" s="2">
        <v>48</v>
      </c>
      <c r="B129" s="2">
        <v>128</v>
      </c>
      <c r="C129" s="2">
        <v>7</v>
      </c>
      <c r="D129" s="2">
        <v>1</v>
      </c>
      <c r="E129" s="2">
        <v>0.90800000000000003</v>
      </c>
      <c r="F129" s="2">
        <v>1</v>
      </c>
    </row>
    <row r="130" spans="1:6" ht="14.25" customHeight="1">
      <c r="A130" s="2">
        <v>48</v>
      </c>
      <c r="B130" s="2">
        <v>129</v>
      </c>
      <c r="C130" s="2">
        <v>3</v>
      </c>
      <c r="D130" s="2">
        <v>0</v>
      </c>
      <c r="E130" s="2">
        <v>0.68899999999999995</v>
      </c>
      <c r="F130" s="2">
        <v>2</v>
      </c>
    </row>
    <row r="131" spans="1:6" ht="14.25" customHeight="1">
      <c r="A131" s="2">
        <v>48</v>
      </c>
      <c r="B131" s="2">
        <v>130</v>
      </c>
      <c r="C131" s="2">
        <v>4</v>
      </c>
      <c r="D131" s="2">
        <v>1</v>
      </c>
      <c r="E131" s="2">
        <v>0.99199999999999999</v>
      </c>
      <c r="F131" s="2">
        <v>1</v>
      </c>
    </row>
    <row r="132" spans="1:6" ht="14.25" customHeight="1">
      <c r="A132" s="2">
        <v>48</v>
      </c>
      <c r="B132" s="2">
        <v>131</v>
      </c>
      <c r="C132" s="2">
        <v>8</v>
      </c>
      <c r="D132" s="2">
        <v>0</v>
      </c>
      <c r="E132" s="2">
        <v>0.80200000000000005</v>
      </c>
      <c r="F132" s="2">
        <v>2</v>
      </c>
    </row>
    <row r="133" spans="1:6" ht="14.25" customHeight="1">
      <c r="A133" s="2">
        <v>48</v>
      </c>
      <c r="B133" s="2">
        <v>132</v>
      </c>
      <c r="C133" s="2">
        <v>1</v>
      </c>
      <c r="D133" s="2">
        <v>0</v>
      </c>
      <c r="E133" s="2">
        <v>1.202</v>
      </c>
      <c r="F133" s="2">
        <v>1</v>
      </c>
    </row>
    <row r="134" spans="1:6" ht="14.25" customHeight="1">
      <c r="A134" s="2">
        <v>48</v>
      </c>
      <c r="B134" s="2">
        <v>133</v>
      </c>
      <c r="C134" s="2">
        <v>3</v>
      </c>
      <c r="D134" s="2">
        <v>1</v>
      </c>
      <c r="E134" s="2">
        <v>0.73599999999999999</v>
      </c>
      <c r="F134" s="2">
        <v>2</v>
      </c>
    </row>
    <row r="135" spans="1:6" ht="14.25" customHeight="1">
      <c r="A135" s="2">
        <v>48</v>
      </c>
      <c r="B135" s="2">
        <v>134</v>
      </c>
      <c r="C135" s="2">
        <v>7</v>
      </c>
      <c r="D135" s="2">
        <v>0</v>
      </c>
      <c r="E135" s="2">
        <v>0.59299999999999997</v>
      </c>
      <c r="F135" s="2">
        <v>2</v>
      </c>
    </row>
    <row r="136" spans="1:6" ht="14.25" customHeight="1">
      <c r="A136" s="2">
        <v>48</v>
      </c>
      <c r="B136" s="2">
        <v>135</v>
      </c>
      <c r="C136" s="2">
        <v>1</v>
      </c>
      <c r="D136" s="2">
        <v>0</v>
      </c>
      <c r="E136" s="2">
        <v>1.208</v>
      </c>
      <c r="F136" s="2">
        <v>2</v>
      </c>
    </row>
    <row r="137" spans="1:6" ht="14.25" customHeight="1">
      <c r="A137" s="2">
        <v>48</v>
      </c>
      <c r="B137" s="2">
        <v>136</v>
      </c>
      <c r="C137" s="2">
        <v>5</v>
      </c>
      <c r="D137" s="2">
        <v>0</v>
      </c>
      <c r="E137" s="2">
        <v>0.78100000000000003</v>
      </c>
      <c r="F137" s="2">
        <v>1</v>
      </c>
    </row>
    <row r="138" spans="1:6" ht="14.25" customHeight="1">
      <c r="A138" s="2">
        <v>48</v>
      </c>
      <c r="B138" s="2">
        <v>137</v>
      </c>
      <c r="C138" s="2">
        <v>6</v>
      </c>
      <c r="D138" s="2">
        <v>0</v>
      </c>
      <c r="E138" s="2">
        <v>1.53</v>
      </c>
      <c r="F138" s="2">
        <v>2</v>
      </c>
    </row>
    <row r="139" spans="1:6" ht="14.25" customHeight="1">
      <c r="A139" s="2">
        <v>48</v>
      </c>
      <c r="B139" s="2">
        <v>138</v>
      </c>
      <c r="C139" s="2">
        <v>3</v>
      </c>
      <c r="D139" s="2">
        <v>1</v>
      </c>
      <c r="E139" s="2">
        <v>0.94899999999999995</v>
      </c>
      <c r="F139" s="2">
        <v>1</v>
      </c>
    </row>
    <row r="140" spans="1:6" ht="14.25" customHeight="1">
      <c r="A140" s="2">
        <v>48</v>
      </c>
      <c r="B140" s="2">
        <v>139</v>
      </c>
      <c r="C140" s="2">
        <v>7</v>
      </c>
      <c r="D140" s="2">
        <v>1</v>
      </c>
      <c r="E140" s="2">
        <v>0.68600000000000005</v>
      </c>
      <c r="F140" s="2">
        <v>2</v>
      </c>
    </row>
    <row r="141" spans="1:6" ht="14.25" customHeight="1">
      <c r="A141" s="2">
        <v>48</v>
      </c>
      <c r="B141" s="2">
        <v>140</v>
      </c>
      <c r="C141" s="2">
        <v>2</v>
      </c>
      <c r="D141" s="2">
        <v>1</v>
      </c>
      <c r="E141" s="2">
        <v>0.84099999999999997</v>
      </c>
      <c r="F141" s="2">
        <v>1</v>
      </c>
    </row>
    <row r="142" spans="1:6" ht="14.25" customHeight="1">
      <c r="A142" s="2">
        <v>48</v>
      </c>
      <c r="B142" s="2">
        <v>141</v>
      </c>
      <c r="C142" s="2">
        <v>3</v>
      </c>
      <c r="D142" s="2">
        <v>1</v>
      </c>
      <c r="E142" s="2">
        <v>0.874</v>
      </c>
      <c r="F142" s="2">
        <v>2</v>
      </c>
    </row>
    <row r="143" spans="1:6" ht="14.25" customHeight="1">
      <c r="A143" s="2">
        <v>48</v>
      </c>
      <c r="B143" s="2">
        <v>142</v>
      </c>
      <c r="C143" s="2">
        <v>7</v>
      </c>
      <c r="D143" s="2">
        <v>0</v>
      </c>
      <c r="E143" s="2">
        <v>0.68200000000000005</v>
      </c>
      <c r="F143" s="2">
        <v>1</v>
      </c>
    </row>
    <row r="144" spans="1:6" ht="14.25" customHeight="1">
      <c r="A144" s="2">
        <v>48</v>
      </c>
      <c r="B144" s="2">
        <v>143</v>
      </c>
      <c r="C144" s="2">
        <v>1</v>
      </c>
      <c r="D144" s="2">
        <v>0</v>
      </c>
      <c r="E144" s="2">
        <v>0.54500000000000004</v>
      </c>
      <c r="F144" s="2">
        <v>2</v>
      </c>
    </row>
    <row r="145" spans="1:6" ht="14.25" customHeight="1">
      <c r="A145" s="2">
        <v>48</v>
      </c>
      <c r="B145" s="2">
        <v>144</v>
      </c>
      <c r="C145" s="2">
        <v>2</v>
      </c>
      <c r="D145" s="2">
        <v>1</v>
      </c>
      <c r="E145" s="2">
        <v>0.73799999999999999</v>
      </c>
      <c r="F145" s="2">
        <v>1</v>
      </c>
    </row>
    <row r="146" spans="1:6" ht="14.25" customHeight="1">
      <c r="A146" s="2">
        <v>48</v>
      </c>
      <c r="B146" s="2">
        <v>145</v>
      </c>
      <c r="C146" s="2">
        <v>8</v>
      </c>
      <c r="D146" s="2">
        <v>1</v>
      </c>
      <c r="E146" s="2">
        <v>0.59499999999999997</v>
      </c>
      <c r="F146" s="2">
        <v>2</v>
      </c>
    </row>
    <row r="147" spans="1:6" ht="14.25" customHeight="1">
      <c r="A147" s="2">
        <v>48</v>
      </c>
      <c r="B147" s="2">
        <v>146</v>
      </c>
      <c r="C147" s="2">
        <v>3</v>
      </c>
      <c r="D147" s="2">
        <v>0</v>
      </c>
      <c r="E147" s="2">
        <v>0.84799999999999998</v>
      </c>
      <c r="F147" s="2">
        <v>1</v>
      </c>
    </row>
    <row r="148" spans="1:6" ht="14.25" customHeight="1">
      <c r="A148" s="2">
        <v>48</v>
      </c>
      <c r="B148" s="2">
        <v>147</v>
      </c>
      <c r="C148" s="2">
        <v>4</v>
      </c>
      <c r="D148" s="2">
        <v>1</v>
      </c>
      <c r="E148" s="2">
        <v>1.321</v>
      </c>
      <c r="F148" s="2">
        <v>2</v>
      </c>
    </row>
    <row r="149" spans="1:6" ht="14.25" customHeight="1">
      <c r="A149" s="2">
        <v>48</v>
      </c>
      <c r="B149" s="2">
        <v>148</v>
      </c>
      <c r="C149" s="2">
        <v>8</v>
      </c>
      <c r="D149" s="2">
        <v>1</v>
      </c>
      <c r="E149" s="2">
        <v>1.0980000000000001</v>
      </c>
      <c r="F149" s="2">
        <v>2</v>
      </c>
    </row>
    <row r="150" spans="1:6" ht="14.25" customHeight="1">
      <c r="A150" s="2">
        <v>48</v>
      </c>
      <c r="B150" s="2">
        <v>149</v>
      </c>
      <c r="C150" s="2">
        <v>6</v>
      </c>
      <c r="D150" s="2">
        <v>1</v>
      </c>
      <c r="E150" s="2">
        <v>1.3320000000000001</v>
      </c>
      <c r="F150" s="2">
        <v>1</v>
      </c>
    </row>
    <row r="151" spans="1:6" ht="14.25" customHeight="1">
      <c r="A151" s="2">
        <v>48</v>
      </c>
      <c r="B151" s="2">
        <v>150</v>
      </c>
      <c r="C151" s="2">
        <v>5</v>
      </c>
      <c r="D151" s="2">
        <v>0</v>
      </c>
      <c r="E151" s="2">
        <v>1.4339999999999999</v>
      </c>
      <c r="F151" s="2">
        <v>2</v>
      </c>
    </row>
    <row r="152" spans="1:6" ht="14.25" customHeight="1">
      <c r="A152" s="2">
        <v>48</v>
      </c>
      <c r="B152" s="2">
        <v>151</v>
      </c>
      <c r="C152" s="2">
        <v>3</v>
      </c>
      <c r="D152" s="2">
        <v>1</v>
      </c>
      <c r="E152" s="2">
        <v>0.84299999999999997</v>
      </c>
      <c r="F152" s="2">
        <v>2</v>
      </c>
    </row>
    <row r="153" spans="1:6" ht="14.25" customHeight="1">
      <c r="A153" s="2">
        <v>48</v>
      </c>
      <c r="B153" s="2">
        <v>152</v>
      </c>
      <c r="C153" s="2">
        <v>7</v>
      </c>
      <c r="D153" s="2">
        <v>1</v>
      </c>
      <c r="E153" s="2">
        <v>0.91900000000000004</v>
      </c>
      <c r="F153" s="2">
        <v>1</v>
      </c>
    </row>
    <row r="154" spans="1:6" ht="14.25" customHeight="1">
      <c r="A154" s="2">
        <v>48</v>
      </c>
      <c r="B154" s="2">
        <v>153</v>
      </c>
      <c r="C154" s="2">
        <v>5</v>
      </c>
      <c r="D154" s="2">
        <v>1</v>
      </c>
      <c r="E154" s="2">
        <v>1.4570000000000001</v>
      </c>
      <c r="F154" s="2">
        <v>2</v>
      </c>
    </row>
    <row r="155" spans="1:6" ht="14.25" customHeight="1">
      <c r="A155" s="2">
        <v>48</v>
      </c>
      <c r="B155" s="2">
        <v>154</v>
      </c>
      <c r="C155" s="2">
        <v>4</v>
      </c>
      <c r="D155" s="2">
        <v>0</v>
      </c>
      <c r="E155" s="2">
        <v>1.69</v>
      </c>
      <c r="F155" s="2">
        <v>1</v>
      </c>
    </row>
    <row r="156" spans="1:6" ht="14.25" customHeight="1">
      <c r="A156" s="2">
        <v>48</v>
      </c>
      <c r="B156" s="2">
        <v>155</v>
      </c>
      <c r="C156" s="2">
        <v>8</v>
      </c>
      <c r="D156" s="2">
        <v>1</v>
      </c>
      <c r="E156" s="2">
        <v>1.081</v>
      </c>
      <c r="F156" s="2">
        <v>2</v>
      </c>
    </row>
    <row r="157" spans="1:6" ht="14.25" customHeight="1">
      <c r="A157" s="2">
        <v>48</v>
      </c>
      <c r="B157" s="2">
        <v>156</v>
      </c>
      <c r="C157" s="2">
        <v>1</v>
      </c>
      <c r="D157" s="2">
        <v>1</v>
      </c>
      <c r="E157" s="2">
        <v>1.395</v>
      </c>
      <c r="F157" s="2">
        <v>1</v>
      </c>
    </row>
    <row r="158" spans="1:6" ht="14.25" customHeight="1">
      <c r="A158" s="2">
        <v>48</v>
      </c>
      <c r="B158" s="2">
        <v>157</v>
      </c>
      <c r="C158" s="2">
        <v>4</v>
      </c>
      <c r="D158" s="2">
        <v>1</v>
      </c>
      <c r="E158" s="2">
        <v>1.6870000000000001</v>
      </c>
      <c r="F158" s="2">
        <v>1</v>
      </c>
    </row>
    <row r="159" spans="1:6" ht="14.25" customHeight="1">
      <c r="A159" s="2">
        <v>48</v>
      </c>
      <c r="B159" s="2">
        <v>158</v>
      </c>
      <c r="C159" s="2">
        <v>1</v>
      </c>
      <c r="D159" s="2">
        <v>1</v>
      </c>
      <c r="E159" s="2">
        <v>1.474</v>
      </c>
      <c r="F159" s="2">
        <v>1</v>
      </c>
    </row>
    <row r="160" spans="1:6" ht="14.25" customHeight="1">
      <c r="A160" s="2">
        <v>48</v>
      </c>
      <c r="B160" s="2">
        <v>159</v>
      </c>
      <c r="C160" s="2">
        <v>6</v>
      </c>
      <c r="D160" s="2">
        <v>0</v>
      </c>
      <c r="E160" s="2">
        <v>0.68400000000000005</v>
      </c>
      <c r="F160" s="2">
        <v>2</v>
      </c>
    </row>
    <row r="161" spans="1:6" ht="14.25" customHeight="1">
      <c r="A161" s="2">
        <v>48</v>
      </c>
      <c r="B161" s="2">
        <v>160</v>
      </c>
      <c r="C161" s="2">
        <v>2</v>
      </c>
      <c r="D161" s="2">
        <v>1</v>
      </c>
      <c r="E161" s="2">
        <v>1.9510000000000001</v>
      </c>
      <c r="F161" s="2">
        <v>1</v>
      </c>
    </row>
    <row r="162" spans="1:6" ht="14.25" customHeight="1">
      <c r="A162" s="2">
        <v>48</v>
      </c>
      <c r="B162" s="2">
        <v>161</v>
      </c>
      <c r="C162" s="2">
        <v>5</v>
      </c>
      <c r="E162" s="2">
        <v>2</v>
      </c>
    </row>
    <row r="163" spans="1:6" ht="14.25" customHeight="1">
      <c r="A163" s="2">
        <v>48</v>
      </c>
      <c r="B163" s="2">
        <v>162</v>
      </c>
      <c r="C163" s="2">
        <v>8</v>
      </c>
      <c r="D163" s="2">
        <v>1</v>
      </c>
      <c r="E163" s="2">
        <v>0.83299999999999996</v>
      </c>
      <c r="F163" s="2">
        <v>2</v>
      </c>
    </row>
    <row r="164" spans="1:6" ht="14.25" customHeight="1">
      <c r="A164" s="2">
        <v>48</v>
      </c>
      <c r="B164" s="2">
        <v>163</v>
      </c>
      <c r="C164" s="2">
        <v>5</v>
      </c>
      <c r="D164" s="2">
        <v>0</v>
      </c>
      <c r="E164" s="2">
        <v>1.484</v>
      </c>
      <c r="F164" s="2">
        <v>1</v>
      </c>
    </row>
    <row r="165" spans="1:6" ht="14.25" customHeight="1">
      <c r="A165" s="2">
        <v>48</v>
      </c>
      <c r="B165" s="2">
        <v>164</v>
      </c>
      <c r="C165" s="2">
        <v>1</v>
      </c>
      <c r="D165" s="2">
        <v>1</v>
      </c>
      <c r="E165" s="2">
        <v>0.878</v>
      </c>
      <c r="F165" s="2">
        <v>2</v>
      </c>
    </row>
    <row r="166" spans="1:6" ht="14.25" customHeight="1">
      <c r="A166" s="2">
        <v>48</v>
      </c>
      <c r="B166" s="2">
        <v>165</v>
      </c>
      <c r="C166" s="2">
        <v>8</v>
      </c>
      <c r="E166" s="2">
        <v>2</v>
      </c>
    </row>
    <row r="167" spans="1:6" ht="14.25" customHeight="1">
      <c r="A167" s="2">
        <v>48</v>
      </c>
      <c r="B167" s="2">
        <v>166</v>
      </c>
      <c r="C167" s="2">
        <v>5</v>
      </c>
      <c r="D167" s="2">
        <v>1</v>
      </c>
      <c r="E167" s="2">
        <v>0.83099999999999996</v>
      </c>
      <c r="F167" s="2">
        <v>2</v>
      </c>
    </row>
    <row r="168" spans="1:6" ht="14.25" customHeight="1">
      <c r="A168" s="2">
        <v>48</v>
      </c>
      <c r="B168" s="2">
        <v>167</v>
      </c>
      <c r="C168" s="2">
        <v>7</v>
      </c>
      <c r="D168" s="2">
        <v>1</v>
      </c>
      <c r="E168" s="2">
        <v>1.5609999999999999</v>
      </c>
      <c r="F168" s="2">
        <v>1</v>
      </c>
    </row>
    <row r="169" spans="1:6" ht="14.25" customHeight="1">
      <c r="A169" s="2">
        <v>48</v>
      </c>
      <c r="B169" s="2">
        <v>168</v>
      </c>
      <c r="C169" s="2">
        <v>8</v>
      </c>
      <c r="D169" s="2">
        <v>1</v>
      </c>
      <c r="E169" s="2">
        <v>1.417</v>
      </c>
      <c r="F169" s="2">
        <v>2</v>
      </c>
    </row>
    <row r="170" spans="1:6" ht="14.25" customHeight="1">
      <c r="A170" s="2">
        <v>48</v>
      </c>
      <c r="B170" s="2">
        <v>169</v>
      </c>
      <c r="C170" s="2">
        <v>1</v>
      </c>
      <c r="D170" s="2">
        <v>1</v>
      </c>
      <c r="E170" s="2">
        <v>1.377</v>
      </c>
      <c r="F170" s="2">
        <v>1</v>
      </c>
    </row>
    <row r="171" spans="1:6" ht="14.25" customHeight="1">
      <c r="A171" s="2">
        <v>48</v>
      </c>
      <c r="B171" s="2">
        <v>170</v>
      </c>
      <c r="C171" s="2">
        <v>3</v>
      </c>
      <c r="D171" s="2">
        <v>0</v>
      </c>
      <c r="E171" s="2">
        <v>1.232</v>
      </c>
      <c r="F171" s="2">
        <v>2</v>
      </c>
    </row>
    <row r="172" spans="1:6" ht="14.25" customHeight="1">
      <c r="A172" s="2">
        <v>48</v>
      </c>
      <c r="B172" s="2">
        <v>171</v>
      </c>
      <c r="C172" s="2">
        <v>4</v>
      </c>
      <c r="D172" s="2">
        <v>0</v>
      </c>
      <c r="E172" s="2">
        <v>1.0329999999999999</v>
      </c>
      <c r="F172" s="2">
        <v>1</v>
      </c>
    </row>
    <row r="173" spans="1:6" ht="14.25" customHeight="1">
      <c r="A173" s="2">
        <v>48</v>
      </c>
      <c r="B173" s="2">
        <v>172</v>
      </c>
      <c r="C173" s="2">
        <v>6</v>
      </c>
      <c r="D173" s="2">
        <v>0</v>
      </c>
      <c r="E173" s="2">
        <v>1.431</v>
      </c>
      <c r="F173" s="2">
        <v>2</v>
      </c>
    </row>
    <row r="174" spans="1:6" ht="14.25" customHeight="1">
      <c r="A174" s="2">
        <v>48</v>
      </c>
      <c r="B174" s="2">
        <v>173</v>
      </c>
      <c r="C174" s="2">
        <v>2</v>
      </c>
      <c r="D174" s="2">
        <v>1</v>
      </c>
      <c r="E174" s="2">
        <v>1.179</v>
      </c>
      <c r="F174" s="2">
        <v>1</v>
      </c>
    </row>
    <row r="175" spans="1:6" ht="14.25" customHeight="1">
      <c r="A175" s="2">
        <v>48</v>
      </c>
      <c r="B175" s="2">
        <v>174</v>
      </c>
      <c r="C175" s="2">
        <v>4</v>
      </c>
      <c r="D175" s="2">
        <v>1</v>
      </c>
      <c r="E175" s="2">
        <v>1.0580000000000001</v>
      </c>
      <c r="F175" s="2">
        <v>2</v>
      </c>
    </row>
    <row r="176" spans="1:6" ht="14.25" customHeight="1">
      <c r="A176" s="2">
        <v>48</v>
      </c>
      <c r="B176" s="2">
        <v>175</v>
      </c>
      <c r="C176" s="2">
        <v>3</v>
      </c>
      <c r="D176" s="2">
        <v>1</v>
      </c>
      <c r="E176" s="2">
        <v>1.389</v>
      </c>
      <c r="F176" s="2">
        <v>1</v>
      </c>
    </row>
    <row r="177" spans="1:6" ht="14.25" customHeight="1">
      <c r="A177" s="2">
        <v>48</v>
      </c>
      <c r="B177" s="2">
        <v>176</v>
      </c>
      <c r="C177" s="2">
        <v>7</v>
      </c>
      <c r="D177" s="2">
        <v>1</v>
      </c>
      <c r="E177" s="2">
        <v>0.97199999999999998</v>
      </c>
      <c r="F177" s="2">
        <v>2</v>
      </c>
    </row>
    <row r="178" spans="1:6" ht="14.25" customHeight="1">
      <c r="A178" s="2">
        <v>48</v>
      </c>
      <c r="B178" s="2">
        <v>177</v>
      </c>
      <c r="C178" s="2">
        <v>2</v>
      </c>
      <c r="D178" s="2">
        <v>0</v>
      </c>
      <c r="E178" s="2">
        <v>1.1359999999999999</v>
      </c>
      <c r="F178" s="2">
        <v>1</v>
      </c>
    </row>
    <row r="179" spans="1:6" ht="14.25" customHeight="1">
      <c r="A179" s="2">
        <v>48</v>
      </c>
      <c r="B179" s="2">
        <v>178</v>
      </c>
      <c r="C179" s="2">
        <v>1</v>
      </c>
      <c r="D179" s="2">
        <v>0</v>
      </c>
      <c r="E179" s="2">
        <v>1.3540000000000001</v>
      </c>
      <c r="F179" s="2">
        <v>2</v>
      </c>
    </row>
    <row r="180" spans="1:6" ht="14.25" customHeight="1">
      <c r="A180" s="2">
        <v>48</v>
      </c>
      <c r="B180" s="2">
        <v>179</v>
      </c>
      <c r="C180" s="2">
        <v>7</v>
      </c>
      <c r="D180" s="2">
        <v>1</v>
      </c>
      <c r="E180" s="2">
        <v>1.1990000000000001</v>
      </c>
      <c r="F180" s="2">
        <v>1</v>
      </c>
    </row>
    <row r="181" spans="1:6" ht="14.25" customHeight="1">
      <c r="A181" s="2">
        <v>48</v>
      </c>
      <c r="B181" s="2">
        <v>180</v>
      </c>
      <c r="C181" s="2">
        <v>1</v>
      </c>
      <c r="D181" s="2">
        <v>0</v>
      </c>
      <c r="E181" s="2">
        <v>1.167</v>
      </c>
      <c r="F181" s="2">
        <v>2</v>
      </c>
    </row>
    <row r="182" spans="1:6" ht="14.25" customHeight="1">
      <c r="A182" s="2">
        <v>48</v>
      </c>
      <c r="B182" s="2">
        <v>181</v>
      </c>
      <c r="C182" s="2">
        <v>7</v>
      </c>
      <c r="D182" s="2">
        <v>1</v>
      </c>
      <c r="E182" s="2">
        <v>0.85799999999999998</v>
      </c>
      <c r="F182" s="2">
        <v>1</v>
      </c>
    </row>
    <row r="183" spans="1:6" ht="14.25" customHeight="1">
      <c r="A183" s="2">
        <v>48</v>
      </c>
      <c r="B183" s="2">
        <v>182</v>
      </c>
      <c r="C183" s="2">
        <v>6</v>
      </c>
      <c r="D183" s="2">
        <v>1</v>
      </c>
      <c r="E183" s="2">
        <v>0.89300000000000002</v>
      </c>
      <c r="F183" s="2">
        <v>2</v>
      </c>
    </row>
    <row r="184" spans="1:6" ht="14.25" customHeight="1">
      <c r="A184" s="2">
        <v>48</v>
      </c>
      <c r="B184" s="2">
        <v>183</v>
      </c>
      <c r="C184" s="2">
        <v>2</v>
      </c>
      <c r="D184" s="2">
        <v>0</v>
      </c>
      <c r="E184" s="2">
        <v>1.131</v>
      </c>
      <c r="F184" s="2">
        <v>1</v>
      </c>
    </row>
    <row r="185" spans="1:6" ht="14.25" customHeight="1">
      <c r="A185" s="2">
        <v>48</v>
      </c>
      <c r="B185" s="2">
        <v>184</v>
      </c>
      <c r="C185" s="2">
        <v>3</v>
      </c>
      <c r="D185" s="2">
        <v>0</v>
      </c>
      <c r="E185" s="2">
        <v>1.835</v>
      </c>
      <c r="F185" s="2">
        <v>2</v>
      </c>
    </row>
    <row r="186" spans="1:6" ht="14.25" customHeight="1">
      <c r="A186" s="2">
        <v>48</v>
      </c>
      <c r="B186" s="2">
        <v>185</v>
      </c>
      <c r="C186" s="2">
        <v>6</v>
      </c>
      <c r="D186" s="2">
        <v>0</v>
      </c>
      <c r="E186" s="2">
        <v>1.127</v>
      </c>
      <c r="F186" s="2">
        <v>2</v>
      </c>
    </row>
    <row r="187" spans="1:6" ht="14.25" customHeight="1">
      <c r="A187" s="2">
        <v>48</v>
      </c>
      <c r="B187" s="2">
        <v>186</v>
      </c>
      <c r="C187" s="2">
        <v>4</v>
      </c>
      <c r="D187" s="2">
        <v>1</v>
      </c>
      <c r="E187" s="2">
        <v>1.26</v>
      </c>
      <c r="F187" s="2">
        <v>2</v>
      </c>
    </row>
    <row r="188" spans="1:6" ht="14.25" customHeight="1">
      <c r="A188" s="2">
        <v>48</v>
      </c>
      <c r="B188" s="2">
        <v>187</v>
      </c>
      <c r="C188" s="2">
        <v>8</v>
      </c>
      <c r="D188" s="2">
        <v>1</v>
      </c>
      <c r="E188" s="2">
        <v>0.96399999999999997</v>
      </c>
      <c r="F188" s="2">
        <v>1</v>
      </c>
    </row>
    <row r="189" spans="1:6" ht="14.25" customHeight="1">
      <c r="A189" s="2">
        <v>48</v>
      </c>
      <c r="B189" s="2">
        <v>188</v>
      </c>
      <c r="C189" s="2">
        <v>6</v>
      </c>
      <c r="D189" s="2">
        <v>0</v>
      </c>
      <c r="E189" s="2">
        <v>1.6060000000000001</v>
      </c>
      <c r="F189" s="2">
        <v>2</v>
      </c>
    </row>
    <row r="190" spans="1:6" ht="14.25" customHeight="1">
      <c r="A190" s="2">
        <v>48</v>
      </c>
      <c r="B190" s="2">
        <v>189</v>
      </c>
      <c r="C190" s="2">
        <v>7</v>
      </c>
      <c r="D190" s="2">
        <v>0</v>
      </c>
      <c r="E190" s="2">
        <v>0.85599999999999998</v>
      </c>
      <c r="F190" s="2">
        <v>1</v>
      </c>
    </row>
    <row r="191" spans="1:6" ht="14.25" customHeight="1">
      <c r="A191" s="2">
        <v>48</v>
      </c>
      <c r="B191" s="2">
        <v>190</v>
      </c>
      <c r="C191" s="2">
        <v>3</v>
      </c>
      <c r="D191" s="2">
        <v>1</v>
      </c>
      <c r="E191" s="2">
        <v>1.5860000000000001</v>
      </c>
      <c r="F191" s="2">
        <v>1</v>
      </c>
    </row>
    <row r="192" spans="1:6" ht="14.25" customHeight="1">
      <c r="A192" s="2">
        <v>48</v>
      </c>
      <c r="B192" s="2">
        <v>191</v>
      </c>
      <c r="C192" s="2">
        <v>8</v>
      </c>
      <c r="D192" s="2">
        <v>1</v>
      </c>
      <c r="E192" s="2">
        <v>1.776</v>
      </c>
      <c r="F192" s="2">
        <v>2</v>
      </c>
    </row>
    <row r="193" spans="1:6" ht="14.25" customHeight="1">
      <c r="A193" s="2">
        <v>48</v>
      </c>
      <c r="B193" s="2">
        <v>192</v>
      </c>
      <c r="C193" s="2">
        <v>2</v>
      </c>
      <c r="D193" s="2">
        <v>1</v>
      </c>
      <c r="E193" s="2">
        <v>1.17</v>
      </c>
      <c r="F193" s="2">
        <v>2</v>
      </c>
    </row>
    <row r="194" spans="1:6" ht="14.25" customHeight="1">
      <c r="A194" s="2">
        <v>48</v>
      </c>
      <c r="B194" s="2">
        <v>193</v>
      </c>
      <c r="C194" s="2">
        <v>5</v>
      </c>
      <c r="D194" s="2">
        <v>1</v>
      </c>
      <c r="E194" s="2">
        <v>1.3779999999999999</v>
      </c>
      <c r="F194" s="2">
        <v>1</v>
      </c>
    </row>
    <row r="195" spans="1:6" ht="14.25" customHeight="1">
      <c r="A195" s="2">
        <v>48</v>
      </c>
      <c r="B195" s="2">
        <v>194</v>
      </c>
      <c r="C195" s="2">
        <v>4</v>
      </c>
      <c r="D195" s="2">
        <v>0</v>
      </c>
      <c r="E195" s="2">
        <v>1.36</v>
      </c>
      <c r="F195" s="2">
        <v>2</v>
      </c>
    </row>
    <row r="196" spans="1:6" ht="14.25" customHeight="1">
      <c r="A196" s="2">
        <v>48</v>
      </c>
      <c r="B196" s="2">
        <v>195</v>
      </c>
      <c r="C196" s="2">
        <v>6</v>
      </c>
      <c r="D196" s="2">
        <v>1</v>
      </c>
      <c r="E196" s="2">
        <v>1.5669999999999999</v>
      </c>
      <c r="F196" s="2">
        <v>2</v>
      </c>
    </row>
    <row r="197" spans="1:6" ht="14.25" customHeight="1">
      <c r="A197" s="2">
        <v>48</v>
      </c>
      <c r="B197" s="2">
        <v>196</v>
      </c>
      <c r="C197" s="2">
        <v>1</v>
      </c>
      <c r="D197" s="2">
        <v>0</v>
      </c>
      <c r="E197" s="2">
        <v>0.94499999999999995</v>
      </c>
      <c r="F197" s="2">
        <v>1</v>
      </c>
    </row>
    <row r="198" spans="1:6" ht="14.25" customHeight="1">
      <c r="A198" s="2">
        <v>48</v>
      </c>
      <c r="B198" s="2">
        <v>197</v>
      </c>
      <c r="C198" s="2">
        <v>2</v>
      </c>
      <c r="D198" s="2">
        <v>1</v>
      </c>
      <c r="E198" s="2">
        <v>0.72799999999999998</v>
      </c>
      <c r="F198" s="2">
        <v>2</v>
      </c>
    </row>
    <row r="199" spans="1:6" ht="14.25" customHeight="1">
      <c r="A199" s="2">
        <v>48</v>
      </c>
      <c r="B199" s="2">
        <v>198</v>
      </c>
      <c r="C199" s="2">
        <v>5</v>
      </c>
      <c r="D199" s="2">
        <v>1</v>
      </c>
      <c r="E199" s="2">
        <v>0.86699999999999999</v>
      </c>
      <c r="F199" s="2">
        <v>2</v>
      </c>
    </row>
    <row r="200" spans="1:6" ht="14.25" customHeight="1">
      <c r="A200" s="2">
        <v>48</v>
      </c>
      <c r="B200" s="2">
        <v>199</v>
      </c>
      <c r="C200" s="2">
        <v>3</v>
      </c>
      <c r="D200" s="2">
        <v>1</v>
      </c>
      <c r="E200" s="2">
        <v>1.113</v>
      </c>
      <c r="F200" s="2">
        <v>1</v>
      </c>
    </row>
    <row r="201" spans="1:6" ht="14.25" customHeight="1">
      <c r="A201" s="2">
        <v>48</v>
      </c>
      <c r="B201" s="2">
        <v>200</v>
      </c>
      <c r="C201" s="2">
        <v>2</v>
      </c>
      <c r="D201" s="2">
        <v>0</v>
      </c>
      <c r="E201" s="2">
        <v>1.651</v>
      </c>
      <c r="F201" s="2">
        <v>2</v>
      </c>
    </row>
    <row r="202" spans="1:6" ht="14.25" customHeight="1">
      <c r="A202" s="2">
        <v>48</v>
      </c>
      <c r="B202" s="2">
        <v>201</v>
      </c>
      <c r="C202" s="2">
        <v>4</v>
      </c>
      <c r="D202" s="2">
        <v>1</v>
      </c>
      <c r="E202" s="2">
        <v>1.905</v>
      </c>
      <c r="F202" s="2">
        <v>2</v>
      </c>
    </row>
    <row r="203" spans="1:6" ht="14.25" customHeight="1">
      <c r="A203" s="2">
        <v>48</v>
      </c>
      <c r="B203" s="2">
        <v>202</v>
      </c>
      <c r="C203" s="2">
        <v>6</v>
      </c>
      <c r="D203" s="2">
        <v>1</v>
      </c>
      <c r="E203" s="2">
        <v>1.1599999999999999</v>
      </c>
      <c r="F203" s="2">
        <v>1</v>
      </c>
    </row>
    <row r="204" spans="1:6" ht="14.25" customHeight="1">
      <c r="A204" s="2">
        <v>48</v>
      </c>
      <c r="B204" s="2">
        <v>203</v>
      </c>
      <c r="C204" s="2">
        <v>1</v>
      </c>
      <c r="D204" s="2">
        <v>1</v>
      </c>
      <c r="E204" s="2">
        <v>1.619</v>
      </c>
      <c r="F204" s="2">
        <v>2</v>
      </c>
    </row>
    <row r="205" spans="1:6" ht="14.25" customHeight="1">
      <c r="A205" s="2">
        <v>48</v>
      </c>
      <c r="B205" s="2">
        <v>204</v>
      </c>
      <c r="C205" s="2">
        <v>4</v>
      </c>
      <c r="D205" s="2">
        <v>0</v>
      </c>
      <c r="E205" s="2">
        <v>1.5169999999999999</v>
      </c>
      <c r="F205" s="2">
        <v>1</v>
      </c>
    </row>
    <row r="206" spans="1:6" ht="14.25" customHeight="1">
      <c r="A206" s="2">
        <v>48</v>
      </c>
      <c r="B206" s="2">
        <v>205</v>
      </c>
      <c r="C206" s="2">
        <v>6</v>
      </c>
      <c r="D206" s="2">
        <v>1</v>
      </c>
      <c r="E206" s="2">
        <v>1.6259999999999999</v>
      </c>
      <c r="F206" s="2">
        <v>2</v>
      </c>
    </row>
    <row r="207" spans="1:6" ht="14.25" customHeight="1">
      <c r="A207" s="2">
        <v>48</v>
      </c>
      <c r="B207" s="2">
        <v>206</v>
      </c>
      <c r="C207" s="2">
        <v>4</v>
      </c>
      <c r="D207" s="2">
        <v>0</v>
      </c>
      <c r="E207" s="2">
        <v>1.8340000000000001</v>
      </c>
      <c r="F207" s="2">
        <v>2</v>
      </c>
    </row>
    <row r="208" spans="1:6" ht="14.25" customHeight="1">
      <c r="A208" s="2">
        <v>48</v>
      </c>
      <c r="B208" s="2">
        <v>207</v>
      </c>
      <c r="C208" s="2">
        <v>1</v>
      </c>
      <c r="E208" s="2">
        <v>2</v>
      </c>
    </row>
    <row r="209" spans="1:6" ht="14.25" customHeight="1">
      <c r="A209" s="2">
        <v>48</v>
      </c>
      <c r="B209" s="2">
        <v>208</v>
      </c>
      <c r="C209" s="2">
        <v>3</v>
      </c>
      <c r="D209" s="2">
        <v>0</v>
      </c>
      <c r="E209" s="2">
        <v>1.339</v>
      </c>
      <c r="F209" s="2">
        <v>2</v>
      </c>
    </row>
    <row r="210" spans="1:6" ht="14.25" customHeight="1">
      <c r="A210" s="2">
        <v>48</v>
      </c>
      <c r="B210" s="2">
        <v>209</v>
      </c>
      <c r="C210" s="2">
        <v>4</v>
      </c>
      <c r="D210" s="2">
        <v>1</v>
      </c>
      <c r="E210" s="2">
        <v>1.0109999999999999</v>
      </c>
      <c r="F210" s="2">
        <v>1</v>
      </c>
    </row>
    <row r="211" spans="1:6" ht="14.25" customHeight="1">
      <c r="A211" s="2">
        <v>48</v>
      </c>
      <c r="B211" s="2">
        <v>210</v>
      </c>
      <c r="C211" s="2">
        <v>5</v>
      </c>
      <c r="D211" s="2">
        <v>0</v>
      </c>
      <c r="E211" s="2">
        <v>1.161</v>
      </c>
      <c r="F211" s="2">
        <v>2</v>
      </c>
    </row>
    <row r="212" spans="1:6" ht="14.25" customHeight="1">
      <c r="A212" s="2">
        <v>48</v>
      </c>
      <c r="B212" s="2">
        <v>211</v>
      </c>
      <c r="C212" s="2">
        <v>8</v>
      </c>
      <c r="D212" s="2">
        <v>1</v>
      </c>
      <c r="E212" s="2">
        <v>1.6020000000000001</v>
      </c>
      <c r="F212" s="2">
        <v>2</v>
      </c>
    </row>
    <row r="213" spans="1:6" ht="14.25" customHeight="1">
      <c r="A213" s="2">
        <v>48</v>
      </c>
      <c r="B213" s="2">
        <v>212</v>
      </c>
      <c r="C213" s="2">
        <v>6</v>
      </c>
      <c r="E213" s="2">
        <v>2</v>
      </c>
    </row>
    <row r="214" spans="1:6" ht="14.25" customHeight="1">
      <c r="A214" s="2">
        <v>48</v>
      </c>
      <c r="B214" s="2">
        <v>213</v>
      </c>
      <c r="C214" s="2">
        <v>7</v>
      </c>
      <c r="D214" s="2">
        <v>0</v>
      </c>
      <c r="E214" s="2">
        <v>0.91500000000000004</v>
      </c>
      <c r="F214" s="2">
        <v>1</v>
      </c>
    </row>
    <row r="215" spans="1:6" ht="14.25" customHeight="1">
      <c r="A215" s="2">
        <v>48</v>
      </c>
      <c r="B215" s="2">
        <v>214</v>
      </c>
      <c r="C215" s="2">
        <v>5</v>
      </c>
      <c r="D215" s="2">
        <v>1</v>
      </c>
      <c r="E215" s="2">
        <v>0.70899999999999996</v>
      </c>
      <c r="F215" s="2">
        <v>2</v>
      </c>
    </row>
    <row r="216" spans="1:6" ht="14.25" customHeight="1">
      <c r="A216" s="2">
        <v>48</v>
      </c>
      <c r="B216" s="2">
        <v>215</v>
      </c>
      <c r="C216" s="2">
        <v>3</v>
      </c>
      <c r="D216" s="2">
        <v>0</v>
      </c>
      <c r="E216" s="2">
        <v>0.85699999999999998</v>
      </c>
      <c r="F216" s="2">
        <v>1</v>
      </c>
    </row>
    <row r="217" spans="1:6" ht="14.25" customHeight="1">
      <c r="A217" s="2">
        <v>48</v>
      </c>
      <c r="B217" s="2">
        <v>216</v>
      </c>
      <c r="C217" s="2">
        <v>1</v>
      </c>
      <c r="D217" s="2">
        <v>1</v>
      </c>
      <c r="E217" s="2">
        <v>0.69</v>
      </c>
      <c r="F217" s="2">
        <v>2</v>
      </c>
    </row>
    <row r="218" spans="1:6" ht="14.25" customHeight="1">
      <c r="A218" s="2">
        <v>48</v>
      </c>
      <c r="B218" s="2">
        <v>217</v>
      </c>
      <c r="C218" s="2">
        <v>8</v>
      </c>
      <c r="D218" s="2">
        <v>0</v>
      </c>
      <c r="E218" s="2">
        <v>1.371</v>
      </c>
      <c r="F218" s="2">
        <v>2</v>
      </c>
    </row>
    <row r="219" spans="1:6" ht="14.25" customHeight="1">
      <c r="A219" s="2">
        <v>48</v>
      </c>
      <c r="B219" s="2">
        <v>218</v>
      </c>
      <c r="C219" s="2">
        <v>2</v>
      </c>
      <c r="D219" s="2">
        <v>0</v>
      </c>
      <c r="E219" s="2">
        <v>1.827</v>
      </c>
      <c r="F219" s="2">
        <v>1</v>
      </c>
    </row>
    <row r="220" spans="1:6" ht="14.25" customHeight="1">
      <c r="A220" s="2">
        <v>48</v>
      </c>
      <c r="B220" s="2">
        <v>219</v>
      </c>
      <c r="C220" s="2">
        <v>4</v>
      </c>
      <c r="D220" s="2">
        <v>1</v>
      </c>
      <c r="E220" s="2">
        <v>0.83499999999999996</v>
      </c>
      <c r="F220" s="2">
        <v>1</v>
      </c>
    </row>
    <row r="221" spans="1:6" ht="14.25" customHeight="1">
      <c r="A221" s="2">
        <v>48</v>
      </c>
      <c r="B221" s="2">
        <v>220</v>
      </c>
      <c r="C221" s="2">
        <v>2</v>
      </c>
      <c r="D221" s="2">
        <v>0</v>
      </c>
      <c r="E221" s="2">
        <v>1.1970000000000001</v>
      </c>
      <c r="F221" s="2">
        <v>2</v>
      </c>
    </row>
    <row r="222" spans="1:6" ht="14.25" customHeight="1">
      <c r="A222" s="2">
        <v>48</v>
      </c>
      <c r="B222" s="2">
        <v>221</v>
      </c>
      <c r="C222" s="2">
        <v>3</v>
      </c>
      <c r="D222" s="2">
        <v>0</v>
      </c>
      <c r="E222" s="2">
        <v>1.2889999999999999</v>
      </c>
      <c r="F222" s="2">
        <v>1</v>
      </c>
    </row>
    <row r="223" spans="1:6" ht="14.25" customHeight="1">
      <c r="A223" s="2">
        <v>48</v>
      </c>
      <c r="B223" s="2">
        <v>222</v>
      </c>
      <c r="C223" s="2">
        <v>1</v>
      </c>
      <c r="D223" s="2">
        <v>0</v>
      </c>
      <c r="E223" s="2">
        <v>1.123</v>
      </c>
      <c r="F223" s="2">
        <v>2</v>
      </c>
    </row>
    <row r="224" spans="1:6" ht="14.25" customHeight="1">
      <c r="A224" s="2">
        <v>48</v>
      </c>
      <c r="B224" s="2">
        <v>223</v>
      </c>
      <c r="C224" s="2">
        <v>5</v>
      </c>
      <c r="D224" s="2">
        <v>1</v>
      </c>
      <c r="E224" s="2">
        <v>1.53</v>
      </c>
      <c r="F224" s="2">
        <v>1</v>
      </c>
    </row>
    <row r="225" spans="1:6" ht="14.25" customHeight="1">
      <c r="A225" s="2">
        <v>48</v>
      </c>
      <c r="B225" s="2">
        <v>224</v>
      </c>
      <c r="C225" s="2">
        <v>7</v>
      </c>
      <c r="D225" s="2">
        <v>1</v>
      </c>
      <c r="E225" s="2">
        <v>1.282</v>
      </c>
      <c r="F225" s="2">
        <v>2</v>
      </c>
    </row>
    <row r="226" spans="1:6" ht="14.25" customHeight="1">
      <c r="A226" s="2">
        <v>48</v>
      </c>
      <c r="B226" s="2">
        <v>225</v>
      </c>
      <c r="C226" s="2">
        <v>2</v>
      </c>
      <c r="D226" s="2">
        <v>0</v>
      </c>
      <c r="E226" s="2">
        <v>1.841</v>
      </c>
      <c r="F226" s="2">
        <v>2</v>
      </c>
    </row>
    <row r="227" spans="1:6" ht="14.25" customHeight="1">
      <c r="A227" s="2">
        <v>48</v>
      </c>
      <c r="B227" s="2">
        <v>226</v>
      </c>
      <c r="C227" s="2">
        <v>7</v>
      </c>
      <c r="D227" s="2">
        <v>1</v>
      </c>
      <c r="E227" s="2">
        <v>1.427</v>
      </c>
      <c r="F227" s="2">
        <v>2</v>
      </c>
    </row>
    <row r="228" spans="1:6" ht="14.25" customHeight="1">
      <c r="A228" s="2">
        <v>48</v>
      </c>
      <c r="B228" s="2">
        <v>227</v>
      </c>
      <c r="C228" s="2">
        <v>2</v>
      </c>
      <c r="D228" s="2">
        <v>0</v>
      </c>
      <c r="E228" s="2">
        <v>1.1459999999999999</v>
      </c>
      <c r="F228" s="2">
        <v>1</v>
      </c>
    </row>
    <row r="229" spans="1:6" ht="14.25" customHeight="1">
      <c r="A229" s="2">
        <v>48</v>
      </c>
      <c r="B229" s="2">
        <v>228</v>
      </c>
      <c r="C229" s="2">
        <v>3</v>
      </c>
      <c r="D229" s="2">
        <v>0</v>
      </c>
      <c r="E229" s="2">
        <v>1.292</v>
      </c>
      <c r="F229" s="2">
        <v>2</v>
      </c>
    </row>
    <row r="230" spans="1:6" ht="14.25" customHeight="1">
      <c r="A230" s="2">
        <v>48</v>
      </c>
      <c r="B230" s="2">
        <v>229</v>
      </c>
      <c r="C230" s="2">
        <v>8</v>
      </c>
      <c r="D230" s="2">
        <v>1</v>
      </c>
      <c r="E230" s="2">
        <v>0.85799999999999998</v>
      </c>
      <c r="F230" s="2">
        <v>1</v>
      </c>
    </row>
    <row r="231" spans="1:6" ht="14.25" customHeight="1">
      <c r="A231" s="2">
        <v>48</v>
      </c>
      <c r="B231" s="2">
        <v>230</v>
      </c>
      <c r="C231" s="2">
        <v>6</v>
      </c>
      <c r="D231" s="2">
        <v>1</v>
      </c>
      <c r="E231" s="2">
        <v>1.431</v>
      </c>
      <c r="F231" s="2">
        <v>1</v>
      </c>
    </row>
    <row r="232" spans="1:6" ht="14.25" customHeight="1">
      <c r="A232" s="2">
        <v>48</v>
      </c>
      <c r="B232" s="2">
        <v>231</v>
      </c>
      <c r="C232" s="2">
        <v>7</v>
      </c>
      <c r="D232" s="2">
        <v>0</v>
      </c>
      <c r="E232" s="2">
        <v>0.95299999999999996</v>
      </c>
      <c r="F232" s="2">
        <v>2</v>
      </c>
    </row>
    <row r="233" spans="1:6" ht="14.25" customHeight="1">
      <c r="A233" s="2">
        <v>48</v>
      </c>
      <c r="B233" s="2">
        <v>232</v>
      </c>
      <c r="C233" s="2">
        <v>2</v>
      </c>
      <c r="D233" s="2">
        <v>1</v>
      </c>
      <c r="E233" s="2">
        <v>1.4259999999999999</v>
      </c>
      <c r="F233" s="2">
        <v>2</v>
      </c>
    </row>
    <row r="234" spans="1:6" ht="14.25" customHeight="1">
      <c r="A234" s="2">
        <v>48</v>
      </c>
      <c r="B234" s="2">
        <v>233</v>
      </c>
      <c r="C234" s="2">
        <v>1</v>
      </c>
      <c r="E234" s="2">
        <v>2</v>
      </c>
    </row>
    <row r="235" spans="1:6" ht="14.25" customHeight="1">
      <c r="A235" s="2">
        <v>48</v>
      </c>
      <c r="B235" s="2">
        <v>234</v>
      </c>
      <c r="C235" s="2">
        <v>8</v>
      </c>
      <c r="D235" s="2">
        <v>1</v>
      </c>
      <c r="E235" s="2">
        <v>1.224</v>
      </c>
      <c r="F235" s="2">
        <v>1</v>
      </c>
    </row>
    <row r="236" spans="1:6" ht="14.25" customHeight="1">
      <c r="A236" s="2">
        <v>48</v>
      </c>
      <c r="B236" s="2">
        <v>235</v>
      </c>
      <c r="C236" s="2">
        <v>6</v>
      </c>
      <c r="E236" s="2">
        <v>2</v>
      </c>
    </row>
    <row r="237" spans="1:6" ht="14.25" customHeight="1">
      <c r="A237" s="2">
        <v>48</v>
      </c>
      <c r="B237" s="2">
        <v>236</v>
      </c>
      <c r="C237" s="2">
        <v>2</v>
      </c>
      <c r="D237" s="2">
        <v>1</v>
      </c>
      <c r="E237" s="2">
        <v>1.2470000000000001</v>
      </c>
      <c r="F237" s="2">
        <v>2</v>
      </c>
    </row>
    <row r="238" spans="1:6" ht="14.25" customHeight="1">
      <c r="A238" s="2">
        <v>48</v>
      </c>
      <c r="B238" s="2">
        <v>237</v>
      </c>
      <c r="C238" s="2">
        <v>3</v>
      </c>
      <c r="D238" s="2">
        <v>1</v>
      </c>
      <c r="E238" s="2">
        <v>1.0329999999999999</v>
      </c>
      <c r="F238" s="2">
        <v>1</v>
      </c>
    </row>
    <row r="239" spans="1:6" ht="14.25" customHeight="1">
      <c r="A239" s="2">
        <v>48</v>
      </c>
      <c r="B239" s="2">
        <v>238</v>
      </c>
      <c r="C239" s="2">
        <v>5</v>
      </c>
      <c r="D239" s="2">
        <v>0</v>
      </c>
      <c r="E239" s="2">
        <v>1.2250000000000001</v>
      </c>
      <c r="F239" s="2">
        <v>2</v>
      </c>
    </row>
    <row r="240" spans="1:6" ht="14.25" customHeight="1">
      <c r="A240" s="2">
        <v>48</v>
      </c>
      <c r="B240" s="2">
        <v>239</v>
      </c>
      <c r="C240" s="2">
        <v>6</v>
      </c>
      <c r="D240" s="2">
        <v>1</v>
      </c>
      <c r="E240" s="2">
        <v>1.778</v>
      </c>
      <c r="F240" s="2">
        <v>2</v>
      </c>
    </row>
    <row r="241" spans="1:6" ht="14.25" customHeight="1">
      <c r="A241" s="2">
        <v>48</v>
      </c>
      <c r="B241" s="2">
        <v>240</v>
      </c>
      <c r="C241" s="2">
        <v>1</v>
      </c>
      <c r="D241" s="2">
        <v>1</v>
      </c>
      <c r="E241" s="2">
        <v>1.3859999999999999</v>
      </c>
      <c r="F241" s="2">
        <v>1</v>
      </c>
    </row>
    <row r="242" spans="1:6" ht="14.25" customHeight="1">
      <c r="A242" s="2">
        <v>48</v>
      </c>
      <c r="B242" s="2">
        <v>241</v>
      </c>
      <c r="C242" s="2">
        <v>8</v>
      </c>
      <c r="D242" s="2">
        <v>1</v>
      </c>
      <c r="E242" s="2">
        <v>0.89100000000000001</v>
      </c>
      <c r="F242" s="2">
        <v>2</v>
      </c>
    </row>
    <row r="243" spans="1:6" ht="14.25" customHeight="1">
      <c r="A243" s="2">
        <v>48</v>
      </c>
      <c r="B243" s="2">
        <v>242</v>
      </c>
      <c r="C243" s="2">
        <v>5</v>
      </c>
      <c r="D243" s="2">
        <v>0</v>
      </c>
      <c r="E243" s="2">
        <v>1.3109999999999999</v>
      </c>
      <c r="F243" s="2">
        <v>1</v>
      </c>
    </row>
    <row r="244" spans="1:6" ht="14.25" customHeight="1">
      <c r="A244" s="2">
        <v>48</v>
      </c>
      <c r="B244" s="2">
        <v>243</v>
      </c>
      <c r="C244" s="2">
        <v>2</v>
      </c>
      <c r="D244" s="2">
        <v>0</v>
      </c>
      <c r="E244" s="2">
        <v>1.208</v>
      </c>
      <c r="F244" s="2">
        <v>2</v>
      </c>
    </row>
    <row r="245" spans="1:6" ht="14.25" customHeight="1">
      <c r="A245" s="2">
        <v>48</v>
      </c>
      <c r="B245" s="2">
        <v>244</v>
      </c>
      <c r="C245" s="2">
        <v>3</v>
      </c>
      <c r="D245" s="2">
        <v>1</v>
      </c>
      <c r="E245" s="2">
        <v>0.78500000000000003</v>
      </c>
      <c r="F245" s="2">
        <v>1</v>
      </c>
    </row>
    <row r="246" spans="1:6" ht="14.25" customHeight="1">
      <c r="A246" s="2">
        <v>48</v>
      </c>
      <c r="B246" s="2">
        <v>245</v>
      </c>
      <c r="C246" s="2">
        <v>7</v>
      </c>
      <c r="D246" s="2">
        <v>1</v>
      </c>
      <c r="E246" s="2">
        <v>0.41699999999999998</v>
      </c>
      <c r="F246" s="2">
        <v>2</v>
      </c>
    </row>
    <row r="247" spans="1:6" ht="14.25" customHeight="1">
      <c r="A247" s="2">
        <v>48</v>
      </c>
      <c r="B247" s="2">
        <v>246</v>
      </c>
      <c r="C247" s="2">
        <v>8</v>
      </c>
      <c r="D247" s="2">
        <v>0</v>
      </c>
      <c r="E247" s="2">
        <v>1.3919999999999999</v>
      </c>
      <c r="F247" s="2">
        <v>1</v>
      </c>
    </row>
    <row r="248" spans="1:6" ht="14.25" customHeight="1">
      <c r="A248" s="2">
        <v>48</v>
      </c>
      <c r="B248" s="2">
        <v>247</v>
      </c>
      <c r="C248" s="2">
        <v>7</v>
      </c>
      <c r="D248" s="2">
        <v>1</v>
      </c>
      <c r="E248" s="2">
        <v>1.0129999999999999</v>
      </c>
      <c r="F248" s="2">
        <v>2</v>
      </c>
    </row>
    <row r="249" spans="1:6" ht="14.25" customHeight="1">
      <c r="A249" s="2">
        <v>48</v>
      </c>
      <c r="B249" s="2">
        <v>248</v>
      </c>
      <c r="C249" s="2">
        <v>5</v>
      </c>
      <c r="D249" s="2">
        <v>1</v>
      </c>
      <c r="E249" s="2">
        <v>1.004</v>
      </c>
      <c r="F249" s="2">
        <v>2</v>
      </c>
    </row>
    <row r="250" spans="1:6" ht="14.25" customHeight="1">
      <c r="A250" s="2">
        <v>48</v>
      </c>
      <c r="B250" s="2">
        <v>249</v>
      </c>
      <c r="C250" s="2">
        <v>4</v>
      </c>
      <c r="D250" s="2">
        <v>1</v>
      </c>
      <c r="E250" s="2">
        <v>1.929</v>
      </c>
      <c r="F250" s="2">
        <v>1</v>
      </c>
    </row>
    <row r="251" spans="1:6" ht="14.25" customHeight="1">
      <c r="A251" s="2">
        <v>48</v>
      </c>
      <c r="B251" s="2">
        <v>250</v>
      </c>
      <c r="C251" s="2">
        <v>1</v>
      </c>
      <c r="D251" s="2">
        <v>0</v>
      </c>
      <c r="E251" s="2">
        <v>1.08</v>
      </c>
      <c r="F251" s="2">
        <v>2</v>
      </c>
    </row>
    <row r="252" spans="1:6" ht="14.25" customHeight="1">
      <c r="A252" s="2">
        <v>48</v>
      </c>
      <c r="B252" s="2">
        <v>251</v>
      </c>
      <c r="C252" s="2">
        <v>3</v>
      </c>
      <c r="D252" s="2">
        <v>1</v>
      </c>
      <c r="E252" s="2">
        <v>1.101</v>
      </c>
      <c r="F252" s="2">
        <v>2</v>
      </c>
    </row>
    <row r="253" spans="1:6" ht="14.25" customHeight="1">
      <c r="A253" s="2">
        <v>48</v>
      </c>
      <c r="B253" s="2">
        <v>252</v>
      </c>
      <c r="C253" s="2">
        <v>8</v>
      </c>
      <c r="D253" s="2">
        <v>1</v>
      </c>
      <c r="E253" s="2">
        <v>1.5720000000000001</v>
      </c>
      <c r="F253" s="2">
        <v>1</v>
      </c>
    </row>
    <row r="254" spans="1:6" ht="14.25" customHeight="1">
      <c r="A254" s="2">
        <v>48</v>
      </c>
      <c r="B254" s="2">
        <v>253</v>
      </c>
      <c r="C254" s="2">
        <v>1</v>
      </c>
      <c r="D254" s="2">
        <v>1</v>
      </c>
      <c r="E254" s="2">
        <v>1.2</v>
      </c>
      <c r="F254" s="2">
        <v>2</v>
      </c>
    </row>
    <row r="255" spans="1:6" ht="14.25" customHeight="1">
      <c r="A255" s="2">
        <v>48</v>
      </c>
      <c r="B255" s="2">
        <v>254</v>
      </c>
      <c r="C255" s="2">
        <v>4</v>
      </c>
      <c r="E255" s="2">
        <v>2</v>
      </c>
    </row>
    <row r="256" spans="1:6" ht="14.25" customHeight="1">
      <c r="A256" s="2">
        <v>48</v>
      </c>
      <c r="B256" s="2">
        <v>255</v>
      </c>
      <c r="C256" s="2">
        <v>7</v>
      </c>
      <c r="D256" s="2">
        <v>0</v>
      </c>
      <c r="E256" s="2">
        <v>0.72099999999999997</v>
      </c>
      <c r="F256" s="2">
        <v>1</v>
      </c>
    </row>
    <row r="257" spans="1:6" ht="14.25" customHeight="1">
      <c r="A257" s="2">
        <v>48</v>
      </c>
      <c r="B257" s="2">
        <v>256</v>
      </c>
      <c r="C257" s="2">
        <v>3</v>
      </c>
      <c r="D257" s="2">
        <v>0</v>
      </c>
      <c r="E257" s="2">
        <v>0.76600000000000001</v>
      </c>
      <c r="F257" s="2">
        <v>2</v>
      </c>
    </row>
    <row r="258" spans="1:6" ht="14.25" customHeight="1">
      <c r="A258" s="2">
        <v>48</v>
      </c>
      <c r="B258" s="2">
        <v>257</v>
      </c>
      <c r="C258" s="2">
        <v>5</v>
      </c>
      <c r="D258" s="2">
        <v>1</v>
      </c>
      <c r="E258" s="2">
        <v>0.94799999999999995</v>
      </c>
      <c r="F258" s="2">
        <v>1</v>
      </c>
    </row>
    <row r="259" spans="1:6" ht="14.25" customHeight="1">
      <c r="A259" s="2">
        <v>48</v>
      </c>
      <c r="B259" s="2">
        <v>258</v>
      </c>
      <c r="C259" s="2">
        <v>4</v>
      </c>
      <c r="D259" s="2">
        <v>0</v>
      </c>
      <c r="E259" s="2">
        <v>1.4830000000000001</v>
      </c>
      <c r="F259" s="2">
        <v>2</v>
      </c>
    </row>
    <row r="260" spans="1:6" ht="14.25" customHeight="1">
      <c r="A260" s="2">
        <v>48</v>
      </c>
      <c r="B260" s="2">
        <v>259</v>
      </c>
      <c r="C260" s="2">
        <v>2</v>
      </c>
      <c r="D260" s="2">
        <v>1</v>
      </c>
      <c r="E260" s="2">
        <v>1.8680000000000001</v>
      </c>
      <c r="F260" s="2">
        <v>1</v>
      </c>
    </row>
    <row r="261" spans="1:6" ht="14.25" customHeight="1">
      <c r="A261" s="2">
        <v>48</v>
      </c>
      <c r="B261" s="2">
        <v>260</v>
      </c>
      <c r="C261" s="2">
        <v>3</v>
      </c>
      <c r="D261" s="2">
        <v>0</v>
      </c>
      <c r="E261" s="2">
        <v>1.8360000000000001</v>
      </c>
      <c r="F261" s="2">
        <v>2</v>
      </c>
    </row>
    <row r="262" spans="1:6" ht="14.25" customHeight="1">
      <c r="A262" s="2">
        <v>48</v>
      </c>
      <c r="B262" s="2">
        <v>261</v>
      </c>
      <c r="C262" s="2">
        <v>4</v>
      </c>
      <c r="D262" s="2">
        <v>1</v>
      </c>
      <c r="E262" s="2">
        <v>1.304</v>
      </c>
      <c r="F262" s="2">
        <v>2</v>
      </c>
    </row>
    <row r="263" spans="1:6" ht="14.25" customHeight="1">
      <c r="A263" s="2">
        <v>48</v>
      </c>
      <c r="B263" s="2">
        <v>262</v>
      </c>
      <c r="C263" s="2">
        <v>7</v>
      </c>
      <c r="D263" s="2">
        <v>0</v>
      </c>
      <c r="E263" s="2">
        <v>1.252</v>
      </c>
      <c r="F263" s="2">
        <v>1</v>
      </c>
    </row>
    <row r="264" spans="1:6" ht="14.25" customHeight="1">
      <c r="A264" s="2">
        <v>48</v>
      </c>
      <c r="B264" s="2">
        <v>263</v>
      </c>
      <c r="C264" s="2">
        <v>1</v>
      </c>
      <c r="E264" s="2">
        <v>2</v>
      </c>
    </row>
    <row r="265" spans="1:6" ht="14.25" customHeight="1">
      <c r="A265" s="2">
        <v>48</v>
      </c>
      <c r="B265" s="2">
        <v>264</v>
      </c>
      <c r="C265" s="2">
        <v>4</v>
      </c>
      <c r="D265" s="2">
        <v>1</v>
      </c>
      <c r="E265" s="2">
        <v>0.66300000000000003</v>
      </c>
      <c r="F265" s="2">
        <v>2</v>
      </c>
    </row>
    <row r="266" spans="1:6" ht="14.25" customHeight="1">
      <c r="A266" s="2">
        <v>48</v>
      </c>
      <c r="B266" s="2">
        <v>265</v>
      </c>
      <c r="C266" s="2">
        <v>2</v>
      </c>
      <c r="D266" s="2">
        <v>0</v>
      </c>
      <c r="E266" s="2">
        <v>1.145</v>
      </c>
      <c r="F266" s="2">
        <v>1</v>
      </c>
    </row>
    <row r="267" spans="1:6" ht="14.25" customHeight="1">
      <c r="A267" s="2">
        <v>48</v>
      </c>
      <c r="B267" s="2">
        <v>266</v>
      </c>
      <c r="C267" s="2">
        <v>4</v>
      </c>
      <c r="D267" s="2">
        <v>1</v>
      </c>
      <c r="E267" s="2">
        <v>0.746</v>
      </c>
      <c r="F267" s="2">
        <v>2</v>
      </c>
    </row>
    <row r="268" spans="1:6" ht="14.25" customHeight="1">
      <c r="A268" s="2">
        <v>48</v>
      </c>
      <c r="B268" s="2">
        <v>267</v>
      </c>
      <c r="C268" s="2">
        <v>1</v>
      </c>
      <c r="D268" s="2">
        <v>0</v>
      </c>
      <c r="E268" s="2">
        <v>1.028</v>
      </c>
      <c r="F268" s="2">
        <v>2</v>
      </c>
    </row>
    <row r="269" spans="1:6" ht="14.25" customHeight="1">
      <c r="A269" s="2">
        <v>48</v>
      </c>
      <c r="B269" s="2">
        <v>268</v>
      </c>
      <c r="C269" s="2">
        <v>2</v>
      </c>
      <c r="D269" s="2">
        <v>0</v>
      </c>
      <c r="E269" s="2">
        <v>0.754</v>
      </c>
      <c r="F269" s="2">
        <v>1</v>
      </c>
    </row>
    <row r="270" spans="1:6" ht="14.25" customHeight="1">
      <c r="A270" s="2">
        <v>48</v>
      </c>
      <c r="B270" s="2">
        <v>269</v>
      </c>
      <c r="C270" s="2">
        <v>8</v>
      </c>
      <c r="D270" s="2">
        <v>0</v>
      </c>
      <c r="E270" s="2">
        <v>1.165</v>
      </c>
      <c r="F270" s="2">
        <v>2</v>
      </c>
    </row>
    <row r="271" spans="1:6" ht="14.25" customHeight="1">
      <c r="A271" s="2">
        <v>48</v>
      </c>
      <c r="B271" s="2">
        <v>270</v>
      </c>
      <c r="C271" s="2">
        <v>2</v>
      </c>
      <c r="D271" s="2">
        <v>1</v>
      </c>
      <c r="E271" s="2">
        <v>1.0489999999999999</v>
      </c>
      <c r="F271" s="2">
        <v>1</v>
      </c>
    </row>
    <row r="272" spans="1:6" ht="14.25" customHeight="1">
      <c r="A272" s="2">
        <v>48</v>
      </c>
      <c r="B272" s="2">
        <v>271</v>
      </c>
      <c r="C272" s="2">
        <v>6</v>
      </c>
      <c r="E272" s="2">
        <v>2</v>
      </c>
    </row>
    <row r="273" spans="1:6" ht="14.25" customHeight="1">
      <c r="A273" s="2">
        <v>48</v>
      </c>
      <c r="B273" s="2">
        <v>272</v>
      </c>
      <c r="C273" s="2">
        <v>5</v>
      </c>
      <c r="D273" s="2">
        <v>0</v>
      </c>
      <c r="E273" s="2">
        <v>0.72799999999999998</v>
      </c>
      <c r="F273" s="2">
        <v>2</v>
      </c>
    </row>
    <row r="274" spans="1:6" ht="14.25" customHeight="1">
      <c r="A274" s="2">
        <v>48</v>
      </c>
      <c r="B274" s="2">
        <v>273</v>
      </c>
      <c r="C274" s="2">
        <v>6</v>
      </c>
      <c r="D274" s="2">
        <v>1</v>
      </c>
      <c r="E274" s="2">
        <v>1.2290000000000001</v>
      </c>
      <c r="F274" s="2">
        <v>1</v>
      </c>
    </row>
    <row r="275" spans="1:6" ht="14.25" customHeight="1">
      <c r="A275" s="2">
        <v>48</v>
      </c>
      <c r="B275" s="2">
        <v>274</v>
      </c>
      <c r="C275" s="2">
        <v>1</v>
      </c>
      <c r="D275" s="2">
        <v>1</v>
      </c>
      <c r="E275" s="2">
        <v>1.681</v>
      </c>
      <c r="F275" s="2">
        <v>2</v>
      </c>
    </row>
    <row r="276" spans="1:6" ht="14.25" customHeight="1">
      <c r="A276" s="2">
        <v>48</v>
      </c>
      <c r="B276" s="2">
        <v>275</v>
      </c>
      <c r="C276" s="2">
        <v>3</v>
      </c>
      <c r="D276" s="2">
        <v>1</v>
      </c>
      <c r="E276" s="2">
        <v>0.874</v>
      </c>
      <c r="F276" s="2">
        <v>1</v>
      </c>
    </row>
    <row r="277" spans="1:6" ht="14.25" customHeight="1">
      <c r="A277" s="2">
        <v>48</v>
      </c>
      <c r="B277" s="2">
        <v>276</v>
      </c>
      <c r="C277" s="2">
        <v>5</v>
      </c>
      <c r="D277" s="2">
        <v>1</v>
      </c>
      <c r="E277" s="2">
        <v>1.264</v>
      </c>
      <c r="F277" s="2">
        <v>2</v>
      </c>
    </row>
    <row r="278" spans="1:6" ht="14.25" customHeight="1">
      <c r="A278" s="2">
        <v>48</v>
      </c>
      <c r="B278" s="2">
        <v>277</v>
      </c>
      <c r="C278" s="2">
        <v>3</v>
      </c>
      <c r="D278" s="2">
        <v>0</v>
      </c>
      <c r="E278" s="2">
        <v>1.425</v>
      </c>
      <c r="F278" s="2">
        <v>1</v>
      </c>
    </row>
    <row r="279" spans="1:6" ht="14.25" customHeight="1">
      <c r="A279" s="2">
        <v>48</v>
      </c>
      <c r="B279" s="2">
        <v>278</v>
      </c>
      <c r="C279" s="2">
        <v>2</v>
      </c>
      <c r="D279" s="2">
        <v>0</v>
      </c>
      <c r="E279" s="2">
        <v>0.84299999999999997</v>
      </c>
      <c r="F279" s="2">
        <v>2</v>
      </c>
    </row>
    <row r="280" spans="1:6" ht="14.25" customHeight="1">
      <c r="A280" s="2">
        <v>48</v>
      </c>
      <c r="B280" s="2">
        <v>279</v>
      </c>
      <c r="C280" s="2">
        <v>5</v>
      </c>
      <c r="D280" s="2">
        <v>1</v>
      </c>
      <c r="E280" s="2">
        <v>0.75900000000000001</v>
      </c>
      <c r="F280" s="2">
        <v>1</v>
      </c>
    </row>
    <row r="281" spans="1:6" ht="14.25" customHeight="1">
      <c r="A281" s="2">
        <v>48</v>
      </c>
      <c r="B281" s="2">
        <v>280</v>
      </c>
      <c r="C281" s="2">
        <v>3</v>
      </c>
      <c r="D281" s="2">
        <v>0</v>
      </c>
      <c r="E281" s="2">
        <v>0.86099999999999999</v>
      </c>
      <c r="F281" s="2">
        <v>2</v>
      </c>
    </row>
    <row r="282" spans="1:6" ht="14.25" customHeight="1">
      <c r="A282" s="2">
        <v>48</v>
      </c>
      <c r="B282" s="2">
        <v>281</v>
      </c>
      <c r="C282" s="2">
        <v>6</v>
      </c>
      <c r="D282" s="2">
        <v>0</v>
      </c>
      <c r="E282" s="2">
        <v>0.61</v>
      </c>
      <c r="F282" s="2">
        <v>2</v>
      </c>
    </row>
    <row r="283" spans="1:6" ht="14.25" customHeight="1">
      <c r="A283" s="2">
        <v>48</v>
      </c>
      <c r="B283" s="2">
        <v>282</v>
      </c>
      <c r="C283" s="2">
        <v>8</v>
      </c>
      <c r="D283" s="2">
        <v>0</v>
      </c>
      <c r="E283" s="2">
        <v>1.169</v>
      </c>
      <c r="F283" s="2">
        <v>1</v>
      </c>
    </row>
    <row r="284" spans="1:6" ht="14.25" customHeight="1">
      <c r="A284" s="2">
        <v>48</v>
      </c>
      <c r="B284" s="2">
        <v>283</v>
      </c>
      <c r="C284" s="2">
        <v>4</v>
      </c>
      <c r="D284" s="2">
        <v>0</v>
      </c>
      <c r="E284" s="2">
        <v>1.1020000000000001</v>
      </c>
      <c r="F284" s="2">
        <v>1</v>
      </c>
    </row>
    <row r="285" spans="1:6" ht="14.25" customHeight="1">
      <c r="A285" s="2">
        <v>48</v>
      </c>
      <c r="B285" s="2">
        <v>284</v>
      </c>
      <c r="C285" s="2">
        <v>1</v>
      </c>
      <c r="D285" s="2">
        <v>1</v>
      </c>
      <c r="E285" s="2">
        <v>1.1579999999999999</v>
      </c>
      <c r="F285" s="2">
        <v>1</v>
      </c>
    </row>
    <row r="286" spans="1:6" ht="14.25" customHeight="1">
      <c r="A286" s="2">
        <v>48</v>
      </c>
      <c r="B286" s="2">
        <v>285</v>
      </c>
      <c r="C286" s="2">
        <v>8</v>
      </c>
      <c r="D286" s="2">
        <v>0</v>
      </c>
      <c r="E286" s="2">
        <v>0.88200000000000001</v>
      </c>
      <c r="F286" s="2">
        <v>2</v>
      </c>
    </row>
    <row r="287" spans="1:6" ht="14.25" customHeight="1">
      <c r="A287" s="2">
        <v>48</v>
      </c>
      <c r="B287" s="2">
        <v>286</v>
      </c>
      <c r="C287" s="2">
        <v>7</v>
      </c>
      <c r="D287" s="2">
        <v>0</v>
      </c>
      <c r="E287" s="2">
        <v>1.0960000000000001</v>
      </c>
      <c r="F287" s="2">
        <v>1</v>
      </c>
    </row>
    <row r="288" spans="1:6" ht="14.25" customHeight="1">
      <c r="A288" s="2">
        <v>48</v>
      </c>
      <c r="B288" s="2">
        <v>287</v>
      </c>
      <c r="C288" s="2">
        <v>6</v>
      </c>
      <c r="D288" s="2">
        <v>0</v>
      </c>
      <c r="E288" s="2">
        <v>1.2609999999999999</v>
      </c>
      <c r="F288" s="2">
        <v>2</v>
      </c>
    </row>
    <row r="289" spans="1:6" ht="14.25" customHeight="1">
      <c r="A289" s="2">
        <v>48</v>
      </c>
      <c r="B289" s="2">
        <v>288</v>
      </c>
      <c r="C289" s="2">
        <v>7</v>
      </c>
      <c r="D289" s="2">
        <v>1</v>
      </c>
      <c r="E289" s="2">
        <v>0.89</v>
      </c>
      <c r="F289" s="2">
        <v>1</v>
      </c>
    </row>
    <row r="290" spans="1:6" ht="14.25" customHeight="1">
      <c r="A290" s="2">
        <v>48</v>
      </c>
      <c r="B290" s="2">
        <v>289</v>
      </c>
      <c r="C290" s="2">
        <v>2</v>
      </c>
      <c r="D290" s="2">
        <v>1</v>
      </c>
      <c r="E290" s="2">
        <v>0.69799999999999995</v>
      </c>
      <c r="F290" s="2">
        <v>2</v>
      </c>
    </row>
    <row r="291" spans="1:6" ht="14.25" customHeight="1">
      <c r="A291" s="2">
        <v>48</v>
      </c>
      <c r="B291" s="2">
        <v>290</v>
      </c>
      <c r="C291" s="2">
        <v>7</v>
      </c>
      <c r="D291" s="2">
        <v>1</v>
      </c>
      <c r="E291" s="2">
        <v>1.482</v>
      </c>
      <c r="F291" s="2">
        <v>1</v>
      </c>
    </row>
    <row r="292" spans="1:6" ht="14.25" customHeight="1">
      <c r="A292" s="2">
        <v>48</v>
      </c>
      <c r="B292" s="2">
        <v>291</v>
      </c>
      <c r="C292" s="2">
        <v>8</v>
      </c>
      <c r="D292" s="2">
        <v>1</v>
      </c>
      <c r="E292" s="2">
        <v>1.1120000000000001</v>
      </c>
      <c r="F292" s="2">
        <v>2</v>
      </c>
    </row>
    <row r="293" spans="1:6" ht="14.25" customHeight="1">
      <c r="A293" s="2">
        <v>48</v>
      </c>
      <c r="B293" s="2">
        <v>292</v>
      </c>
      <c r="C293" s="2">
        <v>1</v>
      </c>
      <c r="D293" s="2">
        <v>1</v>
      </c>
      <c r="E293" s="2">
        <v>1.643</v>
      </c>
      <c r="F293" s="2">
        <v>2</v>
      </c>
    </row>
    <row r="294" spans="1:6" ht="14.25" customHeight="1">
      <c r="A294" s="2">
        <v>48</v>
      </c>
      <c r="B294" s="2">
        <v>293</v>
      </c>
      <c r="C294" s="2">
        <v>5</v>
      </c>
      <c r="D294" s="2">
        <v>1</v>
      </c>
      <c r="E294" s="2">
        <v>1.962</v>
      </c>
      <c r="F294" s="2">
        <v>1</v>
      </c>
    </row>
    <row r="295" spans="1:6" ht="14.25" customHeight="1">
      <c r="A295" s="2">
        <v>48</v>
      </c>
      <c r="B295" s="2">
        <v>294</v>
      </c>
      <c r="C295" s="2">
        <v>7</v>
      </c>
      <c r="D295" s="2">
        <v>0</v>
      </c>
      <c r="E295" s="2">
        <v>1.3420000000000001</v>
      </c>
      <c r="F295" s="2">
        <v>2</v>
      </c>
    </row>
    <row r="296" spans="1:6" ht="14.25" customHeight="1">
      <c r="A296" s="2">
        <v>48</v>
      </c>
      <c r="B296" s="2">
        <v>295</v>
      </c>
      <c r="C296" s="2">
        <v>6</v>
      </c>
      <c r="D296" s="2">
        <v>0</v>
      </c>
      <c r="E296" s="2">
        <v>1.075</v>
      </c>
      <c r="F296" s="2">
        <v>1</v>
      </c>
    </row>
    <row r="297" spans="1:6" ht="14.25" customHeight="1">
      <c r="A297" s="2">
        <v>48</v>
      </c>
      <c r="B297" s="2">
        <v>296</v>
      </c>
      <c r="C297" s="2">
        <v>1</v>
      </c>
      <c r="D297" s="2">
        <v>1</v>
      </c>
      <c r="E297" s="2">
        <v>0.59199999999999997</v>
      </c>
      <c r="F297" s="2">
        <v>2</v>
      </c>
    </row>
    <row r="298" spans="1:6" ht="14.25" customHeight="1">
      <c r="A298" s="2">
        <v>48</v>
      </c>
      <c r="B298" s="2">
        <v>297</v>
      </c>
      <c r="C298" s="2">
        <v>5</v>
      </c>
      <c r="D298" s="2">
        <v>1</v>
      </c>
      <c r="E298" s="2">
        <v>0.66600000000000004</v>
      </c>
      <c r="F298" s="2">
        <v>2</v>
      </c>
    </row>
    <row r="299" spans="1:6" ht="14.25" customHeight="1">
      <c r="A299" s="2">
        <v>48</v>
      </c>
      <c r="B299" s="2">
        <v>298</v>
      </c>
      <c r="C299" s="2">
        <v>8</v>
      </c>
      <c r="D299" s="2">
        <v>0</v>
      </c>
      <c r="E299" s="2">
        <v>1.304</v>
      </c>
      <c r="F299" s="2">
        <v>1</v>
      </c>
    </row>
    <row r="300" spans="1:6" ht="14.25" customHeight="1">
      <c r="A300" s="2">
        <v>48</v>
      </c>
      <c r="B300" s="2">
        <v>299</v>
      </c>
      <c r="C300" s="2">
        <v>6</v>
      </c>
      <c r="D300" s="2">
        <v>0</v>
      </c>
      <c r="E300" s="2">
        <v>0.80900000000000005</v>
      </c>
      <c r="F300" s="2">
        <v>2</v>
      </c>
    </row>
    <row r="301" spans="1:6" ht="14.25" customHeight="1">
      <c r="A301" s="2">
        <v>48</v>
      </c>
      <c r="B301" s="2">
        <v>300</v>
      </c>
      <c r="C301" s="2">
        <v>2</v>
      </c>
      <c r="D301" s="2">
        <v>1</v>
      </c>
      <c r="E301" s="2">
        <v>1.054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Y1000"/>
  <sheetViews>
    <sheetView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49</v>
      </c>
      <c r="I1" s="2">
        <v>101</v>
      </c>
      <c r="J1" s="2">
        <v>1</v>
      </c>
      <c r="K1" s="2">
        <v>1</v>
      </c>
      <c r="L1" s="2">
        <v>0.69299999999999995</v>
      </c>
      <c r="M1" s="2">
        <v>1</v>
      </c>
    </row>
    <row r="2" spans="1:25" ht="14.25" customHeight="1">
      <c r="A2" s="2">
        <v>49</v>
      </c>
      <c r="B2" s="2">
        <v>1</v>
      </c>
      <c r="C2" s="2">
        <v>5</v>
      </c>
      <c r="D2" s="2">
        <v>0</v>
      </c>
      <c r="E2" s="2">
        <v>1.508</v>
      </c>
      <c r="F2" s="2">
        <v>2</v>
      </c>
      <c r="H2" s="2">
        <v>49</v>
      </c>
      <c r="I2" s="2">
        <v>102</v>
      </c>
      <c r="J2" s="2">
        <v>8</v>
      </c>
      <c r="K2" s="2">
        <v>1</v>
      </c>
      <c r="L2" s="2">
        <v>0.78200000000000003</v>
      </c>
      <c r="M2" s="2">
        <v>1</v>
      </c>
    </row>
    <row r="3" spans="1:25" ht="14.25" customHeight="1">
      <c r="A3" s="2">
        <v>49</v>
      </c>
      <c r="B3" s="2">
        <v>2</v>
      </c>
      <c r="C3" s="2">
        <v>6</v>
      </c>
      <c r="D3" s="2">
        <v>1</v>
      </c>
      <c r="E3" s="2">
        <v>0.97899999999999998</v>
      </c>
      <c r="F3" s="2">
        <v>1</v>
      </c>
      <c r="H3" s="2">
        <v>49</v>
      </c>
      <c r="I3" s="2">
        <v>103</v>
      </c>
      <c r="J3" s="2">
        <v>5</v>
      </c>
      <c r="K3" s="2">
        <v>1</v>
      </c>
      <c r="L3" s="2">
        <v>0.68</v>
      </c>
      <c r="M3" s="2">
        <v>1</v>
      </c>
    </row>
    <row r="4" spans="1:25" ht="14.25" customHeight="1">
      <c r="A4" s="2">
        <v>49</v>
      </c>
      <c r="B4" s="2">
        <v>3</v>
      </c>
      <c r="C4" s="2">
        <v>5</v>
      </c>
      <c r="D4" s="2">
        <v>1</v>
      </c>
      <c r="E4" s="2">
        <v>0.81299999999999994</v>
      </c>
      <c r="F4" s="2">
        <v>1</v>
      </c>
      <c r="H4" s="2">
        <v>49</v>
      </c>
      <c r="I4" s="2">
        <v>104</v>
      </c>
      <c r="J4" s="2">
        <v>4</v>
      </c>
      <c r="K4" s="2">
        <v>1</v>
      </c>
      <c r="L4" s="2">
        <v>0.47599999999999998</v>
      </c>
      <c r="M4" s="2">
        <v>2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49</v>
      </c>
      <c r="B5" s="2">
        <v>4</v>
      </c>
      <c r="C5" s="2">
        <v>8</v>
      </c>
      <c r="D5" s="2">
        <v>1</v>
      </c>
      <c r="E5" s="2">
        <v>0.51200000000000001</v>
      </c>
      <c r="F5" s="2">
        <v>2</v>
      </c>
      <c r="H5" s="2">
        <v>49</v>
      </c>
      <c r="I5" s="2">
        <v>105</v>
      </c>
      <c r="J5" s="2">
        <v>8</v>
      </c>
      <c r="K5" s="2">
        <v>0</v>
      </c>
      <c r="L5" s="2">
        <v>0.77300000000000002</v>
      </c>
      <c r="M5" s="2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49</v>
      </c>
      <c r="B6" s="2">
        <v>5</v>
      </c>
      <c r="C6" s="2">
        <v>4</v>
      </c>
      <c r="D6" s="2">
        <v>0</v>
      </c>
      <c r="E6" s="2">
        <v>1.2350000000000001</v>
      </c>
      <c r="F6" s="2">
        <v>1</v>
      </c>
      <c r="H6" s="2">
        <v>49</v>
      </c>
      <c r="I6" s="2">
        <v>106</v>
      </c>
      <c r="J6" s="2">
        <v>5</v>
      </c>
      <c r="K6" s="2">
        <v>1</v>
      </c>
      <c r="L6" s="2">
        <v>0.6</v>
      </c>
      <c r="M6" s="2">
        <v>1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49</v>
      </c>
      <c r="B7" s="2">
        <v>6</v>
      </c>
      <c r="C7" s="2">
        <v>1</v>
      </c>
      <c r="D7" s="2">
        <v>1</v>
      </c>
      <c r="E7" s="2">
        <v>0.58699999999999997</v>
      </c>
      <c r="F7" s="2">
        <v>1</v>
      </c>
      <c r="H7" s="2">
        <v>49</v>
      </c>
      <c r="I7" s="2">
        <v>107</v>
      </c>
      <c r="J7" s="2">
        <v>7</v>
      </c>
      <c r="K7" s="2">
        <v>1</v>
      </c>
      <c r="L7" s="2">
        <v>0.55600000000000005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49</v>
      </c>
      <c r="B8" s="2">
        <v>7</v>
      </c>
      <c r="C8" s="2">
        <v>7</v>
      </c>
      <c r="D8" s="2">
        <v>1</v>
      </c>
      <c r="E8" s="2">
        <v>0.53300000000000003</v>
      </c>
      <c r="F8" s="2">
        <v>2</v>
      </c>
      <c r="H8" s="2">
        <v>49</v>
      </c>
      <c r="I8" s="2">
        <v>108</v>
      </c>
      <c r="J8" s="2">
        <v>3</v>
      </c>
      <c r="K8" s="2">
        <v>1</v>
      </c>
      <c r="L8" s="2">
        <v>0.63200000000000001</v>
      </c>
      <c r="M8" s="2">
        <v>2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49</v>
      </c>
      <c r="B9" s="2">
        <v>8</v>
      </c>
      <c r="C9" s="2">
        <v>8</v>
      </c>
      <c r="D9" s="2">
        <v>1</v>
      </c>
      <c r="E9" s="2">
        <v>1.296</v>
      </c>
      <c r="F9" s="2">
        <v>2</v>
      </c>
      <c r="H9" s="2">
        <v>49</v>
      </c>
      <c r="I9" s="2">
        <v>109</v>
      </c>
      <c r="J9" s="2">
        <v>4</v>
      </c>
      <c r="K9" s="2">
        <v>1</v>
      </c>
      <c r="L9" s="2">
        <v>1.7529999999999999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49</v>
      </c>
      <c r="B10" s="2">
        <v>9</v>
      </c>
      <c r="C10" s="2">
        <v>3</v>
      </c>
      <c r="D10" s="2">
        <v>1</v>
      </c>
      <c r="E10" s="2">
        <v>0.72299999999999998</v>
      </c>
      <c r="F10" s="2">
        <v>1</v>
      </c>
      <c r="H10" s="2">
        <v>49</v>
      </c>
      <c r="I10" s="2">
        <v>110</v>
      </c>
      <c r="J10" s="2">
        <v>3</v>
      </c>
      <c r="K10" s="2">
        <v>0</v>
      </c>
      <c r="L10" s="2">
        <v>0.98799999999999999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49</v>
      </c>
      <c r="B11" s="2">
        <v>10</v>
      </c>
      <c r="C11" s="2">
        <v>1</v>
      </c>
      <c r="D11" s="2">
        <v>1</v>
      </c>
      <c r="E11" s="2">
        <v>0.95699999999999996</v>
      </c>
      <c r="F11" s="2">
        <v>1</v>
      </c>
      <c r="H11" s="2">
        <v>49</v>
      </c>
      <c r="I11" s="2">
        <v>111</v>
      </c>
      <c r="J11" s="2">
        <v>2</v>
      </c>
      <c r="K11" s="2">
        <v>0</v>
      </c>
      <c r="L11" s="2">
        <v>0.91300000000000003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49</v>
      </c>
      <c r="B12" s="2">
        <v>11</v>
      </c>
      <c r="C12" s="2">
        <v>3</v>
      </c>
      <c r="D12" s="2">
        <v>0</v>
      </c>
      <c r="E12" s="2">
        <v>1.5980000000000001</v>
      </c>
      <c r="F12" s="2">
        <v>2</v>
      </c>
      <c r="H12" s="2">
        <v>49</v>
      </c>
      <c r="I12" s="2">
        <v>112</v>
      </c>
      <c r="J12" s="2">
        <v>4</v>
      </c>
      <c r="K12" s="2">
        <v>0</v>
      </c>
      <c r="L12" s="2">
        <v>0.46400000000000002</v>
      </c>
      <c r="M12" s="2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49</v>
      </c>
      <c r="B13" s="2">
        <v>12</v>
      </c>
      <c r="C13" s="2">
        <v>2</v>
      </c>
      <c r="D13" s="2">
        <v>0</v>
      </c>
      <c r="E13" s="2">
        <v>1.4550000000000001</v>
      </c>
      <c r="F13" s="2">
        <v>1</v>
      </c>
      <c r="H13" s="2">
        <v>49</v>
      </c>
      <c r="I13" s="2">
        <v>113</v>
      </c>
      <c r="J13" s="2">
        <v>6</v>
      </c>
      <c r="K13" s="2">
        <v>1</v>
      </c>
      <c r="L13" s="2">
        <v>0.81799999999999995</v>
      </c>
      <c r="M13" s="2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49</v>
      </c>
      <c r="B14" s="2">
        <v>13</v>
      </c>
      <c r="C14" s="2">
        <v>5</v>
      </c>
      <c r="D14" s="2">
        <v>1</v>
      </c>
      <c r="E14" s="2">
        <v>1.653</v>
      </c>
      <c r="F14" s="2">
        <v>1</v>
      </c>
      <c r="H14" s="2">
        <v>49</v>
      </c>
      <c r="I14" s="2">
        <v>114</v>
      </c>
      <c r="J14" s="2">
        <v>7</v>
      </c>
      <c r="K14" s="2">
        <v>0</v>
      </c>
      <c r="L14" s="2">
        <v>0.83899999999999997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49</v>
      </c>
      <c r="B15" s="2">
        <v>14</v>
      </c>
      <c r="C15" s="2">
        <v>3</v>
      </c>
      <c r="D15" s="2">
        <v>0</v>
      </c>
      <c r="E15" s="2">
        <v>0.60399999999999998</v>
      </c>
      <c r="F15" s="2">
        <v>2</v>
      </c>
      <c r="H15" s="2">
        <v>49</v>
      </c>
      <c r="I15" s="2">
        <v>115</v>
      </c>
      <c r="J15" s="2">
        <v>5</v>
      </c>
      <c r="K15" s="2">
        <v>1</v>
      </c>
      <c r="L15" s="2">
        <v>0.81699999999999995</v>
      </c>
      <c r="M15" s="2">
        <v>1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49</v>
      </c>
      <c r="B16" s="2">
        <v>15</v>
      </c>
      <c r="C16" s="2">
        <v>6</v>
      </c>
      <c r="D16" s="2">
        <v>1</v>
      </c>
      <c r="E16" s="2">
        <v>1.966</v>
      </c>
      <c r="F16" s="2">
        <v>1</v>
      </c>
      <c r="H16" s="2">
        <v>49</v>
      </c>
      <c r="I16" s="2">
        <v>116</v>
      </c>
      <c r="J16" s="2">
        <v>3</v>
      </c>
      <c r="K16" s="2">
        <v>1</v>
      </c>
      <c r="L16" s="2">
        <v>0.70199999999999996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49</v>
      </c>
      <c r="B17" s="2">
        <v>16</v>
      </c>
      <c r="C17" s="2">
        <v>5</v>
      </c>
      <c r="D17" s="2">
        <v>1</v>
      </c>
      <c r="E17" s="2">
        <v>0.80500000000000005</v>
      </c>
      <c r="F17" s="2">
        <v>1</v>
      </c>
      <c r="H17" s="2">
        <v>49</v>
      </c>
      <c r="I17" s="2">
        <v>117</v>
      </c>
      <c r="J17" s="2">
        <v>1</v>
      </c>
      <c r="K17" s="2">
        <v>1</v>
      </c>
      <c r="L17" s="2">
        <v>0.72399999999999998</v>
      </c>
      <c r="M17" s="2">
        <v>2</v>
      </c>
      <c r="N17" s="3">
        <v>1</v>
      </c>
      <c r="O17" s="3">
        <f t="shared" ref="O17:O22" si="0">(O6*COUNTIF($J$1:$J$101,O$16) - COUNTIFS($J$1:$J$101,O$16,$K$1:$K$101,"=0"))^2</f>
        <v>9.0000000000000024E-2</v>
      </c>
      <c r="P17" s="3">
        <f t="shared" ref="P17:P22" si="1">(P6*COUNTIF($J$1:$J$101,P$16) - COUNTIFS($J$1:$J$101,P$16,$K$1:$K$101,"=1"))^2</f>
        <v>7.2899999999999965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2.8899999999999975</v>
      </c>
      <c r="S17" s="3">
        <f t="shared" ref="S17:T17" si="4">(S6*COUNTIF($J$1:$J$101,S$16) - COUNTIFS($J$1:$J$101,S$16,$K$1:$K$101,"=0"))^2</f>
        <v>0.48999999999999994</v>
      </c>
      <c r="T17" s="3">
        <f t="shared" si="4"/>
        <v>0.42249999999999988</v>
      </c>
      <c r="U17" s="3">
        <f t="shared" ref="U17:V17" si="5">(U6*COUNTIF($J$1:$J$101,U$16) - COUNTIFS($J$1:$J$101,U$16,$K$1:$K$101,"=1"))^2</f>
        <v>7.2899999999999965</v>
      </c>
      <c r="V17" s="3">
        <f t="shared" si="5"/>
        <v>0.42249999999999932</v>
      </c>
      <c r="W17" s="4"/>
      <c r="X17" s="4"/>
      <c r="Y17" s="4"/>
    </row>
    <row r="18" spans="1:25" ht="14.25" customHeight="1">
      <c r="A18" s="2">
        <v>49</v>
      </c>
      <c r="B18" s="2">
        <v>17</v>
      </c>
      <c r="C18" s="2">
        <v>2</v>
      </c>
      <c r="D18" s="2">
        <v>0</v>
      </c>
      <c r="E18" s="2">
        <v>0.73399999999999999</v>
      </c>
      <c r="F18" s="2">
        <v>1</v>
      </c>
      <c r="H18" s="2">
        <v>49</v>
      </c>
      <c r="I18" s="2">
        <v>118</v>
      </c>
      <c r="J18" s="2">
        <v>6</v>
      </c>
      <c r="K18" s="2">
        <v>1</v>
      </c>
      <c r="L18" s="2">
        <v>0.60399999999999998</v>
      </c>
      <c r="M18" s="2">
        <v>2</v>
      </c>
      <c r="N18" s="3">
        <v>2</v>
      </c>
      <c r="O18" s="3">
        <f t="shared" si="0"/>
        <v>9.0000000000000024E-2</v>
      </c>
      <c r="P18" s="3">
        <f t="shared" si="1"/>
        <v>7.2900000000000009</v>
      </c>
      <c r="Q18" s="6">
        <f t="shared" si="2"/>
        <v>25</v>
      </c>
      <c r="R18" s="3">
        <f t="shared" si="3"/>
        <v>2.8899999999999975</v>
      </c>
      <c r="S18" s="6">
        <f t="shared" ref="S18:T18" si="6">(S7*COUNTIF($J$1:$J$101,S$16) - COUNTIFS($J$1:$J$101,S$16,$K$1:$K$101,"=0"))^2</f>
        <v>0.48999999999999994</v>
      </c>
      <c r="T18" s="6">
        <f t="shared" si="6"/>
        <v>0.42249999999999988</v>
      </c>
      <c r="U18" s="6">
        <f t="shared" ref="U18:V18" si="7">(U7*COUNTIF($J$1:$J$101,U$16) - COUNTIFS($J$1:$J$101,U$16,$K$1:$K$101,"=1"))^2</f>
        <v>7.2899999999999965</v>
      </c>
      <c r="V18" s="6">
        <f t="shared" si="7"/>
        <v>0.42249999999999932</v>
      </c>
      <c r="W18" s="4"/>
      <c r="X18" s="4"/>
      <c r="Y18" s="4"/>
    </row>
    <row r="19" spans="1:25" ht="14.25" customHeight="1">
      <c r="A19" s="2">
        <v>49</v>
      </c>
      <c r="B19" s="2">
        <v>18</v>
      </c>
      <c r="C19" s="2">
        <v>8</v>
      </c>
      <c r="D19" s="2">
        <v>1</v>
      </c>
      <c r="E19" s="2">
        <v>0.76200000000000001</v>
      </c>
      <c r="F19" s="2">
        <v>2</v>
      </c>
      <c r="H19" s="2">
        <v>49</v>
      </c>
      <c r="I19" s="2">
        <v>119</v>
      </c>
      <c r="J19" s="2">
        <v>1</v>
      </c>
      <c r="K19" s="2">
        <v>1</v>
      </c>
      <c r="L19" s="2">
        <v>0.56899999999999995</v>
      </c>
      <c r="M19" s="2">
        <v>1</v>
      </c>
      <c r="N19" s="3">
        <v>3</v>
      </c>
      <c r="O19" s="3">
        <f t="shared" si="0"/>
        <v>9.0000000000000024E-2</v>
      </c>
      <c r="P19" s="3">
        <f t="shared" si="1"/>
        <v>7.2899999999999965</v>
      </c>
      <c r="Q19" s="3">
        <f t="shared" si="2"/>
        <v>0.15999999999999992</v>
      </c>
      <c r="R19" s="3">
        <f t="shared" si="3"/>
        <v>2.8899999999999975</v>
      </c>
      <c r="S19" s="6">
        <f t="shared" ref="S19:T19" si="8">(S8*COUNTIF($J$1:$J$101,S$16) - COUNTIFS($J$1:$J$101,S$16,$K$1:$K$101,"=0"))^2</f>
        <v>0.48999999999999994</v>
      </c>
      <c r="T19" s="6">
        <f t="shared" si="8"/>
        <v>31.922499999999992</v>
      </c>
      <c r="U19" s="3">
        <f t="shared" ref="U19:V19" si="9">(U8*COUNTIF($J$1:$J$101,U$16) - COUNTIFS($J$1:$J$101,U$16,$K$1:$K$101,"=1"))^2</f>
        <v>7.2900000000000009</v>
      </c>
      <c r="V19" s="6">
        <f t="shared" si="9"/>
        <v>0.42249999999999932</v>
      </c>
      <c r="W19" s="4"/>
      <c r="X19" s="4"/>
      <c r="Y19" s="4"/>
    </row>
    <row r="20" spans="1:25" ht="14.25" customHeight="1">
      <c r="A20" s="2">
        <v>49</v>
      </c>
      <c r="B20" s="2">
        <v>19</v>
      </c>
      <c r="C20" s="2">
        <v>1</v>
      </c>
      <c r="D20" s="2">
        <v>1</v>
      </c>
      <c r="E20" s="2">
        <v>0.75</v>
      </c>
      <c r="F20" s="2">
        <v>1</v>
      </c>
      <c r="H20" s="2">
        <v>49</v>
      </c>
      <c r="I20" s="2">
        <v>120</v>
      </c>
      <c r="J20" s="2">
        <v>7</v>
      </c>
      <c r="K20" s="2">
        <v>0</v>
      </c>
      <c r="L20" s="2">
        <v>0.68799999999999994</v>
      </c>
      <c r="M20" s="2">
        <v>2</v>
      </c>
      <c r="N20" s="3">
        <v>4</v>
      </c>
      <c r="O20" s="3">
        <f t="shared" si="0"/>
        <v>9</v>
      </c>
      <c r="P20" s="3">
        <f t="shared" si="1"/>
        <v>0</v>
      </c>
      <c r="Q20" s="3">
        <f t="shared" si="2"/>
        <v>4</v>
      </c>
      <c r="R20" s="3">
        <f t="shared" si="3"/>
        <v>1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0.42249999999999988</v>
      </c>
      <c r="U20" s="6">
        <f t="shared" ref="U20:V20" si="11">(U9*COUNTIF($J$1:$J$101,U$16) - COUNTIFS($J$1:$J$101,U$16,$K$1:$K$101,"=1"))^2</f>
        <v>7.2899999999999965</v>
      </c>
      <c r="V20" s="6">
        <f t="shared" si="11"/>
        <v>0.42249999999999932</v>
      </c>
      <c r="W20" s="4"/>
      <c r="X20" s="4"/>
      <c r="Y20" s="4"/>
    </row>
    <row r="21" spans="1:25" ht="14.25" customHeight="1">
      <c r="A21" s="2">
        <v>49</v>
      </c>
      <c r="B21" s="2">
        <v>20</v>
      </c>
      <c r="C21" s="2">
        <v>6</v>
      </c>
      <c r="D21" s="2">
        <v>1</v>
      </c>
      <c r="E21" s="2">
        <v>1.1120000000000001</v>
      </c>
      <c r="F21" s="2">
        <v>1</v>
      </c>
      <c r="H21" s="2">
        <v>49</v>
      </c>
      <c r="I21" s="2">
        <v>121</v>
      </c>
      <c r="J21" s="2">
        <v>6</v>
      </c>
      <c r="K21" s="2">
        <v>1</v>
      </c>
      <c r="L21" s="2">
        <v>0.67100000000000004</v>
      </c>
      <c r="M21" s="2">
        <v>2</v>
      </c>
      <c r="N21" s="3">
        <v>5</v>
      </c>
      <c r="O21" s="3">
        <f t="shared" si="0"/>
        <v>9.0000000000000024E-2</v>
      </c>
      <c r="P21" s="3">
        <f t="shared" si="1"/>
        <v>7.2899999999999965</v>
      </c>
      <c r="Q21" s="3">
        <f t="shared" si="2"/>
        <v>0.15999999999999992</v>
      </c>
      <c r="R21" s="3">
        <f t="shared" si="3"/>
        <v>2.8899999999999975</v>
      </c>
      <c r="S21" s="6">
        <f t="shared" ref="S21:T21" si="12">(S10*COUNTIF($J$1:$J$101,S$16) - COUNTIFS($J$1:$J$101,S$16,$K$1:$K$101,"=0"))^2</f>
        <v>4</v>
      </c>
      <c r="T21" s="6">
        <f t="shared" si="12"/>
        <v>6.25</v>
      </c>
      <c r="U21" s="6">
        <f t="shared" ref="U21:V21" si="13">(U10*COUNTIF($J$1:$J$101,U$16) - COUNTIFS($J$1:$J$101,U$16,$K$1:$K$101,"=1"))^2</f>
        <v>0</v>
      </c>
      <c r="V21" s="6">
        <f t="shared" si="13"/>
        <v>6.25</v>
      </c>
      <c r="W21" s="4"/>
      <c r="X21" s="4"/>
      <c r="Y21" s="4"/>
    </row>
    <row r="22" spans="1:25" ht="14.25" customHeight="1">
      <c r="A22" s="2">
        <v>49</v>
      </c>
      <c r="B22" s="2">
        <v>21</v>
      </c>
      <c r="C22" s="2">
        <v>8</v>
      </c>
      <c r="D22" s="2">
        <v>1</v>
      </c>
      <c r="E22" s="2">
        <v>0.54900000000000004</v>
      </c>
      <c r="F22" s="2">
        <v>2</v>
      </c>
      <c r="H22" s="2">
        <v>49</v>
      </c>
      <c r="I22" s="2">
        <v>122</v>
      </c>
      <c r="J22" s="2">
        <v>7</v>
      </c>
      <c r="K22" s="2">
        <v>0</v>
      </c>
      <c r="L22" s="2">
        <v>0.60399999999999998</v>
      </c>
      <c r="M22" s="2">
        <v>1</v>
      </c>
      <c r="N22" s="3">
        <v>6</v>
      </c>
      <c r="O22" s="3">
        <f t="shared" si="0"/>
        <v>9</v>
      </c>
      <c r="P22" s="3">
        <f t="shared" si="1"/>
        <v>0</v>
      </c>
      <c r="Q22" s="3">
        <f t="shared" si="2"/>
        <v>4</v>
      </c>
      <c r="R22" s="3">
        <f t="shared" si="3"/>
        <v>1</v>
      </c>
      <c r="S22" s="6">
        <f t="shared" ref="S22:T22" si="14">(S11*COUNTIF($J$1:$J$101,S$16) - COUNTIFS($J$1:$J$101,S$16,$K$1:$K$101,"=0"))^2</f>
        <v>4</v>
      </c>
      <c r="T22" s="6">
        <f t="shared" si="14"/>
        <v>6.25</v>
      </c>
      <c r="U22" s="6">
        <f t="shared" ref="U22:V22" si="15">(U11*COUNTIF($J$1:$J$101,U$16) - COUNTIFS($J$1:$J$101,U$16,$K$1:$K$101,"=1"))^2</f>
        <v>0</v>
      </c>
      <c r="V22" s="6">
        <f t="shared" si="15"/>
        <v>6.25</v>
      </c>
      <c r="W22" s="4"/>
      <c r="X22" s="4"/>
      <c r="Y22" s="4"/>
    </row>
    <row r="23" spans="1:25" ht="14.25" customHeight="1">
      <c r="A23" s="2">
        <v>49</v>
      </c>
      <c r="B23" s="2">
        <v>22</v>
      </c>
      <c r="C23" s="2">
        <v>4</v>
      </c>
      <c r="D23" s="2">
        <v>1</v>
      </c>
      <c r="E23" s="2">
        <v>0.72399999999999998</v>
      </c>
      <c r="F23" s="2">
        <v>2</v>
      </c>
      <c r="H23" s="2">
        <v>49</v>
      </c>
      <c r="I23" s="2">
        <v>123</v>
      </c>
      <c r="J23" s="2">
        <v>5</v>
      </c>
      <c r="K23" s="2">
        <v>1</v>
      </c>
      <c r="L23" s="2">
        <v>1.3959999999999999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49</v>
      </c>
      <c r="B24" s="2">
        <v>23</v>
      </c>
      <c r="C24" s="2">
        <v>2</v>
      </c>
      <c r="D24" s="2">
        <v>0</v>
      </c>
      <c r="E24" s="2">
        <v>0.84</v>
      </c>
      <c r="F24" s="2">
        <v>1</v>
      </c>
      <c r="H24" s="2">
        <v>49</v>
      </c>
      <c r="I24" s="2">
        <v>124</v>
      </c>
      <c r="J24" s="2">
        <v>2</v>
      </c>
      <c r="K24" s="2">
        <v>1</v>
      </c>
      <c r="L24" s="2">
        <v>0.71699999999999997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49</v>
      </c>
      <c r="B25" s="2">
        <v>24</v>
      </c>
      <c r="C25" s="2">
        <v>8</v>
      </c>
      <c r="D25" s="2">
        <v>1</v>
      </c>
      <c r="E25" s="2">
        <v>0.64800000000000002</v>
      </c>
      <c r="F25" s="2">
        <v>2</v>
      </c>
      <c r="H25" s="2">
        <v>49</v>
      </c>
      <c r="I25" s="2">
        <v>125</v>
      </c>
      <c r="J25" s="2">
        <v>6</v>
      </c>
      <c r="K25" s="2">
        <v>1</v>
      </c>
      <c r="L25" s="2">
        <v>0.434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49</v>
      </c>
      <c r="B26" s="2">
        <v>25</v>
      </c>
      <c r="C26" s="2">
        <v>5</v>
      </c>
      <c r="D26" s="2">
        <v>1</v>
      </c>
      <c r="E26" s="2">
        <v>0.79600000000000004</v>
      </c>
      <c r="F26" s="2">
        <v>1</v>
      </c>
      <c r="H26" s="2">
        <v>49</v>
      </c>
      <c r="I26" s="2">
        <v>126</v>
      </c>
      <c r="J26" s="2">
        <v>3</v>
      </c>
      <c r="K26" s="2">
        <v>1</v>
      </c>
      <c r="L26" s="2">
        <v>0.56399999999999995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36</v>
      </c>
      <c r="S26" s="3">
        <f t="shared" si="16"/>
        <v>36</v>
      </c>
      <c r="T26" s="3">
        <f t="shared" si="16"/>
        <v>49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49</v>
      </c>
      <c r="B27" s="2">
        <v>26</v>
      </c>
      <c r="C27" s="2">
        <v>6</v>
      </c>
      <c r="D27" s="2">
        <v>1</v>
      </c>
      <c r="E27" s="2">
        <v>1.2709999999999999</v>
      </c>
      <c r="F27" s="2">
        <v>1</v>
      </c>
      <c r="H27" s="2">
        <v>49</v>
      </c>
      <c r="I27" s="2">
        <v>127</v>
      </c>
      <c r="J27" s="2">
        <v>2</v>
      </c>
      <c r="K27" s="2">
        <v>0</v>
      </c>
      <c r="L27" s="2">
        <v>0.78900000000000003</v>
      </c>
      <c r="M27" s="2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49</v>
      </c>
      <c r="B28" s="2">
        <v>27</v>
      </c>
      <c r="C28" s="2">
        <v>2</v>
      </c>
      <c r="D28" s="2">
        <v>0</v>
      </c>
      <c r="E28" s="2">
        <v>0.69</v>
      </c>
      <c r="F28" s="2">
        <v>1</v>
      </c>
      <c r="H28" s="2">
        <v>49</v>
      </c>
      <c r="I28" s="2">
        <v>128</v>
      </c>
      <c r="J28" s="2">
        <v>3</v>
      </c>
      <c r="K28" s="2">
        <v>1</v>
      </c>
      <c r="L28" s="2">
        <v>1.03</v>
      </c>
      <c r="M28" s="2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49</v>
      </c>
      <c r="B29" s="2">
        <v>28</v>
      </c>
      <c r="C29" s="2">
        <v>1</v>
      </c>
      <c r="D29" s="2">
        <v>0</v>
      </c>
      <c r="E29" s="2">
        <v>1.6539999999999999</v>
      </c>
      <c r="F29" s="2">
        <v>2</v>
      </c>
      <c r="H29" s="2">
        <v>49</v>
      </c>
      <c r="I29" s="2">
        <v>129</v>
      </c>
      <c r="J29" s="2">
        <v>8</v>
      </c>
      <c r="K29" s="2">
        <v>1</v>
      </c>
      <c r="L29" s="2">
        <v>0.61199999999999999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49</v>
      </c>
      <c r="B30" s="2">
        <v>29</v>
      </c>
      <c r="C30" s="2">
        <v>8</v>
      </c>
      <c r="D30" s="2">
        <v>1</v>
      </c>
      <c r="E30" s="2">
        <v>0.78500000000000003</v>
      </c>
      <c r="F30" s="2">
        <v>2</v>
      </c>
      <c r="H30" s="2">
        <v>49</v>
      </c>
      <c r="I30" s="2">
        <v>130</v>
      </c>
      <c r="J30" s="2">
        <v>5</v>
      </c>
      <c r="K30" s="2">
        <v>1</v>
      </c>
      <c r="L30" s="2">
        <v>0.54200000000000004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49</v>
      </c>
      <c r="B31" s="2">
        <v>30</v>
      </c>
      <c r="C31" s="2">
        <v>4</v>
      </c>
      <c r="D31" s="2">
        <v>1</v>
      </c>
      <c r="E31" s="2">
        <v>0.64800000000000002</v>
      </c>
      <c r="F31" s="2">
        <v>2</v>
      </c>
      <c r="H31" s="2">
        <v>49</v>
      </c>
      <c r="I31" s="2">
        <v>131</v>
      </c>
      <c r="J31" s="2">
        <v>6</v>
      </c>
      <c r="K31" s="2">
        <v>1</v>
      </c>
      <c r="L31" s="2">
        <v>0.64100000000000001</v>
      </c>
      <c r="M31" s="2">
        <v>1</v>
      </c>
      <c r="N31" s="3">
        <v>1</v>
      </c>
      <c r="O31" s="3">
        <f t="shared" ref="O31:O36" si="17">SUM(O17:V17)/SUM(O$26:V$26)</f>
        <v>6.0684713375796145E-2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49</v>
      </c>
      <c r="B32" s="2">
        <v>31</v>
      </c>
      <c r="C32" s="2">
        <v>6</v>
      </c>
      <c r="D32" s="2">
        <v>1</v>
      </c>
      <c r="E32" s="2">
        <v>0.63200000000000001</v>
      </c>
      <c r="F32" s="2">
        <v>1</v>
      </c>
      <c r="H32" s="2">
        <v>49</v>
      </c>
      <c r="I32" s="2">
        <v>132</v>
      </c>
      <c r="J32" s="2">
        <v>2</v>
      </c>
      <c r="K32" s="2">
        <v>0</v>
      </c>
      <c r="L32" s="2">
        <v>0.59899999999999998</v>
      </c>
      <c r="M32" s="2">
        <v>1</v>
      </c>
      <c r="N32" s="3">
        <v>2</v>
      </c>
      <c r="O32" s="3">
        <f t="shared" si="17"/>
        <v>0.13979299363057326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49</v>
      </c>
      <c r="B33" s="2">
        <v>32</v>
      </c>
      <c r="C33" s="2">
        <v>2</v>
      </c>
      <c r="D33" s="2">
        <v>1</v>
      </c>
      <c r="E33" s="2">
        <v>1.1020000000000001</v>
      </c>
      <c r="F33" s="2">
        <v>2</v>
      </c>
      <c r="H33" s="2">
        <v>49</v>
      </c>
      <c r="I33" s="2">
        <v>133</v>
      </c>
      <c r="J33" s="2">
        <v>8</v>
      </c>
      <c r="K33" s="2">
        <v>1</v>
      </c>
      <c r="L33" s="2">
        <v>0.55200000000000005</v>
      </c>
      <c r="M33" s="2">
        <v>2</v>
      </c>
      <c r="N33" s="3">
        <v>3</v>
      </c>
      <c r="O33" s="3">
        <f t="shared" si="17"/>
        <v>0.16100318471337574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49</v>
      </c>
      <c r="B34" s="2">
        <v>33</v>
      </c>
      <c r="C34" s="2">
        <v>8</v>
      </c>
      <c r="D34" s="2">
        <v>1</v>
      </c>
      <c r="E34" s="2">
        <v>0.629</v>
      </c>
      <c r="F34" s="2">
        <v>2</v>
      </c>
      <c r="H34" s="2">
        <v>49</v>
      </c>
      <c r="I34" s="2">
        <v>134</v>
      </c>
      <c r="J34" s="2">
        <v>1</v>
      </c>
      <c r="K34" s="2">
        <v>1</v>
      </c>
      <c r="L34" s="2">
        <v>0.55500000000000005</v>
      </c>
      <c r="M34" s="2">
        <v>2</v>
      </c>
      <c r="N34" s="3">
        <v>4</v>
      </c>
      <c r="O34" s="3">
        <f t="shared" si="17"/>
        <v>7.2054140127388519E-2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49</v>
      </c>
      <c r="B35" s="2">
        <v>34</v>
      </c>
      <c r="C35" s="2">
        <v>7</v>
      </c>
      <c r="D35" s="2">
        <v>1</v>
      </c>
      <c r="E35" s="2">
        <v>0.67400000000000004</v>
      </c>
      <c r="F35" s="2">
        <v>2</v>
      </c>
      <c r="H35" s="2">
        <v>49</v>
      </c>
      <c r="I35" s="2">
        <v>135</v>
      </c>
      <c r="J35" s="2">
        <v>5</v>
      </c>
      <c r="K35" s="2">
        <v>0</v>
      </c>
      <c r="L35" s="2">
        <v>0.628</v>
      </c>
      <c r="M35" s="2">
        <v>1</v>
      </c>
      <c r="N35" s="3">
        <v>5</v>
      </c>
      <c r="O35" s="3">
        <f t="shared" si="17"/>
        <v>8.5764331210191058E-2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49</v>
      </c>
      <c r="B36" s="2">
        <v>35</v>
      </c>
      <c r="C36" s="2">
        <v>2</v>
      </c>
      <c r="D36" s="2">
        <v>0</v>
      </c>
      <c r="E36" s="2">
        <v>0.81899999999999995</v>
      </c>
      <c r="F36" s="2">
        <v>1</v>
      </c>
      <c r="H36" s="2">
        <v>49</v>
      </c>
      <c r="I36" s="2">
        <v>136</v>
      </c>
      <c r="J36" s="2">
        <v>7</v>
      </c>
      <c r="K36" s="2">
        <v>1</v>
      </c>
      <c r="L36" s="2">
        <v>0.59699999999999998</v>
      </c>
      <c r="M36" s="2">
        <v>2</v>
      </c>
      <c r="N36" s="3">
        <v>6</v>
      </c>
      <c r="O36" s="3">
        <f t="shared" si="17"/>
        <v>9.7133757961783446E-2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49</v>
      </c>
      <c r="B37" s="2">
        <v>36</v>
      </c>
      <c r="C37" s="2">
        <v>7</v>
      </c>
      <c r="D37" s="2">
        <v>1</v>
      </c>
      <c r="E37" s="2">
        <v>0.66900000000000004</v>
      </c>
      <c r="F37" s="2">
        <v>2</v>
      </c>
      <c r="H37" s="2">
        <v>49</v>
      </c>
      <c r="I37" s="2">
        <v>137</v>
      </c>
      <c r="J37" s="2">
        <v>4</v>
      </c>
      <c r="K37" s="2">
        <v>1</v>
      </c>
      <c r="L37" s="2">
        <v>0.622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49</v>
      </c>
      <c r="B38" s="2">
        <v>37</v>
      </c>
      <c r="C38" s="2">
        <v>6</v>
      </c>
      <c r="D38" s="2">
        <v>0</v>
      </c>
      <c r="E38" s="2">
        <v>0.876</v>
      </c>
      <c r="F38" s="2">
        <v>2</v>
      </c>
      <c r="H38" s="2">
        <v>49</v>
      </c>
      <c r="I38" s="2">
        <v>138</v>
      </c>
      <c r="J38" s="2">
        <v>2</v>
      </c>
      <c r="K38" s="2">
        <v>1</v>
      </c>
      <c r="L38" s="2">
        <v>0.58299999999999996</v>
      </c>
      <c r="M38" s="2">
        <v>2</v>
      </c>
    </row>
    <row r="39" spans="1:25" ht="14.25" customHeight="1">
      <c r="A39" s="2">
        <v>49</v>
      </c>
      <c r="B39" s="2">
        <v>38</v>
      </c>
      <c r="C39" s="2">
        <v>4</v>
      </c>
      <c r="D39" s="2">
        <v>1</v>
      </c>
      <c r="E39" s="2">
        <v>0.8</v>
      </c>
      <c r="F39" s="2">
        <v>2</v>
      </c>
      <c r="H39" s="2">
        <v>49</v>
      </c>
      <c r="I39" s="2">
        <v>139</v>
      </c>
      <c r="J39" s="2">
        <v>8</v>
      </c>
      <c r="K39" s="2">
        <v>1</v>
      </c>
      <c r="L39" s="2">
        <v>0.59</v>
      </c>
      <c r="M39" s="2">
        <v>1</v>
      </c>
    </row>
    <row r="40" spans="1:25" ht="14.25" customHeight="1">
      <c r="A40" s="2">
        <v>49</v>
      </c>
      <c r="B40" s="2">
        <v>39</v>
      </c>
      <c r="C40" s="2">
        <v>1</v>
      </c>
      <c r="D40" s="2">
        <v>1</v>
      </c>
      <c r="E40" s="2">
        <v>0.85099999999999998</v>
      </c>
      <c r="F40" s="2">
        <v>1</v>
      </c>
      <c r="H40" s="2">
        <v>49</v>
      </c>
      <c r="I40" s="2">
        <v>140</v>
      </c>
      <c r="J40" s="2">
        <v>6</v>
      </c>
      <c r="K40" s="2">
        <v>1</v>
      </c>
      <c r="L40" s="2">
        <v>0.55400000000000005</v>
      </c>
      <c r="M40" s="2">
        <v>2</v>
      </c>
    </row>
    <row r="41" spans="1:25" ht="14.25" customHeight="1">
      <c r="A41" s="2">
        <v>49</v>
      </c>
      <c r="B41" s="2">
        <v>40</v>
      </c>
      <c r="C41" s="2">
        <v>4</v>
      </c>
      <c r="D41" s="2">
        <v>1</v>
      </c>
      <c r="E41" s="2">
        <v>0.60299999999999998</v>
      </c>
      <c r="F41" s="2">
        <v>2</v>
      </c>
      <c r="H41" s="2">
        <v>49</v>
      </c>
      <c r="I41" s="2">
        <v>141</v>
      </c>
      <c r="J41" s="2">
        <v>8</v>
      </c>
      <c r="K41" s="2">
        <v>1</v>
      </c>
      <c r="L41" s="2">
        <v>0.81100000000000005</v>
      </c>
      <c r="M41" s="2">
        <v>2</v>
      </c>
    </row>
    <row r="42" spans="1:25" ht="14.25" customHeight="1">
      <c r="A42" s="2">
        <v>49</v>
      </c>
      <c r="B42" s="2">
        <v>41</v>
      </c>
      <c r="C42" s="2">
        <v>7</v>
      </c>
      <c r="D42" s="2">
        <v>1</v>
      </c>
      <c r="E42" s="2">
        <v>0.57099999999999995</v>
      </c>
      <c r="F42" s="2">
        <v>2</v>
      </c>
      <c r="H42" s="2">
        <v>49</v>
      </c>
      <c r="I42" s="2">
        <v>142</v>
      </c>
      <c r="J42" s="2">
        <v>1</v>
      </c>
      <c r="K42" s="2">
        <v>1</v>
      </c>
      <c r="L42" s="2">
        <v>0.64100000000000001</v>
      </c>
      <c r="M42" s="2">
        <v>1</v>
      </c>
    </row>
    <row r="43" spans="1:25" ht="14.25" customHeight="1">
      <c r="A43" s="2">
        <v>49</v>
      </c>
      <c r="B43" s="2">
        <v>42</v>
      </c>
      <c r="C43" s="2">
        <v>6</v>
      </c>
      <c r="D43" s="2">
        <v>1</v>
      </c>
      <c r="E43" s="2">
        <v>0.84799999999999998</v>
      </c>
      <c r="F43" s="2">
        <v>1</v>
      </c>
      <c r="H43" s="2">
        <v>49</v>
      </c>
      <c r="I43" s="2">
        <v>143</v>
      </c>
      <c r="J43" s="2">
        <v>7</v>
      </c>
      <c r="K43" s="2">
        <v>1</v>
      </c>
      <c r="L43" s="2">
        <v>0.49299999999999999</v>
      </c>
      <c r="M43" s="2">
        <v>1</v>
      </c>
    </row>
    <row r="44" spans="1:25" ht="14.25" customHeight="1">
      <c r="A44" s="2">
        <v>49</v>
      </c>
      <c r="B44" s="2">
        <v>43</v>
      </c>
      <c r="C44" s="2">
        <v>1</v>
      </c>
      <c r="D44" s="2">
        <v>0</v>
      </c>
      <c r="E44" s="2">
        <v>0.89200000000000002</v>
      </c>
      <c r="F44" s="2">
        <v>2</v>
      </c>
      <c r="H44" s="2">
        <v>49</v>
      </c>
      <c r="I44" s="2">
        <v>144</v>
      </c>
      <c r="J44" s="2">
        <v>6</v>
      </c>
      <c r="K44" s="2">
        <v>0</v>
      </c>
      <c r="L44" s="2">
        <v>0.82499999999999996</v>
      </c>
      <c r="M44" s="2">
        <v>2</v>
      </c>
    </row>
    <row r="45" spans="1:25" ht="14.25" customHeight="1">
      <c r="A45" s="2">
        <v>49</v>
      </c>
      <c r="B45" s="2">
        <v>44</v>
      </c>
      <c r="C45" s="2">
        <v>3</v>
      </c>
      <c r="D45" s="2">
        <v>1</v>
      </c>
      <c r="E45" s="2">
        <v>1.2709999999999999</v>
      </c>
      <c r="F45" s="2">
        <v>1</v>
      </c>
      <c r="H45" s="2">
        <v>49</v>
      </c>
      <c r="I45" s="2">
        <v>145</v>
      </c>
      <c r="J45" s="2">
        <v>4</v>
      </c>
      <c r="K45" s="2">
        <v>1</v>
      </c>
      <c r="L45" s="2">
        <v>1.0309999999999999</v>
      </c>
      <c r="M45" s="2">
        <v>2</v>
      </c>
    </row>
    <row r="46" spans="1:25" ht="14.25" customHeight="1">
      <c r="A46" s="2">
        <v>49</v>
      </c>
      <c r="B46" s="2">
        <v>45</v>
      </c>
      <c r="C46" s="2">
        <v>7</v>
      </c>
      <c r="D46" s="2">
        <v>1</v>
      </c>
      <c r="E46" s="2">
        <v>0.65900000000000003</v>
      </c>
      <c r="F46" s="2">
        <v>2</v>
      </c>
      <c r="H46" s="2">
        <v>49</v>
      </c>
      <c r="I46" s="2">
        <v>146</v>
      </c>
      <c r="J46" s="2">
        <v>1</v>
      </c>
      <c r="K46" s="2">
        <v>1</v>
      </c>
      <c r="L46" s="2">
        <v>1.294</v>
      </c>
      <c r="M46" s="2">
        <v>1</v>
      </c>
    </row>
    <row r="47" spans="1:25" ht="14.25" customHeight="1">
      <c r="A47" s="2">
        <v>49</v>
      </c>
      <c r="B47" s="2">
        <v>46</v>
      </c>
      <c r="C47" s="2">
        <v>3</v>
      </c>
      <c r="D47" s="2">
        <v>1</v>
      </c>
      <c r="E47" s="2">
        <v>0.57899999999999996</v>
      </c>
      <c r="F47" s="2">
        <v>1</v>
      </c>
      <c r="H47" s="2">
        <v>49</v>
      </c>
      <c r="I47" s="2">
        <v>147</v>
      </c>
      <c r="J47" s="2">
        <v>2</v>
      </c>
      <c r="K47" s="2">
        <v>1</v>
      </c>
      <c r="L47" s="2">
        <v>0.61</v>
      </c>
      <c r="M47" s="2">
        <v>2</v>
      </c>
    </row>
    <row r="48" spans="1:25" ht="14.25" customHeight="1">
      <c r="A48" s="2">
        <v>49</v>
      </c>
      <c r="B48" s="2">
        <v>47</v>
      </c>
      <c r="C48" s="2">
        <v>7</v>
      </c>
      <c r="D48" s="2">
        <v>1</v>
      </c>
      <c r="E48" s="2">
        <v>0.65400000000000003</v>
      </c>
      <c r="F48" s="2">
        <v>2</v>
      </c>
      <c r="H48" s="2">
        <v>49</v>
      </c>
      <c r="I48" s="2">
        <v>148</v>
      </c>
      <c r="J48" s="2">
        <v>4</v>
      </c>
      <c r="K48" s="2">
        <v>0</v>
      </c>
      <c r="L48" s="2">
        <v>0.70299999999999996</v>
      </c>
      <c r="M48" s="2">
        <v>1</v>
      </c>
    </row>
    <row r="49" spans="1:13" ht="14.25" customHeight="1">
      <c r="A49" s="2">
        <v>49</v>
      </c>
      <c r="B49" s="2">
        <v>48</v>
      </c>
      <c r="C49" s="2">
        <v>4</v>
      </c>
      <c r="D49" s="2">
        <v>1</v>
      </c>
      <c r="E49" s="2">
        <v>0.67600000000000005</v>
      </c>
      <c r="F49" s="2">
        <v>2</v>
      </c>
      <c r="H49" s="2">
        <v>49</v>
      </c>
      <c r="I49" s="2">
        <v>149</v>
      </c>
      <c r="J49" s="2">
        <v>3</v>
      </c>
      <c r="K49" s="2">
        <v>1</v>
      </c>
      <c r="L49" s="2">
        <v>0.81799999999999995</v>
      </c>
      <c r="M49" s="2">
        <v>1</v>
      </c>
    </row>
    <row r="50" spans="1:13" ht="14.25" customHeight="1">
      <c r="A50" s="2">
        <v>49</v>
      </c>
      <c r="B50" s="2">
        <v>49</v>
      </c>
      <c r="C50" s="2">
        <v>3</v>
      </c>
      <c r="D50" s="2">
        <v>0</v>
      </c>
      <c r="E50" s="2">
        <v>0.57399999999999995</v>
      </c>
      <c r="F50" s="2">
        <v>2</v>
      </c>
      <c r="H50" s="2">
        <v>49</v>
      </c>
      <c r="I50" s="2">
        <v>150</v>
      </c>
      <c r="J50" s="2">
        <v>8</v>
      </c>
      <c r="K50" s="2">
        <v>1</v>
      </c>
      <c r="L50" s="2">
        <v>0.70799999999999996</v>
      </c>
      <c r="M50" s="2">
        <v>1</v>
      </c>
    </row>
    <row r="51" spans="1:13" ht="14.25" customHeight="1">
      <c r="A51" s="2">
        <v>49</v>
      </c>
      <c r="B51" s="2">
        <v>50</v>
      </c>
      <c r="C51" s="2">
        <v>5</v>
      </c>
      <c r="D51" s="2">
        <v>1</v>
      </c>
      <c r="E51" s="2">
        <v>0.67600000000000005</v>
      </c>
      <c r="F51" s="2">
        <v>1</v>
      </c>
    </row>
    <row r="52" spans="1:13" ht="14.25" customHeight="1">
      <c r="A52" s="2">
        <v>49</v>
      </c>
      <c r="B52" s="2">
        <v>51</v>
      </c>
      <c r="C52" s="2">
        <v>1</v>
      </c>
      <c r="D52" s="2">
        <v>1</v>
      </c>
      <c r="E52" s="2">
        <v>1.081</v>
      </c>
      <c r="F52" s="2">
        <v>1</v>
      </c>
    </row>
    <row r="53" spans="1:13" ht="14.25" customHeight="1">
      <c r="A53" s="2">
        <v>49</v>
      </c>
      <c r="B53" s="2">
        <v>52</v>
      </c>
      <c r="C53" s="2">
        <v>2</v>
      </c>
      <c r="D53" s="2">
        <v>1</v>
      </c>
      <c r="E53" s="2">
        <v>1.248</v>
      </c>
      <c r="F53" s="2">
        <v>1</v>
      </c>
    </row>
    <row r="54" spans="1:13" ht="14.25" customHeight="1">
      <c r="A54" s="2">
        <v>49</v>
      </c>
      <c r="B54" s="2">
        <v>53</v>
      </c>
      <c r="C54" s="2">
        <v>3</v>
      </c>
      <c r="D54" s="2">
        <v>1</v>
      </c>
      <c r="E54" s="2">
        <v>0.64900000000000002</v>
      </c>
      <c r="F54" s="2">
        <v>1</v>
      </c>
    </row>
    <row r="55" spans="1:13" ht="14.25" customHeight="1">
      <c r="A55" s="2">
        <v>49</v>
      </c>
      <c r="B55" s="2">
        <v>54</v>
      </c>
      <c r="C55" s="2">
        <v>7</v>
      </c>
      <c r="D55" s="2">
        <v>1</v>
      </c>
      <c r="E55" s="2">
        <v>0.47899999999999998</v>
      </c>
      <c r="F55" s="2">
        <v>2</v>
      </c>
    </row>
    <row r="56" spans="1:13" ht="14.25" customHeight="1">
      <c r="A56" s="2">
        <v>49</v>
      </c>
      <c r="B56" s="2">
        <v>55</v>
      </c>
      <c r="C56" s="2">
        <v>8</v>
      </c>
      <c r="D56" s="2">
        <v>0</v>
      </c>
      <c r="E56" s="2">
        <v>0.98599999999999999</v>
      </c>
      <c r="F56" s="2">
        <v>1</v>
      </c>
    </row>
    <row r="57" spans="1:13" ht="14.25" customHeight="1">
      <c r="A57" s="2">
        <v>49</v>
      </c>
      <c r="B57" s="2">
        <v>56</v>
      </c>
      <c r="C57" s="2">
        <v>4</v>
      </c>
      <c r="D57" s="2">
        <v>1</v>
      </c>
      <c r="E57" s="2">
        <v>0.93</v>
      </c>
      <c r="F57" s="2">
        <v>1</v>
      </c>
    </row>
    <row r="58" spans="1:13" ht="14.25" customHeight="1">
      <c r="A58" s="2">
        <v>49</v>
      </c>
      <c r="B58" s="2">
        <v>57</v>
      </c>
      <c r="C58" s="2">
        <v>1</v>
      </c>
      <c r="D58" s="2">
        <v>1</v>
      </c>
      <c r="E58" s="2">
        <v>0.57899999999999996</v>
      </c>
      <c r="F58" s="2">
        <v>2</v>
      </c>
    </row>
    <row r="59" spans="1:13" ht="14.25" customHeight="1">
      <c r="A59" s="2">
        <v>49</v>
      </c>
      <c r="B59" s="2">
        <v>58</v>
      </c>
      <c r="C59" s="2">
        <v>5</v>
      </c>
      <c r="D59" s="2">
        <v>1</v>
      </c>
      <c r="E59" s="2">
        <v>0.56699999999999995</v>
      </c>
      <c r="F59" s="2">
        <v>2</v>
      </c>
    </row>
    <row r="60" spans="1:13" ht="14.25" customHeight="1">
      <c r="A60" s="2">
        <v>49</v>
      </c>
      <c r="B60" s="2">
        <v>59</v>
      </c>
      <c r="C60" s="2">
        <v>3</v>
      </c>
      <c r="D60" s="2">
        <v>0</v>
      </c>
      <c r="E60" s="2">
        <v>0.65400000000000003</v>
      </c>
      <c r="F60" s="2">
        <v>2</v>
      </c>
    </row>
    <row r="61" spans="1:13" ht="14.25" customHeight="1">
      <c r="A61" s="2">
        <v>49</v>
      </c>
      <c r="B61" s="2">
        <v>60</v>
      </c>
      <c r="C61" s="2">
        <v>7</v>
      </c>
      <c r="D61" s="2">
        <v>1</v>
      </c>
      <c r="E61" s="2">
        <v>0.65300000000000002</v>
      </c>
      <c r="F61" s="2">
        <v>1</v>
      </c>
    </row>
    <row r="62" spans="1:13" ht="14.25" customHeight="1">
      <c r="A62" s="2">
        <v>49</v>
      </c>
      <c r="B62" s="2">
        <v>61</v>
      </c>
      <c r="C62" s="2">
        <v>6</v>
      </c>
      <c r="D62" s="2">
        <v>0</v>
      </c>
      <c r="E62" s="2">
        <v>0.8</v>
      </c>
      <c r="F62" s="2">
        <v>2</v>
      </c>
    </row>
    <row r="63" spans="1:13" ht="14.25" customHeight="1">
      <c r="A63" s="2">
        <v>49</v>
      </c>
      <c r="B63" s="2">
        <v>62</v>
      </c>
      <c r="C63" s="2">
        <v>7</v>
      </c>
      <c r="D63" s="2">
        <v>0</v>
      </c>
      <c r="E63" s="2">
        <v>0.96899999999999997</v>
      </c>
      <c r="F63" s="2">
        <v>1</v>
      </c>
    </row>
    <row r="64" spans="1:13" ht="14.25" customHeight="1">
      <c r="A64" s="2">
        <v>49</v>
      </c>
      <c r="B64" s="2">
        <v>63</v>
      </c>
      <c r="C64" s="2">
        <v>3</v>
      </c>
      <c r="D64" s="2">
        <v>1</v>
      </c>
      <c r="E64" s="2">
        <v>1.27</v>
      </c>
      <c r="F64" s="2">
        <v>1</v>
      </c>
    </row>
    <row r="65" spans="1:6" ht="14.25" customHeight="1">
      <c r="A65" s="2">
        <v>49</v>
      </c>
      <c r="B65" s="2">
        <v>64</v>
      </c>
      <c r="C65" s="2">
        <v>6</v>
      </c>
      <c r="D65" s="2">
        <v>0</v>
      </c>
      <c r="E65" s="2">
        <v>0.65</v>
      </c>
      <c r="F65" s="2">
        <v>2</v>
      </c>
    </row>
    <row r="66" spans="1:6" ht="14.25" customHeight="1">
      <c r="A66" s="2">
        <v>49</v>
      </c>
      <c r="B66" s="2">
        <v>65</v>
      </c>
      <c r="C66" s="2">
        <v>4</v>
      </c>
      <c r="D66" s="2">
        <v>1</v>
      </c>
      <c r="E66" s="2">
        <v>0.96</v>
      </c>
      <c r="F66" s="2">
        <v>1</v>
      </c>
    </row>
    <row r="67" spans="1:6" ht="14.25" customHeight="1">
      <c r="A67" s="2">
        <v>49</v>
      </c>
      <c r="B67" s="2">
        <v>66</v>
      </c>
      <c r="C67" s="2">
        <v>8</v>
      </c>
      <c r="D67" s="2">
        <v>1</v>
      </c>
      <c r="E67" s="2">
        <v>0.94099999999999995</v>
      </c>
      <c r="F67" s="2">
        <v>1</v>
      </c>
    </row>
    <row r="68" spans="1:6" ht="14.25" customHeight="1">
      <c r="A68" s="2">
        <v>49</v>
      </c>
      <c r="B68" s="2">
        <v>67</v>
      </c>
      <c r="C68" s="2">
        <v>6</v>
      </c>
      <c r="D68" s="2">
        <v>1</v>
      </c>
      <c r="E68" s="2">
        <v>1.147</v>
      </c>
      <c r="F68" s="2">
        <v>2</v>
      </c>
    </row>
    <row r="69" spans="1:6" ht="14.25" customHeight="1">
      <c r="A69" s="2">
        <v>49</v>
      </c>
      <c r="B69" s="2">
        <v>68</v>
      </c>
      <c r="C69" s="2">
        <v>8</v>
      </c>
      <c r="D69" s="2">
        <v>1</v>
      </c>
      <c r="E69" s="2">
        <v>0.79900000000000004</v>
      </c>
      <c r="F69" s="2">
        <v>2</v>
      </c>
    </row>
    <row r="70" spans="1:6" ht="14.25" customHeight="1">
      <c r="A70" s="2">
        <v>49</v>
      </c>
      <c r="B70" s="2">
        <v>69</v>
      </c>
      <c r="C70" s="2">
        <v>5</v>
      </c>
      <c r="D70" s="2">
        <v>1</v>
      </c>
      <c r="E70" s="2">
        <v>0.79900000000000004</v>
      </c>
      <c r="F70" s="2">
        <v>1</v>
      </c>
    </row>
    <row r="71" spans="1:6" ht="14.25" customHeight="1">
      <c r="A71" s="2">
        <v>49</v>
      </c>
      <c r="B71" s="2">
        <v>70</v>
      </c>
      <c r="C71" s="2">
        <v>1</v>
      </c>
      <c r="D71" s="2">
        <v>0</v>
      </c>
      <c r="E71" s="2">
        <v>0.72</v>
      </c>
      <c r="F71" s="2">
        <v>2</v>
      </c>
    </row>
    <row r="72" spans="1:6" ht="14.25" customHeight="1">
      <c r="A72" s="2">
        <v>49</v>
      </c>
      <c r="B72" s="2">
        <v>71</v>
      </c>
      <c r="C72" s="2">
        <v>7</v>
      </c>
      <c r="D72" s="2">
        <v>1</v>
      </c>
      <c r="E72" s="2">
        <v>0.71199999999999997</v>
      </c>
      <c r="F72" s="2">
        <v>2</v>
      </c>
    </row>
    <row r="73" spans="1:6" ht="14.25" customHeight="1">
      <c r="A73" s="2">
        <v>49</v>
      </c>
      <c r="B73" s="2">
        <v>72</v>
      </c>
      <c r="C73" s="2">
        <v>5</v>
      </c>
      <c r="D73" s="2">
        <v>1</v>
      </c>
      <c r="E73" s="2">
        <v>0.64800000000000002</v>
      </c>
      <c r="F73" s="2">
        <v>2</v>
      </c>
    </row>
    <row r="74" spans="1:6" ht="14.25" customHeight="1">
      <c r="A74" s="2">
        <v>49</v>
      </c>
      <c r="B74" s="2">
        <v>73</v>
      </c>
      <c r="C74" s="2">
        <v>1</v>
      </c>
      <c r="D74" s="2">
        <v>1</v>
      </c>
      <c r="E74" s="2">
        <v>1.149</v>
      </c>
      <c r="F74" s="2">
        <v>2</v>
      </c>
    </row>
    <row r="75" spans="1:6" ht="14.25" customHeight="1">
      <c r="A75" s="2">
        <v>49</v>
      </c>
      <c r="B75" s="2">
        <v>74</v>
      </c>
      <c r="C75" s="2">
        <v>2</v>
      </c>
      <c r="D75" s="2">
        <v>1</v>
      </c>
      <c r="E75" s="2">
        <v>0.63700000000000001</v>
      </c>
      <c r="F75" s="2">
        <v>2</v>
      </c>
    </row>
    <row r="76" spans="1:6" ht="14.25" customHeight="1">
      <c r="A76" s="2">
        <v>49</v>
      </c>
      <c r="B76" s="2">
        <v>75</v>
      </c>
      <c r="C76" s="2">
        <v>4</v>
      </c>
      <c r="D76" s="2">
        <v>1</v>
      </c>
      <c r="E76" s="2">
        <v>0.63500000000000001</v>
      </c>
      <c r="F76" s="2">
        <v>1</v>
      </c>
    </row>
    <row r="77" spans="1:6" ht="14.25" customHeight="1">
      <c r="A77" s="2">
        <v>49</v>
      </c>
      <c r="B77" s="2">
        <v>76</v>
      </c>
      <c r="C77" s="2">
        <v>2</v>
      </c>
      <c r="E77" s="2">
        <v>2</v>
      </c>
    </row>
    <row r="78" spans="1:6" ht="14.25" customHeight="1">
      <c r="A78" s="2">
        <v>49</v>
      </c>
      <c r="B78" s="2">
        <v>77</v>
      </c>
      <c r="C78" s="2">
        <v>4</v>
      </c>
      <c r="D78" s="2">
        <v>0</v>
      </c>
      <c r="E78" s="2">
        <v>0.55600000000000005</v>
      </c>
      <c r="F78" s="2">
        <v>1</v>
      </c>
    </row>
    <row r="79" spans="1:6" ht="14.25" customHeight="1">
      <c r="A79" s="2">
        <v>49</v>
      </c>
      <c r="B79" s="2">
        <v>78</v>
      </c>
      <c r="C79" s="2">
        <v>7</v>
      </c>
      <c r="D79" s="2">
        <v>1</v>
      </c>
      <c r="E79" s="2">
        <v>1.0740000000000001</v>
      </c>
      <c r="F79" s="2">
        <v>1</v>
      </c>
    </row>
    <row r="80" spans="1:6" ht="14.25" customHeight="1">
      <c r="A80" s="2">
        <v>49</v>
      </c>
      <c r="B80" s="2">
        <v>79</v>
      </c>
      <c r="C80" s="2">
        <v>1</v>
      </c>
      <c r="D80" s="2">
        <v>1</v>
      </c>
      <c r="E80" s="2">
        <v>0.65800000000000003</v>
      </c>
      <c r="F80" s="2">
        <v>2</v>
      </c>
    </row>
    <row r="81" spans="1:6" ht="14.25" customHeight="1">
      <c r="A81" s="2">
        <v>49</v>
      </c>
      <c r="B81" s="2">
        <v>80</v>
      </c>
      <c r="C81" s="2">
        <v>2</v>
      </c>
      <c r="D81" s="2">
        <v>1</v>
      </c>
      <c r="E81" s="2">
        <v>0.64300000000000002</v>
      </c>
      <c r="F81" s="2">
        <v>2</v>
      </c>
    </row>
    <row r="82" spans="1:6" ht="14.25" customHeight="1">
      <c r="A82" s="2">
        <v>49</v>
      </c>
      <c r="B82" s="2">
        <v>81</v>
      </c>
      <c r="C82" s="2">
        <v>6</v>
      </c>
      <c r="D82" s="2">
        <v>1</v>
      </c>
      <c r="E82" s="2">
        <v>0.877</v>
      </c>
      <c r="F82" s="2">
        <v>1</v>
      </c>
    </row>
    <row r="83" spans="1:6" ht="14.25" customHeight="1">
      <c r="A83" s="2">
        <v>49</v>
      </c>
      <c r="B83" s="2">
        <v>82</v>
      </c>
      <c r="C83" s="2">
        <v>8</v>
      </c>
      <c r="D83" s="2">
        <v>0</v>
      </c>
      <c r="E83" s="2">
        <v>0.61299999999999999</v>
      </c>
      <c r="F83" s="2">
        <v>1</v>
      </c>
    </row>
    <row r="84" spans="1:6" ht="14.25" customHeight="1">
      <c r="A84" s="2">
        <v>49</v>
      </c>
      <c r="B84" s="2">
        <v>83</v>
      </c>
      <c r="C84" s="2">
        <v>3</v>
      </c>
      <c r="D84" s="2">
        <v>1</v>
      </c>
      <c r="E84" s="2">
        <v>0.59199999999999997</v>
      </c>
      <c r="F84" s="2">
        <v>2</v>
      </c>
    </row>
    <row r="85" spans="1:6" ht="14.25" customHeight="1">
      <c r="A85" s="2">
        <v>49</v>
      </c>
      <c r="B85" s="2">
        <v>84</v>
      </c>
      <c r="C85" s="2">
        <v>8</v>
      </c>
      <c r="D85" s="2">
        <v>1</v>
      </c>
      <c r="E85" s="2">
        <v>0.58599999999999997</v>
      </c>
      <c r="F85" s="2">
        <v>2</v>
      </c>
    </row>
    <row r="86" spans="1:6" ht="14.25" customHeight="1">
      <c r="A86" s="2">
        <v>49</v>
      </c>
      <c r="B86" s="2">
        <v>85</v>
      </c>
      <c r="C86" s="2">
        <v>3</v>
      </c>
      <c r="D86" s="2">
        <v>1</v>
      </c>
      <c r="E86" s="2">
        <v>1.0629999999999999</v>
      </c>
      <c r="F86" s="2">
        <v>2</v>
      </c>
    </row>
    <row r="87" spans="1:6" ht="14.25" customHeight="1">
      <c r="A87" s="2">
        <v>49</v>
      </c>
      <c r="B87" s="2">
        <v>86</v>
      </c>
      <c r="C87" s="2">
        <v>2</v>
      </c>
      <c r="D87" s="2">
        <v>1</v>
      </c>
      <c r="E87" s="2">
        <v>0.67100000000000004</v>
      </c>
      <c r="F87" s="2">
        <v>2</v>
      </c>
    </row>
    <row r="88" spans="1:6" ht="14.25" customHeight="1">
      <c r="A88" s="2">
        <v>49</v>
      </c>
      <c r="B88" s="2">
        <v>87</v>
      </c>
      <c r="C88" s="2">
        <v>4</v>
      </c>
      <c r="D88" s="2">
        <v>1</v>
      </c>
      <c r="E88" s="2">
        <v>0.71499999999999997</v>
      </c>
      <c r="F88" s="2">
        <v>1</v>
      </c>
    </row>
    <row r="89" spans="1:6" ht="14.25" customHeight="1">
      <c r="A89" s="2">
        <v>49</v>
      </c>
      <c r="B89" s="2">
        <v>88</v>
      </c>
      <c r="C89" s="2">
        <v>8</v>
      </c>
      <c r="D89" s="2">
        <v>1</v>
      </c>
      <c r="E89" s="2">
        <v>0.51900000000000002</v>
      </c>
      <c r="F89" s="2">
        <v>2</v>
      </c>
    </row>
    <row r="90" spans="1:6" ht="14.25" customHeight="1">
      <c r="A90" s="2">
        <v>49</v>
      </c>
      <c r="B90" s="2">
        <v>89</v>
      </c>
      <c r="C90" s="2">
        <v>6</v>
      </c>
      <c r="D90" s="2">
        <v>0</v>
      </c>
      <c r="E90" s="2">
        <v>0.66600000000000004</v>
      </c>
      <c r="F90" s="2">
        <v>2</v>
      </c>
    </row>
    <row r="91" spans="1:6" ht="14.25" customHeight="1">
      <c r="A91" s="2">
        <v>49</v>
      </c>
      <c r="B91" s="2">
        <v>90</v>
      </c>
      <c r="C91" s="2">
        <v>1</v>
      </c>
      <c r="D91" s="2">
        <v>1</v>
      </c>
      <c r="E91" s="2">
        <v>0.86599999999999999</v>
      </c>
      <c r="F91" s="2">
        <v>2</v>
      </c>
    </row>
    <row r="92" spans="1:6" ht="14.25" customHeight="1">
      <c r="A92" s="2">
        <v>49</v>
      </c>
      <c r="B92" s="2">
        <v>91</v>
      </c>
      <c r="C92" s="2">
        <v>2</v>
      </c>
      <c r="D92" s="2">
        <v>1</v>
      </c>
      <c r="E92" s="2">
        <v>0.69399999999999995</v>
      </c>
      <c r="F92" s="2">
        <v>2</v>
      </c>
    </row>
    <row r="93" spans="1:6" ht="14.25" customHeight="1">
      <c r="A93" s="2">
        <v>49</v>
      </c>
      <c r="B93" s="2">
        <v>92</v>
      </c>
      <c r="C93" s="2">
        <v>5</v>
      </c>
      <c r="D93" s="2">
        <v>1</v>
      </c>
      <c r="E93" s="2">
        <v>0.60099999999999998</v>
      </c>
      <c r="F93" s="2">
        <v>1</v>
      </c>
    </row>
    <row r="94" spans="1:6" ht="14.25" customHeight="1">
      <c r="A94" s="2">
        <v>49</v>
      </c>
      <c r="B94" s="2">
        <v>93</v>
      </c>
      <c r="C94" s="2">
        <v>4</v>
      </c>
      <c r="D94" s="2">
        <v>1</v>
      </c>
      <c r="E94" s="2">
        <v>0.73199999999999998</v>
      </c>
      <c r="F94" s="2">
        <v>1</v>
      </c>
    </row>
    <row r="95" spans="1:6" ht="14.25" customHeight="1">
      <c r="A95" s="2">
        <v>49</v>
      </c>
      <c r="B95" s="2">
        <v>94</v>
      </c>
      <c r="C95" s="2">
        <v>7</v>
      </c>
      <c r="D95" s="2">
        <v>0</v>
      </c>
      <c r="E95" s="2">
        <v>0.62</v>
      </c>
      <c r="F95" s="2">
        <v>2</v>
      </c>
    </row>
    <row r="96" spans="1:6" ht="14.25" customHeight="1">
      <c r="A96" s="2">
        <v>49</v>
      </c>
      <c r="B96" s="2">
        <v>95</v>
      </c>
      <c r="C96" s="2">
        <v>6</v>
      </c>
      <c r="D96" s="2">
        <v>1</v>
      </c>
      <c r="E96" s="2">
        <v>0.61</v>
      </c>
      <c r="F96" s="2">
        <v>2</v>
      </c>
    </row>
    <row r="97" spans="1:6" ht="14.25" customHeight="1">
      <c r="A97" s="2">
        <v>49</v>
      </c>
      <c r="B97" s="2">
        <v>96</v>
      </c>
      <c r="C97" s="2">
        <v>5</v>
      </c>
      <c r="D97" s="2">
        <v>0</v>
      </c>
      <c r="E97" s="2">
        <v>0.48199999999999998</v>
      </c>
      <c r="F97" s="2">
        <v>2</v>
      </c>
    </row>
    <row r="98" spans="1:6" ht="14.25" customHeight="1">
      <c r="A98" s="2">
        <v>49</v>
      </c>
      <c r="B98" s="2">
        <v>97</v>
      </c>
      <c r="C98" s="2">
        <v>8</v>
      </c>
      <c r="D98" s="2">
        <v>1</v>
      </c>
      <c r="E98" s="2">
        <v>0.59299999999999997</v>
      </c>
      <c r="F98" s="2">
        <v>2</v>
      </c>
    </row>
    <row r="99" spans="1:6" ht="14.25" customHeight="1">
      <c r="A99" s="2">
        <v>49</v>
      </c>
      <c r="B99" s="2">
        <v>98</v>
      </c>
      <c r="C99" s="2">
        <v>3</v>
      </c>
      <c r="D99" s="2">
        <v>0</v>
      </c>
      <c r="E99" s="2">
        <v>0.7</v>
      </c>
      <c r="F99" s="2">
        <v>1</v>
      </c>
    </row>
    <row r="100" spans="1:6" ht="14.25" customHeight="1">
      <c r="A100" s="2">
        <v>49</v>
      </c>
      <c r="B100" s="2">
        <v>99</v>
      </c>
      <c r="C100" s="2">
        <v>5</v>
      </c>
      <c r="D100" s="2">
        <v>0</v>
      </c>
      <c r="E100" s="2">
        <v>0.626</v>
      </c>
      <c r="F100" s="2">
        <v>2</v>
      </c>
    </row>
    <row r="101" spans="1:6" ht="14.25" customHeight="1">
      <c r="A101" s="2">
        <v>49</v>
      </c>
      <c r="B101" s="2">
        <v>100</v>
      </c>
      <c r="C101" s="2">
        <v>6</v>
      </c>
      <c r="D101" s="2">
        <v>1</v>
      </c>
      <c r="E101" s="2">
        <v>0.67500000000000004</v>
      </c>
      <c r="F101" s="2">
        <v>1</v>
      </c>
    </row>
    <row r="102" spans="1:6" ht="14.25" customHeight="1">
      <c r="A102" s="2">
        <v>49</v>
      </c>
      <c r="B102" s="2">
        <v>101</v>
      </c>
      <c r="C102" s="2">
        <v>1</v>
      </c>
      <c r="D102" s="2">
        <v>1</v>
      </c>
      <c r="E102" s="2">
        <v>0.69299999999999995</v>
      </c>
      <c r="F102" s="2">
        <v>1</v>
      </c>
    </row>
    <row r="103" spans="1:6" ht="14.25" customHeight="1">
      <c r="A103" s="2">
        <v>49</v>
      </c>
      <c r="B103" s="2">
        <v>102</v>
      </c>
      <c r="C103" s="2">
        <v>8</v>
      </c>
      <c r="D103" s="2">
        <v>1</v>
      </c>
      <c r="E103" s="2">
        <v>0.78200000000000003</v>
      </c>
      <c r="F103" s="2">
        <v>1</v>
      </c>
    </row>
    <row r="104" spans="1:6" ht="14.25" customHeight="1">
      <c r="A104" s="2">
        <v>49</v>
      </c>
      <c r="B104" s="2">
        <v>103</v>
      </c>
      <c r="C104" s="2">
        <v>5</v>
      </c>
      <c r="D104" s="2">
        <v>1</v>
      </c>
      <c r="E104" s="2">
        <v>0.68</v>
      </c>
      <c r="F104" s="2">
        <v>1</v>
      </c>
    </row>
    <row r="105" spans="1:6" ht="14.25" customHeight="1">
      <c r="A105" s="2">
        <v>49</v>
      </c>
      <c r="B105" s="2">
        <v>104</v>
      </c>
      <c r="C105" s="2">
        <v>4</v>
      </c>
      <c r="D105" s="2">
        <v>1</v>
      </c>
      <c r="E105" s="2">
        <v>0.47599999999999998</v>
      </c>
      <c r="F105" s="2">
        <v>2</v>
      </c>
    </row>
    <row r="106" spans="1:6" ht="14.25" customHeight="1">
      <c r="A106" s="2">
        <v>49</v>
      </c>
      <c r="B106" s="2">
        <v>105</v>
      </c>
      <c r="C106" s="2">
        <v>8</v>
      </c>
      <c r="D106" s="2">
        <v>0</v>
      </c>
      <c r="E106" s="2">
        <v>0.77300000000000002</v>
      </c>
      <c r="F106" s="2">
        <v>1</v>
      </c>
    </row>
    <row r="107" spans="1:6" ht="14.25" customHeight="1">
      <c r="A107" s="2">
        <v>49</v>
      </c>
      <c r="B107" s="2">
        <v>106</v>
      </c>
      <c r="C107" s="2">
        <v>5</v>
      </c>
      <c r="D107" s="2">
        <v>1</v>
      </c>
      <c r="E107" s="2">
        <v>0.6</v>
      </c>
      <c r="F107" s="2">
        <v>1</v>
      </c>
    </row>
    <row r="108" spans="1:6" ht="14.25" customHeight="1">
      <c r="A108" s="2">
        <v>49</v>
      </c>
      <c r="B108" s="2">
        <v>107</v>
      </c>
      <c r="C108" s="2">
        <v>7</v>
      </c>
      <c r="D108" s="2">
        <v>1</v>
      </c>
      <c r="E108" s="2">
        <v>0.55600000000000005</v>
      </c>
      <c r="F108" s="2">
        <v>2</v>
      </c>
    </row>
    <row r="109" spans="1:6" ht="14.25" customHeight="1">
      <c r="A109" s="2">
        <v>49</v>
      </c>
      <c r="B109" s="2">
        <v>108</v>
      </c>
      <c r="C109" s="2">
        <v>3</v>
      </c>
      <c r="D109" s="2">
        <v>1</v>
      </c>
      <c r="E109" s="2">
        <v>0.63200000000000001</v>
      </c>
      <c r="F109" s="2">
        <v>2</v>
      </c>
    </row>
    <row r="110" spans="1:6" ht="14.25" customHeight="1">
      <c r="A110" s="2">
        <v>49</v>
      </c>
      <c r="B110" s="2">
        <v>109</v>
      </c>
      <c r="C110" s="2">
        <v>4</v>
      </c>
      <c r="D110" s="2">
        <v>1</v>
      </c>
      <c r="E110" s="2">
        <v>1.7529999999999999</v>
      </c>
      <c r="F110" s="2">
        <v>1</v>
      </c>
    </row>
    <row r="111" spans="1:6" ht="14.25" customHeight="1">
      <c r="A111" s="2">
        <v>49</v>
      </c>
      <c r="B111" s="2">
        <v>110</v>
      </c>
      <c r="C111" s="2">
        <v>3</v>
      </c>
      <c r="D111" s="2">
        <v>0</v>
      </c>
      <c r="E111" s="2">
        <v>0.98799999999999999</v>
      </c>
      <c r="F111" s="2">
        <v>2</v>
      </c>
    </row>
    <row r="112" spans="1:6" ht="14.25" customHeight="1">
      <c r="A112" s="2">
        <v>49</v>
      </c>
      <c r="B112" s="2">
        <v>111</v>
      </c>
      <c r="C112" s="2">
        <v>2</v>
      </c>
      <c r="D112" s="2">
        <v>0</v>
      </c>
      <c r="E112" s="2">
        <v>0.91300000000000003</v>
      </c>
      <c r="F112" s="2">
        <v>2</v>
      </c>
    </row>
    <row r="113" spans="1:6" ht="14.25" customHeight="1">
      <c r="A113" s="2">
        <v>49</v>
      </c>
      <c r="B113" s="2">
        <v>112</v>
      </c>
      <c r="C113" s="2">
        <v>4</v>
      </c>
      <c r="D113" s="2">
        <v>0</v>
      </c>
      <c r="E113" s="2">
        <v>0.46400000000000002</v>
      </c>
      <c r="F113" s="2">
        <v>1</v>
      </c>
    </row>
    <row r="114" spans="1:6" ht="14.25" customHeight="1">
      <c r="A114" s="2">
        <v>49</v>
      </c>
      <c r="B114" s="2">
        <v>113</v>
      </c>
      <c r="C114" s="2">
        <v>6</v>
      </c>
      <c r="D114" s="2">
        <v>1</v>
      </c>
      <c r="E114" s="2">
        <v>0.81799999999999995</v>
      </c>
      <c r="F114" s="2">
        <v>1</v>
      </c>
    </row>
    <row r="115" spans="1:6" ht="14.25" customHeight="1">
      <c r="A115" s="2">
        <v>49</v>
      </c>
      <c r="B115" s="2">
        <v>114</v>
      </c>
      <c r="C115" s="2">
        <v>7</v>
      </c>
      <c r="D115" s="2">
        <v>0</v>
      </c>
      <c r="E115" s="2">
        <v>0.83899999999999997</v>
      </c>
      <c r="F115" s="2">
        <v>2</v>
      </c>
    </row>
    <row r="116" spans="1:6" ht="14.25" customHeight="1">
      <c r="A116" s="2">
        <v>49</v>
      </c>
      <c r="B116" s="2">
        <v>115</v>
      </c>
      <c r="C116" s="2">
        <v>5</v>
      </c>
      <c r="D116" s="2">
        <v>1</v>
      </c>
      <c r="E116" s="2">
        <v>0.81699999999999995</v>
      </c>
      <c r="F116" s="2">
        <v>1</v>
      </c>
    </row>
    <row r="117" spans="1:6" ht="14.25" customHeight="1">
      <c r="A117" s="2">
        <v>49</v>
      </c>
      <c r="B117" s="2">
        <v>116</v>
      </c>
      <c r="C117" s="2">
        <v>3</v>
      </c>
      <c r="D117" s="2">
        <v>1</v>
      </c>
      <c r="E117" s="2">
        <v>0.70199999999999996</v>
      </c>
      <c r="F117" s="2">
        <v>1</v>
      </c>
    </row>
    <row r="118" spans="1:6" ht="14.25" customHeight="1">
      <c r="A118" s="2">
        <v>49</v>
      </c>
      <c r="B118" s="2">
        <v>117</v>
      </c>
      <c r="C118" s="2">
        <v>1</v>
      </c>
      <c r="D118" s="2">
        <v>1</v>
      </c>
      <c r="E118" s="2">
        <v>0.72399999999999998</v>
      </c>
      <c r="F118" s="2">
        <v>2</v>
      </c>
    </row>
    <row r="119" spans="1:6" ht="14.25" customHeight="1">
      <c r="A119" s="2">
        <v>49</v>
      </c>
      <c r="B119" s="2">
        <v>118</v>
      </c>
      <c r="C119" s="2">
        <v>6</v>
      </c>
      <c r="D119" s="2">
        <v>1</v>
      </c>
      <c r="E119" s="2">
        <v>0.60399999999999998</v>
      </c>
      <c r="F119" s="2">
        <v>2</v>
      </c>
    </row>
    <row r="120" spans="1:6" ht="14.25" customHeight="1">
      <c r="A120" s="2">
        <v>49</v>
      </c>
      <c r="B120" s="2">
        <v>119</v>
      </c>
      <c r="C120" s="2">
        <v>1</v>
      </c>
      <c r="D120" s="2">
        <v>1</v>
      </c>
      <c r="E120" s="2">
        <v>0.56899999999999995</v>
      </c>
      <c r="F120" s="2">
        <v>1</v>
      </c>
    </row>
    <row r="121" spans="1:6" ht="14.25" customHeight="1">
      <c r="A121" s="2">
        <v>49</v>
      </c>
      <c r="B121" s="2">
        <v>120</v>
      </c>
      <c r="C121" s="2">
        <v>7</v>
      </c>
      <c r="D121" s="2">
        <v>0</v>
      </c>
      <c r="E121" s="2">
        <v>0.68799999999999994</v>
      </c>
      <c r="F121" s="2">
        <v>2</v>
      </c>
    </row>
    <row r="122" spans="1:6" ht="14.25" customHeight="1">
      <c r="A122" s="2">
        <v>49</v>
      </c>
      <c r="B122" s="2">
        <v>121</v>
      </c>
      <c r="C122" s="2">
        <v>6</v>
      </c>
      <c r="D122" s="2">
        <v>1</v>
      </c>
      <c r="E122" s="2">
        <v>0.67100000000000004</v>
      </c>
      <c r="F122" s="2">
        <v>2</v>
      </c>
    </row>
    <row r="123" spans="1:6" ht="14.25" customHeight="1">
      <c r="A123" s="2">
        <v>49</v>
      </c>
      <c r="B123" s="2">
        <v>122</v>
      </c>
      <c r="C123" s="2">
        <v>7</v>
      </c>
      <c r="D123" s="2">
        <v>0</v>
      </c>
      <c r="E123" s="2">
        <v>0.60399999999999998</v>
      </c>
      <c r="F123" s="2">
        <v>1</v>
      </c>
    </row>
    <row r="124" spans="1:6" ht="14.25" customHeight="1">
      <c r="A124" s="2">
        <v>49</v>
      </c>
      <c r="B124" s="2">
        <v>123</v>
      </c>
      <c r="C124" s="2">
        <v>5</v>
      </c>
      <c r="D124" s="2">
        <v>1</v>
      </c>
      <c r="E124" s="2">
        <v>1.3959999999999999</v>
      </c>
      <c r="F124" s="2">
        <v>2</v>
      </c>
    </row>
    <row r="125" spans="1:6" ht="14.25" customHeight="1">
      <c r="A125" s="2">
        <v>49</v>
      </c>
      <c r="B125" s="2">
        <v>124</v>
      </c>
      <c r="C125" s="2">
        <v>2</v>
      </c>
      <c r="D125" s="2">
        <v>1</v>
      </c>
      <c r="E125" s="2">
        <v>0.71699999999999997</v>
      </c>
      <c r="F125" s="2">
        <v>2</v>
      </c>
    </row>
    <row r="126" spans="1:6" ht="14.25" customHeight="1">
      <c r="A126" s="2">
        <v>49</v>
      </c>
      <c r="B126" s="2">
        <v>125</v>
      </c>
      <c r="C126" s="2">
        <v>6</v>
      </c>
      <c r="D126" s="2">
        <v>1</v>
      </c>
      <c r="E126" s="2">
        <v>0.434</v>
      </c>
      <c r="F126" s="2">
        <v>1</v>
      </c>
    </row>
    <row r="127" spans="1:6" ht="14.25" customHeight="1">
      <c r="A127" s="2">
        <v>49</v>
      </c>
      <c r="B127" s="2">
        <v>126</v>
      </c>
      <c r="C127" s="2">
        <v>3</v>
      </c>
      <c r="D127" s="2">
        <v>1</v>
      </c>
      <c r="E127" s="2">
        <v>0.56399999999999995</v>
      </c>
      <c r="F127" s="2">
        <v>1</v>
      </c>
    </row>
    <row r="128" spans="1:6" ht="14.25" customHeight="1">
      <c r="A128" s="2">
        <v>49</v>
      </c>
      <c r="B128" s="2">
        <v>127</v>
      </c>
      <c r="C128" s="2">
        <v>2</v>
      </c>
      <c r="D128" s="2">
        <v>0</v>
      </c>
      <c r="E128" s="2">
        <v>0.78900000000000003</v>
      </c>
      <c r="F128" s="2">
        <v>1</v>
      </c>
    </row>
    <row r="129" spans="1:6" ht="14.25" customHeight="1">
      <c r="A129" s="2">
        <v>49</v>
      </c>
      <c r="B129" s="2">
        <v>128</v>
      </c>
      <c r="C129" s="2">
        <v>3</v>
      </c>
      <c r="D129" s="2">
        <v>1</v>
      </c>
      <c r="E129" s="2">
        <v>1.03</v>
      </c>
      <c r="F129" s="2">
        <v>1</v>
      </c>
    </row>
    <row r="130" spans="1:6" ht="14.25" customHeight="1">
      <c r="A130" s="2">
        <v>49</v>
      </c>
      <c r="B130" s="2">
        <v>129</v>
      </c>
      <c r="C130" s="2">
        <v>8</v>
      </c>
      <c r="D130" s="2">
        <v>1</v>
      </c>
      <c r="E130" s="2">
        <v>0.61199999999999999</v>
      </c>
      <c r="F130" s="2">
        <v>2</v>
      </c>
    </row>
    <row r="131" spans="1:6" ht="14.25" customHeight="1">
      <c r="A131" s="2">
        <v>49</v>
      </c>
      <c r="B131" s="2">
        <v>130</v>
      </c>
      <c r="C131" s="2">
        <v>5</v>
      </c>
      <c r="D131" s="2">
        <v>1</v>
      </c>
      <c r="E131" s="2">
        <v>0.54200000000000004</v>
      </c>
      <c r="F131" s="2">
        <v>2</v>
      </c>
    </row>
    <row r="132" spans="1:6" ht="14.25" customHeight="1">
      <c r="A132" s="2">
        <v>49</v>
      </c>
      <c r="B132" s="2">
        <v>131</v>
      </c>
      <c r="C132" s="2">
        <v>6</v>
      </c>
      <c r="D132" s="2">
        <v>1</v>
      </c>
      <c r="E132" s="2">
        <v>0.64100000000000001</v>
      </c>
      <c r="F132" s="2">
        <v>1</v>
      </c>
    </row>
    <row r="133" spans="1:6" ht="14.25" customHeight="1">
      <c r="A133" s="2">
        <v>49</v>
      </c>
      <c r="B133" s="2">
        <v>132</v>
      </c>
      <c r="C133" s="2">
        <v>2</v>
      </c>
      <c r="D133" s="2">
        <v>0</v>
      </c>
      <c r="E133" s="2">
        <v>0.59899999999999998</v>
      </c>
      <c r="F133" s="2">
        <v>1</v>
      </c>
    </row>
    <row r="134" spans="1:6" ht="14.25" customHeight="1">
      <c r="A134" s="2">
        <v>49</v>
      </c>
      <c r="B134" s="2">
        <v>133</v>
      </c>
      <c r="C134" s="2">
        <v>8</v>
      </c>
      <c r="D134" s="2">
        <v>1</v>
      </c>
      <c r="E134" s="2">
        <v>0.55200000000000005</v>
      </c>
      <c r="F134" s="2">
        <v>2</v>
      </c>
    </row>
    <row r="135" spans="1:6" ht="14.25" customHeight="1">
      <c r="A135" s="2">
        <v>49</v>
      </c>
      <c r="B135" s="2">
        <v>134</v>
      </c>
      <c r="C135" s="2">
        <v>1</v>
      </c>
      <c r="D135" s="2">
        <v>1</v>
      </c>
      <c r="E135" s="2">
        <v>0.55500000000000005</v>
      </c>
      <c r="F135" s="2">
        <v>2</v>
      </c>
    </row>
    <row r="136" spans="1:6" ht="14.25" customHeight="1">
      <c r="A136" s="2">
        <v>49</v>
      </c>
      <c r="B136" s="2">
        <v>135</v>
      </c>
      <c r="C136" s="2">
        <v>5</v>
      </c>
      <c r="D136" s="2">
        <v>0</v>
      </c>
      <c r="E136" s="2">
        <v>0.628</v>
      </c>
      <c r="F136" s="2">
        <v>1</v>
      </c>
    </row>
    <row r="137" spans="1:6" ht="14.25" customHeight="1">
      <c r="A137" s="2">
        <v>49</v>
      </c>
      <c r="B137" s="2">
        <v>136</v>
      </c>
      <c r="C137" s="2">
        <v>7</v>
      </c>
      <c r="D137" s="2">
        <v>1</v>
      </c>
      <c r="E137" s="2">
        <v>0.59699999999999998</v>
      </c>
      <c r="F137" s="2">
        <v>2</v>
      </c>
    </row>
    <row r="138" spans="1:6" ht="14.25" customHeight="1">
      <c r="A138" s="2">
        <v>49</v>
      </c>
      <c r="B138" s="2">
        <v>137</v>
      </c>
      <c r="C138" s="2">
        <v>4</v>
      </c>
      <c r="D138" s="2">
        <v>1</v>
      </c>
      <c r="E138" s="2">
        <v>0.622</v>
      </c>
      <c r="F138" s="2">
        <v>1</v>
      </c>
    </row>
    <row r="139" spans="1:6" ht="14.25" customHeight="1">
      <c r="A139" s="2">
        <v>49</v>
      </c>
      <c r="B139" s="2">
        <v>138</v>
      </c>
      <c r="C139" s="2">
        <v>2</v>
      </c>
      <c r="D139" s="2">
        <v>1</v>
      </c>
      <c r="E139" s="2">
        <v>0.58299999999999996</v>
      </c>
      <c r="F139" s="2">
        <v>2</v>
      </c>
    </row>
    <row r="140" spans="1:6" ht="14.25" customHeight="1">
      <c r="A140" s="2">
        <v>49</v>
      </c>
      <c r="B140" s="2">
        <v>139</v>
      </c>
      <c r="C140" s="2">
        <v>8</v>
      </c>
      <c r="D140" s="2">
        <v>1</v>
      </c>
      <c r="E140" s="2">
        <v>0.59</v>
      </c>
      <c r="F140" s="2">
        <v>1</v>
      </c>
    </row>
    <row r="141" spans="1:6" ht="14.25" customHeight="1">
      <c r="A141" s="2">
        <v>49</v>
      </c>
      <c r="B141" s="2">
        <v>140</v>
      </c>
      <c r="C141" s="2">
        <v>6</v>
      </c>
      <c r="D141" s="2">
        <v>1</v>
      </c>
      <c r="E141" s="2">
        <v>0.55400000000000005</v>
      </c>
      <c r="F141" s="2">
        <v>2</v>
      </c>
    </row>
    <row r="142" spans="1:6" ht="14.25" customHeight="1">
      <c r="A142" s="2">
        <v>49</v>
      </c>
      <c r="B142" s="2">
        <v>141</v>
      </c>
      <c r="C142" s="2">
        <v>8</v>
      </c>
      <c r="D142" s="2">
        <v>1</v>
      </c>
      <c r="E142" s="2">
        <v>0.81100000000000005</v>
      </c>
      <c r="F142" s="2">
        <v>2</v>
      </c>
    </row>
    <row r="143" spans="1:6" ht="14.25" customHeight="1">
      <c r="A143" s="2">
        <v>49</v>
      </c>
      <c r="B143" s="2">
        <v>142</v>
      </c>
      <c r="C143" s="2">
        <v>1</v>
      </c>
      <c r="D143" s="2">
        <v>1</v>
      </c>
      <c r="E143" s="2">
        <v>0.64100000000000001</v>
      </c>
      <c r="F143" s="2">
        <v>1</v>
      </c>
    </row>
    <row r="144" spans="1:6" ht="14.25" customHeight="1">
      <c r="A144" s="2">
        <v>49</v>
      </c>
      <c r="B144" s="2">
        <v>143</v>
      </c>
      <c r="C144" s="2">
        <v>7</v>
      </c>
      <c r="D144" s="2">
        <v>1</v>
      </c>
      <c r="E144" s="2">
        <v>0.49299999999999999</v>
      </c>
      <c r="F144" s="2">
        <v>1</v>
      </c>
    </row>
    <row r="145" spans="1:6" ht="14.25" customHeight="1">
      <c r="A145" s="2">
        <v>49</v>
      </c>
      <c r="B145" s="2">
        <v>144</v>
      </c>
      <c r="C145" s="2">
        <v>6</v>
      </c>
      <c r="D145" s="2">
        <v>0</v>
      </c>
      <c r="E145" s="2">
        <v>0.82499999999999996</v>
      </c>
      <c r="F145" s="2">
        <v>2</v>
      </c>
    </row>
    <row r="146" spans="1:6" ht="14.25" customHeight="1">
      <c r="A146" s="2">
        <v>49</v>
      </c>
      <c r="B146" s="2">
        <v>145</v>
      </c>
      <c r="C146" s="2">
        <v>4</v>
      </c>
      <c r="D146" s="2">
        <v>1</v>
      </c>
      <c r="E146" s="2">
        <v>1.0309999999999999</v>
      </c>
      <c r="F146" s="2">
        <v>2</v>
      </c>
    </row>
    <row r="147" spans="1:6" ht="14.25" customHeight="1">
      <c r="A147" s="2">
        <v>49</v>
      </c>
      <c r="B147" s="2">
        <v>146</v>
      </c>
      <c r="C147" s="2">
        <v>1</v>
      </c>
      <c r="D147" s="2">
        <v>1</v>
      </c>
      <c r="E147" s="2">
        <v>1.294</v>
      </c>
      <c r="F147" s="2">
        <v>1</v>
      </c>
    </row>
    <row r="148" spans="1:6" ht="14.25" customHeight="1">
      <c r="A148" s="2">
        <v>49</v>
      </c>
      <c r="B148" s="2">
        <v>147</v>
      </c>
      <c r="C148" s="2">
        <v>2</v>
      </c>
      <c r="D148" s="2">
        <v>1</v>
      </c>
      <c r="E148" s="2">
        <v>0.61</v>
      </c>
      <c r="F148" s="2">
        <v>2</v>
      </c>
    </row>
    <row r="149" spans="1:6" ht="14.25" customHeight="1">
      <c r="A149" s="2">
        <v>49</v>
      </c>
      <c r="B149" s="2">
        <v>148</v>
      </c>
      <c r="C149" s="2">
        <v>4</v>
      </c>
      <c r="D149" s="2">
        <v>0</v>
      </c>
      <c r="E149" s="2">
        <v>0.70299999999999996</v>
      </c>
      <c r="F149" s="2">
        <v>1</v>
      </c>
    </row>
    <row r="150" spans="1:6" ht="14.25" customHeight="1">
      <c r="A150" s="2">
        <v>49</v>
      </c>
      <c r="B150" s="2">
        <v>149</v>
      </c>
      <c r="C150" s="2">
        <v>3</v>
      </c>
      <c r="D150" s="2">
        <v>1</v>
      </c>
      <c r="E150" s="2">
        <v>0.81799999999999995</v>
      </c>
      <c r="F150" s="2">
        <v>1</v>
      </c>
    </row>
    <row r="151" spans="1:6" ht="14.25" customHeight="1">
      <c r="A151" s="2">
        <v>49</v>
      </c>
      <c r="B151" s="2">
        <v>150</v>
      </c>
      <c r="C151" s="2">
        <v>8</v>
      </c>
      <c r="D151" s="2">
        <v>1</v>
      </c>
      <c r="E151" s="2">
        <v>0.70799999999999996</v>
      </c>
      <c r="F151" s="2">
        <v>1</v>
      </c>
    </row>
    <row r="152" spans="1:6" ht="14.25" customHeight="1">
      <c r="A152" s="2">
        <v>49</v>
      </c>
      <c r="B152" s="2">
        <v>151</v>
      </c>
      <c r="C152" s="2">
        <v>4</v>
      </c>
      <c r="D152" s="2">
        <v>1</v>
      </c>
      <c r="E152" s="2">
        <v>0.61499999999999999</v>
      </c>
      <c r="F152" s="2">
        <v>1</v>
      </c>
    </row>
    <row r="153" spans="1:6" ht="14.25" customHeight="1">
      <c r="A153" s="2">
        <v>49</v>
      </c>
      <c r="B153" s="2">
        <v>152</v>
      </c>
      <c r="C153" s="2">
        <v>5</v>
      </c>
      <c r="D153" s="2">
        <v>1</v>
      </c>
      <c r="E153" s="2">
        <v>0.98699999999999999</v>
      </c>
      <c r="F153" s="2">
        <v>1</v>
      </c>
    </row>
    <row r="154" spans="1:6" ht="14.25" customHeight="1">
      <c r="A154" s="2">
        <v>49</v>
      </c>
      <c r="B154" s="2">
        <v>153</v>
      </c>
      <c r="C154" s="2">
        <v>6</v>
      </c>
      <c r="D154" s="2">
        <v>1</v>
      </c>
      <c r="E154" s="2">
        <v>0.84699999999999998</v>
      </c>
      <c r="F154" s="2">
        <v>1</v>
      </c>
    </row>
    <row r="155" spans="1:6" ht="14.25" customHeight="1">
      <c r="A155" s="2">
        <v>49</v>
      </c>
      <c r="B155" s="2">
        <v>154</v>
      </c>
      <c r="C155" s="2">
        <v>8</v>
      </c>
      <c r="D155" s="2">
        <v>1</v>
      </c>
      <c r="E155" s="2">
        <v>0.53700000000000003</v>
      </c>
      <c r="F155" s="2">
        <v>2</v>
      </c>
    </row>
    <row r="156" spans="1:6" ht="14.25" customHeight="1">
      <c r="A156" s="2">
        <v>49</v>
      </c>
      <c r="B156" s="2">
        <v>155</v>
      </c>
      <c r="C156" s="2">
        <v>7</v>
      </c>
      <c r="D156" s="2">
        <v>1</v>
      </c>
      <c r="E156" s="2">
        <v>1.1020000000000001</v>
      </c>
      <c r="F156" s="2">
        <v>2</v>
      </c>
    </row>
    <row r="157" spans="1:6" ht="14.25" customHeight="1">
      <c r="A157" s="2">
        <v>49</v>
      </c>
      <c r="B157" s="2">
        <v>156</v>
      </c>
      <c r="C157" s="2">
        <v>6</v>
      </c>
      <c r="D157" s="2">
        <v>1</v>
      </c>
      <c r="E157" s="2">
        <v>0.58299999999999996</v>
      </c>
      <c r="F157" s="2">
        <v>1</v>
      </c>
    </row>
    <row r="158" spans="1:6" ht="14.25" customHeight="1">
      <c r="A158" s="2">
        <v>49</v>
      </c>
      <c r="B158" s="2">
        <v>157</v>
      </c>
      <c r="C158" s="2">
        <v>1</v>
      </c>
      <c r="D158" s="2">
        <v>1</v>
      </c>
      <c r="E158" s="2">
        <v>0.59099999999999997</v>
      </c>
      <c r="F158" s="2">
        <v>2</v>
      </c>
    </row>
    <row r="159" spans="1:6" ht="14.25" customHeight="1">
      <c r="A159" s="2">
        <v>49</v>
      </c>
      <c r="B159" s="2">
        <v>158</v>
      </c>
      <c r="C159" s="2">
        <v>3</v>
      </c>
      <c r="D159" s="2">
        <v>1</v>
      </c>
      <c r="E159" s="2">
        <v>0.378</v>
      </c>
      <c r="F159" s="2">
        <v>2</v>
      </c>
    </row>
    <row r="160" spans="1:6" ht="14.25" customHeight="1">
      <c r="A160" s="2">
        <v>49</v>
      </c>
      <c r="B160" s="2">
        <v>159</v>
      </c>
      <c r="C160" s="2">
        <v>2</v>
      </c>
      <c r="D160" s="2">
        <v>1</v>
      </c>
      <c r="E160" s="2">
        <v>0.91100000000000003</v>
      </c>
      <c r="F160" s="2">
        <v>1</v>
      </c>
    </row>
    <row r="161" spans="1:6" ht="14.25" customHeight="1">
      <c r="A161" s="2">
        <v>49</v>
      </c>
      <c r="B161" s="2">
        <v>160</v>
      </c>
      <c r="C161" s="2">
        <v>7</v>
      </c>
      <c r="D161" s="2">
        <v>0</v>
      </c>
      <c r="E161" s="2">
        <v>0.85699999999999998</v>
      </c>
      <c r="F161" s="2">
        <v>2</v>
      </c>
    </row>
    <row r="162" spans="1:6" ht="14.25" customHeight="1">
      <c r="A162" s="2">
        <v>49</v>
      </c>
      <c r="B162" s="2">
        <v>161</v>
      </c>
      <c r="C162" s="2">
        <v>3</v>
      </c>
      <c r="D162" s="2">
        <v>0</v>
      </c>
      <c r="E162" s="2">
        <v>0.77300000000000002</v>
      </c>
      <c r="F162" s="2">
        <v>2</v>
      </c>
    </row>
    <row r="163" spans="1:6" ht="14.25" customHeight="1">
      <c r="A163" s="2">
        <v>49</v>
      </c>
      <c r="B163" s="2">
        <v>162</v>
      </c>
      <c r="C163" s="2">
        <v>5</v>
      </c>
      <c r="D163" s="2">
        <v>0</v>
      </c>
      <c r="E163" s="2">
        <v>0.64300000000000002</v>
      </c>
      <c r="F163" s="2">
        <v>1</v>
      </c>
    </row>
    <row r="164" spans="1:6" ht="14.25" customHeight="1">
      <c r="A164" s="2">
        <v>49</v>
      </c>
      <c r="B164" s="2">
        <v>163</v>
      </c>
      <c r="C164" s="2">
        <v>6</v>
      </c>
      <c r="D164" s="2">
        <v>1</v>
      </c>
      <c r="E164" s="2">
        <v>0.98499999999999999</v>
      </c>
      <c r="F164" s="2">
        <v>1</v>
      </c>
    </row>
    <row r="165" spans="1:6" ht="14.25" customHeight="1">
      <c r="A165" s="2">
        <v>49</v>
      </c>
      <c r="B165" s="2">
        <v>164</v>
      </c>
      <c r="C165" s="2">
        <v>2</v>
      </c>
      <c r="D165" s="2">
        <v>0</v>
      </c>
      <c r="E165" s="2">
        <v>0.56499999999999995</v>
      </c>
      <c r="F165" s="2">
        <v>2</v>
      </c>
    </row>
    <row r="166" spans="1:6" ht="14.25" customHeight="1">
      <c r="A166" s="2">
        <v>49</v>
      </c>
      <c r="B166" s="2">
        <v>165</v>
      </c>
      <c r="C166" s="2">
        <v>1</v>
      </c>
      <c r="D166" s="2">
        <v>1</v>
      </c>
      <c r="E166" s="2">
        <v>0.79100000000000004</v>
      </c>
      <c r="F166" s="2">
        <v>1</v>
      </c>
    </row>
    <row r="167" spans="1:6" ht="14.25" customHeight="1">
      <c r="A167" s="2">
        <v>49</v>
      </c>
      <c r="B167" s="2">
        <v>166</v>
      </c>
      <c r="C167" s="2">
        <v>3</v>
      </c>
      <c r="D167" s="2">
        <v>1</v>
      </c>
      <c r="E167" s="2">
        <v>0.69</v>
      </c>
      <c r="F167" s="2">
        <v>1</v>
      </c>
    </row>
    <row r="168" spans="1:6" ht="14.25" customHeight="1">
      <c r="A168" s="2">
        <v>49</v>
      </c>
      <c r="B168" s="2">
        <v>167</v>
      </c>
      <c r="C168" s="2">
        <v>4</v>
      </c>
      <c r="D168" s="2">
        <v>1</v>
      </c>
      <c r="E168" s="2">
        <v>1.234</v>
      </c>
      <c r="F168" s="2">
        <v>2</v>
      </c>
    </row>
    <row r="169" spans="1:6" ht="14.25" customHeight="1">
      <c r="A169" s="2">
        <v>49</v>
      </c>
      <c r="B169" s="2">
        <v>168</v>
      </c>
      <c r="C169" s="2">
        <v>6</v>
      </c>
      <c r="D169" s="2">
        <v>1</v>
      </c>
      <c r="E169" s="2">
        <v>0.77400000000000002</v>
      </c>
      <c r="F169" s="2">
        <v>2</v>
      </c>
    </row>
    <row r="170" spans="1:6" ht="14.25" customHeight="1">
      <c r="A170" s="2">
        <v>49</v>
      </c>
      <c r="B170" s="2">
        <v>169</v>
      </c>
      <c r="C170" s="2">
        <v>2</v>
      </c>
      <c r="D170" s="2">
        <v>1</v>
      </c>
      <c r="E170" s="2">
        <v>0.63800000000000001</v>
      </c>
      <c r="F170" s="2">
        <v>1</v>
      </c>
    </row>
    <row r="171" spans="1:6" ht="14.25" customHeight="1">
      <c r="A171" s="2">
        <v>49</v>
      </c>
      <c r="B171" s="2">
        <v>170</v>
      </c>
      <c r="C171" s="2">
        <v>4</v>
      </c>
      <c r="D171" s="2">
        <v>1</v>
      </c>
      <c r="E171" s="2">
        <v>1.375</v>
      </c>
      <c r="F171" s="2">
        <v>1</v>
      </c>
    </row>
    <row r="172" spans="1:6" ht="14.25" customHeight="1">
      <c r="A172" s="2">
        <v>49</v>
      </c>
      <c r="B172" s="2">
        <v>171</v>
      </c>
      <c r="C172" s="2">
        <v>8</v>
      </c>
      <c r="D172" s="2">
        <v>1</v>
      </c>
      <c r="E172" s="2">
        <v>0.60399999999999998</v>
      </c>
      <c r="F172" s="2">
        <v>2</v>
      </c>
    </row>
    <row r="173" spans="1:6" ht="14.25" customHeight="1">
      <c r="A173" s="2">
        <v>49</v>
      </c>
      <c r="B173" s="2">
        <v>172</v>
      </c>
      <c r="C173" s="2">
        <v>6</v>
      </c>
      <c r="D173" s="2">
        <v>1</v>
      </c>
      <c r="E173" s="2">
        <v>0.79</v>
      </c>
      <c r="F173" s="2">
        <v>2</v>
      </c>
    </row>
    <row r="174" spans="1:6" ht="14.25" customHeight="1">
      <c r="A174" s="2">
        <v>49</v>
      </c>
      <c r="B174" s="2">
        <v>173</v>
      </c>
      <c r="C174" s="2">
        <v>2</v>
      </c>
      <c r="D174" s="2">
        <v>0</v>
      </c>
      <c r="E174" s="2">
        <v>0.80200000000000005</v>
      </c>
      <c r="F174" s="2">
        <v>1</v>
      </c>
    </row>
    <row r="175" spans="1:6" ht="14.25" customHeight="1">
      <c r="A175" s="2">
        <v>49</v>
      </c>
      <c r="B175" s="2">
        <v>174</v>
      </c>
      <c r="C175" s="2">
        <v>1</v>
      </c>
      <c r="D175" s="2">
        <v>1</v>
      </c>
      <c r="E175" s="2">
        <v>0.48099999999999998</v>
      </c>
      <c r="F175" s="2">
        <v>2</v>
      </c>
    </row>
    <row r="176" spans="1:6" ht="14.25" customHeight="1">
      <c r="A176" s="2">
        <v>49</v>
      </c>
      <c r="B176" s="2">
        <v>175</v>
      </c>
      <c r="C176" s="2">
        <v>6</v>
      </c>
      <c r="D176" s="2">
        <v>1</v>
      </c>
      <c r="E176" s="2">
        <v>0.754</v>
      </c>
      <c r="F176" s="2">
        <v>1</v>
      </c>
    </row>
    <row r="177" spans="1:6" ht="14.25" customHeight="1">
      <c r="A177" s="2">
        <v>49</v>
      </c>
      <c r="B177" s="2">
        <v>176</v>
      </c>
      <c r="C177" s="2">
        <v>1</v>
      </c>
      <c r="D177" s="2">
        <v>1</v>
      </c>
      <c r="E177" s="2">
        <v>0.6</v>
      </c>
      <c r="F177" s="2">
        <v>1</v>
      </c>
    </row>
    <row r="178" spans="1:6" ht="14.25" customHeight="1">
      <c r="A178" s="2">
        <v>49</v>
      </c>
      <c r="B178" s="2">
        <v>177</v>
      </c>
      <c r="C178" s="2">
        <v>5</v>
      </c>
      <c r="D178" s="2">
        <v>0</v>
      </c>
      <c r="E178" s="2">
        <v>0.74399999999999999</v>
      </c>
      <c r="F178" s="2">
        <v>1</v>
      </c>
    </row>
    <row r="179" spans="1:6" ht="14.25" customHeight="1">
      <c r="A179" s="2">
        <v>49</v>
      </c>
      <c r="B179" s="2">
        <v>178</v>
      </c>
      <c r="C179" s="2">
        <v>4</v>
      </c>
      <c r="D179" s="2">
        <v>0</v>
      </c>
      <c r="E179" s="2">
        <v>0.97199999999999998</v>
      </c>
      <c r="F179" s="2">
        <v>2</v>
      </c>
    </row>
    <row r="180" spans="1:6" ht="14.25" customHeight="1">
      <c r="A180" s="2">
        <v>49</v>
      </c>
      <c r="B180" s="2">
        <v>179</v>
      </c>
      <c r="C180" s="2">
        <v>8</v>
      </c>
      <c r="D180" s="2">
        <v>1</v>
      </c>
      <c r="E180" s="2">
        <v>0.67600000000000005</v>
      </c>
      <c r="F180" s="2">
        <v>2</v>
      </c>
    </row>
    <row r="181" spans="1:6" ht="14.25" customHeight="1">
      <c r="A181" s="2">
        <v>49</v>
      </c>
      <c r="B181" s="2">
        <v>180</v>
      </c>
      <c r="C181" s="2">
        <v>5</v>
      </c>
      <c r="D181" s="2">
        <v>0</v>
      </c>
      <c r="E181" s="2">
        <v>1.0409999999999999</v>
      </c>
      <c r="F181" s="2">
        <v>1</v>
      </c>
    </row>
    <row r="182" spans="1:6" ht="14.25" customHeight="1">
      <c r="A182" s="2">
        <v>49</v>
      </c>
      <c r="B182" s="2">
        <v>181</v>
      </c>
      <c r="C182" s="2">
        <v>8</v>
      </c>
      <c r="D182" s="2">
        <v>1</v>
      </c>
      <c r="E182" s="2">
        <v>1.3859999999999999</v>
      </c>
      <c r="F182" s="2">
        <v>1</v>
      </c>
    </row>
    <row r="183" spans="1:6" ht="14.25" customHeight="1">
      <c r="A183" s="2">
        <v>49</v>
      </c>
      <c r="B183" s="2">
        <v>182</v>
      </c>
      <c r="C183" s="2">
        <v>4</v>
      </c>
      <c r="D183" s="2">
        <v>1</v>
      </c>
      <c r="E183" s="2">
        <v>1.272</v>
      </c>
      <c r="F183" s="2">
        <v>2</v>
      </c>
    </row>
    <row r="184" spans="1:6" ht="14.25" customHeight="1">
      <c r="A184" s="2">
        <v>49</v>
      </c>
      <c r="B184" s="2">
        <v>183</v>
      </c>
      <c r="C184" s="2">
        <v>3</v>
      </c>
      <c r="D184" s="2">
        <v>1</v>
      </c>
      <c r="E184" s="2">
        <v>0.67200000000000004</v>
      </c>
      <c r="F184" s="2">
        <v>2</v>
      </c>
    </row>
    <row r="185" spans="1:6" ht="14.25" customHeight="1">
      <c r="A185" s="2">
        <v>49</v>
      </c>
      <c r="B185" s="2">
        <v>184</v>
      </c>
      <c r="C185" s="2">
        <v>1</v>
      </c>
      <c r="D185" s="2">
        <v>1</v>
      </c>
      <c r="E185" s="2">
        <v>0.61599999999999999</v>
      </c>
      <c r="F185" s="2">
        <v>2</v>
      </c>
    </row>
    <row r="186" spans="1:6" ht="14.25" customHeight="1">
      <c r="A186" s="2">
        <v>49</v>
      </c>
      <c r="B186" s="2">
        <v>185</v>
      </c>
      <c r="C186" s="2">
        <v>7</v>
      </c>
      <c r="D186" s="2">
        <v>0</v>
      </c>
      <c r="E186" s="2">
        <v>0.67600000000000005</v>
      </c>
      <c r="F186" s="2">
        <v>1</v>
      </c>
    </row>
    <row r="187" spans="1:6" ht="14.25" customHeight="1">
      <c r="A187" s="2">
        <v>49</v>
      </c>
      <c r="B187" s="2">
        <v>186</v>
      </c>
      <c r="C187" s="2">
        <v>2</v>
      </c>
      <c r="D187" s="2">
        <v>1</v>
      </c>
      <c r="E187" s="2">
        <v>0.63400000000000001</v>
      </c>
      <c r="F187" s="2">
        <v>2</v>
      </c>
    </row>
    <row r="188" spans="1:6" ht="14.25" customHeight="1">
      <c r="A188" s="2">
        <v>49</v>
      </c>
      <c r="B188" s="2">
        <v>187</v>
      </c>
      <c r="C188" s="2">
        <v>7</v>
      </c>
      <c r="D188" s="2">
        <v>1</v>
      </c>
      <c r="E188" s="2">
        <v>0.78600000000000003</v>
      </c>
      <c r="F188" s="2">
        <v>1</v>
      </c>
    </row>
    <row r="189" spans="1:6" ht="14.25" customHeight="1">
      <c r="A189" s="2">
        <v>49</v>
      </c>
      <c r="B189" s="2">
        <v>188</v>
      </c>
      <c r="C189" s="2">
        <v>3</v>
      </c>
      <c r="D189" s="2">
        <v>1</v>
      </c>
      <c r="E189" s="2">
        <v>0.78400000000000003</v>
      </c>
      <c r="F189" s="2">
        <v>2</v>
      </c>
    </row>
    <row r="190" spans="1:6" ht="14.25" customHeight="1">
      <c r="A190" s="2">
        <v>49</v>
      </c>
      <c r="B190" s="2">
        <v>189</v>
      </c>
      <c r="C190" s="2">
        <v>8</v>
      </c>
      <c r="D190" s="2">
        <v>0</v>
      </c>
      <c r="E190" s="2">
        <v>0.80500000000000005</v>
      </c>
      <c r="F190" s="2">
        <v>2</v>
      </c>
    </row>
    <row r="191" spans="1:6" ht="14.25" customHeight="1">
      <c r="A191" s="2">
        <v>49</v>
      </c>
      <c r="B191" s="2">
        <v>190</v>
      </c>
      <c r="C191" s="2">
        <v>7</v>
      </c>
      <c r="D191" s="2">
        <v>1</v>
      </c>
      <c r="E191" s="2">
        <v>1.264</v>
      </c>
      <c r="F191" s="2">
        <v>2</v>
      </c>
    </row>
    <row r="192" spans="1:6" ht="14.25" customHeight="1">
      <c r="A192" s="2">
        <v>49</v>
      </c>
      <c r="B192" s="2">
        <v>191</v>
      </c>
      <c r="C192" s="2">
        <v>5</v>
      </c>
      <c r="D192" s="2">
        <v>1</v>
      </c>
      <c r="E192" s="2">
        <v>0.58399999999999996</v>
      </c>
      <c r="F192" s="2">
        <v>2</v>
      </c>
    </row>
    <row r="193" spans="1:6" ht="14.25" customHeight="1">
      <c r="A193" s="2">
        <v>49</v>
      </c>
      <c r="B193" s="2">
        <v>192</v>
      </c>
      <c r="C193" s="2">
        <v>1</v>
      </c>
      <c r="D193" s="2">
        <v>1</v>
      </c>
      <c r="E193" s="2">
        <v>0.79</v>
      </c>
      <c r="F193" s="2">
        <v>1</v>
      </c>
    </row>
    <row r="194" spans="1:6" ht="14.25" customHeight="1">
      <c r="A194" s="2">
        <v>49</v>
      </c>
      <c r="B194" s="2">
        <v>193</v>
      </c>
      <c r="C194" s="2">
        <v>5</v>
      </c>
      <c r="D194" s="2">
        <v>1</v>
      </c>
      <c r="E194" s="2">
        <v>0.55700000000000005</v>
      </c>
      <c r="F194" s="2">
        <v>1</v>
      </c>
    </row>
    <row r="195" spans="1:6" ht="14.25" customHeight="1">
      <c r="A195" s="2">
        <v>49</v>
      </c>
      <c r="B195" s="2">
        <v>194</v>
      </c>
      <c r="C195" s="2">
        <v>8</v>
      </c>
      <c r="D195" s="2">
        <v>1</v>
      </c>
      <c r="E195" s="2">
        <v>1.6970000000000001</v>
      </c>
      <c r="F195" s="2">
        <v>1</v>
      </c>
    </row>
    <row r="196" spans="1:6" ht="14.25" customHeight="1">
      <c r="A196" s="2">
        <v>49</v>
      </c>
      <c r="B196" s="2">
        <v>195</v>
      </c>
      <c r="C196" s="2">
        <v>7</v>
      </c>
      <c r="D196" s="2">
        <v>1</v>
      </c>
      <c r="E196" s="2">
        <v>0.56299999999999994</v>
      </c>
      <c r="F196" s="2">
        <v>2</v>
      </c>
    </row>
    <row r="197" spans="1:6" ht="14.25" customHeight="1">
      <c r="A197" s="2">
        <v>49</v>
      </c>
      <c r="B197" s="2">
        <v>196</v>
      </c>
      <c r="C197" s="2">
        <v>2</v>
      </c>
      <c r="D197" s="2">
        <v>1</v>
      </c>
      <c r="E197" s="2">
        <v>0.81899999999999995</v>
      </c>
      <c r="F197" s="2">
        <v>1</v>
      </c>
    </row>
    <row r="198" spans="1:6" ht="14.25" customHeight="1">
      <c r="A198" s="2">
        <v>49</v>
      </c>
      <c r="B198" s="2">
        <v>197</v>
      </c>
      <c r="C198" s="2">
        <v>8</v>
      </c>
      <c r="D198" s="2">
        <v>1</v>
      </c>
      <c r="E198" s="2">
        <v>0.61499999999999999</v>
      </c>
      <c r="F198" s="2">
        <v>2</v>
      </c>
    </row>
    <row r="199" spans="1:6" ht="14.25" customHeight="1">
      <c r="A199" s="2">
        <v>49</v>
      </c>
      <c r="B199" s="2">
        <v>198</v>
      </c>
      <c r="C199" s="2">
        <v>6</v>
      </c>
      <c r="D199" s="2">
        <v>0</v>
      </c>
      <c r="E199" s="2">
        <v>0.52700000000000002</v>
      </c>
      <c r="F199" s="2">
        <v>1</v>
      </c>
    </row>
    <row r="200" spans="1:6" ht="14.25" customHeight="1">
      <c r="A200" s="2">
        <v>49</v>
      </c>
      <c r="B200" s="2">
        <v>199</v>
      </c>
      <c r="C200" s="2">
        <v>3</v>
      </c>
      <c r="D200" s="2">
        <v>1</v>
      </c>
      <c r="E200" s="2">
        <v>1.0189999999999999</v>
      </c>
      <c r="F200" s="2">
        <v>1</v>
      </c>
    </row>
    <row r="201" spans="1:6" ht="14.25" customHeight="1">
      <c r="A201" s="2">
        <v>49</v>
      </c>
      <c r="B201" s="2">
        <v>200</v>
      </c>
      <c r="C201" s="2">
        <v>4</v>
      </c>
      <c r="D201" s="2">
        <v>1</v>
      </c>
      <c r="E201" s="2">
        <v>1.081</v>
      </c>
      <c r="F201" s="2">
        <v>1</v>
      </c>
    </row>
    <row r="202" spans="1:6" ht="14.25" customHeight="1">
      <c r="A202" s="2">
        <v>49</v>
      </c>
      <c r="B202" s="2">
        <v>201</v>
      </c>
      <c r="C202" s="2">
        <v>1</v>
      </c>
      <c r="D202" s="2">
        <v>1</v>
      </c>
      <c r="E202" s="2">
        <v>0.70399999999999996</v>
      </c>
      <c r="F202" s="2">
        <v>1</v>
      </c>
    </row>
    <row r="203" spans="1:6" ht="14.25" customHeight="1">
      <c r="A203" s="2">
        <v>49</v>
      </c>
      <c r="B203" s="2">
        <v>202</v>
      </c>
      <c r="C203" s="2">
        <v>2</v>
      </c>
      <c r="D203" s="2">
        <v>1</v>
      </c>
      <c r="E203" s="2">
        <v>0.629</v>
      </c>
      <c r="F203" s="2">
        <v>1</v>
      </c>
    </row>
    <row r="204" spans="1:6" ht="14.25" customHeight="1">
      <c r="A204" s="2">
        <v>49</v>
      </c>
      <c r="B204" s="2">
        <v>203</v>
      </c>
      <c r="C204" s="2">
        <v>6</v>
      </c>
      <c r="D204" s="2">
        <v>1</v>
      </c>
      <c r="E204" s="2">
        <v>0.63100000000000001</v>
      </c>
      <c r="F204" s="2">
        <v>1</v>
      </c>
    </row>
    <row r="205" spans="1:6" ht="14.25" customHeight="1">
      <c r="A205" s="2">
        <v>49</v>
      </c>
      <c r="B205" s="2">
        <v>204</v>
      </c>
      <c r="C205" s="2">
        <v>5</v>
      </c>
      <c r="D205" s="2">
        <v>1</v>
      </c>
      <c r="E205" s="2">
        <v>0.50800000000000001</v>
      </c>
      <c r="F205" s="2">
        <v>2</v>
      </c>
    </row>
    <row r="206" spans="1:6" ht="14.25" customHeight="1">
      <c r="A206" s="2">
        <v>49</v>
      </c>
      <c r="B206" s="2">
        <v>205</v>
      </c>
      <c r="C206" s="2">
        <v>8</v>
      </c>
      <c r="D206" s="2">
        <v>1</v>
      </c>
      <c r="E206" s="2">
        <v>0.48099999999999998</v>
      </c>
      <c r="F206" s="2">
        <v>2</v>
      </c>
    </row>
    <row r="207" spans="1:6" ht="14.25" customHeight="1">
      <c r="A207" s="2">
        <v>49</v>
      </c>
      <c r="B207" s="2">
        <v>206</v>
      </c>
      <c r="C207" s="2">
        <v>5</v>
      </c>
      <c r="D207" s="2">
        <v>1</v>
      </c>
      <c r="E207" s="2">
        <v>0.72199999999999998</v>
      </c>
      <c r="F207" s="2">
        <v>1</v>
      </c>
    </row>
    <row r="208" spans="1:6" ht="14.25" customHeight="1">
      <c r="A208" s="2">
        <v>49</v>
      </c>
      <c r="B208" s="2">
        <v>207</v>
      </c>
      <c r="C208" s="2">
        <v>4</v>
      </c>
      <c r="D208" s="2">
        <v>1</v>
      </c>
      <c r="E208" s="2">
        <v>0.57999999999999996</v>
      </c>
      <c r="F208" s="2">
        <v>2</v>
      </c>
    </row>
    <row r="209" spans="1:6" ht="14.25" customHeight="1">
      <c r="A209" s="2">
        <v>49</v>
      </c>
      <c r="B209" s="2">
        <v>208</v>
      </c>
      <c r="C209" s="2">
        <v>8</v>
      </c>
      <c r="D209" s="2">
        <v>1</v>
      </c>
      <c r="E209" s="2">
        <v>0.51300000000000001</v>
      </c>
      <c r="F209" s="2">
        <v>2</v>
      </c>
    </row>
    <row r="210" spans="1:6" ht="14.25" customHeight="1">
      <c r="A210" s="2">
        <v>49</v>
      </c>
      <c r="B210" s="2">
        <v>209</v>
      </c>
      <c r="C210" s="2">
        <v>3</v>
      </c>
      <c r="D210" s="2">
        <v>1</v>
      </c>
      <c r="E210" s="2">
        <v>0.61299999999999999</v>
      </c>
      <c r="F210" s="2">
        <v>1</v>
      </c>
    </row>
    <row r="211" spans="1:6" ht="14.25" customHeight="1">
      <c r="A211" s="2">
        <v>49</v>
      </c>
      <c r="B211" s="2">
        <v>210</v>
      </c>
      <c r="C211" s="2">
        <v>1</v>
      </c>
      <c r="D211" s="2">
        <v>1</v>
      </c>
      <c r="E211" s="2">
        <v>0.88900000000000001</v>
      </c>
      <c r="F211" s="2">
        <v>1</v>
      </c>
    </row>
    <row r="212" spans="1:6" ht="14.25" customHeight="1">
      <c r="A212" s="2">
        <v>49</v>
      </c>
      <c r="B212" s="2">
        <v>211</v>
      </c>
      <c r="C212" s="2">
        <v>6</v>
      </c>
      <c r="D212" s="2">
        <v>1</v>
      </c>
      <c r="E212" s="2">
        <v>0.72699999999999998</v>
      </c>
      <c r="F212" s="2">
        <v>1</v>
      </c>
    </row>
    <row r="213" spans="1:6" ht="14.25" customHeight="1">
      <c r="A213" s="2">
        <v>49</v>
      </c>
      <c r="B213" s="2">
        <v>212</v>
      </c>
      <c r="C213" s="2">
        <v>5</v>
      </c>
      <c r="D213" s="2">
        <v>1</v>
      </c>
      <c r="E213" s="2">
        <v>0.88</v>
      </c>
      <c r="F213" s="2">
        <v>2</v>
      </c>
    </row>
    <row r="214" spans="1:6" ht="14.25" customHeight="1">
      <c r="A214" s="2">
        <v>49</v>
      </c>
      <c r="B214" s="2">
        <v>213</v>
      </c>
      <c r="C214" s="2">
        <v>7</v>
      </c>
      <c r="D214" s="2">
        <v>0</v>
      </c>
      <c r="E214" s="2">
        <v>1.2450000000000001</v>
      </c>
      <c r="F214" s="2">
        <v>2</v>
      </c>
    </row>
    <row r="215" spans="1:6" ht="14.25" customHeight="1">
      <c r="A215" s="2">
        <v>49</v>
      </c>
      <c r="B215" s="2">
        <v>214</v>
      </c>
      <c r="C215" s="2">
        <v>3</v>
      </c>
      <c r="D215" s="2">
        <v>1</v>
      </c>
      <c r="E215" s="2">
        <v>0.77200000000000002</v>
      </c>
      <c r="F215" s="2">
        <v>1</v>
      </c>
    </row>
    <row r="216" spans="1:6" ht="14.25" customHeight="1">
      <c r="A216" s="2">
        <v>49</v>
      </c>
      <c r="B216" s="2">
        <v>215</v>
      </c>
      <c r="C216" s="2">
        <v>5</v>
      </c>
      <c r="D216" s="2">
        <v>1</v>
      </c>
      <c r="E216" s="2">
        <v>0.625</v>
      </c>
      <c r="F216" s="2">
        <v>1</v>
      </c>
    </row>
    <row r="217" spans="1:6" ht="14.25" customHeight="1">
      <c r="A217" s="2">
        <v>49</v>
      </c>
      <c r="B217" s="2">
        <v>216</v>
      </c>
      <c r="C217" s="2">
        <v>8</v>
      </c>
      <c r="D217" s="2">
        <v>1</v>
      </c>
      <c r="E217" s="2">
        <v>0.55200000000000005</v>
      </c>
      <c r="F217" s="2">
        <v>1</v>
      </c>
    </row>
    <row r="218" spans="1:6" ht="14.25" customHeight="1">
      <c r="A218" s="2">
        <v>49</v>
      </c>
      <c r="B218" s="2">
        <v>217</v>
      </c>
      <c r="C218" s="2">
        <v>6</v>
      </c>
      <c r="D218" s="2">
        <v>0</v>
      </c>
      <c r="E218" s="2">
        <v>0.98899999999999999</v>
      </c>
      <c r="F218" s="2">
        <v>1</v>
      </c>
    </row>
    <row r="219" spans="1:6" ht="14.25" customHeight="1">
      <c r="A219" s="2">
        <v>49</v>
      </c>
      <c r="B219" s="2">
        <v>218</v>
      </c>
      <c r="C219" s="2">
        <v>8</v>
      </c>
      <c r="D219" s="2">
        <v>1</v>
      </c>
      <c r="E219" s="2">
        <v>0.57199999999999995</v>
      </c>
      <c r="F219" s="2">
        <v>2</v>
      </c>
    </row>
    <row r="220" spans="1:6" ht="14.25" customHeight="1">
      <c r="A220" s="2">
        <v>49</v>
      </c>
      <c r="B220" s="2">
        <v>219</v>
      </c>
      <c r="C220" s="2">
        <v>4</v>
      </c>
      <c r="D220" s="2">
        <v>1</v>
      </c>
      <c r="E220" s="2">
        <v>0.747</v>
      </c>
      <c r="F220" s="2">
        <v>1</v>
      </c>
    </row>
    <row r="221" spans="1:6" ht="14.25" customHeight="1">
      <c r="A221" s="2">
        <v>49</v>
      </c>
      <c r="B221" s="2">
        <v>220</v>
      </c>
      <c r="C221" s="2">
        <v>8</v>
      </c>
      <c r="D221" s="2">
        <v>1</v>
      </c>
      <c r="E221" s="2">
        <v>0.65900000000000003</v>
      </c>
      <c r="F221" s="2">
        <v>1</v>
      </c>
    </row>
    <row r="222" spans="1:6" ht="14.25" customHeight="1">
      <c r="A222" s="2">
        <v>49</v>
      </c>
      <c r="B222" s="2">
        <v>221</v>
      </c>
      <c r="C222" s="2">
        <v>1</v>
      </c>
      <c r="D222" s="2">
        <v>1</v>
      </c>
      <c r="E222" s="2">
        <v>0.53400000000000003</v>
      </c>
      <c r="F222" s="2">
        <v>2</v>
      </c>
    </row>
    <row r="223" spans="1:6" ht="14.25" customHeight="1">
      <c r="A223" s="2">
        <v>49</v>
      </c>
      <c r="B223" s="2">
        <v>222</v>
      </c>
      <c r="C223" s="2">
        <v>6</v>
      </c>
      <c r="D223" s="2">
        <v>1</v>
      </c>
      <c r="E223" s="2">
        <v>0.71099999999999997</v>
      </c>
      <c r="F223" s="2">
        <v>2</v>
      </c>
    </row>
    <row r="224" spans="1:6" ht="14.25" customHeight="1">
      <c r="A224" s="2">
        <v>49</v>
      </c>
      <c r="B224" s="2">
        <v>223</v>
      </c>
      <c r="C224" s="2">
        <v>2</v>
      </c>
      <c r="D224" s="2">
        <v>0</v>
      </c>
      <c r="E224" s="2">
        <v>0.88600000000000001</v>
      </c>
      <c r="F224" s="2">
        <v>1</v>
      </c>
    </row>
    <row r="225" spans="1:6" ht="14.25" customHeight="1">
      <c r="A225" s="2">
        <v>49</v>
      </c>
      <c r="B225" s="2">
        <v>224</v>
      </c>
      <c r="C225" s="2">
        <v>8</v>
      </c>
      <c r="D225" s="2">
        <v>1</v>
      </c>
      <c r="E225" s="2">
        <v>0.54500000000000004</v>
      </c>
      <c r="F225" s="2">
        <v>2</v>
      </c>
    </row>
    <row r="226" spans="1:6" ht="14.25" customHeight="1">
      <c r="A226" s="2">
        <v>49</v>
      </c>
      <c r="B226" s="2">
        <v>225</v>
      </c>
      <c r="C226" s="2">
        <v>3</v>
      </c>
      <c r="D226" s="2">
        <v>1</v>
      </c>
      <c r="E226" s="2">
        <v>0.77100000000000002</v>
      </c>
      <c r="F226" s="2">
        <v>1</v>
      </c>
    </row>
    <row r="227" spans="1:6" ht="14.25" customHeight="1">
      <c r="A227" s="2">
        <v>49</v>
      </c>
      <c r="B227" s="2">
        <v>226</v>
      </c>
      <c r="C227" s="2">
        <v>8</v>
      </c>
      <c r="D227" s="2">
        <v>1</v>
      </c>
      <c r="E227" s="2">
        <v>0.60199999999999998</v>
      </c>
      <c r="F227" s="2">
        <v>1</v>
      </c>
    </row>
    <row r="228" spans="1:6" ht="14.25" customHeight="1">
      <c r="A228" s="2">
        <v>49</v>
      </c>
      <c r="B228" s="2">
        <v>227</v>
      </c>
      <c r="C228" s="2">
        <v>1</v>
      </c>
      <c r="D228" s="2">
        <v>1</v>
      </c>
      <c r="E228" s="2">
        <v>0.78600000000000003</v>
      </c>
      <c r="F228" s="2">
        <v>2</v>
      </c>
    </row>
    <row r="229" spans="1:6" ht="14.25" customHeight="1">
      <c r="A229" s="2">
        <v>49</v>
      </c>
      <c r="B229" s="2">
        <v>228</v>
      </c>
      <c r="C229" s="2">
        <v>3</v>
      </c>
      <c r="D229" s="2">
        <v>1</v>
      </c>
      <c r="E229" s="2">
        <v>0.70699999999999996</v>
      </c>
      <c r="F229" s="2">
        <v>1</v>
      </c>
    </row>
    <row r="230" spans="1:6" ht="14.25" customHeight="1">
      <c r="A230" s="2">
        <v>49</v>
      </c>
      <c r="B230" s="2">
        <v>229</v>
      </c>
      <c r="C230" s="2">
        <v>7</v>
      </c>
      <c r="D230" s="2">
        <v>1</v>
      </c>
      <c r="E230" s="2">
        <v>0.59799999999999998</v>
      </c>
      <c r="F230" s="2">
        <v>2</v>
      </c>
    </row>
    <row r="231" spans="1:6" ht="14.25" customHeight="1">
      <c r="A231" s="2">
        <v>49</v>
      </c>
      <c r="B231" s="2">
        <v>230</v>
      </c>
      <c r="C231" s="2">
        <v>2</v>
      </c>
      <c r="D231" s="2">
        <v>1</v>
      </c>
      <c r="E231" s="2">
        <v>0.54400000000000004</v>
      </c>
      <c r="F231" s="2">
        <v>2</v>
      </c>
    </row>
    <row r="232" spans="1:6" ht="14.25" customHeight="1">
      <c r="A232" s="2">
        <v>49</v>
      </c>
      <c r="B232" s="2">
        <v>231</v>
      </c>
      <c r="C232" s="2">
        <v>4</v>
      </c>
      <c r="D232" s="2">
        <v>1</v>
      </c>
      <c r="E232" s="2">
        <v>0.86199999999999999</v>
      </c>
      <c r="F232" s="2">
        <v>1</v>
      </c>
    </row>
    <row r="233" spans="1:6" ht="14.25" customHeight="1">
      <c r="A233" s="2">
        <v>49</v>
      </c>
      <c r="B233" s="2">
        <v>232</v>
      </c>
      <c r="C233" s="2">
        <v>6</v>
      </c>
      <c r="D233" s="2">
        <v>0</v>
      </c>
      <c r="E233" s="2">
        <v>0.52900000000000003</v>
      </c>
      <c r="F233" s="2">
        <v>1</v>
      </c>
    </row>
    <row r="234" spans="1:6" ht="14.25" customHeight="1">
      <c r="A234" s="2">
        <v>49</v>
      </c>
      <c r="B234" s="2">
        <v>233</v>
      </c>
      <c r="C234" s="2">
        <v>7</v>
      </c>
      <c r="D234" s="2">
        <v>1</v>
      </c>
      <c r="E234" s="2">
        <v>0.61299999999999999</v>
      </c>
      <c r="F234" s="2">
        <v>2</v>
      </c>
    </row>
    <row r="235" spans="1:6" ht="14.25" customHeight="1">
      <c r="A235" s="2">
        <v>49</v>
      </c>
      <c r="B235" s="2">
        <v>234</v>
      </c>
      <c r="C235" s="2">
        <v>2</v>
      </c>
      <c r="D235" s="2">
        <v>1</v>
      </c>
      <c r="E235" s="2">
        <v>0.59099999999999997</v>
      </c>
      <c r="F235" s="2">
        <v>2</v>
      </c>
    </row>
    <row r="236" spans="1:6" ht="14.25" customHeight="1">
      <c r="A236" s="2">
        <v>49</v>
      </c>
      <c r="B236" s="2">
        <v>235</v>
      </c>
      <c r="C236" s="2">
        <v>7</v>
      </c>
      <c r="D236" s="2">
        <v>1</v>
      </c>
      <c r="E236" s="2">
        <v>0.94899999999999995</v>
      </c>
      <c r="F236" s="2">
        <v>2</v>
      </c>
    </row>
    <row r="237" spans="1:6" ht="14.25" customHeight="1">
      <c r="A237" s="2">
        <v>49</v>
      </c>
      <c r="B237" s="2">
        <v>236</v>
      </c>
      <c r="C237" s="2">
        <v>3</v>
      </c>
      <c r="D237" s="2">
        <v>1</v>
      </c>
      <c r="E237" s="2">
        <v>0.52600000000000002</v>
      </c>
      <c r="F237" s="2">
        <v>2</v>
      </c>
    </row>
    <row r="238" spans="1:6" ht="14.25" customHeight="1">
      <c r="A238" s="2">
        <v>49</v>
      </c>
      <c r="B238" s="2">
        <v>237</v>
      </c>
      <c r="C238" s="2">
        <v>5</v>
      </c>
      <c r="D238" s="2">
        <v>1</v>
      </c>
      <c r="E238" s="2">
        <v>0.56999999999999995</v>
      </c>
      <c r="F238" s="2">
        <v>1</v>
      </c>
    </row>
    <row r="239" spans="1:6" ht="14.25" customHeight="1">
      <c r="A239" s="2">
        <v>49</v>
      </c>
      <c r="B239" s="2">
        <v>238</v>
      </c>
      <c r="C239" s="2">
        <v>7</v>
      </c>
      <c r="D239" s="2">
        <v>1</v>
      </c>
      <c r="E239" s="2">
        <v>0.48199999999999998</v>
      </c>
      <c r="F239" s="2">
        <v>2</v>
      </c>
    </row>
    <row r="240" spans="1:6" ht="14.25" customHeight="1">
      <c r="A240" s="2">
        <v>49</v>
      </c>
      <c r="B240" s="2">
        <v>239</v>
      </c>
      <c r="C240" s="2">
        <v>6</v>
      </c>
      <c r="D240" s="2">
        <v>0</v>
      </c>
      <c r="E240" s="2">
        <v>0.878</v>
      </c>
      <c r="F240" s="2">
        <v>2</v>
      </c>
    </row>
    <row r="241" spans="1:6" ht="14.25" customHeight="1">
      <c r="A241" s="2">
        <v>49</v>
      </c>
      <c r="B241" s="2">
        <v>240</v>
      </c>
      <c r="C241" s="2">
        <v>7</v>
      </c>
      <c r="D241" s="2">
        <v>1</v>
      </c>
      <c r="E241" s="2">
        <v>0.70699999999999996</v>
      </c>
      <c r="F241" s="2">
        <v>2</v>
      </c>
    </row>
    <row r="242" spans="1:6" ht="14.25" customHeight="1">
      <c r="A242" s="2">
        <v>49</v>
      </c>
      <c r="B242" s="2">
        <v>241</v>
      </c>
      <c r="C242" s="2">
        <v>2</v>
      </c>
      <c r="D242" s="2">
        <v>1</v>
      </c>
      <c r="E242" s="2">
        <v>0.67500000000000004</v>
      </c>
      <c r="F242" s="2">
        <v>2</v>
      </c>
    </row>
    <row r="243" spans="1:6" ht="14.25" customHeight="1">
      <c r="A243" s="2">
        <v>49</v>
      </c>
      <c r="B243" s="2">
        <v>242</v>
      </c>
      <c r="C243" s="2">
        <v>4</v>
      </c>
      <c r="D243" s="2">
        <v>1</v>
      </c>
      <c r="E243" s="2">
        <v>0.60299999999999998</v>
      </c>
      <c r="F243" s="2">
        <v>1</v>
      </c>
    </row>
    <row r="244" spans="1:6" ht="14.25" customHeight="1">
      <c r="A244" s="2">
        <v>49</v>
      </c>
      <c r="B244" s="2">
        <v>243</v>
      </c>
      <c r="C244" s="2">
        <v>1</v>
      </c>
      <c r="D244" s="2">
        <v>0</v>
      </c>
      <c r="E244" s="2">
        <v>0.88200000000000001</v>
      </c>
      <c r="F244" s="2">
        <v>2</v>
      </c>
    </row>
    <row r="245" spans="1:6" ht="14.25" customHeight="1">
      <c r="A245" s="2">
        <v>49</v>
      </c>
      <c r="B245" s="2">
        <v>244</v>
      </c>
      <c r="C245" s="2">
        <v>5</v>
      </c>
      <c r="D245" s="2">
        <v>1</v>
      </c>
      <c r="E245" s="2">
        <v>0.65900000000000003</v>
      </c>
      <c r="F245" s="2">
        <v>1</v>
      </c>
    </row>
    <row r="246" spans="1:6" ht="14.25" customHeight="1">
      <c r="A246" s="2">
        <v>49</v>
      </c>
      <c r="B246" s="2">
        <v>245</v>
      </c>
      <c r="C246" s="2">
        <v>2</v>
      </c>
      <c r="D246" s="2">
        <v>1</v>
      </c>
      <c r="E246" s="2">
        <v>0.58299999999999996</v>
      </c>
      <c r="F246" s="2">
        <v>2</v>
      </c>
    </row>
    <row r="247" spans="1:6" ht="14.25" customHeight="1">
      <c r="A247" s="2">
        <v>49</v>
      </c>
      <c r="B247" s="2">
        <v>246</v>
      </c>
      <c r="C247" s="2">
        <v>4</v>
      </c>
      <c r="D247" s="2">
        <v>1</v>
      </c>
      <c r="E247" s="2">
        <v>0.43</v>
      </c>
      <c r="F247" s="2">
        <v>1</v>
      </c>
    </row>
    <row r="248" spans="1:6" ht="14.25" customHeight="1">
      <c r="A248" s="2">
        <v>49</v>
      </c>
      <c r="B248" s="2">
        <v>247</v>
      </c>
      <c r="C248" s="2">
        <v>6</v>
      </c>
      <c r="D248" s="2">
        <v>1</v>
      </c>
      <c r="E248" s="2">
        <v>0.53800000000000003</v>
      </c>
      <c r="F248" s="2">
        <v>2</v>
      </c>
    </row>
    <row r="249" spans="1:6" ht="14.25" customHeight="1">
      <c r="A249" s="2">
        <v>49</v>
      </c>
      <c r="B249" s="2">
        <v>248</v>
      </c>
      <c r="C249" s="2">
        <v>4</v>
      </c>
      <c r="D249" s="2">
        <v>1</v>
      </c>
      <c r="E249" s="2">
        <v>0.94199999999999995</v>
      </c>
      <c r="F249" s="2">
        <v>2</v>
      </c>
    </row>
    <row r="250" spans="1:6" ht="14.25" customHeight="1">
      <c r="A250" s="2">
        <v>49</v>
      </c>
      <c r="B250" s="2">
        <v>249</v>
      </c>
      <c r="C250" s="2">
        <v>3</v>
      </c>
      <c r="D250" s="2">
        <v>1</v>
      </c>
      <c r="E250" s="2">
        <v>0.63300000000000001</v>
      </c>
      <c r="F250" s="2">
        <v>1</v>
      </c>
    </row>
    <row r="251" spans="1:6" ht="14.25" customHeight="1">
      <c r="A251" s="2">
        <v>49</v>
      </c>
      <c r="B251" s="2">
        <v>250</v>
      </c>
      <c r="C251" s="2">
        <v>1</v>
      </c>
      <c r="D251" s="2">
        <v>1</v>
      </c>
      <c r="E251" s="2">
        <v>1.123</v>
      </c>
      <c r="F251" s="2">
        <v>1</v>
      </c>
    </row>
    <row r="252" spans="1:6" ht="14.25" customHeight="1">
      <c r="A252" s="2">
        <v>49</v>
      </c>
      <c r="B252" s="2">
        <v>251</v>
      </c>
      <c r="C252" s="2">
        <v>6</v>
      </c>
      <c r="D252" s="2">
        <v>1</v>
      </c>
      <c r="E252" s="2">
        <v>0.72599999999999998</v>
      </c>
      <c r="F252" s="2">
        <v>1</v>
      </c>
    </row>
    <row r="253" spans="1:6" ht="14.25" customHeight="1">
      <c r="A253" s="2">
        <v>49</v>
      </c>
      <c r="B253" s="2">
        <v>252</v>
      </c>
      <c r="C253" s="2">
        <v>7</v>
      </c>
      <c r="D253" s="2">
        <v>1</v>
      </c>
      <c r="E253" s="2">
        <v>0.629</v>
      </c>
      <c r="F253" s="2">
        <v>1</v>
      </c>
    </row>
    <row r="254" spans="1:6" ht="14.25" customHeight="1">
      <c r="A254" s="2">
        <v>49</v>
      </c>
      <c r="B254" s="2">
        <v>253</v>
      </c>
      <c r="C254" s="2">
        <v>3</v>
      </c>
      <c r="D254" s="2">
        <v>1</v>
      </c>
      <c r="E254" s="2">
        <v>0.59699999999999998</v>
      </c>
      <c r="F254" s="2">
        <v>1</v>
      </c>
    </row>
    <row r="255" spans="1:6" ht="14.25" customHeight="1">
      <c r="A255" s="2">
        <v>49</v>
      </c>
      <c r="B255" s="2">
        <v>254</v>
      </c>
      <c r="C255" s="2">
        <v>4</v>
      </c>
      <c r="D255" s="2">
        <v>1</v>
      </c>
      <c r="E255" s="2">
        <v>0.51800000000000002</v>
      </c>
      <c r="F255" s="2">
        <v>2</v>
      </c>
    </row>
    <row r="256" spans="1:6" ht="14.25" customHeight="1">
      <c r="A256" s="2">
        <v>49</v>
      </c>
      <c r="B256" s="2">
        <v>255</v>
      </c>
      <c r="C256" s="2">
        <v>8</v>
      </c>
      <c r="D256" s="2">
        <v>1</v>
      </c>
      <c r="E256" s="2">
        <v>0.65</v>
      </c>
      <c r="F256" s="2">
        <v>2</v>
      </c>
    </row>
    <row r="257" spans="1:6" ht="14.25" customHeight="1">
      <c r="A257" s="2">
        <v>49</v>
      </c>
      <c r="B257" s="2">
        <v>256</v>
      </c>
      <c r="C257" s="2">
        <v>2</v>
      </c>
      <c r="D257" s="2">
        <v>1</v>
      </c>
      <c r="E257" s="2">
        <v>0.60099999999999998</v>
      </c>
      <c r="F257" s="2">
        <v>1</v>
      </c>
    </row>
    <row r="258" spans="1:6" ht="14.25" customHeight="1">
      <c r="A258" s="2">
        <v>49</v>
      </c>
      <c r="B258" s="2">
        <v>257</v>
      </c>
      <c r="C258" s="2">
        <v>7</v>
      </c>
      <c r="D258" s="2">
        <v>1</v>
      </c>
      <c r="E258" s="2">
        <v>0.60399999999999998</v>
      </c>
      <c r="F258" s="2">
        <v>2</v>
      </c>
    </row>
    <row r="259" spans="1:6" ht="14.25" customHeight="1">
      <c r="A259" s="2">
        <v>49</v>
      </c>
      <c r="B259" s="2">
        <v>258</v>
      </c>
      <c r="C259" s="2">
        <v>5</v>
      </c>
      <c r="D259" s="2">
        <v>1</v>
      </c>
      <c r="E259" s="2">
        <v>0.56399999999999995</v>
      </c>
      <c r="F259" s="2">
        <v>2</v>
      </c>
    </row>
    <row r="260" spans="1:6" ht="14.25" customHeight="1">
      <c r="A260" s="2">
        <v>49</v>
      </c>
      <c r="B260" s="2">
        <v>259</v>
      </c>
      <c r="C260" s="2">
        <v>4</v>
      </c>
      <c r="D260" s="2">
        <v>1</v>
      </c>
      <c r="E260" s="2">
        <v>0.626</v>
      </c>
      <c r="F260" s="2">
        <v>1</v>
      </c>
    </row>
    <row r="261" spans="1:6" ht="14.25" customHeight="1">
      <c r="A261" s="2">
        <v>49</v>
      </c>
      <c r="B261" s="2">
        <v>260</v>
      </c>
      <c r="C261" s="2">
        <v>2</v>
      </c>
      <c r="D261" s="2">
        <v>0</v>
      </c>
      <c r="E261" s="2">
        <v>0.66200000000000003</v>
      </c>
      <c r="F261" s="2">
        <v>2</v>
      </c>
    </row>
    <row r="262" spans="1:6" ht="14.25" customHeight="1">
      <c r="A262" s="2">
        <v>49</v>
      </c>
      <c r="B262" s="2">
        <v>261</v>
      </c>
      <c r="C262" s="2">
        <v>3</v>
      </c>
      <c r="D262" s="2">
        <v>1</v>
      </c>
      <c r="E262" s="2">
        <v>0.63500000000000001</v>
      </c>
      <c r="F262" s="2">
        <v>1</v>
      </c>
    </row>
    <row r="263" spans="1:6" ht="14.25" customHeight="1">
      <c r="A263" s="2">
        <v>49</v>
      </c>
      <c r="B263" s="2">
        <v>262</v>
      </c>
      <c r="C263" s="2">
        <v>8</v>
      </c>
      <c r="D263" s="2">
        <v>1</v>
      </c>
      <c r="E263" s="2">
        <v>0.64800000000000002</v>
      </c>
      <c r="F263" s="2">
        <v>2</v>
      </c>
    </row>
    <row r="264" spans="1:6" ht="14.25" customHeight="1">
      <c r="A264" s="2">
        <v>49</v>
      </c>
      <c r="B264" s="2">
        <v>263</v>
      </c>
      <c r="C264" s="2">
        <v>1</v>
      </c>
      <c r="D264" s="2">
        <v>1</v>
      </c>
      <c r="E264" s="2">
        <v>0.77300000000000002</v>
      </c>
      <c r="F264" s="2">
        <v>1</v>
      </c>
    </row>
    <row r="265" spans="1:6" ht="14.25" customHeight="1">
      <c r="A265" s="2">
        <v>49</v>
      </c>
      <c r="B265" s="2">
        <v>264</v>
      </c>
      <c r="C265" s="2">
        <v>5</v>
      </c>
      <c r="D265" s="2">
        <v>1</v>
      </c>
      <c r="E265" s="2">
        <v>0.77200000000000002</v>
      </c>
      <c r="F265" s="2">
        <v>1</v>
      </c>
    </row>
    <row r="266" spans="1:6" ht="14.25" customHeight="1">
      <c r="A266" s="2">
        <v>49</v>
      </c>
      <c r="B266" s="2">
        <v>265</v>
      </c>
      <c r="C266" s="2">
        <v>6</v>
      </c>
      <c r="D266" s="2">
        <v>1</v>
      </c>
      <c r="E266" s="2">
        <v>0.64600000000000002</v>
      </c>
      <c r="F266" s="2">
        <v>1</v>
      </c>
    </row>
    <row r="267" spans="1:6" ht="14.25" customHeight="1">
      <c r="A267" s="2">
        <v>49</v>
      </c>
      <c r="B267" s="2">
        <v>266</v>
      </c>
      <c r="C267" s="2">
        <v>8</v>
      </c>
      <c r="D267" s="2">
        <v>1</v>
      </c>
      <c r="E267" s="2">
        <v>0.73299999999999998</v>
      </c>
      <c r="F267" s="2">
        <v>1</v>
      </c>
    </row>
    <row r="268" spans="1:6" ht="14.25" customHeight="1">
      <c r="A268" s="2">
        <v>49</v>
      </c>
      <c r="B268" s="2">
        <v>267</v>
      </c>
      <c r="C268" s="2">
        <v>6</v>
      </c>
      <c r="D268" s="2">
        <v>1</v>
      </c>
      <c r="E268" s="2">
        <v>1.026</v>
      </c>
      <c r="F268" s="2">
        <v>2</v>
      </c>
    </row>
    <row r="269" spans="1:6" ht="14.25" customHeight="1">
      <c r="A269" s="2">
        <v>49</v>
      </c>
      <c r="B269" s="2">
        <v>268</v>
      </c>
      <c r="C269" s="2">
        <v>4</v>
      </c>
      <c r="D269" s="2">
        <v>1</v>
      </c>
      <c r="E269" s="2">
        <v>0.61299999999999999</v>
      </c>
      <c r="F269" s="2">
        <v>2</v>
      </c>
    </row>
    <row r="270" spans="1:6" ht="14.25" customHeight="1">
      <c r="A270" s="2">
        <v>49</v>
      </c>
      <c r="B270" s="2">
        <v>269</v>
      </c>
      <c r="C270" s="2">
        <v>8</v>
      </c>
      <c r="D270" s="2">
        <v>1</v>
      </c>
      <c r="E270" s="2">
        <v>0.62</v>
      </c>
      <c r="F270" s="2">
        <v>1</v>
      </c>
    </row>
    <row r="271" spans="1:6" ht="14.25" customHeight="1">
      <c r="A271" s="2">
        <v>49</v>
      </c>
      <c r="B271" s="2">
        <v>270</v>
      </c>
      <c r="C271" s="2">
        <v>7</v>
      </c>
      <c r="D271" s="2">
        <v>1</v>
      </c>
      <c r="E271" s="2">
        <v>0.69899999999999995</v>
      </c>
      <c r="F271" s="2">
        <v>1</v>
      </c>
    </row>
    <row r="272" spans="1:6" ht="14.25" customHeight="1">
      <c r="A272" s="2">
        <v>49</v>
      </c>
      <c r="B272" s="2">
        <v>271</v>
      </c>
      <c r="C272" s="2">
        <v>1</v>
      </c>
      <c r="D272" s="2">
        <v>1</v>
      </c>
      <c r="E272" s="2">
        <v>0.501</v>
      </c>
      <c r="F272" s="2">
        <v>2</v>
      </c>
    </row>
    <row r="273" spans="1:6" ht="14.25" customHeight="1">
      <c r="A273" s="2">
        <v>49</v>
      </c>
      <c r="B273" s="2">
        <v>272</v>
      </c>
      <c r="C273" s="2">
        <v>3</v>
      </c>
      <c r="D273" s="2">
        <v>1</v>
      </c>
      <c r="E273" s="2">
        <v>0.68700000000000006</v>
      </c>
      <c r="F273" s="2">
        <v>2</v>
      </c>
    </row>
    <row r="274" spans="1:6" ht="14.25" customHeight="1">
      <c r="A274" s="2">
        <v>49</v>
      </c>
      <c r="B274" s="2">
        <v>273</v>
      </c>
      <c r="C274" s="2">
        <v>8</v>
      </c>
      <c r="D274" s="2">
        <v>0</v>
      </c>
      <c r="E274" s="2">
        <v>0.56699999999999995</v>
      </c>
      <c r="F274" s="2">
        <v>1</v>
      </c>
    </row>
    <row r="275" spans="1:6" ht="14.25" customHeight="1">
      <c r="A275" s="2">
        <v>49</v>
      </c>
      <c r="B275" s="2">
        <v>274</v>
      </c>
      <c r="C275" s="2">
        <v>6</v>
      </c>
      <c r="D275" s="2">
        <v>1</v>
      </c>
      <c r="E275" s="2">
        <v>0.57799999999999996</v>
      </c>
      <c r="F275" s="2">
        <v>2</v>
      </c>
    </row>
    <row r="276" spans="1:6" ht="14.25" customHeight="1">
      <c r="A276" s="2">
        <v>49</v>
      </c>
      <c r="B276" s="2">
        <v>275</v>
      </c>
      <c r="C276" s="2">
        <v>4</v>
      </c>
      <c r="D276" s="2">
        <v>1</v>
      </c>
      <c r="E276" s="2">
        <v>0.54400000000000004</v>
      </c>
      <c r="F276" s="2">
        <v>1</v>
      </c>
    </row>
    <row r="277" spans="1:6" ht="14.25" customHeight="1">
      <c r="A277" s="2">
        <v>49</v>
      </c>
      <c r="B277" s="2">
        <v>276</v>
      </c>
      <c r="C277" s="2">
        <v>5</v>
      </c>
      <c r="D277" s="2">
        <v>1</v>
      </c>
      <c r="E277" s="2">
        <v>0.77300000000000002</v>
      </c>
      <c r="F277" s="2">
        <v>1</v>
      </c>
    </row>
    <row r="278" spans="1:6" ht="14.25" customHeight="1">
      <c r="A278" s="2">
        <v>49</v>
      </c>
      <c r="B278" s="2">
        <v>277</v>
      </c>
      <c r="C278" s="2">
        <v>6</v>
      </c>
      <c r="D278" s="2">
        <v>0</v>
      </c>
      <c r="E278" s="2">
        <v>0.63700000000000001</v>
      </c>
      <c r="F278" s="2">
        <v>1</v>
      </c>
    </row>
    <row r="279" spans="1:6" ht="14.25" customHeight="1">
      <c r="A279" s="2">
        <v>49</v>
      </c>
      <c r="B279" s="2">
        <v>278</v>
      </c>
      <c r="C279" s="2">
        <v>7</v>
      </c>
      <c r="D279" s="2">
        <v>1</v>
      </c>
      <c r="E279" s="2">
        <v>1.1220000000000001</v>
      </c>
      <c r="F279" s="2">
        <v>1</v>
      </c>
    </row>
    <row r="280" spans="1:6" ht="14.25" customHeight="1">
      <c r="A280" s="2">
        <v>49</v>
      </c>
      <c r="B280" s="2">
        <v>279</v>
      </c>
      <c r="C280" s="2">
        <v>5</v>
      </c>
      <c r="D280" s="2">
        <v>1</v>
      </c>
      <c r="E280" s="2">
        <v>0.76100000000000001</v>
      </c>
      <c r="F280" s="2">
        <v>2</v>
      </c>
    </row>
    <row r="281" spans="1:6" ht="14.25" customHeight="1">
      <c r="A281" s="2">
        <v>49</v>
      </c>
      <c r="B281" s="2">
        <v>280</v>
      </c>
      <c r="C281" s="2">
        <v>2</v>
      </c>
      <c r="D281" s="2">
        <v>1</v>
      </c>
      <c r="E281" s="2">
        <v>0.66700000000000004</v>
      </c>
      <c r="F281" s="2">
        <v>2</v>
      </c>
    </row>
    <row r="282" spans="1:6" ht="14.25" customHeight="1">
      <c r="A282" s="2">
        <v>49</v>
      </c>
      <c r="B282" s="2">
        <v>281</v>
      </c>
      <c r="C282" s="2">
        <v>6</v>
      </c>
      <c r="D282" s="2">
        <v>1</v>
      </c>
      <c r="E282" s="2">
        <v>1.0660000000000001</v>
      </c>
      <c r="F282" s="2">
        <v>1</v>
      </c>
    </row>
    <row r="283" spans="1:6" ht="14.25" customHeight="1">
      <c r="A283" s="2">
        <v>49</v>
      </c>
      <c r="B283" s="2">
        <v>282</v>
      </c>
      <c r="C283" s="2">
        <v>1</v>
      </c>
      <c r="D283" s="2">
        <v>0</v>
      </c>
      <c r="E283" s="2">
        <v>0.72599999999999998</v>
      </c>
      <c r="F283" s="2">
        <v>1</v>
      </c>
    </row>
    <row r="284" spans="1:6" ht="14.25" customHeight="1">
      <c r="A284" s="2">
        <v>49</v>
      </c>
      <c r="B284" s="2">
        <v>283</v>
      </c>
      <c r="C284" s="2">
        <v>7</v>
      </c>
      <c r="D284" s="2">
        <v>1</v>
      </c>
      <c r="E284" s="2">
        <v>0.45</v>
      </c>
      <c r="F284" s="2">
        <v>2</v>
      </c>
    </row>
    <row r="285" spans="1:6" ht="14.25" customHeight="1">
      <c r="A285" s="2">
        <v>49</v>
      </c>
      <c r="B285" s="2">
        <v>284</v>
      </c>
      <c r="C285" s="2">
        <v>4</v>
      </c>
      <c r="D285" s="2">
        <v>1</v>
      </c>
      <c r="E285" s="2">
        <v>0.48</v>
      </c>
      <c r="F285" s="2">
        <v>2</v>
      </c>
    </row>
    <row r="286" spans="1:6" ht="14.25" customHeight="1">
      <c r="A286" s="2">
        <v>49</v>
      </c>
      <c r="B286" s="2">
        <v>285</v>
      </c>
      <c r="C286" s="2">
        <v>1</v>
      </c>
      <c r="D286" s="2">
        <v>1</v>
      </c>
      <c r="E286" s="2">
        <v>1.0589999999999999</v>
      </c>
      <c r="F286" s="2">
        <v>2</v>
      </c>
    </row>
    <row r="287" spans="1:6" ht="14.25" customHeight="1">
      <c r="A287" s="2">
        <v>49</v>
      </c>
      <c r="B287" s="2">
        <v>286</v>
      </c>
      <c r="C287" s="2">
        <v>6</v>
      </c>
      <c r="D287" s="2">
        <v>1</v>
      </c>
      <c r="E287" s="2">
        <v>0.63500000000000001</v>
      </c>
      <c r="F287" s="2">
        <v>2</v>
      </c>
    </row>
    <row r="288" spans="1:6" ht="14.25" customHeight="1">
      <c r="A288" s="2">
        <v>49</v>
      </c>
      <c r="B288" s="2">
        <v>287</v>
      </c>
      <c r="C288" s="2">
        <v>3</v>
      </c>
      <c r="D288" s="2">
        <v>1</v>
      </c>
      <c r="E288" s="2">
        <v>0.71899999999999997</v>
      </c>
      <c r="F288" s="2">
        <v>1</v>
      </c>
    </row>
    <row r="289" spans="1:6" ht="14.25" customHeight="1">
      <c r="A289" s="2">
        <v>49</v>
      </c>
      <c r="B289" s="2">
        <v>288</v>
      </c>
      <c r="C289" s="2">
        <v>2</v>
      </c>
      <c r="D289" s="2">
        <v>1</v>
      </c>
      <c r="E289" s="2">
        <v>1.151</v>
      </c>
      <c r="F289" s="2">
        <v>2</v>
      </c>
    </row>
    <row r="290" spans="1:6" ht="14.25" customHeight="1">
      <c r="A290" s="2">
        <v>49</v>
      </c>
      <c r="B290" s="2">
        <v>289</v>
      </c>
      <c r="C290" s="2">
        <v>4</v>
      </c>
      <c r="D290" s="2">
        <v>1</v>
      </c>
      <c r="E290" s="2">
        <v>1.0289999999999999</v>
      </c>
      <c r="F290" s="2">
        <v>1</v>
      </c>
    </row>
    <row r="291" spans="1:6" ht="14.25" customHeight="1">
      <c r="A291" s="2">
        <v>49</v>
      </c>
      <c r="B291" s="2">
        <v>290</v>
      </c>
      <c r="C291" s="2">
        <v>8</v>
      </c>
      <c r="D291" s="2">
        <v>1</v>
      </c>
      <c r="E291" s="2">
        <v>0.79300000000000004</v>
      </c>
      <c r="F291" s="2">
        <v>2</v>
      </c>
    </row>
    <row r="292" spans="1:6" ht="14.25" customHeight="1">
      <c r="A292" s="2">
        <v>49</v>
      </c>
      <c r="B292" s="2">
        <v>291</v>
      </c>
      <c r="C292" s="2">
        <v>5</v>
      </c>
      <c r="D292" s="2">
        <v>1</v>
      </c>
      <c r="E292" s="2">
        <v>0.53200000000000003</v>
      </c>
      <c r="F292" s="2">
        <v>2</v>
      </c>
    </row>
    <row r="293" spans="1:6" ht="14.25" customHeight="1">
      <c r="A293" s="2">
        <v>49</v>
      </c>
      <c r="B293" s="2">
        <v>292</v>
      </c>
      <c r="C293" s="2">
        <v>2</v>
      </c>
      <c r="D293" s="2">
        <v>1</v>
      </c>
      <c r="E293" s="2">
        <v>0.56599999999999995</v>
      </c>
      <c r="F293" s="2">
        <v>1</v>
      </c>
    </row>
    <row r="294" spans="1:6" ht="14.25" customHeight="1">
      <c r="A294" s="2">
        <v>49</v>
      </c>
      <c r="B294" s="2">
        <v>293</v>
      </c>
      <c r="C294" s="2">
        <v>8</v>
      </c>
      <c r="D294" s="2">
        <v>1</v>
      </c>
      <c r="E294" s="2">
        <v>1.1459999999999999</v>
      </c>
      <c r="F294" s="2">
        <v>1</v>
      </c>
    </row>
    <row r="295" spans="1:6" ht="14.25" customHeight="1">
      <c r="A295" s="2">
        <v>49</v>
      </c>
      <c r="B295" s="2">
        <v>294</v>
      </c>
      <c r="C295" s="2">
        <v>1</v>
      </c>
      <c r="D295" s="2">
        <v>1</v>
      </c>
      <c r="E295" s="2">
        <v>0.86499999999999999</v>
      </c>
      <c r="F295" s="2">
        <v>1</v>
      </c>
    </row>
    <row r="296" spans="1:6" ht="14.25" customHeight="1">
      <c r="A296" s="2">
        <v>49</v>
      </c>
      <c r="B296" s="2">
        <v>295</v>
      </c>
      <c r="C296" s="2">
        <v>3</v>
      </c>
      <c r="D296" s="2">
        <v>1</v>
      </c>
      <c r="E296" s="2">
        <v>0.60799999999999998</v>
      </c>
      <c r="F296" s="2">
        <v>2</v>
      </c>
    </row>
    <row r="297" spans="1:6" ht="14.25" customHeight="1">
      <c r="A297" s="2">
        <v>49</v>
      </c>
      <c r="B297" s="2">
        <v>296</v>
      </c>
      <c r="C297" s="2">
        <v>1</v>
      </c>
      <c r="D297" s="2">
        <v>1</v>
      </c>
      <c r="E297" s="2">
        <v>0.71899999999999997</v>
      </c>
      <c r="F297" s="2">
        <v>1</v>
      </c>
    </row>
    <row r="298" spans="1:6" ht="14.25" customHeight="1">
      <c r="A298" s="2">
        <v>49</v>
      </c>
      <c r="B298" s="2">
        <v>297</v>
      </c>
      <c r="C298" s="2">
        <v>2</v>
      </c>
      <c r="D298" s="2">
        <v>1</v>
      </c>
      <c r="E298" s="2">
        <v>0.65600000000000003</v>
      </c>
      <c r="F298" s="2">
        <v>2</v>
      </c>
    </row>
    <row r="299" spans="1:6" ht="14.25" customHeight="1">
      <c r="A299" s="2">
        <v>49</v>
      </c>
      <c r="B299" s="2">
        <v>298</v>
      </c>
      <c r="C299" s="2">
        <v>5</v>
      </c>
      <c r="D299" s="2">
        <v>1</v>
      </c>
      <c r="E299" s="2">
        <v>0.75600000000000001</v>
      </c>
      <c r="F299" s="2">
        <v>2</v>
      </c>
    </row>
    <row r="300" spans="1:6" ht="14.25" customHeight="1">
      <c r="A300" s="2">
        <v>49</v>
      </c>
      <c r="B300" s="2">
        <v>299</v>
      </c>
      <c r="C300" s="2">
        <v>7</v>
      </c>
      <c r="D300" s="2">
        <v>1</v>
      </c>
      <c r="E300" s="2">
        <v>0.61799999999999999</v>
      </c>
      <c r="F300" s="2">
        <v>1</v>
      </c>
    </row>
    <row r="301" spans="1:6" ht="14.25" customHeight="1">
      <c r="A301" s="2">
        <v>49</v>
      </c>
      <c r="B301" s="2">
        <v>300</v>
      </c>
      <c r="C301" s="2">
        <v>3</v>
      </c>
      <c r="D301" s="2">
        <v>1</v>
      </c>
      <c r="E301" s="2">
        <v>0.95499999999999996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1000"/>
  <sheetViews>
    <sheetView workbookViewId="0">
      <selection activeCell="V17" sqref="V17"/>
    </sheetView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50</v>
      </c>
      <c r="I1" s="2">
        <v>1</v>
      </c>
      <c r="J1" s="2">
        <v>1</v>
      </c>
      <c r="L1" s="2">
        <v>2</v>
      </c>
    </row>
    <row r="2" spans="1:22" ht="14.25" customHeight="1">
      <c r="A2" s="2">
        <v>50</v>
      </c>
      <c r="B2" s="2">
        <v>1</v>
      </c>
      <c r="C2" s="2">
        <v>1</v>
      </c>
      <c r="E2" s="2">
        <v>2</v>
      </c>
      <c r="H2" s="2">
        <v>50</v>
      </c>
      <c r="I2" s="2">
        <v>2</v>
      </c>
      <c r="J2" s="2">
        <v>2</v>
      </c>
      <c r="K2" s="2">
        <v>0</v>
      </c>
      <c r="L2" s="2">
        <v>0.75900000000000001</v>
      </c>
      <c r="M2" s="2">
        <v>2</v>
      </c>
    </row>
    <row r="3" spans="1:22" ht="14.25" customHeight="1">
      <c r="A3" s="2">
        <v>50</v>
      </c>
      <c r="B3" s="2">
        <v>2</v>
      </c>
      <c r="C3" s="2">
        <v>2</v>
      </c>
      <c r="D3" s="2">
        <v>0</v>
      </c>
      <c r="E3" s="2">
        <v>0.75900000000000001</v>
      </c>
      <c r="F3" s="2">
        <v>2</v>
      </c>
      <c r="H3" s="2">
        <v>50</v>
      </c>
      <c r="I3" s="2">
        <v>3</v>
      </c>
      <c r="J3" s="2">
        <v>3</v>
      </c>
      <c r="K3" s="2">
        <v>1</v>
      </c>
      <c r="L3" s="2">
        <v>0.95299999999999996</v>
      </c>
      <c r="M3" s="2">
        <v>2</v>
      </c>
    </row>
    <row r="4" spans="1:22" ht="14.25" customHeight="1">
      <c r="A4" s="2">
        <v>50</v>
      </c>
      <c r="B4" s="2">
        <v>3</v>
      </c>
      <c r="C4" s="2">
        <v>3</v>
      </c>
      <c r="D4" s="2">
        <v>1</v>
      </c>
      <c r="E4" s="2">
        <v>0.95299999999999996</v>
      </c>
      <c r="F4" s="2">
        <v>2</v>
      </c>
      <c r="H4" s="2">
        <v>50</v>
      </c>
      <c r="I4" s="2">
        <v>4</v>
      </c>
      <c r="J4" s="2">
        <v>6</v>
      </c>
      <c r="K4" s="2">
        <v>0</v>
      </c>
      <c r="L4" s="2">
        <v>0.53300000000000003</v>
      </c>
      <c r="M4" s="2">
        <v>1</v>
      </c>
      <c r="O4" s="2" t="s">
        <v>6</v>
      </c>
    </row>
    <row r="5" spans="1:22" ht="14.25" customHeight="1">
      <c r="A5" s="2">
        <v>50</v>
      </c>
      <c r="B5" s="2">
        <v>4</v>
      </c>
      <c r="C5" s="2">
        <v>6</v>
      </c>
      <c r="D5" s="2">
        <v>0</v>
      </c>
      <c r="E5" s="2">
        <v>0.53300000000000003</v>
      </c>
      <c r="F5" s="2">
        <v>1</v>
      </c>
      <c r="H5" s="2">
        <v>50</v>
      </c>
      <c r="I5" s="2">
        <v>5</v>
      </c>
      <c r="J5" s="2">
        <v>2</v>
      </c>
      <c r="K5" s="2">
        <v>0</v>
      </c>
      <c r="L5" s="2">
        <v>1.26</v>
      </c>
      <c r="M5" s="2">
        <v>2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50</v>
      </c>
      <c r="B6" s="2">
        <v>5</v>
      </c>
      <c r="C6" s="2">
        <v>2</v>
      </c>
      <c r="D6" s="2">
        <v>0</v>
      </c>
      <c r="E6" s="2">
        <v>1.26</v>
      </c>
      <c r="F6" s="2">
        <v>2</v>
      </c>
      <c r="H6" s="2">
        <v>50</v>
      </c>
      <c r="I6" s="2">
        <v>6</v>
      </c>
      <c r="J6" s="2">
        <v>1</v>
      </c>
      <c r="K6" s="2">
        <v>1</v>
      </c>
      <c r="L6" s="2">
        <v>1.26</v>
      </c>
      <c r="M6" s="2">
        <v>2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50</v>
      </c>
      <c r="B7" s="2">
        <v>6</v>
      </c>
      <c r="C7" s="2">
        <v>1</v>
      </c>
      <c r="D7" s="2">
        <v>1</v>
      </c>
      <c r="E7" s="2">
        <v>1.26</v>
      </c>
      <c r="F7" s="2">
        <v>2</v>
      </c>
      <c r="H7" s="2">
        <v>50</v>
      </c>
      <c r="I7" s="2">
        <v>7</v>
      </c>
      <c r="J7" s="2">
        <v>4</v>
      </c>
      <c r="K7" s="2">
        <v>1</v>
      </c>
      <c r="L7" s="2">
        <v>0.70899999999999996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50</v>
      </c>
      <c r="B8" s="2">
        <v>7</v>
      </c>
      <c r="C8" s="2">
        <v>4</v>
      </c>
      <c r="D8" s="2">
        <v>1</v>
      </c>
      <c r="E8" s="2">
        <v>0.70899999999999996</v>
      </c>
      <c r="F8" s="2">
        <v>1</v>
      </c>
      <c r="H8" s="2">
        <v>50</v>
      </c>
      <c r="I8" s="2">
        <v>8</v>
      </c>
      <c r="J8" s="2">
        <v>7</v>
      </c>
      <c r="K8" s="2">
        <v>0</v>
      </c>
      <c r="L8" s="2">
        <v>1.0429999999999999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50</v>
      </c>
      <c r="B9" s="2">
        <v>8</v>
      </c>
      <c r="C9" s="2">
        <v>7</v>
      </c>
      <c r="D9" s="2">
        <v>0</v>
      </c>
      <c r="E9" s="2">
        <v>1.0429999999999999</v>
      </c>
      <c r="F9" s="2">
        <v>2</v>
      </c>
      <c r="H9" s="2">
        <v>50</v>
      </c>
      <c r="I9" s="2">
        <v>9</v>
      </c>
      <c r="J9" s="2">
        <v>5</v>
      </c>
      <c r="K9" s="2">
        <v>1</v>
      </c>
      <c r="L9" s="2">
        <v>0.49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50</v>
      </c>
      <c r="B10" s="2">
        <v>9</v>
      </c>
      <c r="C10" s="2">
        <v>5</v>
      </c>
      <c r="D10" s="2">
        <v>1</v>
      </c>
      <c r="E10" s="2">
        <v>0.49</v>
      </c>
      <c r="F10" s="2">
        <v>2</v>
      </c>
      <c r="H10" s="2">
        <v>50</v>
      </c>
      <c r="I10" s="2">
        <v>10</v>
      </c>
      <c r="J10" s="2">
        <v>4</v>
      </c>
      <c r="K10" s="2">
        <v>1</v>
      </c>
      <c r="L10" s="2">
        <v>0.55300000000000005</v>
      </c>
      <c r="M10" s="2">
        <v>1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50</v>
      </c>
      <c r="B11" s="2">
        <v>10</v>
      </c>
      <c r="C11" s="2">
        <v>4</v>
      </c>
      <c r="D11" s="2">
        <v>1</v>
      </c>
      <c r="E11" s="2">
        <v>0.55300000000000005</v>
      </c>
      <c r="F11" s="2">
        <v>1</v>
      </c>
      <c r="H11" s="2">
        <v>50</v>
      </c>
      <c r="I11" s="2">
        <v>11</v>
      </c>
      <c r="J11" s="2">
        <v>8</v>
      </c>
      <c r="K11" s="2">
        <v>1</v>
      </c>
      <c r="L11" s="2">
        <v>1.1080000000000001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50</v>
      </c>
      <c r="B12" s="2">
        <v>11</v>
      </c>
      <c r="C12" s="2">
        <v>8</v>
      </c>
      <c r="D12" s="2">
        <v>1</v>
      </c>
      <c r="E12" s="2">
        <v>1.1080000000000001</v>
      </c>
      <c r="F12" s="2">
        <v>1</v>
      </c>
      <c r="H12" s="2">
        <v>50</v>
      </c>
      <c r="I12" s="2">
        <v>12</v>
      </c>
      <c r="J12" s="2">
        <v>3</v>
      </c>
      <c r="K12" s="2">
        <v>0</v>
      </c>
      <c r="L12" s="2">
        <v>1.53</v>
      </c>
      <c r="M12" s="2">
        <v>1</v>
      </c>
    </row>
    <row r="13" spans="1:22" ht="14.25" customHeight="1">
      <c r="A13" s="2">
        <v>50</v>
      </c>
      <c r="B13" s="2">
        <v>12</v>
      </c>
      <c r="C13" s="2">
        <v>3</v>
      </c>
      <c r="D13" s="2">
        <v>0</v>
      </c>
      <c r="E13" s="2">
        <v>1.53</v>
      </c>
      <c r="F13" s="2">
        <v>1</v>
      </c>
      <c r="H13" s="2">
        <v>50</v>
      </c>
      <c r="I13" s="2">
        <v>13</v>
      </c>
      <c r="J13" s="2">
        <v>8</v>
      </c>
      <c r="K13" s="2">
        <v>0</v>
      </c>
      <c r="L13" s="2">
        <v>1.4630000000000001</v>
      </c>
      <c r="M13" s="2">
        <v>2</v>
      </c>
    </row>
    <row r="14" spans="1:22" ht="14.25" customHeight="1">
      <c r="A14" s="2">
        <v>50</v>
      </c>
      <c r="B14" s="2">
        <v>13</v>
      </c>
      <c r="C14" s="2">
        <v>8</v>
      </c>
      <c r="D14" s="2">
        <v>0</v>
      </c>
      <c r="E14" s="2">
        <v>1.4630000000000001</v>
      </c>
      <c r="F14" s="2">
        <v>2</v>
      </c>
      <c r="H14" s="2">
        <v>50</v>
      </c>
      <c r="I14" s="2">
        <v>14</v>
      </c>
      <c r="J14" s="2">
        <v>7</v>
      </c>
      <c r="K14" s="2">
        <v>0</v>
      </c>
      <c r="L14" s="2">
        <v>1.081</v>
      </c>
      <c r="M14" s="2">
        <v>2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50</v>
      </c>
      <c r="B15" s="2">
        <v>14</v>
      </c>
      <c r="C15" s="2">
        <v>7</v>
      </c>
      <c r="D15" s="2">
        <v>0</v>
      </c>
      <c r="E15" s="2">
        <v>1.081</v>
      </c>
      <c r="F15" s="2">
        <v>2</v>
      </c>
      <c r="H15" s="2">
        <v>50</v>
      </c>
      <c r="I15" s="2">
        <v>15</v>
      </c>
      <c r="J15" s="2">
        <v>2</v>
      </c>
      <c r="K15" s="2">
        <v>1</v>
      </c>
      <c r="L15" s="2">
        <v>1.194</v>
      </c>
      <c r="M15" s="2">
        <v>1</v>
      </c>
      <c r="O15" s="2" t="s">
        <v>9</v>
      </c>
    </row>
    <row r="16" spans="1:22" ht="14.25" customHeight="1">
      <c r="A16" s="2">
        <v>50</v>
      </c>
      <c r="B16" s="2">
        <v>15</v>
      </c>
      <c r="C16" s="2">
        <v>2</v>
      </c>
      <c r="D16" s="2">
        <v>1</v>
      </c>
      <c r="E16" s="2">
        <v>1.194</v>
      </c>
      <c r="F16" s="2">
        <v>1</v>
      </c>
      <c r="H16" s="2">
        <v>50</v>
      </c>
      <c r="I16" s="2">
        <v>16</v>
      </c>
      <c r="J16" s="2">
        <v>3</v>
      </c>
      <c r="K16" s="2">
        <v>0</v>
      </c>
      <c r="L16" s="2">
        <v>1.2270000000000001</v>
      </c>
      <c r="M16" s="2">
        <v>1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50</v>
      </c>
      <c r="B17" s="2">
        <v>16</v>
      </c>
      <c r="C17" s="2">
        <v>3</v>
      </c>
      <c r="D17" s="2">
        <v>0</v>
      </c>
      <c r="E17" s="2">
        <v>1.2270000000000001</v>
      </c>
      <c r="F17" s="2">
        <v>1</v>
      </c>
      <c r="H17" s="2">
        <v>50</v>
      </c>
      <c r="I17" s="2">
        <v>17</v>
      </c>
      <c r="J17" s="2">
        <v>4</v>
      </c>
      <c r="K17" s="2">
        <v>1</v>
      </c>
      <c r="L17" s="2">
        <v>1.0009999999999999</v>
      </c>
      <c r="M17" s="2">
        <v>1</v>
      </c>
      <c r="N17" s="2">
        <v>1</v>
      </c>
      <c r="O17" s="2">
        <f>(O6*COUNTIF($J$1:$J$100,O$16) - COUNTIFS($J$1:$J$100,O$16,$K$1:$K$100,"=1"))^2</f>
        <v>19.359999999999989</v>
      </c>
      <c r="P17" s="2">
        <f t="shared" ref="P17:P22" si="0">(P6*COUNTIF($J$1:$J$100,P$16) - COUNTIFS($J$1:$J$100,P$16,$K$1:$K$100,"=0"))^2</f>
        <v>11.559999999999999</v>
      </c>
      <c r="Q17" s="2">
        <f t="shared" ref="Q17:Q22" si="1">(Q6*COUNTIF($J$1:$J$100,Q$16) - COUNTIFS($J$1:$J$100,Q$16,$K$1:$K$100,"=1"))^2</f>
        <v>29.159999999999986</v>
      </c>
      <c r="R17" s="2">
        <f t="shared" ref="R17:R22" si="2">(R6*COUNTIF($J$1:$J$100,R$16) - COUNTIFS($J$1:$J$100,R$16,$K$1:$K$100,"=0"))^2</f>
        <v>1.9599999999999997</v>
      </c>
      <c r="S17" s="2">
        <f t="shared" ref="S17:T17" si="3">(S6*COUNTIF($J$1:$J$100,S$16) - COUNTIFS($J$1:$J$100,S$16,$K$1:$K$100,"=1"))^2</f>
        <v>0.36000000000000171</v>
      </c>
      <c r="T17" s="2">
        <f t="shared" si="3"/>
        <v>29.159999999999986</v>
      </c>
      <c r="U17" s="2">
        <f t="shared" ref="U17:V17" si="4">(U6*COUNTIF($J$1:$J$100,U$16) - COUNTIFS($J$1:$J$100,U$16,$K$1:$K$100,"=0"))^2</f>
        <v>28.09</v>
      </c>
      <c r="V17" s="2">
        <f t="shared" si="4"/>
        <v>8.9999999999999955E-2</v>
      </c>
    </row>
    <row r="18" spans="1:22" ht="14.25" customHeight="1">
      <c r="A18" s="2">
        <v>50</v>
      </c>
      <c r="B18" s="2">
        <v>17</v>
      </c>
      <c r="C18" s="2">
        <v>4</v>
      </c>
      <c r="D18" s="2">
        <v>1</v>
      </c>
      <c r="E18" s="2">
        <v>1.0009999999999999</v>
      </c>
      <c r="F18" s="2">
        <v>1</v>
      </c>
      <c r="H18" s="2">
        <v>50</v>
      </c>
      <c r="I18" s="2">
        <v>18</v>
      </c>
      <c r="J18" s="2">
        <v>6</v>
      </c>
      <c r="K18" s="2">
        <v>0</v>
      </c>
      <c r="L18" s="2">
        <v>0.91300000000000003</v>
      </c>
      <c r="M18" s="2">
        <v>1</v>
      </c>
      <c r="N18" s="2">
        <v>2</v>
      </c>
      <c r="O18" s="2">
        <f t="shared" ref="O18:O21" si="5">(O7*COUNTIF($J$1:$J$100,O$16) - COUNTIFS($J$1:$J$100,O$16,$K$1:$K$100,"=1"))^2</f>
        <v>19.359999999999989</v>
      </c>
      <c r="P18" s="2">
        <f t="shared" si="0"/>
        <v>54.759999999999977</v>
      </c>
      <c r="Q18" s="2">
        <f t="shared" si="1"/>
        <v>29.160000000000004</v>
      </c>
      <c r="R18" s="2">
        <f t="shared" si="2"/>
        <v>1.9599999999999997</v>
      </c>
      <c r="S18" s="2">
        <f t="shared" ref="S18:T18" si="6">(S7*COUNTIF($J$1:$J$100,S$16) - COUNTIFS($J$1:$J$100,S$16,$K$1:$K$100,"=1"))^2</f>
        <v>0.36000000000000171</v>
      </c>
      <c r="T18" s="2">
        <f t="shared" si="6"/>
        <v>29.159999999999986</v>
      </c>
      <c r="U18" s="2">
        <f t="shared" ref="U18:V18" si="7">(U7*COUNTIF($J$1:$J$100,U$16) - COUNTIFS($J$1:$J$100,U$16,$K$1:$K$100,"=0"))^2</f>
        <v>28.09</v>
      </c>
      <c r="V18" s="2">
        <f t="shared" si="7"/>
        <v>8.9999999999999955E-2</v>
      </c>
    </row>
    <row r="19" spans="1:22" ht="14.25" customHeight="1">
      <c r="A19" s="2">
        <v>50</v>
      </c>
      <c r="B19" s="2">
        <v>18</v>
      </c>
      <c r="C19" s="2">
        <v>6</v>
      </c>
      <c r="D19" s="2">
        <v>0</v>
      </c>
      <c r="E19" s="2">
        <v>0.91300000000000003</v>
      </c>
      <c r="F19" s="2">
        <v>1</v>
      </c>
      <c r="H19" s="2">
        <v>50</v>
      </c>
      <c r="I19" s="2">
        <v>19</v>
      </c>
      <c r="J19" s="2">
        <v>1</v>
      </c>
      <c r="K19" s="2">
        <v>0</v>
      </c>
      <c r="L19" s="2">
        <v>1.004</v>
      </c>
      <c r="M19" s="2">
        <v>1</v>
      </c>
      <c r="N19" s="2">
        <v>3</v>
      </c>
      <c r="O19" s="2">
        <f t="shared" si="5"/>
        <v>19.359999999999989</v>
      </c>
      <c r="P19" s="2">
        <f t="shared" si="0"/>
        <v>11.559999999999999</v>
      </c>
      <c r="Q19" s="2">
        <f t="shared" si="1"/>
        <v>29.159999999999986</v>
      </c>
      <c r="R19" s="2">
        <f t="shared" si="2"/>
        <v>1.9599999999999997</v>
      </c>
      <c r="S19" s="2">
        <f t="shared" ref="S19:T19" si="8">(S8*COUNTIF($J$1:$J$100,S$16) - COUNTIFS($J$1:$J$100,S$16,$K$1:$K$100,"=1"))^2</f>
        <v>0.36000000000000171</v>
      </c>
      <c r="T19" s="2">
        <f t="shared" si="8"/>
        <v>29.160000000000004</v>
      </c>
      <c r="U19" s="2">
        <f t="shared" ref="U19:V19" si="9">(U8*COUNTIF($J$1:$J$100,U$16) - COUNTIFS($J$1:$J$100,U$16,$K$1:$K$100,"=0"))^2</f>
        <v>53.289999999999985</v>
      </c>
      <c r="V19" s="2">
        <f t="shared" si="9"/>
        <v>8.9999999999999955E-2</v>
      </c>
    </row>
    <row r="20" spans="1:22" ht="14.25" customHeight="1">
      <c r="A20" s="2">
        <v>50</v>
      </c>
      <c r="B20" s="2">
        <v>19</v>
      </c>
      <c r="C20" s="2">
        <v>1</v>
      </c>
      <c r="D20" s="2">
        <v>0</v>
      </c>
      <c r="E20" s="2">
        <v>1.004</v>
      </c>
      <c r="F20" s="2">
        <v>1</v>
      </c>
      <c r="H20" s="2">
        <v>50</v>
      </c>
      <c r="I20" s="2">
        <v>20</v>
      </c>
      <c r="J20" s="2">
        <v>3</v>
      </c>
      <c r="K20" s="2">
        <v>0</v>
      </c>
      <c r="L20" s="2">
        <v>1.1719999999999999</v>
      </c>
      <c r="M20" s="2">
        <v>1</v>
      </c>
      <c r="N20" s="2">
        <v>4</v>
      </c>
      <c r="O20" s="2">
        <f t="shared" si="5"/>
        <v>1</v>
      </c>
      <c r="P20" s="2">
        <f t="shared" si="0"/>
        <v>4</v>
      </c>
      <c r="Q20" s="2">
        <f t="shared" si="1"/>
        <v>0</v>
      </c>
      <c r="R20" s="2">
        <f t="shared" si="2"/>
        <v>16</v>
      </c>
      <c r="S20" s="2">
        <f t="shared" ref="S20:T20" si="10">(S9*COUNTIF($J$1:$J$100,S$16) - COUNTIFS($J$1:$J$100,S$16,$K$1:$K$100,"=1"))^2</f>
        <v>0.36000000000000171</v>
      </c>
      <c r="T20" s="2">
        <f t="shared" si="10"/>
        <v>29.159999999999986</v>
      </c>
      <c r="U20" s="2">
        <f t="shared" ref="U20:V20" si="11">(U9*COUNTIF($J$1:$J$100,U$16) - COUNTIFS($J$1:$J$100,U$16,$K$1:$K$100,"=0"))^2</f>
        <v>28.09</v>
      </c>
      <c r="V20" s="2">
        <f t="shared" si="11"/>
        <v>8.9999999999999955E-2</v>
      </c>
    </row>
    <row r="21" spans="1:22" ht="14.25" customHeight="1">
      <c r="A21" s="2">
        <v>50</v>
      </c>
      <c r="B21" s="2">
        <v>20</v>
      </c>
      <c r="C21" s="2">
        <v>3</v>
      </c>
      <c r="D21" s="2">
        <v>0</v>
      </c>
      <c r="E21" s="2">
        <v>1.1719999999999999</v>
      </c>
      <c r="F21" s="2">
        <v>1</v>
      </c>
      <c r="H21" s="2">
        <v>50</v>
      </c>
      <c r="I21" s="2">
        <v>21</v>
      </c>
      <c r="J21" s="2">
        <v>5</v>
      </c>
      <c r="K21" s="2">
        <v>1</v>
      </c>
      <c r="L21" s="2">
        <v>0.48799999999999999</v>
      </c>
      <c r="M21" s="2">
        <v>2</v>
      </c>
      <c r="N21" s="2">
        <v>5</v>
      </c>
      <c r="O21" s="2">
        <f t="shared" si="5"/>
        <v>19.359999999999989</v>
      </c>
      <c r="P21" s="2">
        <f t="shared" si="0"/>
        <v>11.559999999999999</v>
      </c>
      <c r="Q21" s="2">
        <f t="shared" si="1"/>
        <v>29.159999999999986</v>
      </c>
      <c r="R21" s="2">
        <f t="shared" si="2"/>
        <v>1.9599999999999997</v>
      </c>
      <c r="S21" s="2">
        <f t="shared" ref="S21:T21" si="12">(S10*COUNTIF($J$1:$J$100,S$16) - COUNTIFS($J$1:$J$100,S$16,$K$1:$K$100,"=1"))^2</f>
        <v>36</v>
      </c>
      <c r="T21" s="2">
        <f t="shared" si="12"/>
        <v>0</v>
      </c>
      <c r="U21" s="2">
        <f t="shared" ref="U21:V21" si="13">(U10*COUNTIF($J$1:$J$100,U$16) - COUNTIFS($J$1:$J$100,U$16,$K$1:$K$100,"=0"))^2</f>
        <v>1</v>
      </c>
      <c r="V21" s="2">
        <f t="shared" si="13"/>
        <v>36</v>
      </c>
    </row>
    <row r="22" spans="1:22" ht="14.25" customHeight="1">
      <c r="A22" s="2">
        <v>50</v>
      </c>
      <c r="B22" s="2">
        <v>21</v>
      </c>
      <c r="C22" s="2">
        <v>5</v>
      </c>
      <c r="D22" s="2">
        <v>1</v>
      </c>
      <c r="E22" s="2">
        <v>0.48799999999999999</v>
      </c>
      <c r="F22" s="2">
        <v>2</v>
      </c>
      <c r="H22" s="2">
        <v>50</v>
      </c>
      <c r="I22" s="2">
        <v>22</v>
      </c>
      <c r="J22" s="2">
        <v>7</v>
      </c>
      <c r="K22" s="2">
        <v>0</v>
      </c>
      <c r="L22" s="2">
        <v>0.505</v>
      </c>
      <c r="M22" s="2">
        <v>2</v>
      </c>
      <c r="N22" s="2">
        <v>6</v>
      </c>
      <c r="O22" s="2">
        <f>(O11*COUNTIF($J$1:$J$100,O$16) - COUNTIFS($J$1:$J$100,O$16,$K$1:$K$100,"=1"))^2</f>
        <v>1</v>
      </c>
      <c r="P22" s="2">
        <f t="shared" si="0"/>
        <v>4</v>
      </c>
      <c r="Q22" s="2">
        <f t="shared" si="1"/>
        <v>0</v>
      </c>
      <c r="R22" s="2">
        <f t="shared" si="2"/>
        <v>16</v>
      </c>
      <c r="S22" s="2">
        <f t="shared" ref="S22:T22" si="14">(S11*COUNTIF($J$1:$J$100,S$16) - COUNTIFS($J$1:$J$100,S$16,$K$1:$K$100,"=1"))^2</f>
        <v>36</v>
      </c>
      <c r="T22" s="2">
        <f t="shared" si="14"/>
        <v>0</v>
      </c>
      <c r="U22" s="2">
        <f t="shared" ref="U22:V22" si="15">(U11*COUNTIF($J$1:$J$100,U$16) - COUNTIFS($J$1:$J$100,U$16,$K$1:$K$100,"=0"))^2</f>
        <v>1</v>
      </c>
      <c r="V22" s="2">
        <f t="shared" si="15"/>
        <v>36</v>
      </c>
    </row>
    <row r="23" spans="1:22" ht="14.25" customHeight="1">
      <c r="A23" s="2">
        <v>50</v>
      </c>
      <c r="B23" s="2">
        <v>22</v>
      </c>
      <c r="C23" s="2">
        <v>7</v>
      </c>
      <c r="D23" s="2">
        <v>0</v>
      </c>
      <c r="E23" s="2">
        <v>0.505</v>
      </c>
      <c r="F23" s="2">
        <v>2</v>
      </c>
      <c r="H23" s="2">
        <v>50</v>
      </c>
      <c r="I23" s="2">
        <v>23</v>
      </c>
      <c r="J23" s="2">
        <v>4</v>
      </c>
      <c r="K23" s="2">
        <v>1</v>
      </c>
      <c r="L23" s="2">
        <v>0.93300000000000005</v>
      </c>
      <c r="M23" s="2">
        <v>1</v>
      </c>
    </row>
    <row r="24" spans="1:22" ht="14.25" customHeight="1">
      <c r="A24" s="2">
        <v>50</v>
      </c>
      <c r="B24" s="2">
        <v>23</v>
      </c>
      <c r="C24" s="2">
        <v>4</v>
      </c>
      <c r="D24" s="2">
        <v>1</v>
      </c>
      <c r="E24" s="2">
        <v>0.93300000000000005</v>
      </c>
      <c r="F24" s="2">
        <v>1</v>
      </c>
      <c r="H24" s="2">
        <v>50</v>
      </c>
      <c r="I24" s="2">
        <v>24</v>
      </c>
      <c r="J24" s="2">
        <v>8</v>
      </c>
      <c r="K24" s="2">
        <v>1</v>
      </c>
      <c r="L24" s="2">
        <v>0.50700000000000001</v>
      </c>
      <c r="M24" s="2">
        <v>1</v>
      </c>
    </row>
    <row r="25" spans="1:22" ht="14.25" customHeight="1">
      <c r="A25" s="2">
        <v>50</v>
      </c>
      <c r="B25" s="2">
        <v>24</v>
      </c>
      <c r="C25" s="2">
        <v>8</v>
      </c>
      <c r="D25" s="2">
        <v>1</v>
      </c>
      <c r="E25" s="2">
        <v>0.50700000000000001</v>
      </c>
      <c r="F25" s="2">
        <v>1</v>
      </c>
      <c r="H25" s="2">
        <v>50</v>
      </c>
      <c r="I25" s="2">
        <v>25</v>
      </c>
      <c r="J25" s="2">
        <v>7</v>
      </c>
      <c r="K25" s="2">
        <v>0</v>
      </c>
      <c r="L25" s="2">
        <v>0.95399999999999996</v>
      </c>
      <c r="M25" s="2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50</v>
      </c>
      <c r="B26" s="2">
        <v>25</v>
      </c>
      <c r="C26" s="2">
        <v>7</v>
      </c>
      <c r="D26" s="2">
        <v>0</v>
      </c>
      <c r="E26" s="2">
        <v>0.95399999999999996</v>
      </c>
      <c r="F26" s="2">
        <v>2</v>
      </c>
      <c r="H26" s="2">
        <v>50</v>
      </c>
      <c r="I26" s="2">
        <v>26</v>
      </c>
      <c r="J26" s="2">
        <v>8</v>
      </c>
      <c r="K26" s="2">
        <v>1</v>
      </c>
      <c r="L26" s="2">
        <v>0.80300000000000005</v>
      </c>
      <c r="M26" s="2">
        <v>1</v>
      </c>
      <c r="O26" s="2">
        <f t="shared" ref="O26:V26" si="16">COUNTIF($J$1:$J$100,O$16)^2</f>
        <v>144</v>
      </c>
      <c r="P26" s="2">
        <f t="shared" si="16"/>
        <v>144</v>
      </c>
      <c r="Q26" s="2">
        <f t="shared" si="16"/>
        <v>144</v>
      </c>
      <c r="R26" s="2">
        <f t="shared" si="16"/>
        <v>144</v>
      </c>
      <c r="S26" s="2">
        <f t="shared" si="16"/>
        <v>144</v>
      </c>
      <c r="T26" s="2">
        <f t="shared" si="16"/>
        <v>144</v>
      </c>
      <c r="U26" s="2">
        <f t="shared" si="16"/>
        <v>196</v>
      </c>
      <c r="V26" s="2">
        <f t="shared" si="16"/>
        <v>196</v>
      </c>
    </row>
    <row r="27" spans="1:22" ht="14.25" customHeight="1">
      <c r="A27" s="2">
        <v>50</v>
      </c>
      <c r="B27" s="2">
        <v>26</v>
      </c>
      <c r="C27" s="2">
        <v>8</v>
      </c>
      <c r="D27" s="2">
        <v>1</v>
      </c>
      <c r="E27" s="2">
        <v>0.80300000000000005</v>
      </c>
      <c r="F27" s="2">
        <v>1</v>
      </c>
      <c r="H27" s="2">
        <v>50</v>
      </c>
      <c r="I27" s="2">
        <v>27</v>
      </c>
      <c r="J27" s="2">
        <v>2</v>
      </c>
      <c r="K27" s="2">
        <v>1</v>
      </c>
      <c r="L27" s="2">
        <v>1.1659999999999999</v>
      </c>
      <c r="M27" s="2">
        <v>1</v>
      </c>
    </row>
    <row r="28" spans="1:22" ht="14.25" customHeight="1">
      <c r="A28" s="2">
        <v>50</v>
      </c>
      <c r="B28" s="2">
        <v>27</v>
      </c>
      <c r="C28" s="2">
        <v>2</v>
      </c>
      <c r="D28" s="2">
        <v>1</v>
      </c>
      <c r="E28" s="2">
        <v>1.1659999999999999</v>
      </c>
      <c r="F28" s="2">
        <v>1</v>
      </c>
      <c r="H28" s="2">
        <v>50</v>
      </c>
      <c r="I28" s="2">
        <v>28</v>
      </c>
      <c r="J28" s="2">
        <v>1</v>
      </c>
      <c r="K28" s="2">
        <v>0</v>
      </c>
      <c r="L28" s="2">
        <v>1.0580000000000001</v>
      </c>
      <c r="M28" s="2">
        <v>1</v>
      </c>
    </row>
    <row r="29" spans="1:22" ht="14.25" customHeight="1">
      <c r="A29" s="2">
        <v>50</v>
      </c>
      <c r="B29" s="2">
        <v>28</v>
      </c>
      <c r="C29" s="2">
        <v>1</v>
      </c>
      <c r="D29" s="2">
        <v>0</v>
      </c>
      <c r="E29" s="2">
        <v>1.0580000000000001</v>
      </c>
      <c r="F29" s="2">
        <v>1</v>
      </c>
      <c r="H29" s="2">
        <v>50</v>
      </c>
      <c r="I29" s="2">
        <v>29</v>
      </c>
      <c r="J29" s="2">
        <v>2</v>
      </c>
      <c r="K29" s="2">
        <v>0</v>
      </c>
      <c r="L29" s="2">
        <v>0.98599999999999999</v>
      </c>
      <c r="M29" s="2">
        <v>2</v>
      </c>
    </row>
    <row r="30" spans="1:22" ht="14.25" customHeight="1">
      <c r="A30" s="2">
        <v>50</v>
      </c>
      <c r="B30" s="2">
        <v>29</v>
      </c>
      <c r="C30" s="2">
        <v>2</v>
      </c>
      <c r="D30" s="2">
        <v>0</v>
      </c>
      <c r="E30" s="2">
        <v>0.98599999999999999</v>
      </c>
      <c r="F30" s="2">
        <v>2</v>
      </c>
      <c r="H30" s="2">
        <v>50</v>
      </c>
      <c r="I30" s="2">
        <v>30</v>
      </c>
      <c r="J30" s="2">
        <v>5</v>
      </c>
      <c r="K30" s="2">
        <v>1</v>
      </c>
      <c r="L30" s="2">
        <v>1.0429999999999999</v>
      </c>
      <c r="M30" s="2">
        <v>2</v>
      </c>
    </row>
    <row r="31" spans="1:22" ht="14.25" customHeight="1">
      <c r="A31" s="2">
        <v>50</v>
      </c>
      <c r="B31" s="2">
        <v>30</v>
      </c>
      <c r="C31" s="2">
        <v>5</v>
      </c>
      <c r="D31" s="2">
        <v>1</v>
      </c>
      <c r="E31" s="2">
        <v>1.0429999999999999</v>
      </c>
      <c r="F31" s="2">
        <v>2</v>
      </c>
      <c r="H31" s="2">
        <v>50</v>
      </c>
      <c r="I31" s="2">
        <v>31</v>
      </c>
      <c r="J31" s="2">
        <v>6</v>
      </c>
      <c r="K31" s="2">
        <v>0</v>
      </c>
      <c r="L31" s="2">
        <v>1.089</v>
      </c>
      <c r="M31" s="2">
        <v>1</v>
      </c>
      <c r="N31" s="2">
        <v>1</v>
      </c>
      <c r="O31" s="2">
        <f>SUM(O17:V17)/(SUM($O$26:$V$26))</f>
        <v>9.5334394904458566E-2</v>
      </c>
      <c r="P31" s="2">
        <v>0.22479299363057301</v>
      </c>
      <c r="Q31" s="2">
        <v>3.9124203821656024E-2</v>
      </c>
      <c r="R31" s="2">
        <v>1.3328025477707003E-2</v>
      </c>
      <c r="S31" s="2">
        <v>3.7738853503184763E-3</v>
      </c>
      <c r="T31" s="2">
        <v>9.5334394904458566E-2</v>
      </c>
    </row>
    <row r="32" spans="1:22" ht="14.25" customHeight="1">
      <c r="A32" s="2">
        <v>50</v>
      </c>
      <c r="B32" s="2">
        <v>31</v>
      </c>
      <c r="C32" s="2">
        <v>6</v>
      </c>
      <c r="D32" s="2">
        <v>0</v>
      </c>
      <c r="E32" s="2">
        <v>1.089</v>
      </c>
      <c r="F32" s="2">
        <v>1</v>
      </c>
      <c r="H32" s="2">
        <v>50</v>
      </c>
      <c r="I32" s="2">
        <v>32</v>
      </c>
      <c r="J32" s="2">
        <v>7</v>
      </c>
      <c r="K32" s="2">
        <v>1</v>
      </c>
      <c r="L32" s="2">
        <v>0.97</v>
      </c>
      <c r="M32" s="2">
        <v>1</v>
      </c>
      <c r="N32" s="2">
        <v>2</v>
      </c>
      <c r="O32" s="2">
        <f t="shared" ref="O32:O36" si="17">SUM(O18:V18)/(SUM($O$26:$V$26))</f>
        <v>0.1297292993630573</v>
      </c>
      <c r="P32" s="2">
        <v>0.15600318471337574</v>
      </c>
      <c r="Q32" s="2">
        <v>0.17670382165605095</v>
      </c>
      <c r="R32" s="2">
        <v>0.18530254777070065</v>
      </c>
      <c r="S32" s="2">
        <v>0.21014331210191084</v>
      </c>
      <c r="T32" s="2">
        <v>0.1297292993630573</v>
      </c>
    </row>
    <row r="33" spans="1:20" ht="14.25" customHeight="1">
      <c r="A33" s="2">
        <v>50</v>
      </c>
      <c r="B33" s="2">
        <v>32</v>
      </c>
      <c r="C33" s="2">
        <v>7</v>
      </c>
      <c r="D33" s="2">
        <v>1</v>
      </c>
      <c r="E33" s="2">
        <v>0.97</v>
      </c>
      <c r="F33" s="2">
        <v>1</v>
      </c>
      <c r="H33" s="2">
        <v>50</v>
      </c>
      <c r="I33" s="2">
        <v>33</v>
      </c>
      <c r="J33" s="2">
        <v>8</v>
      </c>
      <c r="K33" s="2">
        <v>1</v>
      </c>
      <c r="L33" s="2">
        <v>0.73799999999999999</v>
      </c>
      <c r="M33" s="2">
        <v>1</v>
      </c>
      <c r="N33" s="2">
        <v>3</v>
      </c>
      <c r="O33" s="2">
        <f t="shared" si="17"/>
        <v>0.1153980891719745</v>
      </c>
      <c r="P33" s="2">
        <v>0.13020700636942673</v>
      </c>
      <c r="Q33" s="2">
        <v>0.17383757961783439</v>
      </c>
      <c r="R33" s="2">
        <v>0.2569585987261146</v>
      </c>
      <c r="S33" s="2">
        <v>0.24740445859872612</v>
      </c>
      <c r="T33" s="2">
        <v>0.1153980891719745</v>
      </c>
    </row>
    <row r="34" spans="1:20" ht="14.25" customHeight="1">
      <c r="A34" s="2">
        <v>50</v>
      </c>
      <c r="B34" s="2">
        <v>33</v>
      </c>
      <c r="C34" s="2">
        <v>8</v>
      </c>
      <c r="D34" s="2">
        <v>1</v>
      </c>
      <c r="E34" s="2">
        <v>0.73799999999999999</v>
      </c>
      <c r="F34" s="2">
        <v>1</v>
      </c>
      <c r="H34" s="2">
        <v>50</v>
      </c>
      <c r="I34" s="2">
        <v>34</v>
      </c>
      <c r="J34" s="2">
        <v>6</v>
      </c>
      <c r="K34" s="2">
        <v>0</v>
      </c>
      <c r="L34" s="2">
        <v>1.2949999999999999</v>
      </c>
      <c r="M34" s="2">
        <v>1</v>
      </c>
      <c r="N34" s="2">
        <v>4</v>
      </c>
      <c r="O34" s="2">
        <f t="shared" si="17"/>
        <v>6.2659235668789795E-2</v>
      </c>
      <c r="P34" s="2">
        <v>0.14912420382165603</v>
      </c>
      <c r="Q34" s="2">
        <v>4.9442675159235658E-2</v>
      </c>
      <c r="R34" s="2">
        <v>9.243630573248407E-2</v>
      </c>
      <c r="S34" s="2">
        <v>0.1000796178343949</v>
      </c>
      <c r="T34" s="2">
        <v>6.2659235668789795E-2</v>
      </c>
    </row>
    <row r="35" spans="1:20" ht="14.25" customHeight="1">
      <c r="A35" s="2">
        <v>50</v>
      </c>
      <c r="B35" s="2">
        <v>34</v>
      </c>
      <c r="C35" s="2">
        <v>6</v>
      </c>
      <c r="D35" s="2">
        <v>0</v>
      </c>
      <c r="E35" s="2">
        <v>1.2949999999999999</v>
      </c>
      <c r="F35" s="2">
        <v>1</v>
      </c>
      <c r="H35" s="2">
        <v>50</v>
      </c>
      <c r="I35" s="2">
        <v>35</v>
      </c>
      <c r="J35" s="2">
        <v>3</v>
      </c>
      <c r="K35" s="2">
        <v>0</v>
      </c>
      <c r="L35" s="2">
        <v>0.72399999999999998</v>
      </c>
      <c r="M35" s="2">
        <v>1</v>
      </c>
      <c r="N35" s="2">
        <v>5</v>
      </c>
      <c r="O35" s="2">
        <f t="shared" si="17"/>
        <v>0.10751592356687895</v>
      </c>
      <c r="P35" s="2">
        <v>0.16961783439490444</v>
      </c>
      <c r="Q35" s="2">
        <v>0.11866242038216558</v>
      </c>
      <c r="R35" s="2">
        <v>0.10719745222929936</v>
      </c>
      <c r="S35" s="2">
        <v>0.13777070063694269</v>
      </c>
      <c r="T35" s="2">
        <v>0.10751592356687895</v>
      </c>
    </row>
    <row r="36" spans="1:20" ht="14.25" customHeight="1">
      <c r="A36" s="2">
        <v>50</v>
      </c>
      <c r="B36" s="2">
        <v>35</v>
      </c>
      <c r="C36" s="2">
        <v>3</v>
      </c>
      <c r="D36" s="2">
        <v>0</v>
      </c>
      <c r="E36" s="2">
        <v>0.72399999999999998</v>
      </c>
      <c r="F36" s="2">
        <v>1</v>
      </c>
      <c r="H36" s="2">
        <v>50</v>
      </c>
      <c r="I36" s="2">
        <v>36</v>
      </c>
      <c r="J36" s="2">
        <v>8</v>
      </c>
      <c r="K36" s="2">
        <v>1</v>
      </c>
      <c r="L36" s="2">
        <v>0.69899999999999995</v>
      </c>
      <c r="M36" s="2">
        <v>1</v>
      </c>
      <c r="N36" s="2">
        <v>6</v>
      </c>
      <c r="O36" s="2">
        <f t="shared" si="17"/>
        <v>7.4840764331210188E-2</v>
      </c>
      <c r="P36" s="2">
        <v>9.3949044585987268E-2</v>
      </c>
      <c r="Q36" s="2">
        <v>0.12898089171974522</v>
      </c>
      <c r="R36" s="2">
        <v>0.18630573248407642</v>
      </c>
      <c r="S36" s="2">
        <v>0.23407643312101911</v>
      </c>
      <c r="T36" s="2">
        <v>7.4840764331210188E-2</v>
      </c>
    </row>
    <row r="37" spans="1:20" ht="14.25" customHeight="1">
      <c r="A37" s="2">
        <v>50</v>
      </c>
      <c r="B37" s="2">
        <v>36</v>
      </c>
      <c r="C37" s="2">
        <v>8</v>
      </c>
      <c r="D37" s="2">
        <v>1</v>
      </c>
      <c r="E37" s="2">
        <v>0.69899999999999995</v>
      </c>
      <c r="F37" s="2">
        <v>1</v>
      </c>
      <c r="H37" s="2">
        <v>50</v>
      </c>
      <c r="I37" s="2">
        <v>37</v>
      </c>
      <c r="J37" s="2">
        <v>1</v>
      </c>
      <c r="K37" s="2">
        <v>1</v>
      </c>
      <c r="L37" s="2">
        <v>1.008</v>
      </c>
      <c r="M37" s="2">
        <v>2</v>
      </c>
    </row>
    <row r="38" spans="1:20" ht="14.25" customHeight="1">
      <c r="A38" s="2">
        <v>50</v>
      </c>
      <c r="B38" s="2">
        <v>37</v>
      </c>
      <c r="C38" s="2">
        <v>1</v>
      </c>
      <c r="D38" s="2">
        <v>1</v>
      </c>
      <c r="E38" s="2">
        <v>1.008</v>
      </c>
      <c r="F38" s="2">
        <v>2</v>
      </c>
      <c r="H38" s="2">
        <v>50</v>
      </c>
      <c r="I38" s="2">
        <v>38</v>
      </c>
      <c r="J38" s="2">
        <v>7</v>
      </c>
      <c r="K38" s="2">
        <v>0</v>
      </c>
      <c r="L38" s="2">
        <v>0.79600000000000004</v>
      </c>
      <c r="M38" s="2">
        <v>2</v>
      </c>
    </row>
    <row r="39" spans="1:20" ht="14.25" customHeight="1">
      <c r="A39" s="2">
        <v>50</v>
      </c>
      <c r="B39" s="2">
        <v>38</v>
      </c>
      <c r="C39" s="2">
        <v>7</v>
      </c>
      <c r="D39" s="2">
        <v>0</v>
      </c>
      <c r="E39" s="2">
        <v>0.79600000000000004</v>
      </c>
      <c r="F39" s="2">
        <v>2</v>
      </c>
      <c r="H39" s="2">
        <v>50</v>
      </c>
      <c r="I39" s="2">
        <v>39</v>
      </c>
      <c r="J39" s="2">
        <v>1</v>
      </c>
      <c r="K39" s="2">
        <v>1</v>
      </c>
      <c r="L39" s="2">
        <v>0.66700000000000004</v>
      </c>
      <c r="M39" s="2">
        <v>2</v>
      </c>
    </row>
    <row r="40" spans="1:20" ht="14.25" customHeight="1">
      <c r="A40" s="2">
        <v>50</v>
      </c>
      <c r="B40" s="2">
        <v>39</v>
      </c>
      <c r="C40" s="2">
        <v>1</v>
      </c>
      <c r="D40" s="2">
        <v>1</v>
      </c>
      <c r="E40" s="2">
        <v>0.66700000000000004</v>
      </c>
      <c r="F40" s="2">
        <v>2</v>
      </c>
      <c r="H40" s="2">
        <v>50</v>
      </c>
      <c r="I40" s="2">
        <v>40</v>
      </c>
      <c r="J40" s="2">
        <v>4</v>
      </c>
      <c r="K40" s="2">
        <v>1</v>
      </c>
      <c r="L40" s="2">
        <v>1.0069999999999999</v>
      </c>
      <c r="M40" s="2">
        <v>1</v>
      </c>
    </row>
    <row r="41" spans="1:20" ht="14.25" customHeight="1">
      <c r="A41" s="2">
        <v>50</v>
      </c>
      <c r="B41" s="2">
        <v>40</v>
      </c>
      <c r="C41" s="2">
        <v>4</v>
      </c>
      <c r="D41" s="2">
        <v>1</v>
      </c>
      <c r="E41" s="2">
        <v>1.0069999999999999</v>
      </c>
      <c r="F41" s="2">
        <v>1</v>
      </c>
      <c r="H41" s="2">
        <v>50</v>
      </c>
      <c r="I41" s="2">
        <v>41</v>
      </c>
      <c r="J41" s="2">
        <v>7</v>
      </c>
      <c r="K41" s="2">
        <v>1</v>
      </c>
      <c r="L41" s="2">
        <v>1.226</v>
      </c>
      <c r="M41" s="2">
        <v>1</v>
      </c>
    </row>
    <row r="42" spans="1:20" ht="14.25" customHeight="1">
      <c r="A42" s="2">
        <v>50</v>
      </c>
      <c r="B42" s="2">
        <v>41</v>
      </c>
      <c r="C42" s="2">
        <v>7</v>
      </c>
      <c r="D42" s="2">
        <v>1</v>
      </c>
      <c r="E42" s="2">
        <v>1.226</v>
      </c>
      <c r="F42" s="2">
        <v>1</v>
      </c>
      <c r="H42" s="2">
        <v>50</v>
      </c>
      <c r="I42" s="2">
        <v>42</v>
      </c>
      <c r="J42" s="2">
        <v>3</v>
      </c>
      <c r="K42" s="2">
        <v>1</v>
      </c>
      <c r="L42" s="2">
        <v>1.333</v>
      </c>
      <c r="M42" s="2">
        <v>2</v>
      </c>
    </row>
    <row r="43" spans="1:20" ht="14.25" customHeight="1">
      <c r="A43" s="2">
        <v>50</v>
      </c>
      <c r="B43" s="2">
        <v>42</v>
      </c>
      <c r="C43" s="2">
        <v>3</v>
      </c>
      <c r="D43" s="2">
        <v>1</v>
      </c>
      <c r="E43" s="2">
        <v>1.333</v>
      </c>
      <c r="F43" s="2">
        <v>2</v>
      </c>
      <c r="H43" s="2">
        <v>50</v>
      </c>
      <c r="I43" s="2">
        <v>43</v>
      </c>
      <c r="J43" s="2">
        <v>6</v>
      </c>
      <c r="K43" s="2">
        <v>1</v>
      </c>
      <c r="L43" s="2">
        <v>1.3380000000000001</v>
      </c>
      <c r="M43" s="2">
        <v>2</v>
      </c>
    </row>
    <row r="44" spans="1:20" ht="14.25" customHeight="1">
      <c r="A44" s="2">
        <v>50</v>
      </c>
      <c r="B44" s="2">
        <v>43</v>
      </c>
      <c r="C44" s="2">
        <v>6</v>
      </c>
      <c r="D44" s="2">
        <v>1</v>
      </c>
      <c r="E44" s="2">
        <v>1.3380000000000001</v>
      </c>
      <c r="F44" s="2">
        <v>2</v>
      </c>
      <c r="H44" s="2">
        <v>50</v>
      </c>
      <c r="I44" s="2">
        <v>44</v>
      </c>
      <c r="J44" s="2">
        <v>4</v>
      </c>
      <c r="K44" s="2">
        <v>1</v>
      </c>
      <c r="L44" s="2">
        <v>0.96099999999999997</v>
      </c>
      <c r="M44" s="2">
        <v>1</v>
      </c>
    </row>
    <row r="45" spans="1:20" ht="14.25" customHeight="1">
      <c r="A45" s="2">
        <v>50</v>
      </c>
      <c r="B45" s="2">
        <v>44</v>
      </c>
      <c r="C45" s="2">
        <v>4</v>
      </c>
      <c r="D45" s="2">
        <v>1</v>
      </c>
      <c r="E45" s="2">
        <v>0.96099999999999997</v>
      </c>
      <c r="F45" s="2">
        <v>1</v>
      </c>
      <c r="H45" s="2">
        <v>50</v>
      </c>
      <c r="I45" s="2">
        <v>45</v>
      </c>
      <c r="J45" s="2">
        <v>5</v>
      </c>
      <c r="K45" s="2">
        <v>1</v>
      </c>
      <c r="L45" s="2">
        <v>1.655</v>
      </c>
      <c r="M45" s="2">
        <v>2</v>
      </c>
    </row>
    <row r="46" spans="1:20" ht="14.25" customHeight="1">
      <c r="A46" s="2">
        <v>50</v>
      </c>
      <c r="B46" s="2">
        <v>45</v>
      </c>
      <c r="C46" s="2">
        <v>5</v>
      </c>
      <c r="D46" s="2">
        <v>1</v>
      </c>
      <c r="E46" s="2">
        <v>1.655</v>
      </c>
      <c r="F46" s="2">
        <v>2</v>
      </c>
      <c r="H46" s="2">
        <v>50</v>
      </c>
      <c r="I46" s="2">
        <v>46</v>
      </c>
      <c r="J46" s="2">
        <v>8</v>
      </c>
      <c r="K46" s="2">
        <v>1</v>
      </c>
      <c r="L46" s="2">
        <v>0.70499999999999996</v>
      </c>
      <c r="M46" s="2">
        <v>1</v>
      </c>
    </row>
    <row r="47" spans="1:20" ht="14.25" customHeight="1">
      <c r="A47" s="2">
        <v>50</v>
      </c>
      <c r="B47" s="2">
        <v>46</v>
      </c>
      <c r="C47" s="2">
        <v>8</v>
      </c>
      <c r="D47" s="2">
        <v>1</v>
      </c>
      <c r="E47" s="2">
        <v>0.70499999999999996</v>
      </c>
      <c r="F47" s="2">
        <v>1</v>
      </c>
      <c r="H47" s="2">
        <v>50</v>
      </c>
      <c r="I47" s="2">
        <v>47</v>
      </c>
      <c r="J47" s="2">
        <v>5</v>
      </c>
      <c r="K47" s="2">
        <v>1</v>
      </c>
      <c r="L47" s="2">
        <v>0.76900000000000002</v>
      </c>
      <c r="M47" s="2">
        <v>2</v>
      </c>
    </row>
    <row r="48" spans="1:20" ht="14.25" customHeight="1">
      <c r="A48" s="2">
        <v>50</v>
      </c>
      <c r="B48" s="2">
        <v>47</v>
      </c>
      <c r="C48" s="2">
        <v>5</v>
      </c>
      <c r="D48" s="2">
        <v>1</v>
      </c>
      <c r="E48" s="2">
        <v>0.76900000000000002</v>
      </c>
      <c r="F48" s="2">
        <v>2</v>
      </c>
      <c r="H48" s="2">
        <v>50</v>
      </c>
      <c r="I48" s="2">
        <v>48</v>
      </c>
      <c r="J48" s="2">
        <v>6</v>
      </c>
      <c r="K48" s="2">
        <v>1</v>
      </c>
      <c r="L48" s="2">
        <v>1.1140000000000001</v>
      </c>
      <c r="M48" s="2">
        <v>2</v>
      </c>
    </row>
    <row r="49" spans="1:13" ht="14.25" customHeight="1">
      <c r="A49" s="2">
        <v>50</v>
      </c>
      <c r="B49" s="2">
        <v>48</v>
      </c>
      <c r="C49" s="2">
        <v>6</v>
      </c>
      <c r="D49" s="2">
        <v>1</v>
      </c>
      <c r="E49" s="2">
        <v>1.1140000000000001</v>
      </c>
      <c r="F49" s="2">
        <v>2</v>
      </c>
      <c r="H49" s="2">
        <v>50</v>
      </c>
      <c r="I49" s="2">
        <v>49</v>
      </c>
      <c r="J49" s="2">
        <v>5</v>
      </c>
      <c r="K49" s="2">
        <v>1</v>
      </c>
      <c r="L49" s="2">
        <v>0.92800000000000005</v>
      </c>
      <c r="M49" s="2">
        <v>2</v>
      </c>
    </row>
    <row r="50" spans="1:13" ht="14.25" customHeight="1">
      <c r="A50" s="2">
        <v>50</v>
      </c>
      <c r="B50" s="2">
        <v>49</v>
      </c>
      <c r="C50" s="2">
        <v>5</v>
      </c>
      <c r="D50" s="2">
        <v>1</v>
      </c>
      <c r="E50" s="2">
        <v>0.92800000000000005</v>
      </c>
      <c r="F50" s="2">
        <v>2</v>
      </c>
      <c r="H50" s="2">
        <v>50</v>
      </c>
      <c r="I50" s="2">
        <v>50</v>
      </c>
      <c r="J50" s="2">
        <v>2</v>
      </c>
      <c r="K50" s="2">
        <v>0</v>
      </c>
      <c r="L50" s="2">
        <v>0.69899999999999995</v>
      </c>
      <c r="M50" s="2">
        <v>2</v>
      </c>
    </row>
    <row r="51" spans="1:13" ht="14.25" customHeight="1">
      <c r="A51" s="2">
        <v>50</v>
      </c>
      <c r="B51" s="2">
        <v>50</v>
      </c>
      <c r="C51" s="2">
        <v>2</v>
      </c>
      <c r="D51" s="2">
        <v>0</v>
      </c>
      <c r="E51" s="2">
        <v>0.69899999999999995</v>
      </c>
      <c r="F51" s="2">
        <v>2</v>
      </c>
      <c r="H51" s="2">
        <v>50</v>
      </c>
      <c r="I51" s="2">
        <v>51</v>
      </c>
      <c r="J51" s="2">
        <v>3</v>
      </c>
      <c r="K51" s="2">
        <v>1</v>
      </c>
      <c r="L51" s="2">
        <v>0.88700000000000001</v>
      </c>
      <c r="M51" s="2">
        <v>2</v>
      </c>
    </row>
    <row r="52" spans="1:13" ht="14.25" customHeight="1">
      <c r="A52" s="2">
        <v>50</v>
      </c>
      <c r="B52" s="2">
        <v>51</v>
      </c>
      <c r="C52" s="2">
        <v>3</v>
      </c>
      <c r="D52" s="2">
        <v>1</v>
      </c>
      <c r="E52" s="2">
        <v>0.88700000000000001</v>
      </c>
      <c r="F52" s="2">
        <v>2</v>
      </c>
      <c r="H52" s="2">
        <v>50</v>
      </c>
      <c r="I52" s="2">
        <v>52</v>
      </c>
      <c r="J52" s="2">
        <v>2</v>
      </c>
      <c r="K52" s="2">
        <v>1</v>
      </c>
      <c r="L52" s="2">
        <v>0.88900000000000001</v>
      </c>
      <c r="M52" s="2">
        <v>1</v>
      </c>
    </row>
    <row r="53" spans="1:13" ht="14.25" customHeight="1">
      <c r="A53" s="2">
        <v>50</v>
      </c>
      <c r="B53" s="2">
        <v>52</v>
      </c>
      <c r="C53" s="2">
        <v>2</v>
      </c>
      <c r="D53" s="2">
        <v>1</v>
      </c>
      <c r="E53" s="2">
        <v>0.88900000000000001</v>
      </c>
      <c r="F53" s="2">
        <v>1</v>
      </c>
      <c r="H53" s="2">
        <v>50</v>
      </c>
      <c r="I53" s="2">
        <v>53</v>
      </c>
      <c r="J53" s="2">
        <v>7</v>
      </c>
      <c r="K53" s="2">
        <v>1</v>
      </c>
      <c r="L53" s="2">
        <v>1.163</v>
      </c>
      <c r="M53" s="2">
        <v>2</v>
      </c>
    </row>
    <row r="54" spans="1:13" ht="14.25" customHeight="1">
      <c r="A54" s="2">
        <v>50</v>
      </c>
      <c r="B54" s="2">
        <v>53</v>
      </c>
      <c r="C54" s="2">
        <v>7</v>
      </c>
      <c r="D54" s="2">
        <v>1</v>
      </c>
      <c r="E54" s="2">
        <v>1.163</v>
      </c>
      <c r="F54" s="2">
        <v>2</v>
      </c>
      <c r="H54" s="2">
        <v>50</v>
      </c>
      <c r="I54" s="2">
        <v>54</v>
      </c>
      <c r="J54" s="2">
        <v>5</v>
      </c>
      <c r="K54" s="2">
        <v>1</v>
      </c>
      <c r="L54" s="2">
        <v>1.377</v>
      </c>
      <c r="M54" s="2">
        <v>2</v>
      </c>
    </row>
    <row r="55" spans="1:13" ht="14.25" customHeight="1">
      <c r="A55" s="2">
        <v>50</v>
      </c>
      <c r="B55" s="2">
        <v>54</v>
      </c>
      <c r="C55" s="2">
        <v>5</v>
      </c>
      <c r="D55" s="2">
        <v>1</v>
      </c>
      <c r="E55" s="2">
        <v>1.377</v>
      </c>
      <c r="F55" s="2">
        <v>2</v>
      </c>
      <c r="H55" s="2">
        <v>50</v>
      </c>
      <c r="I55" s="2">
        <v>55</v>
      </c>
      <c r="J55" s="2">
        <v>8</v>
      </c>
      <c r="K55" s="2">
        <v>1</v>
      </c>
      <c r="L55" s="2">
        <v>1.401</v>
      </c>
      <c r="M55" s="2">
        <v>1</v>
      </c>
    </row>
    <row r="56" spans="1:13" ht="14.25" customHeight="1">
      <c r="A56" s="2">
        <v>50</v>
      </c>
      <c r="B56" s="2">
        <v>55</v>
      </c>
      <c r="C56" s="2">
        <v>8</v>
      </c>
      <c r="D56" s="2">
        <v>1</v>
      </c>
      <c r="E56" s="2">
        <v>1.401</v>
      </c>
      <c r="F56" s="2">
        <v>1</v>
      </c>
      <c r="H56" s="2">
        <v>50</v>
      </c>
      <c r="I56" s="2">
        <v>56</v>
      </c>
      <c r="J56" s="2">
        <v>6</v>
      </c>
      <c r="K56" s="2">
        <v>1</v>
      </c>
      <c r="L56" s="2">
        <v>1.639</v>
      </c>
      <c r="M56" s="2">
        <v>2</v>
      </c>
    </row>
    <row r="57" spans="1:13" ht="14.25" customHeight="1">
      <c r="A57" s="2">
        <v>50</v>
      </c>
      <c r="B57" s="2">
        <v>56</v>
      </c>
      <c r="C57" s="2">
        <v>6</v>
      </c>
      <c r="D57" s="2">
        <v>1</v>
      </c>
      <c r="E57" s="2">
        <v>1.639</v>
      </c>
      <c r="F57" s="2">
        <v>2</v>
      </c>
      <c r="H57" s="2">
        <v>50</v>
      </c>
      <c r="I57" s="2">
        <v>57</v>
      </c>
      <c r="J57" s="2">
        <v>1</v>
      </c>
      <c r="K57" s="2">
        <v>1</v>
      </c>
      <c r="L57" s="2">
        <v>0.85799999999999998</v>
      </c>
      <c r="M57" s="2">
        <v>1</v>
      </c>
    </row>
    <row r="58" spans="1:13" ht="14.25" customHeight="1">
      <c r="A58" s="2">
        <v>50</v>
      </c>
      <c r="B58" s="2">
        <v>57</v>
      </c>
      <c r="C58" s="2">
        <v>1</v>
      </c>
      <c r="D58" s="2">
        <v>1</v>
      </c>
      <c r="E58" s="2">
        <v>0.85799999999999998</v>
      </c>
      <c r="F58" s="2">
        <v>1</v>
      </c>
      <c r="H58" s="2">
        <v>50</v>
      </c>
      <c r="I58" s="2">
        <v>58</v>
      </c>
      <c r="J58" s="2">
        <v>2</v>
      </c>
      <c r="K58" s="2">
        <v>1</v>
      </c>
      <c r="L58" s="2">
        <v>1.49</v>
      </c>
      <c r="M58" s="2">
        <v>1</v>
      </c>
    </row>
    <row r="59" spans="1:13" ht="14.25" customHeight="1">
      <c r="A59" s="2">
        <v>50</v>
      </c>
      <c r="B59" s="2">
        <v>58</v>
      </c>
      <c r="C59" s="2">
        <v>2</v>
      </c>
      <c r="D59" s="2">
        <v>1</v>
      </c>
      <c r="E59" s="2">
        <v>1.49</v>
      </c>
      <c r="F59" s="2">
        <v>1</v>
      </c>
      <c r="H59" s="2">
        <v>50</v>
      </c>
      <c r="I59" s="2">
        <v>59</v>
      </c>
      <c r="J59" s="2">
        <v>7</v>
      </c>
      <c r="K59" s="2">
        <v>1</v>
      </c>
      <c r="L59" s="2">
        <v>0.82699999999999996</v>
      </c>
      <c r="M59" s="2">
        <v>2</v>
      </c>
    </row>
    <row r="60" spans="1:13" ht="14.25" customHeight="1">
      <c r="A60" s="2">
        <v>50</v>
      </c>
      <c r="B60" s="2">
        <v>59</v>
      </c>
      <c r="C60" s="2">
        <v>7</v>
      </c>
      <c r="D60" s="2">
        <v>1</v>
      </c>
      <c r="E60" s="2">
        <v>0.82699999999999996</v>
      </c>
      <c r="F60" s="2">
        <v>2</v>
      </c>
      <c r="H60" s="2">
        <v>50</v>
      </c>
      <c r="I60" s="2">
        <v>60</v>
      </c>
      <c r="J60" s="2">
        <v>5</v>
      </c>
      <c r="K60" s="2">
        <v>1</v>
      </c>
      <c r="L60" s="2">
        <v>0.625</v>
      </c>
      <c r="M60" s="2">
        <v>1</v>
      </c>
    </row>
    <row r="61" spans="1:13" ht="14.25" customHeight="1">
      <c r="A61" s="2">
        <v>50</v>
      </c>
      <c r="B61" s="2">
        <v>60</v>
      </c>
      <c r="C61" s="2">
        <v>5</v>
      </c>
      <c r="D61" s="2">
        <v>1</v>
      </c>
      <c r="E61" s="2">
        <v>0.625</v>
      </c>
      <c r="F61" s="2">
        <v>1</v>
      </c>
      <c r="H61" s="2">
        <v>50</v>
      </c>
      <c r="I61" s="2">
        <v>61</v>
      </c>
      <c r="J61" s="2">
        <v>2</v>
      </c>
      <c r="K61" s="2">
        <v>1</v>
      </c>
      <c r="L61" s="2">
        <v>0.64100000000000001</v>
      </c>
      <c r="M61" s="2">
        <v>1</v>
      </c>
    </row>
    <row r="62" spans="1:13" ht="14.25" customHeight="1">
      <c r="A62" s="2">
        <v>50</v>
      </c>
      <c r="B62" s="2">
        <v>61</v>
      </c>
      <c r="C62" s="2">
        <v>2</v>
      </c>
      <c r="D62" s="2">
        <v>1</v>
      </c>
      <c r="E62" s="2">
        <v>0.64100000000000001</v>
      </c>
      <c r="F62" s="2">
        <v>1</v>
      </c>
      <c r="H62" s="2">
        <v>50</v>
      </c>
      <c r="I62" s="2">
        <v>62</v>
      </c>
      <c r="J62" s="2">
        <v>6</v>
      </c>
      <c r="K62" s="2">
        <v>0</v>
      </c>
      <c r="L62" s="2">
        <v>1.2809999999999999</v>
      </c>
      <c r="M62" s="2">
        <v>1</v>
      </c>
    </row>
    <row r="63" spans="1:13" ht="14.25" customHeight="1">
      <c r="A63" s="2">
        <v>50</v>
      </c>
      <c r="B63" s="2">
        <v>62</v>
      </c>
      <c r="C63" s="2">
        <v>6</v>
      </c>
      <c r="D63" s="2">
        <v>0</v>
      </c>
      <c r="E63" s="2">
        <v>1.2809999999999999</v>
      </c>
      <c r="F63" s="2">
        <v>1</v>
      </c>
      <c r="H63" s="2">
        <v>50</v>
      </c>
      <c r="I63" s="2">
        <v>63</v>
      </c>
      <c r="J63" s="2">
        <v>7</v>
      </c>
      <c r="K63" s="2">
        <v>1</v>
      </c>
      <c r="L63" s="2">
        <v>0.67600000000000005</v>
      </c>
      <c r="M63" s="2">
        <v>1</v>
      </c>
    </row>
    <row r="64" spans="1:13" ht="14.25" customHeight="1">
      <c r="A64" s="2">
        <v>50</v>
      </c>
      <c r="B64" s="2">
        <v>63</v>
      </c>
      <c r="C64" s="2">
        <v>7</v>
      </c>
      <c r="D64" s="2">
        <v>1</v>
      </c>
      <c r="E64" s="2">
        <v>0.67600000000000005</v>
      </c>
      <c r="F64" s="2">
        <v>1</v>
      </c>
      <c r="H64" s="2">
        <v>50</v>
      </c>
      <c r="I64" s="2">
        <v>64</v>
      </c>
      <c r="J64" s="2">
        <v>4</v>
      </c>
      <c r="K64" s="2">
        <v>1</v>
      </c>
      <c r="L64" s="2">
        <v>1.5780000000000001</v>
      </c>
      <c r="M64" s="2">
        <v>1</v>
      </c>
    </row>
    <row r="65" spans="1:13" ht="14.25" customHeight="1">
      <c r="A65" s="2">
        <v>50</v>
      </c>
      <c r="B65" s="2">
        <v>64</v>
      </c>
      <c r="C65" s="2">
        <v>4</v>
      </c>
      <c r="D65" s="2">
        <v>1</v>
      </c>
      <c r="E65" s="2">
        <v>1.5780000000000001</v>
      </c>
      <c r="F65" s="2">
        <v>1</v>
      </c>
      <c r="H65" s="2">
        <v>50</v>
      </c>
      <c r="I65" s="2">
        <v>65</v>
      </c>
      <c r="J65" s="2">
        <v>1</v>
      </c>
      <c r="K65" s="2">
        <v>1</v>
      </c>
      <c r="L65" s="2">
        <v>1.512</v>
      </c>
      <c r="M65" s="2">
        <v>1</v>
      </c>
    </row>
    <row r="66" spans="1:13" ht="14.25" customHeight="1">
      <c r="A66" s="2">
        <v>50</v>
      </c>
      <c r="B66" s="2">
        <v>65</v>
      </c>
      <c r="C66" s="2">
        <v>1</v>
      </c>
      <c r="D66" s="2">
        <v>1</v>
      </c>
      <c r="E66" s="2">
        <v>1.512</v>
      </c>
      <c r="F66" s="2">
        <v>1</v>
      </c>
      <c r="H66" s="2">
        <v>50</v>
      </c>
      <c r="I66" s="2">
        <v>66</v>
      </c>
      <c r="J66" s="2">
        <v>4</v>
      </c>
      <c r="K66" s="2">
        <v>1</v>
      </c>
      <c r="L66" s="2">
        <v>1.1919999999999999</v>
      </c>
      <c r="M66" s="2">
        <v>2</v>
      </c>
    </row>
    <row r="67" spans="1:13" ht="14.25" customHeight="1">
      <c r="A67" s="2">
        <v>50</v>
      </c>
      <c r="B67" s="2">
        <v>66</v>
      </c>
      <c r="C67" s="2">
        <v>4</v>
      </c>
      <c r="D67" s="2">
        <v>1</v>
      </c>
      <c r="E67" s="2">
        <v>1.1919999999999999</v>
      </c>
      <c r="F67" s="2">
        <v>2</v>
      </c>
      <c r="H67" s="2">
        <v>50</v>
      </c>
      <c r="I67" s="2">
        <v>67</v>
      </c>
      <c r="J67" s="2">
        <v>3</v>
      </c>
      <c r="K67" s="2">
        <v>1</v>
      </c>
      <c r="L67" s="2">
        <v>1.298</v>
      </c>
      <c r="M67" s="2">
        <v>1</v>
      </c>
    </row>
    <row r="68" spans="1:13" ht="14.25" customHeight="1">
      <c r="A68" s="2">
        <v>50</v>
      </c>
      <c r="B68" s="2">
        <v>67</v>
      </c>
      <c r="C68" s="2">
        <v>3</v>
      </c>
      <c r="D68" s="2">
        <v>1</v>
      </c>
      <c r="E68" s="2">
        <v>1.298</v>
      </c>
      <c r="F68" s="2">
        <v>1</v>
      </c>
      <c r="H68" s="2">
        <v>50</v>
      </c>
      <c r="I68" s="2">
        <v>68</v>
      </c>
      <c r="J68" s="2">
        <v>4</v>
      </c>
      <c r="K68" s="2">
        <v>0</v>
      </c>
      <c r="L68" s="2">
        <v>0.94899999999999995</v>
      </c>
      <c r="M68" s="2">
        <v>1</v>
      </c>
    </row>
    <row r="69" spans="1:13" ht="14.25" customHeight="1">
      <c r="A69" s="2">
        <v>50</v>
      </c>
      <c r="B69" s="2">
        <v>68</v>
      </c>
      <c r="C69" s="2">
        <v>4</v>
      </c>
      <c r="D69" s="2">
        <v>0</v>
      </c>
      <c r="E69" s="2">
        <v>0.94899999999999995</v>
      </c>
      <c r="F69" s="2">
        <v>1</v>
      </c>
      <c r="H69" s="2">
        <v>50</v>
      </c>
      <c r="I69" s="2">
        <v>69</v>
      </c>
      <c r="J69" s="2">
        <v>3</v>
      </c>
      <c r="K69" s="2">
        <v>0</v>
      </c>
      <c r="L69" s="2">
        <v>1.0920000000000001</v>
      </c>
      <c r="M69" s="2">
        <v>1</v>
      </c>
    </row>
    <row r="70" spans="1:13" ht="14.25" customHeight="1">
      <c r="A70" s="2">
        <v>50</v>
      </c>
      <c r="B70" s="2">
        <v>69</v>
      </c>
      <c r="C70" s="2">
        <v>3</v>
      </c>
      <c r="D70" s="2">
        <v>0</v>
      </c>
      <c r="E70" s="2">
        <v>1.0920000000000001</v>
      </c>
      <c r="F70" s="2">
        <v>1</v>
      </c>
      <c r="H70" s="2">
        <v>50</v>
      </c>
      <c r="I70" s="2">
        <v>70</v>
      </c>
      <c r="J70" s="2">
        <v>4</v>
      </c>
      <c r="K70" s="2">
        <v>0</v>
      </c>
      <c r="L70" s="2">
        <v>1.52</v>
      </c>
      <c r="M70" s="2">
        <v>1</v>
      </c>
    </row>
    <row r="71" spans="1:13" ht="14.25" customHeight="1">
      <c r="A71" s="2">
        <v>50</v>
      </c>
      <c r="B71" s="2">
        <v>70</v>
      </c>
      <c r="C71" s="2">
        <v>4</v>
      </c>
      <c r="D71" s="2">
        <v>0</v>
      </c>
      <c r="E71" s="2">
        <v>1.52</v>
      </c>
      <c r="F71" s="2">
        <v>1</v>
      </c>
      <c r="H71" s="2">
        <v>50</v>
      </c>
      <c r="I71" s="2">
        <v>71</v>
      </c>
      <c r="J71" s="2">
        <v>7</v>
      </c>
      <c r="K71" s="2">
        <v>0</v>
      </c>
      <c r="L71" s="2">
        <v>1.56</v>
      </c>
      <c r="M71" s="2">
        <v>1</v>
      </c>
    </row>
    <row r="72" spans="1:13" ht="14.25" customHeight="1">
      <c r="A72" s="2">
        <v>50</v>
      </c>
      <c r="B72" s="2">
        <v>71</v>
      </c>
      <c r="C72" s="2">
        <v>7</v>
      </c>
      <c r="D72" s="2">
        <v>0</v>
      </c>
      <c r="E72" s="2">
        <v>1.56</v>
      </c>
      <c r="F72" s="2">
        <v>1</v>
      </c>
      <c r="H72" s="2">
        <v>50</v>
      </c>
      <c r="I72" s="2">
        <v>72</v>
      </c>
      <c r="J72" s="2">
        <v>2</v>
      </c>
      <c r="K72" s="2">
        <v>1</v>
      </c>
      <c r="L72" s="2">
        <v>1.236</v>
      </c>
      <c r="M72" s="2">
        <v>1</v>
      </c>
    </row>
    <row r="73" spans="1:13" ht="14.25" customHeight="1">
      <c r="A73" s="2">
        <v>50</v>
      </c>
      <c r="B73" s="2">
        <v>72</v>
      </c>
      <c r="C73" s="2">
        <v>2</v>
      </c>
      <c r="D73" s="2">
        <v>1</v>
      </c>
      <c r="E73" s="2">
        <v>1.236</v>
      </c>
      <c r="F73" s="2">
        <v>1</v>
      </c>
      <c r="H73" s="2">
        <v>50</v>
      </c>
      <c r="I73" s="2">
        <v>73</v>
      </c>
      <c r="J73" s="2">
        <v>6</v>
      </c>
      <c r="K73" s="2">
        <v>1</v>
      </c>
      <c r="L73" s="2">
        <v>1.337</v>
      </c>
      <c r="M73" s="2">
        <v>1</v>
      </c>
    </row>
    <row r="74" spans="1:13" ht="14.25" customHeight="1">
      <c r="A74" s="2">
        <v>50</v>
      </c>
      <c r="B74" s="2">
        <v>73</v>
      </c>
      <c r="C74" s="2">
        <v>6</v>
      </c>
      <c r="D74" s="2">
        <v>1</v>
      </c>
      <c r="E74" s="2">
        <v>1.337</v>
      </c>
      <c r="F74" s="2">
        <v>1</v>
      </c>
      <c r="H74" s="2">
        <v>50</v>
      </c>
      <c r="I74" s="2">
        <v>74</v>
      </c>
      <c r="J74" s="2">
        <v>5</v>
      </c>
      <c r="K74" s="2">
        <v>1</v>
      </c>
      <c r="L74" s="2">
        <v>0.81899999999999995</v>
      </c>
      <c r="M74" s="2">
        <v>1</v>
      </c>
    </row>
    <row r="75" spans="1:13" ht="14.25" customHeight="1">
      <c r="A75" s="2">
        <v>50</v>
      </c>
      <c r="B75" s="2">
        <v>74</v>
      </c>
      <c r="C75" s="2">
        <v>5</v>
      </c>
      <c r="D75" s="2">
        <v>1</v>
      </c>
      <c r="E75" s="2">
        <v>0.81899999999999995</v>
      </c>
      <c r="F75" s="2">
        <v>1</v>
      </c>
      <c r="H75" s="2">
        <v>50</v>
      </c>
      <c r="I75" s="2">
        <v>75</v>
      </c>
      <c r="J75" s="2">
        <v>3</v>
      </c>
      <c r="L75" s="2">
        <v>2</v>
      </c>
    </row>
    <row r="76" spans="1:13" ht="14.25" customHeight="1">
      <c r="A76" s="2">
        <v>50</v>
      </c>
      <c r="B76" s="2">
        <v>75</v>
      </c>
      <c r="C76" s="2">
        <v>3</v>
      </c>
      <c r="E76" s="2">
        <v>2</v>
      </c>
      <c r="H76" s="2">
        <v>50</v>
      </c>
      <c r="I76" s="2">
        <v>76</v>
      </c>
      <c r="J76" s="2">
        <v>7</v>
      </c>
      <c r="K76" s="2">
        <v>1</v>
      </c>
      <c r="L76" s="2">
        <v>0.69599999999999995</v>
      </c>
      <c r="M76" s="2">
        <v>1</v>
      </c>
    </row>
    <row r="77" spans="1:13" ht="14.25" customHeight="1">
      <c r="A77" s="2">
        <v>50</v>
      </c>
      <c r="B77" s="2">
        <v>76</v>
      </c>
      <c r="C77" s="2">
        <v>7</v>
      </c>
      <c r="D77" s="2">
        <v>1</v>
      </c>
      <c r="E77" s="2">
        <v>0.69599999999999995</v>
      </c>
      <c r="F77" s="2">
        <v>1</v>
      </c>
      <c r="H77" s="2">
        <v>50</v>
      </c>
      <c r="I77" s="2">
        <v>77</v>
      </c>
      <c r="J77" s="2">
        <v>1</v>
      </c>
      <c r="K77" s="2">
        <v>1</v>
      </c>
      <c r="L77" s="2">
        <v>1.1879999999999999</v>
      </c>
      <c r="M77" s="2">
        <v>1</v>
      </c>
    </row>
    <row r="78" spans="1:13" ht="14.25" customHeight="1">
      <c r="A78" s="2">
        <v>50</v>
      </c>
      <c r="B78" s="2">
        <v>77</v>
      </c>
      <c r="C78" s="2">
        <v>1</v>
      </c>
      <c r="D78" s="2">
        <v>1</v>
      </c>
      <c r="E78" s="2">
        <v>1.1879999999999999</v>
      </c>
      <c r="F78" s="2">
        <v>1</v>
      </c>
      <c r="H78" s="2">
        <v>50</v>
      </c>
      <c r="I78" s="2">
        <v>78</v>
      </c>
      <c r="J78" s="2">
        <v>5</v>
      </c>
      <c r="K78" s="2">
        <v>1</v>
      </c>
      <c r="L78" s="2">
        <v>1.641</v>
      </c>
      <c r="M78" s="2">
        <v>2</v>
      </c>
    </row>
    <row r="79" spans="1:13" ht="14.25" customHeight="1">
      <c r="A79" s="2">
        <v>50</v>
      </c>
      <c r="B79" s="2">
        <v>78</v>
      </c>
      <c r="C79" s="2">
        <v>5</v>
      </c>
      <c r="D79" s="2">
        <v>1</v>
      </c>
      <c r="E79" s="2">
        <v>1.641</v>
      </c>
      <c r="F79" s="2">
        <v>2</v>
      </c>
      <c r="H79" s="2">
        <v>50</v>
      </c>
      <c r="I79" s="2">
        <v>79</v>
      </c>
      <c r="J79" s="2">
        <v>8</v>
      </c>
      <c r="K79" s="2">
        <v>1</v>
      </c>
      <c r="L79" s="2">
        <v>1.409</v>
      </c>
      <c r="M79" s="2">
        <v>1</v>
      </c>
    </row>
    <row r="80" spans="1:13" ht="14.25" customHeight="1">
      <c r="A80" s="2">
        <v>50</v>
      </c>
      <c r="B80" s="2">
        <v>79</v>
      </c>
      <c r="C80" s="2">
        <v>8</v>
      </c>
      <c r="D80" s="2">
        <v>1</v>
      </c>
      <c r="E80" s="2">
        <v>1.409</v>
      </c>
      <c r="F80" s="2">
        <v>1</v>
      </c>
      <c r="H80" s="2">
        <v>50</v>
      </c>
      <c r="I80" s="2">
        <v>80</v>
      </c>
      <c r="J80" s="2">
        <v>4</v>
      </c>
      <c r="K80" s="2">
        <v>1</v>
      </c>
      <c r="L80" s="2">
        <v>0.73899999999999999</v>
      </c>
      <c r="M80" s="2">
        <v>2</v>
      </c>
    </row>
    <row r="81" spans="1:13" ht="14.25" customHeight="1">
      <c r="A81" s="2">
        <v>50</v>
      </c>
      <c r="B81" s="2">
        <v>80</v>
      </c>
      <c r="C81" s="2">
        <v>4</v>
      </c>
      <c r="D81" s="2">
        <v>1</v>
      </c>
      <c r="E81" s="2">
        <v>0.73899999999999999</v>
      </c>
      <c r="F81" s="2">
        <v>2</v>
      </c>
      <c r="H81" s="2">
        <v>50</v>
      </c>
      <c r="I81" s="2">
        <v>81</v>
      </c>
      <c r="J81" s="2">
        <v>1</v>
      </c>
      <c r="K81" s="2">
        <v>0</v>
      </c>
      <c r="L81" s="2">
        <v>1.486</v>
      </c>
      <c r="M81" s="2">
        <v>1</v>
      </c>
    </row>
    <row r="82" spans="1:13" ht="14.25" customHeight="1">
      <c r="A82" s="2">
        <v>50</v>
      </c>
      <c r="B82" s="2">
        <v>81</v>
      </c>
      <c r="C82" s="2">
        <v>1</v>
      </c>
      <c r="D82" s="2">
        <v>0</v>
      </c>
      <c r="E82" s="2">
        <v>1.486</v>
      </c>
      <c r="F82" s="2">
        <v>1</v>
      </c>
      <c r="H82" s="2">
        <v>50</v>
      </c>
      <c r="I82" s="2">
        <v>82</v>
      </c>
      <c r="J82" s="2">
        <v>5</v>
      </c>
      <c r="K82" s="2">
        <v>1</v>
      </c>
      <c r="L82" s="2">
        <v>0.71199999999999997</v>
      </c>
      <c r="M82" s="2">
        <v>1</v>
      </c>
    </row>
    <row r="83" spans="1:13" ht="14.25" customHeight="1">
      <c r="A83" s="2">
        <v>50</v>
      </c>
      <c r="B83" s="2">
        <v>82</v>
      </c>
      <c r="C83" s="2">
        <v>5</v>
      </c>
      <c r="D83" s="2">
        <v>1</v>
      </c>
      <c r="E83" s="2">
        <v>0.71199999999999997</v>
      </c>
      <c r="F83" s="2">
        <v>1</v>
      </c>
      <c r="H83" s="2">
        <v>50</v>
      </c>
      <c r="I83" s="2">
        <v>83</v>
      </c>
      <c r="J83" s="2">
        <v>3</v>
      </c>
      <c r="K83" s="2">
        <v>1</v>
      </c>
      <c r="L83" s="2">
        <v>0.875</v>
      </c>
      <c r="M83" s="2">
        <v>1</v>
      </c>
    </row>
    <row r="84" spans="1:13" ht="14.25" customHeight="1">
      <c r="A84" s="2">
        <v>50</v>
      </c>
      <c r="B84" s="2">
        <v>83</v>
      </c>
      <c r="C84" s="2">
        <v>3</v>
      </c>
      <c r="D84" s="2">
        <v>1</v>
      </c>
      <c r="E84" s="2">
        <v>0.875</v>
      </c>
      <c r="F84" s="2">
        <v>1</v>
      </c>
      <c r="H84" s="2">
        <v>50</v>
      </c>
      <c r="I84" s="2">
        <v>84</v>
      </c>
      <c r="J84" s="2">
        <v>8</v>
      </c>
      <c r="K84" s="2">
        <v>1</v>
      </c>
      <c r="L84" s="2">
        <v>1.5760000000000001</v>
      </c>
      <c r="M84" s="2">
        <v>2</v>
      </c>
    </row>
    <row r="85" spans="1:13" ht="14.25" customHeight="1">
      <c r="A85" s="2">
        <v>50</v>
      </c>
      <c r="B85" s="2">
        <v>84</v>
      </c>
      <c r="C85" s="2">
        <v>8</v>
      </c>
      <c r="D85" s="2">
        <v>1</v>
      </c>
      <c r="E85" s="2">
        <v>1.5760000000000001</v>
      </c>
      <c r="F85" s="2">
        <v>2</v>
      </c>
      <c r="H85" s="2">
        <v>50</v>
      </c>
      <c r="I85" s="2">
        <v>85</v>
      </c>
      <c r="J85" s="2">
        <v>2</v>
      </c>
      <c r="K85" s="2">
        <v>1</v>
      </c>
      <c r="L85" s="2">
        <v>1.5069999999999999</v>
      </c>
      <c r="M85" s="2">
        <v>2</v>
      </c>
    </row>
    <row r="86" spans="1:13" ht="14.25" customHeight="1">
      <c r="A86" s="2">
        <v>50</v>
      </c>
      <c r="B86" s="2">
        <v>85</v>
      </c>
      <c r="C86" s="2">
        <v>2</v>
      </c>
      <c r="D86" s="2">
        <v>1</v>
      </c>
      <c r="E86" s="2">
        <v>1.5069999999999999</v>
      </c>
      <c r="F86" s="2">
        <v>2</v>
      </c>
      <c r="H86" s="2">
        <v>50</v>
      </c>
      <c r="I86" s="2">
        <v>86</v>
      </c>
      <c r="J86" s="2">
        <v>6</v>
      </c>
      <c r="K86" s="2">
        <v>1</v>
      </c>
      <c r="L86" s="2">
        <v>0.58499999999999996</v>
      </c>
      <c r="M86" s="2">
        <v>1</v>
      </c>
    </row>
    <row r="87" spans="1:13" ht="14.25" customHeight="1">
      <c r="A87" s="2">
        <v>50</v>
      </c>
      <c r="B87" s="2">
        <v>86</v>
      </c>
      <c r="C87" s="2">
        <v>6</v>
      </c>
      <c r="D87" s="2">
        <v>1</v>
      </c>
      <c r="E87" s="2">
        <v>0.58499999999999996</v>
      </c>
      <c r="F87" s="2">
        <v>1</v>
      </c>
      <c r="H87" s="2">
        <v>50</v>
      </c>
      <c r="I87" s="2">
        <v>87</v>
      </c>
      <c r="J87" s="2">
        <v>8</v>
      </c>
      <c r="K87" s="2">
        <v>1</v>
      </c>
      <c r="L87" s="2">
        <v>0.70399999999999996</v>
      </c>
      <c r="M87" s="2">
        <v>2</v>
      </c>
    </row>
    <row r="88" spans="1:13" ht="14.25" customHeight="1">
      <c r="A88" s="2">
        <v>50</v>
      </c>
      <c r="B88" s="2">
        <v>87</v>
      </c>
      <c r="C88" s="2">
        <v>8</v>
      </c>
      <c r="D88" s="2">
        <v>1</v>
      </c>
      <c r="E88" s="2">
        <v>0.70399999999999996</v>
      </c>
      <c r="F88" s="2">
        <v>2</v>
      </c>
      <c r="H88" s="2">
        <v>50</v>
      </c>
      <c r="I88" s="2">
        <v>88</v>
      </c>
      <c r="J88" s="2">
        <v>3</v>
      </c>
      <c r="K88" s="2">
        <v>1</v>
      </c>
      <c r="L88" s="2">
        <v>0.83</v>
      </c>
      <c r="M88" s="2">
        <v>1</v>
      </c>
    </row>
    <row r="89" spans="1:13" ht="14.25" customHeight="1">
      <c r="A89" s="2">
        <v>50</v>
      </c>
      <c r="B89" s="2">
        <v>88</v>
      </c>
      <c r="C89" s="2">
        <v>3</v>
      </c>
      <c r="D89" s="2">
        <v>1</v>
      </c>
      <c r="E89" s="2">
        <v>0.83</v>
      </c>
      <c r="F89" s="2">
        <v>1</v>
      </c>
      <c r="H89" s="2">
        <v>50</v>
      </c>
      <c r="I89" s="2">
        <v>89</v>
      </c>
      <c r="J89" s="2">
        <v>1</v>
      </c>
      <c r="K89" s="2">
        <v>0</v>
      </c>
      <c r="L89" s="2">
        <v>1.0740000000000001</v>
      </c>
      <c r="M89" s="2">
        <v>1</v>
      </c>
    </row>
    <row r="90" spans="1:13" ht="14.25" customHeight="1">
      <c r="A90" s="2">
        <v>50</v>
      </c>
      <c r="B90" s="2">
        <v>89</v>
      </c>
      <c r="C90" s="2">
        <v>1</v>
      </c>
      <c r="D90" s="2">
        <v>0</v>
      </c>
      <c r="E90" s="2">
        <v>1.0740000000000001</v>
      </c>
      <c r="F90" s="2">
        <v>1</v>
      </c>
      <c r="H90" s="2">
        <v>50</v>
      </c>
      <c r="I90" s="2">
        <v>90</v>
      </c>
      <c r="J90" s="2">
        <v>6</v>
      </c>
      <c r="K90" s="2">
        <v>1</v>
      </c>
      <c r="L90" s="2">
        <v>0.69699999999999995</v>
      </c>
      <c r="M90" s="2">
        <v>1</v>
      </c>
    </row>
    <row r="91" spans="1:13" ht="14.25" customHeight="1">
      <c r="A91" s="2">
        <v>50</v>
      </c>
      <c r="B91" s="2">
        <v>90</v>
      </c>
      <c r="C91" s="2">
        <v>6</v>
      </c>
      <c r="D91" s="2">
        <v>1</v>
      </c>
      <c r="E91" s="2">
        <v>0.69699999999999995</v>
      </c>
      <c r="F91" s="2">
        <v>1</v>
      </c>
      <c r="H91" s="2">
        <v>50</v>
      </c>
      <c r="I91" s="2">
        <v>91</v>
      </c>
      <c r="J91" s="2">
        <v>8</v>
      </c>
      <c r="K91" s="2">
        <v>1</v>
      </c>
      <c r="L91" s="2">
        <v>1.1040000000000001</v>
      </c>
      <c r="M91" s="2">
        <v>1</v>
      </c>
    </row>
    <row r="92" spans="1:13" ht="14.25" customHeight="1">
      <c r="A92" s="2">
        <v>50</v>
      </c>
      <c r="B92" s="2">
        <v>91</v>
      </c>
      <c r="C92" s="2">
        <v>8</v>
      </c>
      <c r="D92" s="2">
        <v>1</v>
      </c>
      <c r="E92" s="2">
        <v>1.1040000000000001</v>
      </c>
      <c r="F92" s="2">
        <v>1</v>
      </c>
      <c r="H92" s="2">
        <v>50</v>
      </c>
      <c r="I92" s="2">
        <v>92</v>
      </c>
      <c r="J92" s="2">
        <v>4</v>
      </c>
      <c r="K92" s="2">
        <v>1</v>
      </c>
      <c r="L92" s="2">
        <v>1.4119999999999999</v>
      </c>
      <c r="M92" s="2">
        <v>2</v>
      </c>
    </row>
    <row r="93" spans="1:13" ht="14.25" customHeight="1">
      <c r="A93" s="2">
        <v>50</v>
      </c>
      <c r="B93" s="2">
        <v>92</v>
      </c>
      <c r="C93" s="2">
        <v>4</v>
      </c>
      <c r="D93" s="2">
        <v>1</v>
      </c>
      <c r="E93" s="2">
        <v>1.4119999999999999</v>
      </c>
      <c r="F93" s="2">
        <v>2</v>
      </c>
      <c r="H93" s="2">
        <v>50</v>
      </c>
      <c r="I93" s="2">
        <v>93</v>
      </c>
      <c r="J93" s="2">
        <v>6</v>
      </c>
      <c r="K93" s="2">
        <v>0</v>
      </c>
      <c r="L93" s="2">
        <v>1.194</v>
      </c>
      <c r="M93" s="2">
        <v>1</v>
      </c>
    </row>
    <row r="94" spans="1:13" ht="14.25" customHeight="1">
      <c r="A94" s="2">
        <v>50</v>
      </c>
      <c r="B94" s="2">
        <v>93</v>
      </c>
      <c r="C94" s="2">
        <v>6</v>
      </c>
      <c r="D94" s="2">
        <v>0</v>
      </c>
      <c r="E94" s="2">
        <v>1.194</v>
      </c>
      <c r="F94" s="2">
        <v>1</v>
      </c>
      <c r="H94" s="2">
        <v>50</v>
      </c>
      <c r="I94" s="2">
        <v>94</v>
      </c>
      <c r="J94" s="2">
        <v>8</v>
      </c>
      <c r="K94" s="2">
        <v>1</v>
      </c>
      <c r="L94" s="2">
        <v>0.59399999999999997</v>
      </c>
      <c r="M94" s="2">
        <v>1</v>
      </c>
    </row>
    <row r="95" spans="1:13" ht="14.25" customHeight="1">
      <c r="A95" s="2">
        <v>50</v>
      </c>
      <c r="B95" s="2">
        <v>94</v>
      </c>
      <c r="C95" s="2">
        <v>8</v>
      </c>
      <c r="D95" s="2">
        <v>1</v>
      </c>
      <c r="E95" s="2">
        <v>0.59399999999999997</v>
      </c>
      <c r="F95" s="2">
        <v>1</v>
      </c>
      <c r="H95" s="2">
        <v>50</v>
      </c>
      <c r="I95" s="2">
        <v>95</v>
      </c>
      <c r="J95" s="2">
        <v>2</v>
      </c>
      <c r="K95" s="2">
        <v>1</v>
      </c>
      <c r="L95" s="2">
        <v>1.2529999999999999</v>
      </c>
      <c r="M95" s="2">
        <v>2</v>
      </c>
    </row>
    <row r="96" spans="1:13" ht="14.25" customHeight="1">
      <c r="A96" s="2">
        <v>50</v>
      </c>
      <c r="B96" s="2">
        <v>95</v>
      </c>
      <c r="C96" s="2">
        <v>2</v>
      </c>
      <c r="D96" s="2">
        <v>1</v>
      </c>
      <c r="E96" s="2">
        <v>1.2529999999999999</v>
      </c>
      <c r="F96" s="2">
        <v>2</v>
      </c>
      <c r="H96" s="2">
        <v>50</v>
      </c>
      <c r="I96" s="2">
        <v>96</v>
      </c>
      <c r="J96" s="2">
        <v>7</v>
      </c>
      <c r="K96" s="2">
        <v>1</v>
      </c>
      <c r="L96" s="2">
        <v>1.042</v>
      </c>
      <c r="M96" s="2">
        <v>1</v>
      </c>
    </row>
    <row r="97" spans="1:13" ht="14.25" customHeight="1">
      <c r="A97" s="2">
        <v>50</v>
      </c>
      <c r="B97" s="2">
        <v>96</v>
      </c>
      <c r="C97" s="2">
        <v>7</v>
      </c>
      <c r="D97" s="2">
        <v>1</v>
      </c>
      <c r="E97" s="2">
        <v>1.042</v>
      </c>
      <c r="F97" s="2">
        <v>1</v>
      </c>
      <c r="H97" s="2">
        <v>50</v>
      </c>
      <c r="I97" s="2">
        <v>97</v>
      </c>
      <c r="J97" s="2">
        <v>8</v>
      </c>
      <c r="K97" s="2">
        <v>1</v>
      </c>
      <c r="L97" s="2">
        <v>0.93799999999999994</v>
      </c>
      <c r="M97" s="2">
        <v>2</v>
      </c>
    </row>
    <row r="98" spans="1:13" ht="14.25" customHeight="1">
      <c r="A98" s="2">
        <v>50</v>
      </c>
      <c r="B98" s="2">
        <v>97</v>
      </c>
      <c r="C98" s="2">
        <v>8</v>
      </c>
      <c r="D98" s="2">
        <v>1</v>
      </c>
      <c r="E98" s="2">
        <v>0.93799999999999994</v>
      </c>
      <c r="F98" s="2">
        <v>2</v>
      </c>
      <c r="H98" s="2">
        <v>50</v>
      </c>
      <c r="I98" s="2">
        <v>98</v>
      </c>
      <c r="J98" s="2">
        <v>5</v>
      </c>
      <c r="K98" s="2">
        <v>1</v>
      </c>
      <c r="L98" s="2">
        <v>1.77</v>
      </c>
      <c r="M98" s="2">
        <v>2</v>
      </c>
    </row>
    <row r="99" spans="1:13" ht="14.25" customHeight="1">
      <c r="A99" s="2">
        <v>50</v>
      </c>
      <c r="B99" s="2">
        <v>98</v>
      </c>
      <c r="C99" s="2">
        <v>5</v>
      </c>
      <c r="D99" s="2">
        <v>1</v>
      </c>
      <c r="E99" s="2">
        <v>1.77</v>
      </c>
      <c r="F99" s="2">
        <v>2</v>
      </c>
      <c r="H99" s="2">
        <v>50</v>
      </c>
      <c r="I99" s="2">
        <v>99</v>
      </c>
      <c r="J99" s="2">
        <v>1</v>
      </c>
      <c r="K99" s="2">
        <v>1</v>
      </c>
      <c r="L99" s="2">
        <v>0.90600000000000003</v>
      </c>
      <c r="M99" s="2">
        <v>2</v>
      </c>
    </row>
    <row r="100" spans="1:13" ht="14.25" customHeight="1">
      <c r="A100" s="2">
        <v>50</v>
      </c>
      <c r="B100" s="2">
        <v>99</v>
      </c>
      <c r="C100" s="2">
        <v>1</v>
      </c>
      <c r="D100" s="2">
        <v>1</v>
      </c>
      <c r="E100" s="2">
        <v>0.90600000000000003</v>
      </c>
      <c r="F100" s="2">
        <v>2</v>
      </c>
      <c r="H100" s="2">
        <v>50</v>
      </c>
      <c r="I100" s="2">
        <v>100</v>
      </c>
      <c r="J100" s="2">
        <v>7</v>
      </c>
      <c r="K100" s="2">
        <v>1</v>
      </c>
      <c r="L100" s="2">
        <v>1.0680000000000001</v>
      </c>
      <c r="M100" s="2">
        <v>1</v>
      </c>
    </row>
    <row r="101" spans="1:13" ht="14.25" customHeight="1">
      <c r="A101" s="2">
        <v>50</v>
      </c>
      <c r="B101" s="2">
        <v>100</v>
      </c>
      <c r="C101" s="2">
        <v>7</v>
      </c>
      <c r="D101" s="2">
        <v>1</v>
      </c>
      <c r="E101" s="2">
        <v>1.0680000000000001</v>
      </c>
      <c r="F101" s="2">
        <v>1</v>
      </c>
    </row>
    <row r="102" spans="1:13" ht="14.25" customHeight="1">
      <c r="A102" s="2">
        <v>50</v>
      </c>
      <c r="B102" s="2">
        <v>101</v>
      </c>
      <c r="C102" s="2">
        <v>2</v>
      </c>
      <c r="D102" s="2">
        <v>1</v>
      </c>
      <c r="E102" s="2">
        <v>0.79800000000000004</v>
      </c>
      <c r="F102" s="2">
        <v>2</v>
      </c>
    </row>
    <row r="103" spans="1:13" ht="14.25" customHeight="1">
      <c r="A103" s="2">
        <v>50</v>
      </c>
      <c r="B103" s="2">
        <v>102</v>
      </c>
      <c r="C103" s="2">
        <v>7</v>
      </c>
      <c r="D103" s="2">
        <v>1</v>
      </c>
      <c r="E103" s="2">
        <v>0.88300000000000001</v>
      </c>
      <c r="F103" s="2">
        <v>1</v>
      </c>
    </row>
    <row r="104" spans="1:13" ht="14.25" customHeight="1">
      <c r="A104" s="2">
        <v>50</v>
      </c>
      <c r="B104" s="2">
        <v>103</v>
      </c>
      <c r="C104" s="2">
        <v>4</v>
      </c>
      <c r="D104" s="2">
        <v>1</v>
      </c>
      <c r="E104" s="2">
        <v>0.873</v>
      </c>
      <c r="F104" s="2">
        <v>2</v>
      </c>
    </row>
    <row r="105" spans="1:13" ht="14.25" customHeight="1">
      <c r="A105" s="2">
        <v>50</v>
      </c>
      <c r="B105" s="2">
        <v>104</v>
      </c>
      <c r="C105" s="2">
        <v>8</v>
      </c>
      <c r="D105" s="2">
        <v>0</v>
      </c>
      <c r="E105" s="2">
        <v>1.165</v>
      </c>
      <c r="F105" s="2">
        <v>1</v>
      </c>
    </row>
    <row r="106" spans="1:13" ht="14.25" customHeight="1">
      <c r="A106" s="2">
        <v>50</v>
      </c>
      <c r="B106" s="2">
        <v>105</v>
      </c>
      <c r="C106" s="2">
        <v>1</v>
      </c>
      <c r="D106" s="2">
        <v>0</v>
      </c>
      <c r="E106" s="2">
        <v>0.93100000000000005</v>
      </c>
      <c r="F106" s="2">
        <v>2</v>
      </c>
    </row>
    <row r="107" spans="1:13" ht="14.25" customHeight="1">
      <c r="A107" s="2">
        <v>50</v>
      </c>
      <c r="B107" s="2">
        <v>106</v>
      </c>
      <c r="C107" s="2">
        <v>4</v>
      </c>
      <c r="D107" s="2">
        <v>1</v>
      </c>
      <c r="E107" s="2">
        <v>0.81200000000000006</v>
      </c>
      <c r="F107" s="2">
        <v>2</v>
      </c>
    </row>
    <row r="108" spans="1:13" ht="14.25" customHeight="1">
      <c r="A108" s="2">
        <v>50</v>
      </c>
      <c r="B108" s="2">
        <v>107</v>
      </c>
      <c r="C108" s="2">
        <v>8</v>
      </c>
      <c r="D108" s="2">
        <v>1</v>
      </c>
      <c r="E108" s="2">
        <v>0.747</v>
      </c>
      <c r="F108" s="2">
        <v>1</v>
      </c>
    </row>
    <row r="109" spans="1:13" ht="14.25" customHeight="1">
      <c r="A109" s="2">
        <v>50</v>
      </c>
      <c r="B109" s="2">
        <v>108</v>
      </c>
      <c r="C109" s="2">
        <v>7</v>
      </c>
      <c r="D109" s="2">
        <v>1</v>
      </c>
      <c r="E109" s="2">
        <v>0.86799999999999999</v>
      </c>
      <c r="F109" s="2">
        <v>1</v>
      </c>
    </row>
    <row r="110" spans="1:13" ht="14.25" customHeight="1">
      <c r="A110" s="2">
        <v>50</v>
      </c>
      <c r="B110" s="2">
        <v>109</v>
      </c>
      <c r="C110" s="2">
        <v>6</v>
      </c>
      <c r="D110" s="2">
        <v>1</v>
      </c>
      <c r="E110" s="2">
        <v>0.78900000000000003</v>
      </c>
      <c r="F110" s="2">
        <v>2</v>
      </c>
    </row>
    <row r="111" spans="1:13" ht="14.25" customHeight="1">
      <c r="A111" s="2">
        <v>50</v>
      </c>
      <c r="B111" s="2">
        <v>110</v>
      </c>
      <c r="C111" s="2">
        <v>7</v>
      </c>
      <c r="D111" s="2">
        <v>1</v>
      </c>
      <c r="E111" s="2">
        <v>0.89700000000000002</v>
      </c>
      <c r="F111" s="2">
        <v>1</v>
      </c>
    </row>
    <row r="112" spans="1:13" ht="14.25" customHeight="1">
      <c r="A112" s="2">
        <v>50</v>
      </c>
      <c r="B112" s="2">
        <v>111</v>
      </c>
      <c r="C112" s="2">
        <v>3</v>
      </c>
      <c r="D112" s="2">
        <v>1</v>
      </c>
      <c r="E112" s="2">
        <v>0.83599999999999997</v>
      </c>
      <c r="F112" s="2">
        <v>1</v>
      </c>
    </row>
    <row r="113" spans="1:6" ht="14.25" customHeight="1">
      <c r="A113" s="2">
        <v>50</v>
      </c>
      <c r="B113" s="2">
        <v>112</v>
      </c>
      <c r="C113" s="2">
        <v>7</v>
      </c>
      <c r="D113" s="2">
        <v>1</v>
      </c>
      <c r="E113" s="2">
        <v>1.667</v>
      </c>
      <c r="F113" s="2">
        <v>2</v>
      </c>
    </row>
    <row r="114" spans="1:6" ht="14.25" customHeight="1">
      <c r="A114" s="2">
        <v>50</v>
      </c>
      <c r="B114" s="2">
        <v>113</v>
      </c>
      <c r="C114" s="2">
        <v>4</v>
      </c>
      <c r="D114" s="2">
        <v>1</v>
      </c>
      <c r="E114" s="2">
        <v>0.79200000000000004</v>
      </c>
      <c r="F114" s="2">
        <v>1</v>
      </c>
    </row>
    <row r="115" spans="1:6" ht="14.25" customHeight="1">
      <c r="A115" s="2">
        <v>50</v>
      </c>
      <c r="B115" s="2">
        <v>114</v>
      </c>
      <c r="C115" s="2">
        <v>1</v>
      </c>
      <c r="D115" s="2">
        <v>1</v>
      </c>
      <c r="E115" s="2">
        <v>0.88400000000000001</v>
      </c>
      <c r="F115" s="2">
        <v>1</v>
      </c>
    </row>
    <row r="116" spans="1:6" ht="14.25" customHeight="1">
      <c r="A116" s="2">
        <v>50</v>
      </c>
      <c r="B116" s="2">
        <v>115</v>
      </c>
      <c r="C116" s="2">
        <v>6</v>
      </c>
      <c r="D116" s="2">
        <v>1</v>
      </c>
      <c r="E116" s="2">
        <v>1.006</v>
      </c>
      <c r="F116" s="2">
        <v>1</v>
      </c>
    </row>
    <row r="117" spans="1:6" ht="14.25" customHeight="1">
      <c r="A117" s="2">
        <v>50</v>
      </c>
      <c r="B117" s="2">
        <v>116</v>
      </c>
      <c r="C117" s="2">
        <v>3</v>
      </c>
      <c r="D117" s="2">
        <v>1</v>
      </c>
      <c r="E117" s="2">
        <v>1.05</v>
      </c>
      <c r="F117" s="2">
        <v>2</v>
      </c>
    </row>
    <row r="118" spans="1:6" ht="14.25" customHeight="1">
      <c r="A118" s="2">
        <v>50</v>
      </c>
      <c r="B118" s="2">
        <v>117</v>
      </c>
      <c r="C118" s="2">
        <v>7</v>
      </c>
      <c r="D118" s="2">
        <v>1</v>
      </c>
      <c r="E118" s="2">
        <v>0.79100000000000004</v>
      </c>
      <c r="F118" s="2">
        <v>1</v>
      </c>
    </row>
    <row r="119" spans="1:6" ht="14.25" customHeight="1">
      <c r="A119" s="2">
        <v>50</v>
      </c>
      <c r="B119" s="2">
        <v>118</v>
      </c>
      <c r="C119" s="2">
        <v>2</v>
      </c>
      <c r="D119" s="2">
        <v>1</v>
      </c>
      <c r="E119" s="2">
        <v>1.647</v>
      </c>
      <c r="F119" s="2">
        <v>2</v>
      </c>
    </row>
    <row r="120" spans="1:6" ht="14.25" customHeight="1">
      <c r="A120" s="2">
        <v>50</v>
      </c>
      <c r="B120" s="2">
        <v>119</v>
      </c>
      <c r="C120" s="2">
        <v>7</v>
      </c>
      <c r="D120" s="2">
        <v>1</v>
      </c>
      <c r="E120" s="2">
        <v>0.95399999999999996</v>
      </c>
      <c r="F120" s="2">
        <v>2</v>
      </c>
    </row>
    <row r="121" spans="1:6" ht="14.25" customHeight="1">
      <c r="A121" s="2">
        <v>50</v>
      </c>
      <c r="B121" s="2">
        <v>120</v>
      </c>
      <c r="C121" s="2">
        <v>6</v>
      </c>
      <c r="D121" s="2">
        <v>1</v>
      </c>
      <c r="E121" s="2">
        <v>0.86</v>
      </c>
      <c r="F121" s="2">
        <v>2</v>
      </c>
    </row>
    <row r="122" spans="1:6" ht="14.25" customHeight="1">
      <c r="A122" s="2">
        <v>50</v>
      </c>
      <c r="B122" s="2">
        <v>121</v>
      </c>
      <c r="C122" s="2">
        <v>5</v>
      </c>
      <c r="D122" s="2">
        <v>1</v>
      </c>
      <c r="E122" s="2">
        <v>1.2729999999999999</v>
      </c>
      <c r="F122" s="2">
        <v>2</v>
      </c>
    </row>
    <row r="123" spans="1:6" ht="14.25" customHeight="1">
      <c r="A123" s="2">
        <v>50</v>
      </c>
      <c r="B123" s="2">
        <v>122</v>
      </c>
      <c r="C123" s="2">
        <v>1</v>
      </c>
      <c r="D123" s="2">
        <v>1</v>
      </c>
      <c r="E123" s="2">
        <v>0.92</v>
      </c>
      <c r="F123" s="2">
        <v>1</v>
      </c>
    </row>
    <row r="124" spans="1:6" ht="14.25" customHeight="1">
      <c r="A124" s="2">
        <v>50</v>
      </c>
      <c r="B124" s="2">
        <v>123</v>
      </c>
      <c r="C124" s="2">
        <v>7</v>
      </c>
      <c r="D124" s="2">
        <v>1</v>
      </c>
      <c r="E124" s="2">
        <v>0.88200000000000001</v>
      </c>
      <c r="F124" s="2">
        <v>1</v>
      </c>
    </row>
    <row r="125" spans="1:6" ht="14.25" customHeight="1">
      <c r="A125" s="2">
        <v>50</v>
      </c>
      <c r="B125" s="2">
        <v>124</v>
      </c>
      <c r="C125" s="2">
        <v>5</v>
      </c>
      <c r="D125" s="2">
        <v>1</v>
      </c>
      <c r="E125" s="2">
        <v>0.81799999999999995</v>
      </c>
      <c r="F125" s="2">
        <v>1</v>
      </c>
    </row>
    <row r="126" spans="1:6" ht="14.25" customHeight="1">
      <c r="A126" s="2">
        <v>50</v>
      </c>
      <c r="B126" s="2">
        <v>125</v>
      </c>
      <c r="C126" s="2">
        <v>2</v>
      </c>
      <c r="D126" s="2">
        <v>1</v>
      </c>
      <c r="E126" s="2">
        <v>0.99199999999999999</v>
      </c>
      <c r="F126" s="2">
        <v>1</v>
      </c>
    </row>
    <row r="127" spans="1:6" ht="14.25" customHeight="1">
      <c r="A127" s="2">
        <v>50</v>
      </c>
      <c r="B127" s="2">
        <v>126</v>
      </c>
      <c r="C127" s="2">
        <v>1</v>
      </c>
      <c r="D127" s="2">
        <v>1</v>
      </c>
      <c r="E127" s="2">
        <v>1.1379999999999999</v>
      </c>
      <c r="F127" s="2">
        <v>1</v>
      </c>
    </row>
    <row r="128" spans="1:6" ht="14.25" customHeight="1">
      <c r="A128" s="2">
        <v>50</v>
      </c>
      <c r="B128" s="2">
        <v>127</v>
      </c>
      <c r="C128" s="2">
        <v>3</v>
      </c>
      <c r="D128" s="2">
        <v>1</v>
      </c>
      <c r="E128" s="2">
        <v>1.0820000000000001</v>
      </c>
      <c r="F128" s="2">
        <v>1</v>
      </c>
    </row>
    <row r="129" spans="1:6" ht="14.25" customHeight="1">
      <c r="A129" s="2">
        <v>50</v>
      </c>
      <c r="B129" s="2">
        <v>128</v>
      </c>
      <c r="C129" s="2">
        <v>8</v>
      </c>
      <c r="D129" s="2">
        <v>1</v>
      </c>
      <c r="E129" s="2">
        <v>1.085</v>
      </c>
      <c r="F129" s="2">
        <v>2</v>
      </c>
    </row>
    <row r="130" spans="1:6" ht="14.25" customHeight="1">
      <c r="A130" s="2">
        <v>50</v>
      </c>
      <c r="B130" s="2">
        <v>129</v>
      </c>
      <c r="C130" s="2">
        <v>6</v>
      </c>
      <c r="D130" s="2">
        <v>1</v>
      </c>
      <c r="E130" s="2">
        <v>0.77200000000000002</v>
      </c>
      <c r="F130" s="2">
        <v>1</v>
      </c>
    </row>
    <row r="131" spans="1:6" ht="14.25" customHeight="1">
      <c r="A131" s="2">
        <v>50</v>
      </c>
      <c r="B131" s="2">
        <v>130</v>
      </c>
      <c r="C131" s="2">
        <v>3</v>
      </c>
      <c r="D131" s="2">
        <v>1</v>
      </c>
      <c r="E131" s="2">
        <v>1.0760000000000001</v>
      </c>
      <c r="F131" s="2">
        <v>2</v>
      </c>
    </row>
    <row r="132" spans="1:6" ht="14.25" customHeight="1">
      <c r="A132" s="2">
        <v>50</v>
      </c>
      <c r="B132" s="2">
        <v>131</v>
      </c>
      <c r="C132" s="2">
        <v>2</v>
      </c>
      <c r="D132" s="2">
        <v>1</v>
      </c>
      <c r="E132" s="2">
        <v>1.097</v>
      </c>
      <c r="F132" s="2">
        <v>2</v>
      </c>
    </row>
    <row r="133" spans="1:6" ht="14.25" customHeight="1">
      <c r="A133" s="2">
        <v>50</v>
      </c>
      <c r="B133" s="2">
        <v>132</v>
      </c>
      <c r="C133" s="2">
        <v>1</v>
      </c>
      <c r="D133" s="2">
        <v>1</v>
      </c>
      <c r="E133" s="2">
        <v>1.4019999999999999</v>
      </c>
      <c r="F133" s="2">
        <v>1</v>
      </c>
    </row>
    <row r="134" spans="1:6" ht="14.25" customHeight="1">
      <c r="A134" s="2">
        <v>50</v>
      </c>
      <c r="B134" s="2">
        <v>133</v>
      </c>
      <c r="C134" s="2">
        <v>5</v>
      </c>
      <c r="D134" s="2">
        <v>1</v>
      </c>
      <c r="E134" s="2">
        <v>0.88900000000000001</v>
      </c>
      <c r="F134" s="2">
        <v>1</v>
      </c>
    </row>
    <row r="135" spans="1:6" ht="14.25" customHeight="1">
      <c r="A135" s="2">
        <v>50</v>
      </c>
      <c r="B135" s="2">
        <v>134</v>
      </c>
      <c r="C135" s="2">
        <v>8</v>
      </c>
      <c r="D135" s="2">
        <v>1</v>
      </c>
      <c r="E135" s="2">
        <v>1.45</v>
      </c>
      <c r="F135" s="2">
        <v>2</v>
      </c>
    </row>
    <row r="136" spans="1:6" ht="14.25" customHeight="1">
      <c r="A136" s="2">
        <v>50</v>
      </c>
      <c r="B136" s="2">
        <v>135</v>
      </c>
      <c r="C136" s="2">
        <v>3</v>
      </c>
      <c r="D136" s="2">
        <v>0</v>
      </c>
      <c r="E136" s="2">
        <v>0.80400000000000005</v>
      </c>
      <c r="F136" s="2">
        <v>1</v>
      </c>
    </row>
    <row r="137" spans="1:6" ht="14.25" customHeight="1">
      <c r="A137" s="2">
        <v>50</v>
      </c>
      <c r="B137" s="2">
        <v>136</v>
      </c>
      <c r="C137" s="2">
        <v>8</v>
      </c>
      <c r="D137" s="2">
        <v>1</v>
      </c>
      <c r="E137" s="2">
        <v>0.755</v>
      </c>
      <c r="F137" s="2">
        <v>1</v>
      </c>
    </row>
    <row r="138" spans="1:6" ht="14.25" customHeight="1">
      <c r="A138" s="2">
        <v>50</v>
      </c>
      <c r="B138" s="2">
        <v>137</v>
      </c>
      <c r="C138" s="2">
        <v>3</v>
      </c>
      <c r="D138" s="2">
        <v>1</v>
      </c>
      <c r="E138" s="2">
        <v>0.95099999999999996</v>
      </c>
      <c r="F138" s="2">
        <v>2</v>
      </c>
    </row>
    <row r="139" spans="1:6" ht="14.25" customHeight="1">
      <c r="A139" s="2">
        <v>50</v>
      </c>
      <c r="B139" s="2">
        <v>138</v>
      </c>
      <c r="C139" s="2">
        <v>8</v>
      </c>
      <c r="D139" s="2">
        <v>0</v>
      </c>
      <c r="E139" s="2">
        <v>1.3009999999999999</v>
      </c>
      <c r="F139" s="2">
        <v>2</v>
      </c>
    </row>
    <row r="140" spans="1:6" ht="14.25" customHeight="1">
      <c r="A140" s="2">
        <v>50</v>
      </c>
      <c r="B140" s="2">
        <v>139</v>
      </c>
      <c r="C140" s="2">
        <v>4</v>
      </c>
      <c r="D140" s="2">
        <v>1</v>
      </c>
      <c r="E140" s="2">
        <v>0.746</v>
      </c>
      <c r="F140" s="2">
        <v>2</v>
      </c>
    </row>
    <row r="141" spans="1:6" ht="14.25" customHeight="1">
      <c r="A141" s="2">
        <v>50</v>
      </c>
      <c r="B141" s="2">
        <v>140</v>
      </c>
      <c r="C141" s="2">
        <v>6</v>
      </c>
      <c r="D141" s="2">
        <v>1</v>
      </c>
      <c r="E141" s="2">
        <v>0.86</v>
      </c>
      <c r="F141" s="2">
        <v>1</v>
      </c>
    </row>
    <row r="142" spans="1:6" ht="14.25" customHeight="1">
      <c r="A142" s="2">
        <v>50</v>
      </c>
      <c r="B142" s="2">
        <v>141</v>
      </c>
      <c r="C142" s="2">
        <v>5</v>
      </c>
      <c r="D142" s="2">
        <v>1</v>
      </c>
      <c r="E142" s="2">
        <v>0.84099999999999997</v>
      </c>
      <c r="F142" s="2">
        <v>1</v>
      </c>
    </row>
    <row r="143" spans="1:6" ht="14.25" customHeight="1">
      <c r="A143" s="2">
        <v>50</v>
      </c>
      <c r="B143" s="2">
        <v>142</v>
      </c>
      <c r="C143" s="2">
        <v>2</v>
      </c>
      <c r="D143" s="2">
        <v>1</v>
      </c>
      <c r="E143" s="2">
        <v>1.0189999999999999</v>
      </c>
      <c r="F143" s="2">
        <v>2</v>
      </c>
    </row>
    <row r="144" spans="1:6" ht="14.25" customHeight="1">
      <c r="A144" s="2">
        <v>50</v>
      </c>
      <c r="B144" s="2">
        <v>143</v>
      </c>
      <c r="C144" s="2">
        <v>8</v>
      </c>
      <c r="D144" s="2">
        <v>1</v>
      </c>
      <c r="E144" s="2">
        <v>1.252</v>
      </c>
      <c r="F144" s="2">
        <v>2</v>
      </c>
    </row>
    <row r="145" spans="1:6" ht="14.25" customHeight="1">
      <c r="A145" s="2">
        <v>50</v>
      </c>
      <c r="B145" s="2">
        <v>144</v>
      </c>
      <c r="C145" s="2">
        <v>4</v>
      </c>
      <c r="D145" s="2">
        <v>1</v>
      </c>
      <c r="E145" s="2">
        <v>0.80300000000000005</v>
      </c>
      <c r="F145" s="2">
        <v>1</v>
      </c>
    </row>
    <row r="146" spans="1:6" ht="14.25" customHeight="1">
      <c r="A146" s="2">
        <v>50</v>
      </c>
      <c r="B146" s="2">
        <v>145</v>
      </c>
      <c r="C146" s="2">
        <v>5</v>
      </c>
      <c r="D146" s="2">
        <v>1</v>
      </c>
      <c r="E146" s="2">
        <v>0.88</v>
      </c>
      <c r="F146" s="2">
        <v>2</v>
      </c>
    </row>
    <row r="147" spans="1:6" ht="14.25" customHeight="1">
      <c r="A147" s="2">
        <v>50</v>
      </c>
      <c r="B147" s="2">
        <v>146</v>
      </c>
      <c r="C147" s="2">
        <v>2</v>
      </c>
      <c r="D147" s="2">
        <v>1</v>
      </c>
      <c r="E147" s="2">
        <v>0.77700000000000002</v>
      </c>
      <c r="F147" s="2">
        <v>1</v>
      </c>
    </row>
    <row r="148" spans="1:6" ht="14.25" customHeight="1">
      <c r="A148" s="2">
        <v>50</v>
      </c>
      <c r="B148" s="2">
        <v>147</v>
      </c>
      <c r="C148" s="2">
        <v>4</v>
      </c>
      <c r="D148" s="2">
        <v>1</v>
      </c>
      <c r="E148" s="2">
        <v>0.89100000000000001</v>
      </c>
      <c r="F148" s="2">
        <v>2</v>
      </c>
    </row>
    <row r="149" spans="1:6" ht="14.25" customHeight="1">
      <c r="A149" s="2">
        <v>50</v>
      </c>
      <c r="B149" s="2">
        <v>148</v>
      </c>
      <c r="C149" s="2">
        <v>5</v>
      </c>
      <c r="D149" s="2">
        <v>1</v>
      </c>
      <c r="E149" s="2">
        <v>1.41</v>
      </c>
      <c r="F149" s="2">
        <v>2</v>
      </c>
    </row>
    <row r="150" spans="1:6" ht="14.25" customHeight="1">
      <c r="A150" s="2">
        <v>50</v>
      </c>
      <c r="B150" s="2">
        <v>149</v>
      </c>
      <c r="C150" s="2">
        <v>6</v>
      </c>
      <c r="D150" s="2">
        <v>1</v>
      </c>
      <c r="E150" s="2">
        <v>0.88500000000000001</v>
      </c>
      <c r="F150" s="2">
        <v>2</v>
      </c>
    </row>
    <row r="151" spans="1:6" ht="14.25" customHeight="1">
      <c r="A151" s="2">
        <v>50</v>
      </c>
      <c r="B151" s="2">
        <v>150</v>
      </c>
      <c r="C151" s="2">
        <v>1</v>
      </c>
      <c r="D151" s="2">
        <v>1</v>
      </c>
      <c r="E151" s="2">
        <v>0.90800000000000003</v>
      </c>
      <c r="F151" s="2">
        <v>1</v>
      </c>
    </row>
    <row r="152" spans="1:6" ht="14.25" customHeight="1">
      <c r="A152" s="2">
        <v>50</v>
      </c>
      <c r="B152" s="2">
        <v>151</v>
      </c>
      <c r="C152" s="2">
        <v>8</v>
      </c>
      <c r="D152" s="2">
        <v>1</v>
      </c>
      <c r="E152" s="2">
        <v>0.98199999999999998</v>
      </c>
    </row>
    <row r="153" spans="1:6" ht="14.25" customHeight="1">
      <c r="A153" s="2">
        <v>50</v>
      </c>
      <c r="B153" s="2">
        <v>152</v>
      </c>
      <c r="C153" s="2">
        <v>6</v>
      </c>
      <c r="D153" s="2">
        <v>1</v>
      </c>
      <c r="E153" s="2">
        <v>0.85599999999999998</v>
      </c>
    </row>
    <row r="154" spans="1:6" ht="14.25" customHeight="1">
      <c r="A154" s="2">
        <v>50</v>
      </c>
      <c r="B154" s="2">
        <v>153</v>
      </c>
      <c r="C154" s="2">
        <v>1</v>
      </c>
      <c r="D154" s="2">
        <v>1</v>
      </c>
      <c r="E154" s="2">
        <v>1.179</v>
      </c>
    </row>
    <row r="155" spans="1:6" ht="14.25" customHeight="1">
      <c r="A155" s="2">
        <v>50</v>
      </c>
      <c r="B155" s="2">
        <v>154</v>
      </c>
      <c r="C155" s="2">
        <v>2</v>
      </c>
      <c r="D155" s="2">
        <v>1</v>
      </c>
      <c r="E155" s="2">
        <v>0.85699999999999998</v>
      </c>
    </row>
    <row r="156" spans="1:6" ht="14.25" customHeight="1">
      <c r="A156" s="2">
        <v>50</v>
      </c>
      <c r="B156" s="2">
        <v>155</v>
      </c>
      <c r="C156" s="2">
        <v>3</v>
      </c>
      <c r="D156" s="2">
        <v>1</v>
      </c>
      <c r="E156" s="2">
        <v>1.49</v>
      </c>
    </row>
    <row r="157" spans="1:6" ht="14.25" customHeight="1">
      <c r="A157" s="2">
        <v>50</v>
      </c>
      <c r="B157" s="2">
        <v>156</v>
      </c>
      <c r="C157" s="2">
        <v>5</v>
      </c>
      <c r="D157" s="2">
        <v>1</v>
      </c>
      <c r="E157" s="2">
        <v>1.0049999999999999</v>
      </c>
    </row>
    <row r="158" spans="1:6" ht="14.25" customHeight="1">
      <c r="A158" s="2">
        <v>50</v>
      </c>
      <c r="B158" s="2">
        <v>157</v>
      </c>
      <c r="C158" s="2">
        <v>7</v>
      </c>
      <c r="D158" s="2">
        <v>1</v>
      </c>
      <c r="E158" s="2">
        <v>0.81699999999999995</v>
      </c>
    </row>
    <row r="159" spans="1:6" ht="14.25" customHeight="1">
      <c r="A159" s="2">
        <v>50</v>
      </c>
      <c r="B159" s="2">
        <v>158</v>
      </c>
      <c r="C159" s="2">
        <v>6</v>
      </c>
      <c r="D159" s="2">
        <v>1</v>
      </c>
      <c r="E159" s="2">
        <v>0.77600000000000002</v>
      </c>
    </row>
    <row r="160" spans="1:6" ht="14.25" customHeight="1">
      <c r="A160" s="2">
        <v>50</v>
      </c>
      <c r="B160" s="2">
        <v>159</v>
      </c>
      <c r="C160" s="2">
        <v>1</v>
      </c>
      <c r="D160" s="2">
        <v>1</v>
      </c>
      <c r="E160" s="2">
        <v>1.095</v>
      </c>
    </row>
    <row r="161" spans="1:5" ht="14.25" customHeight="1">
      <c r="A161" s="2">
        <v>50</v>
      </c>
      <c r="B161" s="2">
        <v>160</v>
      </c>
      <c r="C161" s="2">
        <v>7</v>
      </c>
      <c r="D161" s="2">
        <v>1</v>
      </c>
      <c r="E161" s="2">
        <v>0.98899999999999999</v>
      </c>
    </row>
    <row r="162" spans="1:5" ht="14.25" customHeight="1">
      <c r="A162" s="2">
        <v>50</v>
      </c>
      <c r="B162" s="2">
        <v>161</v>
      </c>
      <c r="C162" s="2">
        <v>2</v>
      </c>
      <c r="D162" s="2">
        <v>1</v>
      </c>
      <c r="E162" s="2">
        <v>1.0900000000000001</v>
      </c>
    </row>
    <row r="163" spans="1:5" ht="14.25" customHeight="1">
      <c r="A163" s="2">
        <v>50</v>
      </c>
      <c r="B163" s="2">
        <v>162</v>
      </c>
      <c r="C163" s="2">
        <v>3</v>
      </c>
      <c r="D163" s="2">
        <v>1</v>
      </c>
      <c r="E163" s="2">
        <v>0.872</v>
      </c>
    </row>
    <row r="164" spans="1:5" ht="14.25" customHeight="1">
      <c r="A164" s="2">
        <v>50</v>
      </c>
      <c r="B164" s="2">
        <v>163</v>
      </c>
      <c r="C164" s="2">
        <v>7</v>
      </c>
      <c r="D164" s="2">
        <v>1</v>
      </c>
      <c r="E164" s="2">
        <v>0.61899999999999999</v>
      </c>
    </row>
    <row r="165" spans="1:5" ht="14.25" customHeight="1">
      <c r="A165" s="2">
        <v>50</v>
      </c>
      <c r="B165" s="2">
        <v>164</v>
      </c>
      <c r="C165" s="2">
        <v>8</v>
      </c>
      <c r="D165" s="2">
        <v>1</v>
      </c>
      <c r="E165" s="2">
        <v>0.93899999999999995</v>
      </c>
    </row>
    <row r="166" spans="1:5" ht="14.25" customHeight="1">
      <c r="A166" s="2">
        <v>50</v>
      </c>
      <c r="B166" s="2">
        <v>165</v>
      </c>
      <c r="C166" s="2">
        <v>7</v>
      </c>
      <c r="D166" s="2">
        <v>1</v>
      </c>
      <c r="E166" s="2">
        <v>0.95599999999999996</v>
      </c>
    </row>
    <row r="167" spans="1:5" ht="14.25" customHeight="1">
      <c r="A167" s="2">
        <v>50</v>
      </c>
      <c r="B167" s="2">
        <v>166</v>
      </c>
      <c r="C167" s="2">
        <v>1</v>
      </c>
      <c r="D167" s="2">
        <v>1</v>
      </c>
      <c r="E167" s="2">
        <v>0.94899999999999995</v>
      </c>
    </row>
    <row r="168" spans="1:5" ht="14.25" customHeight="1">
      <c r="A168" s="2">
        <v>50</v>
      </c>
      <c r="B168" s="2">
        <v>167</v>
      </c>
      <c r="C168" s="2">
        <v>5</v>
      </c>
      <c r="D168" s="2">
        <v>1</v>
      </c>
      <c r="E168" s="2">
        <v>0.72899999999999998</v>
      </c>
    </row>
    <row r="169" spans="1:5" ht="14.25" customHeight="1">
      <c r="A169" s="2">
        <v>50</v>
      </c>
      <c r="B169" s="2">
        <v>168</v>
      </c>
      <c r="C169" s="2">
        <v>4</v>
      </c>
      <c r="D169" s="2">
        <v>0</v>
      </c>
      <c r="E169" s="2">
        <v>0.80300000000000005</v>
      </c>
    </row>
    <row r="170" spans="1:5" ht="14.25" customHeight="1">
      <c r="A170" s="2">
        <v>50</v>
      </c>
      <c r="B170" s="2">
        <v>169</v>
      </c>
      <c r="C170" s="2">
        <v>3</v>
      </c>
      <c r="D170" s="2">
        <v>1</v>
      </c>
      <c r="E170" s="2">
        <v>0.66500000000000004</v>
      </c>
    </row>
    <row r="171" spans="1:5" ht="14.25" customHeight="1">
      <c r="A171" s="2">
        <v>50</v>
      </c>
      <c r="B171" s="2">
        <v>170</v>
      </c>
      <c r="C171" s="2">
        <v>2</v>
      </c>
      <c r="D171" s="2">
        <v>1</v>
      </c>
      <c r="E171" s="2">
        <v>0.96</v>
      </c>
    </row>
    <row r="172" spans="1:5" ht="14.25" customHeight="1">
      <c r="A172" s="2">
        <v>50</v>
      </c>
      <c r="B172" s="2">
        <v>171</v>
      </c>
      <c r="C172" s="2">
        <v>5</v>
      </c>
      <c r="D172" s="2">
        <v>1</v>
      </c>
      <c r="E172" s="2">
        <v>1.1439999999999999</v>
      </c>
    </row>
    <row r="173" spans="1:5" ht="14.25" customHeight="1">
      <c r="A173" s="2">
        <v>50</v>
      </c>
      <c r="B173" s="2">
        <v>172</v>
      </c>
      <c r="C173" s="2">
        <v>4</v>
      </c>
      <c r="D173" s="2">
        <v>1</v>
      </c>
      <c r="E173" s="2">
        <v>0.873</v>
      </c>
    </row>
    <row r="174" spans="1:5" ht="14.25" customHeight="1">
      <c r="A174" s="2">
        <v>50</v>
      </c>
      <c r="B174" s="2">
        <v>173</v>
      </c>
      <c r="C174" s="2">
        <v>6</v>
      </c>
      <c r="D174" s="2">
        <v>1</v>
      </c>
      <c r="E174" s="2">
        <v>0.64600000000000002</v>
      </c>
    </row>
    <row r="175" spans="1:5" ht="14.25" customHeight="1">
      <c r="A175" s="2">
        <v>50</v>
      </c>
      <c r="B175" s="2">
        <v>174</v>
      </c>
      <c r="C175" s="2">
        <v>1</v>
      </c>
      <c r="D175" s="2">
        <v>1</v>
      </c>
      <c r="E175" s="2">
        <v>0.83699999999999997</v>
      </c>
    </row>
    <row r="176" spans="1:5" ht="14.25" customHeight="1">
      <c r="A176" s="2">
        <v>50</v>
      </c>
      <c r="B176" s="2">
        <v>175</v>
      </c>
      <c r="C176" s="2">
        <v>7</v>
      </c>
      <c r="D176" s="2">
        <v>1</v>
      </c>
      <c r="E176" s="2">
        <v>0.84899999999999998</v>
      </c>
    </row>
    <row r="177" spans="1:5" ht="14.25" customHeight="1">
      <c r="A177" s="2">
        <v>50</v>
      </c>
      <c r="B177" s="2">
        <v>176</v>
      </c>
      <c r="C177" s="2">
        <v>6</v>
      </c>
      <c r="D177" s="2">
        <v>1</v>
      </c>
      <c r="E177" s="2">
        <v>0.61099999999999999</v>
      </c>
    </row>
    <row r="178" spans="1:5" ht="14.25" customHeight="1">
      <c r="A178" s="2">
        <v>50</v>
      </c>
      <c r="B178" s="2">
        <v>177</v>
      </c>
      <c r="C178" s="2">
        <v>3</v>
      </c>
      <c r="D178" s="2">
        <v>1</v>
      </c>
      <c r="E178" s="2">
        <v>0.82199999999999995</v>
      </c>
    </row>
    <row r="179" spans="1:5" ht="14.25" customHeight="1">
      <c r="A179" s="2">
        <v>50</v>
      </c>
      <c r="B179" s="2">
        <v>178</v>
      </c>
      <c r="C179" s="2">
        <v>6</v>
      </c>
      <c r="D179" s="2">
        <v>1</v>
      </c>
      <c r="E179" s="2">
        <v>0.83399999999999996</v>
      </c>
    </row>
    <row r="180" spans="1:5" ht="14.25" customHeight="1">
      <c r="A180" s="2">
        <v>50</v>
      </c>
      <c r="B180" s="2">
        <v>179</v>
      </c>
      <c r="C180" s="2">
        <v>8</v>
      </c>
      <c r="D180" s="2">
        <v>1</v>
      </c>
      <c r="E180" s="2">
        <v>0.67700000000000005</v>
      </c>
    </row>
    <row r="181" spans="1:5" ht="14.25" customHeight="1">
      <c r="A181" s="2">
        <v>50</v>
      </c>
      <c r="B181" s="2">
        <v>180</v>
      </c>
      <c r="C181" s="2">
        <v>4</v>
      </c>
      <c r="D181" s="2">
        <v>1</v>
      </c>
      <c r="E181" s="2">
        <v>0.92100000000000004</v>
      </c>
    </row>
    <row r="182" spans="1:5" ht="14.25" customHeight="1">
      <c r="A182" s="2">
        <v>50</v>
      </c>
      <c r="B182" s="2">
        <v>181</v>
      </c>
      <c r="C182" s="2">
        <v>7</v>
      </c>
      <c r="D182" s="2">
        <v>1</v>
      </c>
      <c r="E182" s="2">
        <v>0.83699999999999997</v>
      </c>
    </row>
    <row r="183" spans="1:5" ht="14.25" customHeight="1">
      <c r="A183" s="2">
        <v>50</v>
      </c>
      <c r="B183" s="2">
        <v>182</v>
      </c>
      <c r="C183" s="2">
        <v>8</v>
      </c>
      <c r="D183" s="2">
        <v>1</v>
      </c>
      <c r="E183" s="2">
        <v>0.86099999999999999</v>
      </c>
    </row>
    <row r="184" spans="1:5" ht="14.25" customHeight="1">
      <c r="A184" s="2">
        <v>50</v>
      </c>
      <c r="B184" s="2">
        <v>183</v>
      </c>
      <c r="C184" s="2">
        <v>5</v>
      </c>
      <c r="D184" s="2">
        <v>1</v>
      </c>
      <c r="E184" s="2">
        <v>0.81100000000000005</v>
      </c>
    </row>
    <row r="185" spans="1:5" ht="14.25" customHeight="1">
      <c r="A185" s="2">
        <v>50</v>
      </c>
      <c r="B185" s="2">
        <v>184</v>
      </c>
      <c r="C185" s="2">
        <v>4</v>
      </c>
      <c r="D185" s="2">
        <v>1</v>
      </c>
      <c r="E185" s="2">
        <v>1.1299999999999999</v>
      </c>
    </row>
    <row r="186" spans="1:5" ht="14.25" customHeight="1">
      <c r="A186" s="2">
        <v>50</v>
      </c>
      <c r="B186" s="2">
        <v>185</v>
      </c>
      <c r="C186" s="2">
        <v>5</v>
      </c>
      <c r="D186" s="2">
        <v>1</v>
      </c>
      <c r="E186" s="2">
        <v>0.81699999999999995</v>
      </c>
    </row>
    <row r="187" spans="1:5" ht="14.25" customHeight="1">
      <c r="A187" s="2">
        <v>50</v>
      </c>
      <c r="B187" s="2">
        <v>186</v>
      </c>
      <c r="C187" s="2">
        <v>8</v>
      </c>
      <c r="D187" s="2">
        <v>1</v>
      </c>
      <c r="E187" s="2">
        <v>1.228</v>
      </c>
    </row>
    <row r="188" spans="1:5" ht="14.25" customHeight="1">
      <c r="A188" s="2">
        <v>50</v>
      </c>
      <c r="B188" s="2">
        <v>187</v>
      </c>
      <c r="C188" s="2">
        <v>6</v>
      </c>
      <c r="D188" s="2">
        <v>1</v>
      </c>
      <c r="E188" s="2">
        <v>0.80300000000000005</v>
      </c>
    </row>
    <row r="189" spans="1:5" ht="14.25" customHeight="1">
      <c r="A189" s="2">
        <v>50</v>
      </c>
      <c r="B189" s="2">
        <v>188</v>
      </c>
      <c r="C189" s="2">
        <v>8</v>
      </c>
      <c r="D189" s="2">
        <v>1</v>
      </c>
      <c r="E189" s="2">
        <v>0.95699999999999996</v>
      </c>
    </row>
    <row r="190" spans="1:5" ht="14.25" customHeight="1">
      <c r="A190" s="2">
        <v>50</v>
      </c>
      <c r="B190" s="2">
        <v>189</v>
      </c>
      <c r="C190" s="2">
        <v>1</v>
      </c>
      <c r="D190" s="2">
        <v>1</v>
      </c>
      <c r="E190" s="2">
        <v>0.83299999999999996</v>
      </c>
    </row>
    <row r="191" spans="1:5" ht="14.25" customHeight="1">
      <c r="A191" s="2">
        <v>50</v>
      </c>
      <c r="B191" s="2">
        <v>190</v>
      </c>
      <c r="C191" s="2">
        <v>2</v>
      </c>
      <c r="D191" s="2">
        <v>1</v>
      </c>
      <c r="E191" s="2">
        <v>1.1439999999999999</v>
      </c>
    </row>
    <row r="192" spans="1:5" ht="14.25" customHeight="1">
      <c r="A192" s="2">
        <v>50</v>
      </c>
      <c r="B192" s="2">
        <v>191</v>
      </c>
      <c r="C192" s="2">
        <v>5</v>
      </c>
      <c r="D192" s="2">
        <v>1</v>
      </c>
      <c r="E192" s="2">
        <v>0.88</v>
      </c>
    </row>
    <row r="193" spans="1:5" ht="14.25" customHeight="1">
      <c r="A193" s="2">
        <v>50</v>
      </c>
      <c r="B193" s="2">
        <v>192</v>
      </c>
      <c r="C193" s="2">
        <v>3</v>
      </c>
      <c r="D193" s="2">
        <v>1</v>
      </c>
      <c r="E193" s="2">
        <v>1.738</v>
      </c>
    </row>
    <row r="194" spans="1:5" ht="14.25" customHeight="1">
      <c r="A194" s="2">
        <v>50</v>
      </c>
      <c r="B194" s="2">
        <v>193</v>
      </c>
      <c r="C194" s="2">
        <v>7</v>
      </c>
      <c r="D194" s="2">
        <v>1</v>
      </c>
      <c r="E194" s="2">
        <v>0.96299999999999997</v>
      </c>
    </row>
    <row r="195" spans="1:5" ht="14.25" customHeight="1">
      <c r="A195" s="2">
        <v>50</v>
      </c>
      <c r="B195" s="2">
        <v>194</v>
      </c>
      <c r="C195" s="2">
        <v>1</v>
      </c>
      <c r="D195" s="2">
        <v>1</v>
      </c>
      <c r="E195" s="2">
        <v>0.72899999999999998</v>
      </c>
    </row>
    <row r="196" spans="1:5" ht="14.25" customHeight="1">
      <c r="A196" s="2">
        <v>50</v>
      </c>
      <c r="B196" s="2">
        <v>195</v>
      </c>
      <c r="C196" s="2">
        <v>4</v>
      </c>
      <c r="D196" s="2">
        <v>1</v>
      </c>
      <c r="E196" s="2">
        <v>0.89100000000000001</v>
      </c>
    </row>
    <row r="197" spans="1:5" ht="14.25" customHeight="1">
      <c r="A197" s="2">
        <v>50</v>
      </c>
      <c r="B197" s="2">
        <v>196</v>
      </c>
      <c r="C197" s="2">
        <v>3</v>
      </c>
      <c r="D197" s="2">
        <v>1</v>
      </c>
      <c r="E197" s="2">
        <v>0.7</v>
      </c>
    </row>
    <row r="198" spans="1:5" ht="14.25" customHeight="1">
      <c r="A198" s="2">
        <v>50</v>
      </c>
      <c r="B198" s="2">
        <v>197</v>
      </c>
      <c r="C198" s="2">
        <v>2</v>
      </c>
      <c r="D198" s="2">
        <v>1</v>
      </c>
      <c r="E198" s="2">
        <v>0.64100000000000001</v>
      </c>
    </row>
    <row r="199" spans="1:5" ht="14.25" customHeight="1">
      <c r="A199" s="2">
        <v>50</v>
      </c>
      <c r="B199" s="2">
        <v>198</v>
      </c>
      <c r="C199" s="2">
        <v>8</v>
      </c>
      <c r="D199" s="2">
        <v>1</v>
      </c>
      <c r="E199" s="2">
        <v>1.014</v>
      </c>
    </row>
    <row r="200" spans="1:5" ht="14.25" customHeight="1">
      <c r="A200" s="2">
        <v>50</v>
      </c>
      <c r="B200" s="2">
        <v>199</v>
      </c>
      <c r="C200" s="2">
        <v>2</v>
      </c>
      <c r="D200" s="2">
        <v>1</v>
      </c>
      <c r="E200" s="2">
        <v>1.0389999999999999</v>
      </c>
    </row>
    <row r="201" spans="1:5" ht="14.25" customHeight="1">
      <c r="A201" s="2">
        <v>50</v>
      </c>
      <c r="B201" s="2">
        <v>200</v>
      </c>
      <c r="C201" s="2">
        <v>4</v>
      </c>
      <c r="D201" s="2">
        <v>1</v>
      </c>
      <c r="E201" s="2">
        <v>0.97799999999999998</v>
      </c>
    </row>
    <row r="202" spans="1:5" ht="14.25" customHeight="1">
      <c r="A202" s="2">
        <v>50</v>
      </c>
      <c r="B202" s="2">
        <v>201</v>
      </c>
      <c r="C202" s="2">
        <v>7</v>
      </c>
    </row>
    <row r="203" spans="1:5" ht="14.25" customHeight="1">
      <c r="A203" s="2">
        <v>50</v>
      </c>
      <c r="B203" s="2">
        <v>202</v>
      </c>
      <c r="C203" s="2">
        <v>3</v>
      </c>
    </row>
    <row r="204" spans="1:5" ht="14.25" customHeight="1">
      <c r="A204" s="2">
        <v>50</v>
      </c>
      <c r="B204" s="2">
        <v>203</v>
      </c>
      <c r="C204" s="2">
        <v>1</v>
      </c>
    </row>
    <row r="205" spans="1:5" ht="14.25" customHeight="1">
      <c r="A205" s="2">
        <v>50</v>
      </c>
      <c r="B205" s="2">
        <v>204</v>
      </c>
      <c r="C205" s="2">
        <v>4</v>
      </c>
    </row>
    <row r="206" spans="1:5" ht="14.25" customHeight="1">
      <c r="A206" s="2">
        <v>50</v>
      </c>
      <c r="B206" s="2">
        <v>205</v>
      </c>
      <c r="C206" s="2">
        <v>1</v>
      </c>
    </row>
    <row r="207" spans="1:5" ht="14.25" customHeight="1">
      <c r="A207" s="2">
        <v>50</v>
      </c>
      <c r="B207" s="2">
        <v>206</v>
      </c>
      <c r="C207" s="2">
        <v>7</v>
      </c>
    </row>
    <row r="208" spans="1:5" ht="14.25" customHeight="1">
      <c r="A208" s="2">
        <v>50</v>
      </c>
      <c r="B208" s="2">
        <v>207</v>
      </c>
      <c r="C208" s="2">
        <v>2</v>
      </c>
    </row>
    <row r="209" spans="1:3" ht="14.25" customHeight="1">
      <c r="A209" s="2">
        <v>50</v>
      </c>
      <c r="B209" s="2">
        <v>208</v>
      </c>
      <c r="C209" s="2">
        <v>5</v>
      </c>
    </row>
    <row r="210" spans="1:3" ht="14.25" customHeight="1">
      <c r="A210" s="2">
        <v>50</v>
      </c>
      <c r="B210" s="2">
        <v>209</v>
      </c>
      <c r="C210" s="2">
        <v>6</v>
      </c>
    </row>
    <row r="211" spans="1:3" ht="14.25" customHeight="1">
      <c r="A211" s="2">
        <v>50</v>
      </c>
      <c r="B211" s="2">
        <v>210</v>
      </c>
      <c r="C211" s="2">
        <v>7</v>
      </c>
    </row>
    <row r="212" spans="1:3" ht="14.25" customHeight="1">
      <c r="A212" s="2">
        <v>50</v>
      </c>
      <c r="B212" s="2">
        <v>211</v>
      </c>
      <c r="C212" s="2">
        <v>1</v>
      </c>
    </row>
    <row r="213" spans="1:3" ht="14.25" customHeight="1">
      <c r="A213" s="2">
        <v>50</v>
      </c>
      <c r="B213" s="2">
        <v>212</v>
      </c>
      <c r="C213" s="2">
        <v>2</v>
      </c>
    </row>
    <row r="214" spans="1:3" ht="14.25" customHeight="1">
      <c r="A214" s="2">
        <v>50</v>
      </c>
      <c r="B214" s="2">
        <v>213</v>
      </c>
      <c r="C214" s="2">
        <v>5</v>
      </c>
    </row>
    <row r="215" spans="1:3" ht="14.25" customHeight="1">
      <c r="A215" s="2">
        <v>50</v>
      </c>
      <c r="B215" s="2">
        <v>214</v>
      </c>
      <c r="C215" s="2">
        <v>8</v>
      </c>
    </row>
    <row r="216" spans="1:3" ht="14.25" customHeight="1">
      <c r="A216" s="2">
        <v>50</v>
      </c>
      <c r="B216" s="2">
        <v>215</v>
      </c>
      <c r="C216" s="2">
        <v>5</v>
      </c>
    </row>
    <row r="217" spans="1:3" ht="14.25" customHeight="1">
      <c r="A217" s="2">
        <v>50</v>
      </c>
      <c r="B217" s="2">
        <v>216</v>
      </c>
      <c r="C217" s="2">
        <v>6</v>
      </c>
    </row>
    <row r="218" spans="1:3" ht="14.25" customHeight="1">
      <c r="A218" s="2">
        <v>50</v>
      </c>
      <c r="B218" s="2">
        <v>217</v>
      </c>
      <c r="C218" s="2">
        <v>8</v>
      </c>
    </row>
    <row r="219" spans="1:3" ht="14.25" customHeight="1">
      <c r="A219" s="2">
        <v>50</v>
      </c>
      <c r="B219" s="2">
        <v>218</v>
      </c>
      <c r="C219" s="2">
        <v>2</v>
      </c>
    </row>
    <row r="220" spans="1:3" ht="14.25" customHeight="1">
      <c r="A220" s="2">
        <v>50</v>
      </c>
      <c r="B220" s="2">
        <v>219</v>
      </c>
      <c r="C220" s="2">
        <v>4</v>
      </c>
    </row>
    <row r="221" spans="1:3" ht="14.25" customHeight="1">
      <c r="A221" s="2">
        <v>50</v>
      </c>
      <c r="B221" s="2">
        <v>220</v>
      </c>
      <c r="C221" s="2">
        <v>2</v>
      </c>
    </row>
    <row r="222" spans="1:3" ht="14.25" customHeight="1">
      <c r="A222" s="2">
        <v>50</v>
      </c>
      <c r="B222" s="2">
        <v>221</v>
      </c>
      <c r="C222" s="2">
        <v>8</v>
      </c>
    </row>
    <row r="223" spans="1:3" ht="14.25" customHeight="1">
      <c r="A223" s="2">
        <v>50</v>
      </c>
      <c r="B223" s="2">
        <v>222</v>
      </c>
      <c r="C223" s="2">
        <v>6</v>
      </c>
    </row>
    <row r="224" spans="1:3" ht="14.25" customHeight="1">
      <c r="A224" s="2">
        <v>50</v>
      </c>
      <c r="B224" s="2">
        <v>223</v>
      </c>
      <c r="C224" s="2">
        <v>7</v>
      </c>
    </row>
    <row r="225" spans="1:3" ht="14.25" customHeight="1">
      <c r="A225" s="2">
        <v>50</v>
      </c>
      <c r="B225" s="2">
        <v>224</v>
      </c>
      <c r="C225" s="2">
        <v>8</v>
      </c>
    </row>
    <row r="226" spans="1:3" ht="14.25" customHeight="1">
      <c r="A226" s="2">
        <v>50</v>
      </c>
      <c r="B226" s="2">
        <v>225</v>
      </c>
      <c r="C226" s="2">
        <v>3</v>
      </c>
    </row>
    <row r="227" spans="1:3" ht="14.25" customHeight="1">
      <c r="A227" s="2">
        <v>50</v>
      </c>
      <c r="B227" s="2">
        <v>226</v>
      </c>
      <c r="C227" s="2">
        <v>6</v>
      </c>
    </row>
    <row r="228" spans="1:3" ht="14.25" customHeight="1">
      <c r="A228" s="2">
        <v>50</v>
      </c>
      <c r="B228" s="2">
        <v>227</v>
      </c>
      <c r="C228" s="2">
        <v>3</v>
      </c>
    </row>
    <row r="229" spans="1:3" ht="14.25" customHeight="1">
      <c r="A229" s="2">
        <v>50</v>
      </c>
      <c r="B229" s="2">
        <v>228</v>
      </c>
      <c r="C229" s="2">
        <v>6</v>
      </c>
    </row>
    <row r="230" spans="1:3" ht="14.25" customHeight="1">
      <c r="A230" s="2">
        <v>50</v>
      </c>
      <c r="B230" s="2">
        <v>229</v>
      </c>
      <c r="C230" s="2">
        <v>8</v>
      </c>
    </row>
    <row r="231" spans="1:3" ht="14.25" customHeight="1">
      <c r="A231" s="2">
        <v>50</v>
      </c>
      <c r="B231" s="2">
        <v>230</v>
      </c>
      <c r="C231" s="2">
        <v>5</v>
      </c>
    </row>
    <row r="232" spans="1:3" ht="14.25" customHeight="1">
      <c r="A232" s="2">
        <v>50</v>
      </c>
      <c r="B232" s="2">
        <v>231</v>
      </c>
      <c r="C232" s="2">
        <v>7</v>
      </c>
    </row>
    <row r="233" spans="1:3" ht="14.25" customHeight="1">
      <c r="A233" s="2">
        <v>50</v>
      </c>
      <c r="B233" s="2">
        <v>232</v>
      </c>
      <c r="C233" s="2">
        <v>3</v>
      </c>
    </row>
    <row r="234" spans="1:3" ht="14.25" customHeight="1">
      <c r="A234" s="2">
        <v>50</v>
      </c>
      <c r="B234" s="2">
        <v>233</v>
      </c>
      <c r="C234" s="2">
        <v>2</v>
      </c>
    </row>
    <row r="235" spans="1:3" ht="14.25" customHeight="1">
      <c r="A235" s="2">
        <v>50</v>
      </c>
      <c r="B235" s="2">
        <v>234</v>
      </c>
      <c r="C235" s="2">
        <v>1</v>
      </c>
    </row>
    <row r="236" spans="1:3" ht="14.25" customHeight="1">
      <c r="A236" s="2">
        <v>50</v>
      </c>
      <c r="B236" s="2">
        <v>235</v>
      </c>
      <c r="C236" s="2">
        <v>4</v>
      </c>
    </row>
    <row r="237" spans="1:3" ht="14.25" customHeight="1">
      <c r="A237" s="2">
        <v>50</v>
      </c>
      <c r="B237" s="2">
        <v>236</v>
      </c>
      <c r="C237" s="2">
        <v>6</v>
      </c>
    </row>
    <row r="238" spans="1:3" ht="14.25" customHeight="1">
      <c r="A238" s="2">
        <v>50</v>
      </c>
      <c r="B238" s="2">
        <v>237</v>
      </c>
      <c r="C238" s="2">
        <v>4</v>
      </c>
    </row>
    <row r="239" spans="1:3" ht="14.25" customHeight="1">
      <c r="A239" s="2">
        <v>50</v>
      </c>
      <c r="B239" s="2">
        <v>238</v>
      </c>
      <c r="C239" s="2">
        <v>3</v>
      </c>
    </row>
    <row r="240" spans="1:3" ht="14.25" customHeight="1">
      <c r="A240" s="2">
        <v>50</v>
      </c>
      <c r="B240" s="2">
        <v>239</v>
      </c>
      <c r="C240" s="2">
        <v>1</v>
      </c>
    </row>
    <row r="241" spans="1:3" ht="14.25" customHeight="1">
      <c r="A241" s="2">
        <v>50</v>
      </c>
      <c r="B241" s="2">
        <v>240</v>
      </c>
      <c r="C241" s="2">
        <v>3</v>
      </c>
    </row>
    <row r="242" spans="1:3" ht="14.25" customHeight="1">
      <c r="A242" s="2">
        <v>50</v>
      </c>
      <c r="B242" s="2">
        <v>241</v>
      </c>
      <c r="C242" s="2">
        <v>7</v>
      </c>
    </row>
    <row r="243" spans="1:3" ht="14.25" customHeight="1">
      <c r="A243" s="2">
        <v>50</v>
      </c>
      <c r="B243" s="2">
        <v>242</v>
      </c>
      <c r="C243" s="2">
        <v>8</v>
      </c>
    </row>
    <row r="244" spans="1:3" ht="14.25" customHeight="1">
      <c r="A244" s="2">
        <v>50</v>
      </c>
      <c r="B244" s="2">
        <v>243</v>
      </c>
      <c r="C244" s="2">
        <v>5</v>
      </c>
    </row>
    <row r="245" spans="1:3" ht="14.25" customHeight="1">
      <c r="A245" s="2">
        <v>50</v>
      </c>
      <c r="B245" s="2">
        <v>244</v>
      </c>
      <c r="C245" s="2">
        <v>2</v>
      </c>
    </row>
    <row r="246" spans="1:3" ht="14.25" customHeight="1">
      <c r="A246" s="2">
        <v>50</v>
      </c>
      <c r="B246" s="2">
        <v>245</v>
      </c>
      <c r="C246" s="2">
        <v>8</v>
      </c>
    </row>
    <row r="247" spans="1:3" ht="14.25" customHeight="1">
      <c r="A247" s="2">
        <v>50</v>
      </c>
      <c r="B247" s="2">
        <v>246</v>
      </c>
      <c r="C247" s="2">
        <v>1</v>
      </c>
    </row>
    <row r="248" spans="1:3" ht="14.25" customHeight="1">
      <c r="A248" s="2">
        <v>50</v>
      </c>
      <c r="B248" s="2">
        <v>247</v>
      </c>
      <c r="C248" s="2">
        <v>4</v>
      </c>
    </row>
    <row r="249" spans="1:3" ht="14.25" customHeight="1">
      <c r="A249" s="2">
        <v>50</v>
      </c>
      <c r="B249" s="2">
        <v>248</v>
      </c>
      <c r="C249" s="2">
        <v>5</v>
      </c>
    </row>
    <row r="250" spans="1:3" ht="14.25" customHeight="1">
      <c r="A250" s="2">
        <v>50</v>
      </c>
      <c r="B250" s="2">
        <v>249</v>
      </c>
      <c r="C250" s="2">
        <v>4</v>
      </c>
    </row>
    <row r="251" spans="1:3" ht="14.25" customHeight="1">
      <c r="A251" s="2">
        <v>50</v>
      </c>
      <c r="B251" s="2">
        <v>250</v>
      </c>
      <c r="C251" s="2">
        <v>7</v>
      </c>
    </row>
    <row r="252" spans="1:3" ht="14.25" customHeight="1">
      <c r="A252" s="2">
        <v>50</v>
      </c>
      <c r="B252" s="2">
        <v>251</v>
      </c>
      <c r="C252" s="2">
        <v>8</v>
      </c>
    </row>
    <row r="253" spans="1:3" ht="14.25" customHeight="1">
      <c r="A253" s="2">
        <v>50</v>
      </c>
      <c r="B253" s="2">
        <v>252</v>
      </c>
      <c r="C253" s="2">
        <v>2</v>
      </c>
    </row>
    <row r="254" spans="1:3" ht="14.25" customHeight="1">
      <c r="A254" s="2">
        <v>50</v>
      </c>
      <c r="B254" s="2">
        <v>253</v>
      </c>
      <c r="C254" s="2">
        <v>5</v>
      </c>
    </row>
    <row r="255" spans="1:3" ht="14.25" customHeight="1">
      <c r="A255" s="2">
        <v>50</v>
      </c>
      <c r="B255" s="2">
        <v>254</v>
      </c>
      <c r="C255" s="2">
        <v>3</v>
      </c>
    </row>
    <row r="256" spans="1:3" ht="14.25" customHeight="1">
      <c r="A256" s="2">
        <v>50</v>
      </c>
      <c r="B256" s="2">
        <v>255</v>
      </c>
      <c r="C256" s="2">
        <v>8</v>
      </c>
    </row>
    <row r="257" spans="1:3" ht="14.25" customHeight="1">
      <c r="A257" s="2">
        <v>50</v>
      </c>
      <c r="B257" s="2">
        <v>256</v>
      </c>
      <c r="C257" s="2">
        <v>4</v>
      </c>
    </row>
    <row r="258" spans="1:3" ht="14.25" customHeight="1">
      <c r="A258" s="2">
        <v>50</v>
      </c>
      <c r="B258" s="2">
        <v>257</v>
      </c>
      <c r="C258" s="2">
        <v>3</v>
      </c>
    </row>
    <row r="259" spans="1:3" ht="14.25" customHeight="1">
      <c r="A259" s="2">
        <v>50</v>
      </c>
      <c r="B259" s="2">
        <v>258</v>
      </c>
      <c r="C259" s="2">
        <v>4</v>
      </c>
    </row>
    <row r="260" spans="1:3" ht="14.25" customHeight="1">
      <c r="A260" s="2">
        <v>50</v>
      </c>
      <c r="B260" s="2">
        <v>259</v>
      </c>
      <c r="C260" s="2">
        <v>1</v>
      </c>
    </row>
    <row r="261" spans="1:3" ht="14.25" customHeight="1">
      <c r="A261" s="2">
        <v>50</v>
      </c>
      <c r="B261" s="2">
        <v>260</v>
      </c>
      <c r="C261" s="2">
        <v>8</v>
      </c>
    </row>
    <row r="262" spans="1:3" ht="14.25" customHeight="1">
      <c r="A262" s="2">
        <v>50</v>
      </c>
      <c r="B262" s="2">
        <v>261</v>
      </c>
      <c r="C262" s="2">
        <v>3</v>
      </c>
    </row>
    <row r="263" spans="1:3" ht="14.25" customHeight="1">
      <c r="A263" s="2">
        <v>50</v>
      </c>
      <c r="B263" s="2">
        <v>262</v>
      </c>
      <c r="C263" s="2">
        <v>2</v>
      </c>
    </row>
    <row r="264" spans="1:3" ht="14.25" customHeight="1">
      <c r="A264" s="2">
        <v>50</v>
      </c>
      <c r="B264" s="2">
        <v>263</v>
      </c>
      <c r="C264" s="2">
        <v>7</v>
      </c>
    </row>
    <row r="265" spans="1:3" ht="14.25" customHeight="1">
      <c r="A265" s="2">
        <v>50</v>
      </c>
      <c r="B265" s="2">
        <v>264</v>
      </c>
      <c r="C265" s="2">
        <v>6</v>
      </c>
    </row>
    <row r="266" spans="1:3" ht="14.25" customHeight="1">
      <c r="A266" s="2">
        <v>50</v>
      </c>
      <c r="B266" s="2">
        <v>265</v>
      </c>
      <c r="C266" s="2">
        <v>2</v>
      </c>
    </row>
    <row r="267" spans="1:3" ht="14.25" customHeight="1">
      <c r="A267" s="2">
        <v>50</v>
      </c>
      <c r="B267" s="2">
        <v>266</v>
      </c>
      <c r="C267" s="2">
        <v>4</v>
      </c>
    </row>
    <row r="268" spans="1:3" ht="14.25" customHeight="1">
      <c r="A268" s="2">
        <v>50</v>
      </c>
      <c r="B268" s="2">
        <v>267</v>
      </c>
      <c r="C268" s="2">
        <v>1</v>
      </c>
    </row>
    <row r="269" spans="1:3" ht="14.25" customHeight="1">
      <c r="A269" s="2">
        <v>50</v>
      </c>
      <c r="B269" s="2">
        <v>268</v>
      </c>
      <c r="C269" s="2">
        <v>2</v>
      </c>
    </row>
    <row r="270" spans="1:3" ht="14.25" customHeight="1">
      <c r="A270" s="2">
        <v>50</v>
      </c>
      <c r="B270" s="2">
        <v>269</v>
      </c>
      <c r="C270" s="2">
        <v>7</v>
      </c>
    </row>
    <row r="271" spans="1:3" ht="14.25" customHeight="1">
      <c r="A271" s="2">
        <v>50</v>
      </c>
      <c r="B271" s="2">
        <v>270</v>
      </c>
      <c r="C271" s="2">
        <v>8</v>
      </c>
    </row>
    <row r="272" spans="1:3" ht="14.25" customHeight="1">
      <c r="A272" s="2">
        <v>50</v>
      </c>
      <c r="B272" s="2">
        <v>271</v>
      </c>
      <c r="C272" s="2">
        <v>5</v>
      </c>
    </row>
    <row r="273" spans="1:3" ht="14.25" customHeight="1">
      <c r="A273" s="2">
        <v>50</v>
      </c>
      <c r="B273" s="2">
        <v>272</v>
      </c>
      <c r="C273" s="2">
        <v>7</v>
      </c>
    </row>
    <row r="274" spans="1:3" ht="14.25" customHeight="1">
      <c r="A274" s="2">
        <v>50</v>
      </c>
      <c r="B274" s="2">
        <v>273</v>
      </c>
      <c r="C274" s="2">
        <v>1</v>
      </c>
    </row>
    <row r="275" spans="1:3" ht="14.25" customHeight="1">
      <c r="A275" s="2">
        <v>50</v>
      </c>
      <c r="B275" s="2">
        <v>274</v>
      </c>
      <c r="C275" s="2">
        <v>6</v>
      </c>
    </row>
    <row r="276" spans="1:3" ht="14.25" customHeight="1">
      <c r="A276" s="2">
        <v>50</v>
      </c>
      <c r="B276" s="2">
        <v>275</v>
      </c>
      <c r="C276" s="2">
        <v>1</v>
      </c>
    </row>
    <row r="277" spans="1:3" ht="14.25" customHeight="1">
      <c r="A277" s="2">
        <v>50</v>
      </c>
      <c r="B277" s="2">
        <v>276</v>
      </c>
      <c r="C277" s="2">
        <v>6</v>
      </c>
    </row>
    <row r="278" spans="1:3" ht="14.25" customHeight="1">
      <c r="A278" s="2">
        <v>50</v>
      </c>
      <c r="B278" s="2">
        <v>277</v>
      </c>
      <c r="C278" s="2">
        <v>5</v>
      </c>
    </row>
    <row r="279" spans="1:3" ht="14.25" customHeight="1">
      <c r="A279" s="2">
        <v>50</v>
      </c>
      <c r="B279" s="2">
        <v>278</v>
      </c>
      <c r="C279" s="2">
        <v>8</v>
      </c>
    </row>
    <row r="280" spans="1:3" ht="14.25" customHeight="1">
      <c r="A280" s="2">
        <v>50</v>
      </c>
      <c r="B280" s="2">
        <v>279</v>
      </c>
      <c r="C280" s="2">
        <v>4</v>
      </c>
    </row>
    <row r="281" spans="1:3" ht="14.25" customHeight="1">
      <c r="A281" s="2">
        <v>50</v>
      </c>
      <c r="B281" s="2">
        <v>280</v>
      </c>
      <c r="C281" s="2">
        <v>5</v>
      </c>
    </row>
    <row r="282" spans="1:3" ht="14.25" customHeight="1">
      <c r="A282" s="2">
        <v>50</v>
      </c>
      <c r="B282" s="2">
        <v>281</v>
      </c>
      <c r="C282" s="2">
        <v>6</v>
      </c>
    </row>
    <row r="283" spans="1:3" ht="14.25" customHeight="1">
      <c r="A283" s="2">
        <v>50</v>
      </c>
      <c r="B283" s="2">
        <v>282</v>
      </c>
      <c r="C283" s="2">
        <v>7</v>
      </c>
    </row>
    <row r="284" spans="1:3" ht="14.25" customHeight="1">
      <c r="A284" s="2">
        <v>50</v>
      </c>
      <c r="B284" s="2">
        <v>283</v>
      </c>
      <c r="C284" s="2">
        <v>1</v>
      </c>
    </row>
    <row r="285" spans="1:3" ht="14.25" customHeight="1">
      <c r="A285" s="2">
        <v>50</v>
      </c>
      <c r="B285" s="2">
        <v>284</v>
      </c>
      <c r="C285" s="2">
        <v>3</v>
      </c>
    </row>
    <row r="286" spans="1:3" ht="14.25" customHeight="1">
      <c r="A286" s="2">
        <v>50</v>
      </c>
      <c r="B286" s="2">
        <v>285</v>
      </c>
      <c r="C286" s="2">
        <v>7</v>
      </c>
    </row>
    <row r="287" spans="1:3" ht="14.25" customHeight="1">
      <c r="A287" s="2">
        <v>50</v>
      </c>
      <c r="B287" s="2">
        <v>286</v>
      </c>
      <c r="C287" s="2">
        <v>3</v>
      </c>
    </row>
    <row r="288" spans="1:3" ht="14.25" customHeight="1">
      <c r="A288" s="2">
        <v>50</v>
      </c>
      <c r="B288" s="2">
        <v>287</v>
      </c>
      <c r="C288" s="2">
        <v>5</v>
      </c>
    </row>
    <row r="289" spans="1:4" ht="14.25" customHeight="1">
      <c r="A289" s="2">
        <v>50</v>
      </c>
      <c r="B289" s="2">
        <v>288</v>
      </c>
      <c r="C289" s="2">
        <v>8</v>
      </c>
    </row>
    <row r="290" spans="1:4" ht="14.25" customHeight="1">
      <c r="A290" s="2">
        <v>50</v>
      </c>
      <c r="B290" s="2">
        <v>289</v>
      </c>
      <c r="C290" s="2">
        <v>2</v>
      </c>
    </row>
    <row r="291" spans="1:4" ht="14.25" customHeight="1">
      <c r="A291" s="2">
        <v>50</v>
      </c>
      <c r="B291" s="2">
        <v>290</v>
      </c>
      <c r="C291" s="2">
        <v>6</v>
      </c>
    </row>
    <row r="292" spans="1:4" ht="14.25" customHeight="1">
      <c r="A292" s="2">
        <v>50</v>
      </c>
      <c r="B292" s="2">
        <v>291</v>
      </c>
      <c r="C292" s="2">
        <v>3</v>
      </c>
    </row>
    <row r="293" spans="1:4" ht="14.25" customHeight="1">
      <c r="A293" s="2">
        <v>50</v>
      </c>
      <c r="B293" s="2">
        <v>292</v>
      </c>
      <c r="C293" s="2">
        <v>7</v>
      </c>
    </row>
    <row r="294" spans="1:4" ht="14.25" customHeight="1">
      <c r="A294" s="2">
        <v>50</v>
      </c>
      <c r="B294" s="2">
        <v>293</v>
      </c>
      <c r="C294" s="2">
        <v>4</v>
      </c>
    </row>
    <row r="295" spans="1:4" ht="14.25" customHeight="1">
      <c r="A295" s="2">
        <v>50</v>
      </c>
      <c r="B295" s="2">
        <v>294</v>
      </c>
      <c r="C295" s="2">
        <v>2</v>
      </c>
    </row>
    <row r="296" spans="1:4" ht="14.25" customHeight="1">
      <c r="A296" s="2">
        <v>50</v>
      </c>
      <c r="B296" s="2">
        <v>295</v>
      </c>
      <c r="C296" s="2">
        <v>1</v>
      </c>
    </row>
    <row r="297" spans="1:4" ht="14.25" customHeight="1">
      <c r="A297" s="2">
        <v>50</v>
      </c>
      <c r="B297" s="2">
        <v>296</v>
      </c>
      <c r="C297" s="2">
        <v>5</v>
      </c>
    </row>
    <row r="298" spans="1:4" ht="14.25" customHeight="1">
      <c r="A298" s="2">
        <v>50</v>
      </c>
      <c r="B298" s="2">
        <v>297</v>
      </c>
      <c r="C298" s="2">
        <v>6</v>
      </c>
    </row>
    <row r="299" spans="1:4" ht="14.25" customHeight="1">
      <c r="A299" s="2">
        <v>50</v>
      </c>
      <c r="B299" s="2">
        <v>298</v>
      </c>
      <c r="C299" s="2">
        <v>7</v>
      </c>
    </row>
    <row r="300" spans="1:4" ht="14.25" customHeight="1">
      <c r="A300" s="2">
        <v>50</v>
      </c>
      <c r="B300" s="2">
        <v>299</v>
      </c>
      <c r="C300" s="2">
        <v>4</v>
      </c>
    </row>
    <row r="301" spans="1:4" ht="14.25" customHeight="1">
      <c r="A301" s="2">
        <v>50</v>
      </c>
      <c r="B301" s="2">
        <v>300</v>
      </c>
      <c r="C301" s="2">
        <v>8</v>
      </c>
    </row>
    <row r="302" spans="1:4" ht="14.25" customHeight="1"/>
    <row r="303" spans="1:4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4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Y1000"/>
  <sheetViews>
    <sheetView workbookViewId="0">
      <selection activeCell="O14" sqref="O14"/>
    </sheetView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51</v>
      </c>
      <c r="I1" s="2">
        <v>101</v>
      </c>
      <c r="J1" s="2">
        <v>3</v>
      </c>
      <c r="K1" s="2">
        <v>1</v>
      </c>
      <c r="L1" s="2">
        <v>1.3540000000000001</v>
      </c>
      <c r="M1" s="2">
        <v>1</v>
      </c>
    </row>
    <row r="2" spans="1:25" ht="14.25" customHeight="1">
      <c r="A2" s="2">
        <v>51</v>
      </c>
      <c r="B2" s="2">
        <v>1</v>
      </c>
      <c r="C2" s="2">
        <v>6</v>
      </c>
      <c r="D2" s="2">
        <v>0</v>
      </c>
      <c r="E2" s="2">
        <v>1.37</v>
      </c>
      <c r="F2" s="2">
        <v>2</v>
      </c>
      <c r="H2" s="2">
        <v>51</v>
      </c>
      <c r="I2" s="2">
        <v>102</v>
      </c>
      <c r="J2" s="2">
        <v>5</v>
      </c>
      <c r="K2" s="2">
        <v>1</v>
      </c>
      <c r="L2" s="2">
        <v>0.41499999999999998</v>
      </c>
      <c r="M2" s="2">
        <v>2</v>
      </c>
    </row>
    <row r="3" spans="1:25" ht="14.25" customHeight="1">
      <c r="A3" s="2">
        <v>51</v>
      </c>
      <c r="B3" s="2">
        <v>2</v>
      </c>
      <c r="C3" s="2">
        <v>8</v>
      </c>
      <c r="D3" s="2">
        <v>0</v>
      </c>
      <c r="E3" s="2">
        <v>0.69099999999999995</v>
      </c>
      <c r="F3" s="2">
        <v>1</v>
      </c>
      <c r="H3" s="2">
        <v>51</v>
      </c>
      <c r="I3" s="2">
        <v>103</v>
      </c>
      <c r="J3" s="2">
        <v>8</v>
      </c>
      <c r="K3" s="2">
        <v>0</v>
      </c>
      <c r="L3" s="2">
        <v>1.0509999999999999</v>
      </c>
      <c r="M3" s="2">
        <v>2</v>
      </c>
    </row>
    <row r="4" spans="1:25" ht="14.25" customHeight="1">
      <c r="A4" s="2">
        <v>51</v>
      </c>
      <c r="B4" s="2">
        <v>3</v>
      </c>
      <c r="C4" s="2">
        <v>5</v>
      </c>
      <c r="D4" s="2">
        <v>1</v>
      </c>
      <c r="E4" s="2">
        <v>0.84699999999999998</v>
      </c>
      <c r="F4" s="2">
        <v>1</v>
      </c>
      <c r="H4" s="2">
        <v>51</v>
      </c>
      <c r="I4" s="2">
        <v>104</v>
      </c>
      <c r="J4" s="2">
        <v>6</v>
      </c>
      <c r="K4" s="2">
        <v>1</v>
      </c>
      <c r="L4" s="2">
        <v>1.0349999999999999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51</v>
      </c>
      <c r="B5" s="2">
        <v>4</v>
      </c>
      <c r="C5" s="2">
        <v>6</v>
      </c>
      <c r="D5" s="2">
        <v>0</v>
      </c>
      <c r="E5" s="2">
        <v>0.43099999999999999</v>
      </c>
      <c r="F5" s="2">
        <v>2</v>
      </c>
      <c r="H5" s="2">
        <v>51</v>
      </c>
      <c r="I5" s="2">
        <v>105</v>
      </c>
      <c r="J5" s="2">
        <v>4</v>
      </c>
      <c r="L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51</v>
      </c>
      <c r="B6" s="2">
        <v>5</v>
      </c>
      <c r="C6" s="2">
        <v>2</v>
      </c>
      <c r="D6" s="2">
        <v>0</v>
      </c>
      <c r="E6" s="2">
        <v>0.77300000000000002</v>
      </c>
      <c r="F6" s="2">
        <v>1</v>
      </c>
      <c r="H6" s="2">
        <v>51</v>
      </c>
      <c r="I6" s="2">
        <v>106</v>
      </c>
      <c r="J6" s="2">
        <v>2</v>
      </c>
      <c r="K6" s="2">
        <v>1</v>
      </c>
      <c r="L6" s="2">
        <v>0.93700000000000006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51</v>
      </c>
      <c r="B7" s="2">
        <v>6</v>
      </c>
      <c r="C7" s="2">
        <v>4</v>
      </c>
      <c r="D7" s="2">
        <v>0</v>
      </c>
      <c r="E7" s="2">
        <v>0.60599999999999998</v>
      </c>
      <c r="F7" s="2">
        <v>1</v>
      </c>
      <c r="H7" s="2">
        <v>51</v>
      </c>
      <c r="I7" s="2">
        <v>107</v>
      </c>
      <c r="J7" s="2">
        <v>8</v>
      </c>
      <c r="K7" s="2">
        <v>1</v>
      </c>
      <c r="L7" s="2">
        <v>0.88700000000000001</v>
      </c>
      <c r="M7" s="2">
        <v>2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51</v>
      </c>
      <c r="B8" s="2">
        <v>7</v>
      </c>
      <c r="C8" s="2">
        <v>8</v>
      </c>
      <c r="D8" s="2">
        <v>1</v>
      </c>
      <c r="E8" s="2">
        <v>0.46700000000000003</v>
      </c>
      <c r="F8" s="2">
        <v>2</v>
      </c>
      <c r="H8" s="2">
        <v>51</v>
      </c>
      <c r="I8" s="2">
        <v>108</v>
      </c>
      <c r="J8" s="2">
        <v>4</v>
      </c>
      <c r="K8" s="2">
        <v>1</v>
      </c>
      <c r="L8" s="2">
        <v>1.532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51</v>
      </c>
      <c r="B9" s="2">
        <v>8</v>
      </c>
      <c r="C9" s="2">
        <v>5</v>
      </c>
      <c r="D9" s="2">
        <v>0</v>
      </c>
      <c r="E9" s="2">
        <v>1.042</v>
      </c>
      <c r="F9" s="2">
        <v>2</v>
      </c>
      <c r="H9" s="2">
        <v>51</v>
      </c>
      <c r="I9" s="2">
        <v>109</v>
      </c>
      <c r="J9" s="2">
        <v>5</v>
      </c>
      <c r="K9" s="2">
        <v>1</v>
      </c>
      <c r="L9" s="2">
        <v>1.075</v>
      </c>
      <c r="M9" s="2">
        <v>1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51</v>
      </c>
      <c r="B10" s="2">
        <v>9</v>
      </c>
      <c r="C10" s="2">
        <v>6</v>
      </c>
      <c r="D10" s="2">
        <v>1</v>
      </c>
      <c r="E10" s="2">
        <v>0.67400000000000004</v>
      </c>
      <c r="F10" s="2">
        <v>1</v>
      </c>
      <c r="H10" s="2">
        <v>51</v>
      </c>
      <c r="I10" s="2">
        <v>110</v>
      </c>
      <c r="J10" s="2">
        <v>6</v>
      </c>
      <c r="K10" s="2">
        <v>1</v>
      </c>
      <c r="L10" s="2">
        <v>0.82499999999999996</v>
      </c>
      <c r="M10" s="2">
        <v>2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51</v>
      </c>
      <c r="B11" s="2">
        <v>10</v>
      </c>
      <c r="C11" s="2">
        <v>8</v>
      </c>
      <c r="D11" s="2">
        <v>1</v>
      </c>
      <c r="E11" s="2">
        <v>0.76600000000000001</v>
      </c>
      <c r="F11" s="2">
        <v>2</v>
      </c>
      <c r="H11" s="2">
        <v>51</v>
      </c>
      <c r="I11" s="2">
        <v>111</v>
      </c>
      <c r="J11" s="2">
        <v>3</v>
      </c>
      <c r="K11" s="2">
        <v>1</v>
      </c>
      <c r="L11" s="2">
        <v>1.365</v>
      </c>
      <c r="M11" s="2">
        <v>1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51</v>
      </c>
      <c r="B12" s="2">
        <v>11</v>
      </c>
      <c r="C12" s="2">
        <v>5</v>
      </c>
      <c r="D12" s="2">
        <v>0</v>
      </c>
      <c r="E12" s="2">
        <v>1.101</v>
      </c>
      <c r="F12" s="2">
        <v>2</v>
      </c>
      <c r="H12" s="2">
        <v>51</v>
      </c>
      <c r="I12" s="2">
        <v>112</v>
      </c>
      <c r="J12" s="2">
        <v>2</v>
      </c>
      <c r="K12" s="2">
        <v>1</v>
      </c>
      <c r="L12" s="2">
        <v>0.93899999999999995</v>
      </c>
      <c r="M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51</v>
      </c>
      <c r="B13" s="2">
        <v>12</v>
      </c>
      <c r="C13" s="2">
        <v>8</v>
      </c>
      <c r="D13" s="2">
        <v>1</v>
      </c>
      <c r="E13" s="2">
        <v>0.78</v>
      </c>
      <c r="F13" s="2">
        <v>2</v>
      </c>
      <c r="H13" s="2">
        <v>51</v>
      </c>
      <c r="I13" s="2">
        <v>113</v>
      </c>
      <c r="J13" s="2">
        <v>1</v>
      </c>
      <c r="L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51</v>
      </c>
      <c r="B14" s="2">
        <v>13</v>
      </c>
      <c r="C14" s="2">
        <v>3</v>
      </c>
      <c r="D14" s="2">
        <v>0</v>
      </c>
      <c r="E14" s="2">
        <v>1.361</v>
      </c>
      <c r="F14" s="2">
        <v>2</v>
      </c>
      <c r="H14" s="2">
        <v>51</v>
      </c>
      <c r="I14" s="2">
        <v>114</v>
      </c>
      <c r="J14" s="2">
        <v>8</v>
      </c>
      <c r="K14" s="2">
        <v>1</v>
      </c>
      <c r="L14" s="2">
        <v>1.123</v>
      </c>
      <c r="M14" s="2">
        <v>1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51</v>
      </c>
      <c r="B15" s="2">
        <v>14</v>
      </c>
      <c r="C15" s="2">
        <v>1</v>
      </c>
      <c r="D15" s="2">
        <v>1</v>
      </c>
      <c r="E15" s="2">
        <v>0.72699999999999998</v>
      </c>
      <c r="F15" s="2">
        <v>1</v>
      </c>
      <c r="H15" s="2">
        <v>51</v>
      </c>
      <c r="I15" s="2">
        <v>115</v>
      </c>
      <c r="J15" s="2">
        <v>3</v>
      </c>
      <c r="K15" s="2">
        <v>1</v>
      </c>
      <c r="L15" s="2">
        <v>0.65100000000000002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51</v>
      </c>
      <c r="B16" s="2">
        <v>15</v>
      </c>
      <c r="C16" s="2">
        <v>8</v>
      </c>
      <c r="D16" s="2">
        <v>1</v>
      </c>
      <c r="E16" s="2">
        <v>0.66</v>
      </c>
      <c r="F16" s="2">
        <v>2</v>
      </c>
      <c r="H16" s="2">
        <v>51</v>
      </c>
      <c r="I16" s="2">
        <v>116</v>
      </c>
      <c r="J16" s="2">
        <v>7</v>
      </c>
      <c r="K16" s="2">
        <v>0</v>
      </c>
      <c r="L16" s="2">
        <v>1.2769999999999999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51</v>
      </c>
      <c r="B17" s="2">
        <v>16</v>
      </c>
      <c r="C17" s="2">
        <v>4</v>
      </c>
      <c r="D17" s="2">
        <v>0</v>
      </c>
      <c r="E17" s="2">
        <v>1.272</v>
      </c>
      <c r="F17" s="2">
        <v>1</v>
      </c>
      <c r="H17" s="2">
        <v>51</v>
      </c>
      <c r="I17" s="2">
        <v>117</v>
      </c>
      <c r="J17" s="2">
        <v>4</v>
      </c>
      <c r="K17" s="2">
        <v>1</v>
      </c>
      <c r="L17" s="2">
        <v>0.86</v>
      </c>
      <c r="M17" s="2">
        <v>1</v>
      </c>
      <c r="N17" s="3">
        <v>1</v>
      </c>
      <c r="O17" s="3">
        <f t="shared" ref="O17:O22" si="0">(O6*COUNTIF($J$1:$J$101,O$16) - COUNTIFS($J$1:$J$101,O$16,$K$1:$K$101,"=0"))^2</f>
        <v>2.8899999999999997</v>
      </c>
      <c r="P17" s="3">
        <f t="shared" ref="P17:P22" si="1">(P6*COUNTIF($J$1:$J$101,P$16) - COUNTIFS($J$1:$J$101,P$16,$K$1:$K$101,"=1"))^2</f>
        <v>0.48999999999999899</v>
      </c>
      <c r="Q17" s="3">
        <f t="shared" ref="Q17:Q22" si="2">(Q6*COUNTIF($J$1:$J$101,Q$16) - COUNTIFS($J$1:$J$101,Q$16,$K$1:$K$101,"=0"))^2</f>
        <v>0.15999999999999992</v>
      </c>
      <c r="R17" s="3">
        <f t="shared" ref="R17:R22" si="3">(R6*COUNTIF($J$1:$J$101,R$16) - COUNTIFS($J$1:$J$101,R$16,$K$1:$K$101,"=1"))^2</f>
        <v>13.322499999999996</v>
      </c>
      <c r="S17" s="3">
        <f t="shared" ref="S17:T17" si="4">(S6*COUNTIF($J$1:$J$101,S$16) - COUNTIFS($J$1:$J$101,S$16,$K$1:$K$101,"=0"))^2</f>
        <v>0.48999999999999994</v>
      </c>
      <c r="T17" s="3">
        <f t="shared" si="4"/>
        <v>0.48999999999999994</v>
      </c>
      <c r="U17" s="3">
        <f t="shared" ref="U17:V17" si="5">(U6*COUNTIF($J$1:$J$101,U$16) - COUNTIFS($J$1:$J$101,U$16,$K$1:$K$101,"=1"))^2</f>
        <v>2.8899999999999975</v>
      </c>
      <c r="V17" s="3">
        <f t="shared" si="5"/>
        <v>21.622499999999995</v>
      </c>
      <c r="W17" s="4"/>
      <c r="X17" s="4"/>
      <c r="Y17" s="4"/>
    </row>
    <row r="18" spans="1:25" ht="14.25" customHeight="1">
      <c r="A18" s="2">
        <v>51</v>
      </c>
      <c r="B18" s="2">
        <v>17</v>
      </c>
      <c r="C18" s="2">
        <v>3</v>
      </c>
      <c r="E18" s="2">
        <v>2</v>
      </c>
      <c r="H18" s="2">
        <v>51</v>
      </c>
      <c r="I18" s="2">
        <v>118</v>
      </c>
      <c r="J18" s="2">
        <v>7</v>
      </c>
      <c r="K18" s="2">
        <v>1</v>
      </c>
      <c r="L18" s="2">
        <v>1.161</v>
      </c>
      <c r="M18" s="2">
        <v>1</v>
      </c>
      <c r="N18" s="3">
        <v>2</v>
      </c>
      <c r="O18" s="3">
        <f t="shared" si="0"/>
        <v>2.8899999999999997</v>
      </c>
      <c r="P18" s="3">
        <f t="shared" si="1"/>
        <v>22.090000000000003</v>
      </c>
      <c r="Q18" s="6">
        <f t="shared" si="2"/>
        <v>25</v>
      </c>
      <c r="R18" s="3">
        <f t="shared" si="3"/>
        <v>13.322499999999996</v>
      </c>
      <c r="S18" s="6">
        <f t="shared" ref="S18:T18" si="6">(S7*COUNTIF($J$1:$J$101,S$16) - COUNTIFS($J$1:$J$101,S$16,$K$1:$K$101,"=0"))^2</f>
        <v>0.48999999999999994</v>
      </c>
      <c r="T18" s="6">
        <f t="shared" si="6"/>
        <v>0.48999999999999994</v>
      </c>
      <c r="U18" s="6">
        <f t="shared" ref="U18:V18" si="7">(U7*COUNTIF($J$1:$J$101,U$16) - COUNTIFS($J$1:$J$101,U$16,$K$1:$K$101,"=1"))^2</f>
        <v>2.8899999999999975</v>
      </c>
      <c r="V18" s="6">
        <f t="shared" si="7"/>
        <v>21.622499999999995</v>
      </c>
      <c r="W18" s="4"/>
      <c r="X18" s="4"/>
      <c r="Y18" s="4"/>
    </row>
    <row r="19" spans="1:25" ht="14.25" customHeight="1">
      <c r="A19" s="2">
        <v>51</v>
      </c>
      <c r="B19" s="2">
        <v>18</v>
      </c>
      <c r="C19" s="2">
        <v>5</v>
      </c>
      <c r="D19" s="2">
        <v>0</v>
      </c>
      <c r="E19" s="2">
        <v>0.71199999999999997</v>
      </c>
      <c r="F19" s="2">
        <v>2</v>
      </c>
      <c r="H19" s="2">
        <v>51</v>
      </c>
      <c r="I19" s="2">
        <v>119</v>
      </c>
      <c r="J19" s="2">
        <v>3</v>
      </c>
      <c r="K19" s="2">
        <v>0</v>
      </c>
      <c r="L19" s="2">
        <v>1.9359999999999999</v>
      </c>
      <c r="M19" s="2">
        <v>1</v>
      </c>
      <c r="N19" s="3">
        <v>3</v>
      </c>
      <c r="O19" s="3">
        <f t="shared" si="0"/>
        <v>2.8899999999999997</v>
      </c>
      <c r="P19" s="3">
        <f t="shared" si="1"/>
        <v>0.48999999999999899</v>
      </c>
      <c r="Q19" s="3">
        <f t="shared" si="2"/>
        <v>0.15999999999999992</v>
      </c>
      <c r="R19" s="3">
        <f t="shared" si="3"/>
        <v>13.322499999999996</v>
      </c>
      <c r="S19" s="6">
        <f t="shared" ref="S19:T19" si="8">(S8*COUNTIF($J$1:$J$101,S$16) - COUNTIFS($J$1:$J$101,S$16,$K$1:$K$101,"=0"))^2</f>
        <v>0.48999999999999994</v>
      </c>
      <c r="T19" s="6">
        <f t="shared" si="8"/>
        <v>22.089999999999993</v>
      </c>
      <c r="U19" s="3">
        <f t="shared" ref="U19:V19" si="9">(U8*COUNTIF($J$1:$J$101,U$16) - COUNTIFS($J$1:$J$101,U$16,$K$1:$K$101,"=1"))^2</f>
        <v>13.690000000000001</v>
      </c>
      <c r="V19" s="6">
        <f t="shared" si="9"/>
        <v>21.622499999999995</v>
      </c>
      <c r="W19" s="4"/>
      <c r="X19" s="4"/>
      <c r="Y19" s="4"/>
    </row>
    <row r="20" spans="1:25" ht="14.25" customHeight="1">
      <c r="A20" s="2">
        <v>51</v>
      </c>
      <c r="B20" s="2">
        <v>19</v>
      </c>
      <c r="C20" s="2">
        <v>2</v>
      </c>
      <c r="D20" s="2">
        <v>1</v>
      </c>
      <c r="E20" s="2">
        <v>1.179</v>
      </c>
      <c r="F20" s="2">
        <v>2</v>
      </c>
      <c r="H20" s="2">
        <v>51</v>
      </c>
      <c r="I20" s="2">
        <v>120</v>
      </c>
      <c r="J20" s="2">
        <v>2</v>
      </c>
      <c r="L20" s="2">
        <v>2</v>
      </c>
      <c r="N20" s="3">
        <v>4</v>
      </c>
      <c r="O20" s="3">
        <f t="shared" si="0"/>
        <v>1</v>
      </c>
      <c r="P20" s="3">
        <f t="shared" si="1"/>
        <v>4</v>
      </c>
      <c r="Q20" s="3">
        <f t="shared" si="2"/>
        <v>4</v>
      </c>
      <c r="R20" s="3">
        <f t="shared" si="3"/>
        <v>0.25</v>
      </c>
      <c r="S20" s="6">
        <f t="shared" ref="S20:T20" si="10">(S9*COUNTIF($J$1:$J$101,S$16) - COUNTIFS($J$1:$J$101,S$16,$K$1:$K$101,"=0"))^2</f>
        <v>0.48999999999999994</v>
      </c>
      <c r="T20" s="6">
        <f t="shared" si="10"/>
        <v>0.48999999999999994</v>
      </c>
      <c r="U20" s="6">
        <f t="shared" ref="U20:V20" si="11">(U9*COUNTIF($J$1:$J$101,U$16) - COUNTIFS($J$1:$J$101,U$16,$K$1:$K$101,"=1"))^2</f>
        <v>2.8899999999999975</v>
      </c>
      <c r="V20" s="6">
        <f t="shared" si="11"/>
        <v>21.622499999999995</v>
      </c>
      <c r="W20" s="4"/>
      <c r="X20" s="4"/>
      <c r="Y20" s="4"/>
    </row>
    <row r="21" spans="1:25" ht="14.25" customHeight="1">
      <c r="A21" s="2">
        <v>51</v>
      </c>
      <c r="B21" s="2">
        <v>20</v>
      </c>
      <c r="C21" s="2">
        <v>4</v>
      </c>
      <c r="D21" s="2">
        <v>0</v>
      </c>
      <c r="E21" s="2">
        <v>1.089</v>
      </c>
      <c r="F21" s="2">
        <v>1</v>
      </c>
      <c r="H21" s="2">
        <v>51</v>
      </c>
      <c r="I21" s="2">
        <v>121</v>
      </c>
      <c r="J21" s="2">
        <v>6</v>
      </c>
      <c r="K21" s="2">
        <v>1</v>
      </c>
      <c r="L21" s="2">
        <v>0.94</v>
      </c>
      <c r="M21" s="2">
        <v>2</v>
      </c>
      <c r="N21" s="3">
        <v>5</v>
      </c>
      <c r="O21" s="3">
        <f t="shared" si="0"/>
        <v>2.8899999999999997</v>
      </c>
      <c r="P21" s="3">
        <f t="shared" si="1"/>
        <v>0.48999999999999899</v>
      </c>
      <c r="Q21" s="3">
        <f t="shared" si="2"/>
        <v>0.15999999999999992</v>
      </c>
      <c r="R21" s="3">
        <f t="shared" si="3"/>
        <v>13.322499999999996</v>
      </c>
      <c r="S21" s="6">
        <f t="shared" ref="S21:T21" si="12">(S10*COUNTIF($J$1:$J$101,S$16) - COUNTIFS($J$1:$J$101,S$16,$K$1:$K$101,"=0"))^2</f>
        <v>4</v>
      </c>
      <c r="T21" s="6">
        <f t="shared" si="12"/>
        <v>4</v>
      </c>
      <c r="U21" s="6">
        <f t="shared" ref="U21:V21" si="13">(U10*COUNTIF($J$1:$J$101,U$16) - COUNTIFS($J$1:$J$101,U$16,$K$1:$K$101,"=1"))^2</f>
        <v>1</v>
      </c>
      <c r="V21" s="6">
        <f t="shared" si="13"/>
        <v>2.25</v>
      </c>
      <c r="W21" s="4"/>
      <c r="X21" s="4"/>
      <c r="Y21" s="4"/>
    </row>
    <row r="22" spans="1:25" ht="14.25" customHeight="1">
      <c r="A22" s="2">
        <v>51</v>
      </c>
      <c r="B22" s="2">
        <v>21</v>
      </c>
      <c r="C22" s="2">
        <v>8</v>
      </c>
      <c r="D22" s="2">
        <v>1</v>
      </c>
      <c r="E22" s="2">
        <v>0.86599999999999999</v>
      </c>
      <c r="F22" s="2">
        <v>2</v>
      </c>
      <c r="H22" s="2">
        <v>51</v>
      </c>
      <c r="I22" s="2">
        <v>122</v>
      </c>
      <c r="J22" s="2">
        <v>1</v>
      </c>
      <c r="K22" s="2">
        <v>0</v>
      </c>
      <c r="L22" s="2">
        <v>1.8320000000000001</v>
      </c>
      <c r="M22" s="2">
        <v>1</v>
      </c>
      <c r="N22" s="3">
        <v>6</v>
      </c>
      <c r="O22" s="3">
        <f t="shared" si="0"/>
        <v>1</v>
      </c>
      <c r="P22" s="3">
        <f t="shared" si="1"/>
        <v>4</v>
      </c>
      <c r="Q22" s="3">
        <f t="shared" si="2"/>
        <v>4</v>
      </c>
      <c r="R22" s="3">
        <f t="shared" si="3"/>
        <v>0.25</v>
      </c>
      <c r="S22" s="6">
        <f t="shared" ref="S22:T22" si="14">(S11*COUNTIF($J$1:$J$101,S$16) - COUNTIFS($J$1:$J$101,S$16,$K$1:$K$101,"=0"))^2</f>
        <v>4</v>
      </c>
      <c r="T22" s="6">
        <f t="shared" si="14"/>
        <v>4</v>
      </c>
      <c r="U22" s="6">
        <f t="shared" ref="U22:V22" si="15">(U11*COUNTIF($J$1:$J$101,U$16) - COUNTIFS($J$1:$J$101,U$16,$K$1:$K$101,"=1"))^2</f>
        <v>1</v>
      </c>
      <c r="V22" s="6">
        <f t="shared" si="15"/>
        <v>2.25</v>
      </c>
      <c r="W22" s="4"/>
      <c r="X22" s="4"/>
      <c r="Y22" s="4"/>
    </row>
    <row r="23" spans="1:25" ht="14.25" customHeight="1">
      <c r="A23" s="2">
        <v>51</v>
      </c>
      <c r="B23" s="2">
        <v>22</v>
      </c>
      <c r="C23" s="2">
        <v>2</v>
      </c>
      <c r="D23" s="2">
        <v>0</v>
      </c>
      <c r="E23" s="2">
        <v>0.64700000000000002</v>
      </c>
      <c r="F23" s="2">
        <v>1</v>
      </c>
      <c r="H23" s="2">
        <v>51</v>
      </c>
      <c r="I23" s="2">
        <v>123</v>
      </c>
      <c r="J23" s="2">
        <v>8</v>
      </c>
      <c r="K23" s="2">
        <v>0</v>
      </c>
      <c r="L23" s="2">
        <v>1.8160000000000001</v>
      </c>
      <c r="M23" s="2">
        <v>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51</v>
      </c>
      <c r="B24" s="2">
        <v>23</v>
      </c>
      <c r="C24" s="2">
        <v>1</v>
      </c>
      <c r="D24" s="2">
        <v>1</v>
      </c>
      <c r="E24" s="2">
        <v>1.034</v>
      </c>
      <c r="F24" s="2">
        <v>1</v>
      </c>
      <c r="H24" s="2">
        <v>51</v>
      </c>
      <c r="I24" s="2">
        <v>124</v>
      </c>
      <c r="J24" s="2">
        <v>3</v>
      </c>
      <c r="L24" s="2">
        <v>2.0009999999999999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51</v>
      </c>
      <c r="B25" s="2">
        <v>24</v>
      </c>
      <c r="C25" s="2">
        <v>3</v>
      </c>
      <c r="D25" s="2">
        <v>0</v>
      </c>
      <c r="E25" s="2">
        <v>0.82599999999999996</v>
      </c>
      <c r="F25" s="2">
        <v>2</v>
      </c>
      <c r="H25" s="2">
        <v>51</v>
      </c>
      <c r="I25" s="2">
        <v>125</v>
      </c>
      <c r="J25" s="2">
        <v>1</v>
      </c>
      <c r="K25" s="2">
        <v>0</v>
      </c>
      <c r="L25" s="2">
        <v>1.1339999999999999</v>
      </c>
      <c r="M25" s="2">
        <v>2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51</v>
      </c>
      <c r="B26" s="2">
        <v>25</v>
      </c>
      <c r="C26" s="2">
        <v>5</v>
      </c>
      <c r="D26" s="2">
        <v>0</v>
      </c>
      <c r="E26" s="2">
        <v>1.038</v>
      </c>
      <c r="F26" s="2">
        <v>2</v>
      </c>
      <c r="H26" s="2">
        <v>51</v>
      </c>
      <c r="I26" s="2">
        <v>126</v>
      </c>
      <c r="J26" s="2">
        <v>8</v>
      </c>
      <c r="K26" s="2">
        <v>0</v>
      </c>
      <c r="L26" s="2">
        <v>1.1379999999999999</v>
      </c>
      <c r="M26" s="2">
        <v>1</v>
      </c>
      <c r="N26" s="4"/>
      <c r="O26" s="3">
        <f t="shared" ref="O26:V26" si="16">COUNTIF($J$1:$J$102,O16)*COUNTIF($J$1:$J$102,O16)</f>
        <v>36</v>
      </c>
      <c r="P26" s="3">
        <f t="shared" si="16"/>
        <v>36</v>
      </c>
      <c r="Q26" s="3">
        <f t="shared" si="16"/>
        <v>36</v>
      </c>
      <c r="R26" s="3">
        <f t="shared" si="16"/>
        <v>49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51</v>
      </c>
      <c r="B27" s="2">
        <v>26</v>
      </c>
      <c r="C27" s="2">
        <v>2</v>
      </c>
      <c r="D27" s="2">
        <v>1</v>
      </c>
      <c r="E27" s="2">
        <v>0.745</v>
      </c>
      <c r="F27" s="2">
        <v>2</v>
      </c>
      <c r="H27" s="2">
        <v>51</v>
      </c>
      <c r="I27" s="2">
        <v>127</v>
      </c>
      <c r="J27" s="2">
        <v>5</v>
      </c>
      <c r="K27" s="2">
        <v>1</v>
      </c>
      <c r="L27" s="2">
        <v>0.60099999999999998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51</v>
      </c>
      <c r="B28" s="2">
        <v>27</v>
      </c>
      <c r="C28" s="2">
        <v>7</v>
      </c>
      <c r="D28" s="2">
        <v>0</v>
      </c>
      <c r="E28" s="2">
        <v>0.63300000000000001</v>
      </c>
      <c r="F28" s="2">
        <v>1</v>
      </c>
      <c r="H28" s="2">
        <v>51</v>
      </c>
      <c r="I28" s="2">
        <v>128</v>
      </c>
      <c r="J28" s="2">
        <v>4</v>
      </c>
      <c r="K28" s="2">
        <v>0</v>
      </c>
      <c r="L28" s="2">
        <v>1.0740000000000001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51</v>
      </c>
      <c r="B29" s="2">
        <v>28</v>
      </c>
      <c r="C29" s="2">
        <v>5</v>
      </c>
      <c r="D29" s="2">
        <v>0</v>
      </c>
      <c r="E29" s="2">
        <v>1.2649999999999999</v>
      </c>
      <c r="F29" s="2">
        <v>2</v>
      </c>
      <c r="H29" s="2">
        <v>51</v>
      </c>
      <c r="I29" s="2">
        <v>129</v>
      </c>
      <c r="J29" s="2">
        <v>6</v>
      </c>
      <c r="K29" s="2">
        <v>0</v>
      </c>
      <c r="L29" s="2">
        <v>1.4730000000000001</v>
      </c>
      <c r="M29" s="2">
        <v>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51</v>
      </c>
      <c r="B30" s="2">
        <v>29</v>
      </c>
      <c r="C30" s="2">
        <v>1</v>
      </c>
      <c r="D30" s="2">
        <v>1</v>
      </c>
      <c r="E30" s="2">
        <v>1.0549999999999999</v>
      </c>
      <c r="F30" s="2">
        <v>1</v>
      </c>
      <c r="H30" s="2">
        <v>51</v>
      </c>
      <c r="I30" s="2">
        <v>130</v>
      </c>
      <c r="J30" s="2">
        <v>5</v>
      </c>
      <c r="K30" s="2">
        <v>1</v>
      </c>
      <c r="L30" s="2">
        <v>0.94299999999999995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51</v>
      </c>
      <c r="B31" s="2">
        <v>30</v>
      </c>
      <c r="C31" s="2">
        <v>8</v>
      </c>
      <c r="D31" s="2">
        <v>1</v>
      </c>
      <c r="E31" s="2">
        <v>1.379</v>
      </c>
      <c r="F31" s="2">
        <v>2</v>
      </c>
      <c r="H31" s="2">
        <v>51</v>
      </c>
      <c r="I31" s="2">
        <v>131</v>
      </c>
      <c r="J31" s="2">
        <v>7</v>
      </c>
      <c r="K31" s="2">
        <v>1</v>
      </c>
      <c r="L31" s="2">
        <v>1.329</v>
      </c>
      <c r="M31" s="2">
        <v>1</v>
      </c>
      <c r="N31" s="3">
        <v>1</v>
      </c>
      <c r="O31" s="3">
        <f t="shared" ref="O31:O36" si="17">SUM(O17:V17)/SUM(O$26:V$26)</f>
        <v>0.13488853503184708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51</v>
      </c>
      <c r="B32" s="2">
        <v>31</v>
      </c>
      <c r="C32" s="2">
        <v>6</v>
      </c>
      <c r="D32" s="2">
        <v>1</v>
      </c>
      <c r="E32" s="2">
        <v>0.98599999999999999</v>
      </c>
      <c r="F32" s="2">
        <v>1</v>
      </c>
      <c r="H32" s="2">
        <v>51</v>
      </c>
      <c r="I32" s="2">
        <v>132</v>
      </c>
      <c r="J32" s="2">
        <v>4</v>
      </c>
      <c r="K32" s="2">
        <v>0</v>
      </c>
      <c r="L32" s="2">
        <v>1.8560000000000001</v>
      </c>
      <c r="M32" s="2">
        <v>2</v>
      </c>
      <c r="N32" s="3">
        <v>2</v>
      </c>
      <c r="O32" s="3">
        <f t="shared" si="17"/>
        <v>0.28278662420382161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51</v>
      </c>
      <c r="B33" s="2">
        <v>32</v>
      </c>
      <c r="C33" s="2">
        <v>3</v>
      </c>
      <c r="D33" s="2">
        <v>1</v>
      </c>
      <c r="E33" s="2">
        <v>1.982</v>
      </c>
      <c r="F33" s="2">
        <v>1</v>
      </c>
      <c r="H33" s="2">
        <v>51</v>
      </c>
      <c r="I33" s="2">
        <v>133</v>
      </c>
      <c r="J33" s="2">
        <v>1</v>
      </c>
      <c r="K33" s="2">
        <v>1</v>
      </c>
      <c r="L33" s="2">
        <v>1.6160000000000001</v>
      </c>
      <c r="M33" s="2">
        <v>2</v>
      </c>
      <c r="N33" s="3">
        <v>3</v>
      </c>
      <c r="O33" s="3">
        <f t="shared" si="17"/>
        <v>0.23807324840764321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51</v>
      </c>
      <c r="B34" s="2">
        <v>33</v>
      </c>
      <c r="C34" s="2">
        <v>2</v>
      </c>
      <c r="D34" s="2">
        <v>0</v>
      </c>
      <c r="E34" s="2">
        <v>0.81699999999999995</v>
      </c>
      <c r="F34" s="2">
        <v>1</v>
      </c>
      <c r="H34" s="2">
        <v>51</v>
      </c>
      <c r="I34" s="2">
        <v>134</v>
      </c>
      <c r="J34" s="2">
        <v>2</v>
      </c>
      <c r="K34" s="2">
        <v>1</v>
      </c>
      <c r="L34" s="2">
        <v>0.75600000000000001</v>
      </c>
      <c r="M34" s="2">
        <v>2</v>
      </c>
      <c r="N34" s="3">
        <v>4</v>
      </c>
      <c r="O34" s="3">
        <f t="shared" si="17"/>
        <v>0.1106449044585987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51</v>
      </c>
      <c r="B35" s="2">
        <v>34</v>
      </c>
      <c r="C35" s="2">
        <v>7</v>
      </c>
      <c r="D35" s="2">
        <v>1</v>
      </c>
      <c r="E35" s="2">
        <v>0.89800000000000002</v>
      </c>
      <c r="F35" s="2">
        <v>2</v>
      </c>
      <c r="H35" s="2">
        <v>51</v>
      </c>
      <c r="I35" s="2">
        <v>135</v>
      </c>
      <c r="J35" s="2">
        <v>5</v>
      </c>
      <c r="K35" s="2">
        <v>1</v>
      </c>
      <c r="L35" s="2">
        <v>1.72</v>
      </c>
      <c r="M35" s="2">
        <v>1</v>
      </c>
      <c r="N35" s="3">
        <v>5</v>
      </c>
      <c r="O35" s="3">
        <f t="shared" si="17"/>
        <v>8.9530254777070037E-2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51</v>
      </c>
      <c r="B36" s="2">
        <v>35</v>
      </c>
      <c r="C36" s="2">
        <v>3</v>
      </c>
      <c r="D36" s="2">
        <v>0</v>
      </c>
      <c r="E36" s="2">
        <v>0.63300000000000001</v>
      </c>
      <c r="F36" s="2">
        <v>2</v>
      </c>
      <c r="H36" s="2">
        <v>51</v>
      </c>
      <c r="I36" s="2">
        <v>136</v>
      </c>
      <c r="J36" s="2">
        <v>1</v>
      </c>
      <c r="K36" s="2">
        <v>1</v>
      </c>
      <c r="L36" s="2">
        <v>0.75900000000000001</v>
      </c>
      <c r="M36" s="2">
        <v>2</v>
      </c>
      <c r="N36" s="3">
        <v>6</v>
      </c>
      <c r="O36" s="3">
        <f t="shared" si="17"/>
        <v>6.5286624203821655E-2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51</v>
      </c>
      <c r="B37" s="2">
        <v>36</v>
      </c>
      <c r="C37" s="2">
        <v>7</v>
      </c>
      <c r="D37" s="2">
        <v>1</v>
      </c>
      <c r="E37" s="2">
        <v>0.84899999999999998</v>
      </c>
      <c r="F37" s="2">
        <v>2</v>
      </c>
      <c r="H37" s="2">
        <v>51</v>
      </c>
      <c r="I37" s="2">
        <v>137</v>
      </c>
      <c r="J37" s="2">
        <v>7</v>
      </c>
      <c r="K37" s="2">
        <v>1</v>
      </c>
      <c r="L37" s="2">
        <v>0.99199999999999999</v>
      </c>
      <c r="M37" s="2">
        <v>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51</v>
      </c>
      <c r="B38" s="2">
        <v>37</v>
      </c>
      <c r="C38" s="2">
        <v>2</v>
      </c>
      <c r="D38" s="2">
        <v>0</v>
      </c>
      <c r="E38" s="2">
        <v>1.155</v>
      </c>
      <c r="F38" s="2">
        <v>1</v>
      </c>
      <c r="H38" s="2">
        <v>51</v>
      </c>
      <c r="I38" s="2">
        <v>138</v>
      </c>
      <c r="J38" s="2">
        <v>4</v>
      </c>
      <c r="K38" s="2">
        <v>1</v>
      </c>
      <c r="L38" s="2">
        <v>0.96599999999999997</v>
      </c>
      <c r="M38" s="2">
        <v>1</v>
      </c>
    </row>
    <row r="39" spans="1:25" ht="14.25" customHeight="1">
      <c r="A39" s="2">
        <v>51</v>
      </c>
      <c r="B39" s="2">
        <v>38</v>
      </c>
      <c r="C39" s="2">
        <v>1</v>
      </c>
      <c r="D39" s="2">
        <v>1</v>
      </c>
      <c r="E39" s="2">
        <v>0.92300000000000004</v>
      </c>
      <c r="F39" s="2">
        <v>1</v>
      </c>
      <c r="H39" s="2">
        <v>51</v>
      </c>
      <c r="I39" s="2">
        <v>139</v>
      </c>
      <c r="J39" s="2">
        <v>6</v>
      </c>
      <c r="L39" s="2">
        <v>2</v>
      </c>
    </row>
    <row r="40" spans="1:25" ht="14.25" customHeight="1">
      <c r="A40" s="2">
        <v>51</v>
      </c>
      <c r="B40" s="2">
        <v>39</v>
      </c>
      <c r="C40" s="2">
        <v>4</v>
      </c>
      <c r="D40" s="2">
        <v>1</v>
      </c>
      <c r="E40" s="2">
        <v>1.4159999999999999</v>
      </c>
      <c r="F40" s="2">
        <v>2</v>
      </c>
      <c r="H40" s="2">
        <v>51</v>
      </c>
      <c r="I40" s="2">
        <v>140</v>
      </c>
      <c r="J40" s="2">
        <v>3</v>
      </c>
      <c r="K40" s="2">
        <v>1</v>
      </c>
      <c r="L40" s="2">
        <v>0.64300000000000002</v>
      </c>
      <c r="M40" s="2">
        <v>2</v>
      </c>
    </row>
    <row r="41" spans="1:25" ht="14.25" customHeight="1">
      <c r="A41" s="2">
        <v>51</v>
      </c>
      <c r="B41" s="2">
        <v>40</v>
      </c>
      <c r="C41" s="2">
        <v>7</v>
      </c>
      <c r="D41" s="2">
        <v>1</v>
      </c>
      <c r="E41" s="2">
        <v>0.83899999999999997</v>
      </c>
      <c r="F41" s="2">
        <v>2</v>
      </c>
      <c r="H41" s="2">
        <v>51</v>
      </c>
      <c r="I41" s="2">
        <v>141</v>
      </c>
      <c r="J41" s="2">
        <v>6</v>
      </c>
      <c r="K41" s="2">
        <v>1</v>
      </c>
      <c r="L41" s="2">
        <v>1.4950000000000001</v>
      </c>
      <c r="M41" s="2">
        <v>1</v>
      </c>
    </row>
    <row r="42" spans="1:25" ht="14.25" customHeight="1">
      <c r="A42" s="2">
        <v>51</v>
      </c>
      <c r="B42" s="2">
        <v>41</v>
      </c>
      <c r="C42" s="2">
        <v>1</v>
      </c>
      <c r="D42" s="2">
        <v>1</v>
      </c>
      <c r="E42" s="2">
        <v>0.99399999999999999</v>
      </c>
      <c r="F42" s="2">
        <v>1</v>
      </c>
      <c r="H42" s="2">
        <v>51</v>
      </c>
      <c r="I42" s="2">
        <v>142</v>
      </c>
      <c r="J42" s="2">
        <v>7</v>
      </c>
      <c r="K42" s="2">
        <v>1</v>
      </c>
      <c r="L42" s="2">
        <v>0.85299999999999998</v>
      </c>
      <c r="M42" s="2">
        <v>1</v>
      </c>
    </row>
    <row r="43" spans="1:25" ht="14.25" customHeight="1">
      <c r="A43" s="2">
        <v>51</v>
      </c>
      <c r="B43" s="2">
        <v>42</v>
      </c>
      <c r="C43" s="2">
        <v>3</v>
      </c>
      <c r="D43" s="2">
        <v>1</v>
      </c>
      <c r="E43" s="2">
        <v>0.92500000000000004</v>
      </c>
      <c r="F43" s="2">
        <v>1</v>
      </c>
      <c r="H43" s="2">
        <v>51</v>
      </c>
      <c r="I43" s="2">
        <v>143</v>
      </c>
      <c r="J43" s="2">
        <v>2</v>
      </c>
      <c r="K43" s="2">
        <v>1</v>
      </c>
      <c r="L43" s="2">
        <v>0.73899999999999999</v>
      </c>
      <c r="M43" s="2">
        <v>2</v>
      </c>
    </row>
    <row r="44" spans="1:25" ht="14.25" customHeight="1">
      <c r="A44" s="2">
        <v>51</v>
      </c>
      <c r="B44" s="2">
        <v>43</v>
      </c>
      <c r="C44" s="2">
        <v>7</v>
      </c>
      <c r="D44" s="2">
        <v>1</v>
      </c>
      <c r="E44" s="2">
        <v>0.77200000000000002</v>
      </c>
      <c r="F44" s="2">
        <v>2</v>
      </c>
      <c r="H44" s="2">
        <v>51</v>
      </c>
      <c r="I44" s="2">
        <v>144</v>
      </c>
      <c r="J44" s="2">
        <v>8</v>
      </c>
      <c r="K44" s="2">
        <v>0</v>
      </c>
      <c r="L44" s="2">
        <v>1.228</v>
      </c>
      <c r="M44" s="2">
        <v>1</v>
      </c>
    </row>
    <row r="45" spans="1:25" ht="14.25" customHeight="1">
      <c r="A45" s="2">
        <v>51</v>
      </c>
      <c r="B45" s="2">
        <v>44</v>
      </c>
      <c r="C45" s="2">
        <v>4</v>
      </c>
      <c r="D45" s="2">
        <v>0</v>
      </c>
      <c r="E45" s="2">
        <v>0.77100000000000002</v>
      </c>
      <c r="F45" s="2">
        <v>1</v>
      </c>
      <c r="H45" s="2">
        <v>51</v>
      </c>
      <c r="I45" s="2">
        <v>145</v>
      </c>
      <c r="J45" s="2">
        <v>5</v>
      </c>
      <c r="K45" s="2">
        <v>0</v>
      </c>
      <c r="L45" s="2">
        <v>1.3979999999999999</v>
      </c>
      <c r="M45" s="2">
        <v>2</v>
      </c>
    </row>
    <row r="46" spans="1:25" ht="14.25" customHeight="1">
      <c r="A46" s="2">
        <v>51</v>
      </c>
      <c r="B46" s="2">
        <v>45</v>
      </c>
      <c r="C46" s="2">
        <v>6</v>
      </c>
      <c r="D46" s="2">
        <v>1</v>
      </c>
      <c r="E46" s="2">
        <v>1.3939999999999999</v>
      </c>
      <c r="F46" s="2">
        <v>1</v>
      </c>
      <c r="H46" s="2">
        <v>51</v>
      </c>
      <c r="I46" s="2">
        <v>146</v>
      </c>
      <c r="J46" s="2">
        <v>2</v>
      </c>
      <c r="K46" s="2">
        <v>1</v>
      </c>
      <c r="L46" s="2">
        <v>1.5289999999999999</v>
      </c>
      <c r="M46" s="2">
        <v>1</v>
      </c>
    </row>
    <row r="47" spans="1:25" ht="14.25" customHeight="1">
      <c r="A47" s="2">
        <v>51</v>
      </c>
      <c r="B47" s="2">
        <v>46</v>
      </c>
      <c r="C47" s="2">
        <v>1</v>
      </c>
      <c r="D47" s="2">
        <v>1</v>
      </c>
      <c r="E47" s="2">
        <v>0.91200000000000003</v>
      </c>
      <c r="F47" s="2">
        <v>1</v>
      </c>
      <c r="H47" s="2">
        <v>51</v>
      </c>
      <c r="I47" s="2">
        <v>147</v>
      </c>
      <c r="J47" s="2">
        <v>1</v>
      </c>
      <c r="K47" s="2">
        <v>1</v>
      </c>
      <c r="L47" s="2">
        <v>0.66300000000000003</v>
      </c>
      <c r="M47" s="2">
        <v>2</v>
      </c>
    </row>
    <row r="48" spans="1:25" ht="14.25" customHeight="1">
      <c r="A48" s="2">
        <v>51</v>
      </c>
      <c r="B48" s="2">
        <v>47</v>
      </c>
      <c r="C48" s="2">
        <v>7</v>
      </c>
      <c r="D48" s="2">
        <v>1</v>
      </c>
      <c r="E48" s="2">
        <v>0.76600000000000001</v>
      </c>
      <c r="F48" s="2">
        <v>2</v>
      </c>
      <c r="H48" s="2">
        <v>51</v>
      </c>
      <c r="I48" s="2">
        <v>148</v>
      </c>
      <c r="J48" s="2">
        <v>8</v>
      </c>
      <c r="K48" s="2">
        <v>0</v>
      </c>
      <c r="L48" s="2">
        <v>1.5880000000000001</v>
      </c>
      <c r="M48" s="2">
        <v>1</v>
      </c>
    </row>
    <row r="49" spans="1:13" ht="14.25" customHeight="1">
      <c r="A49" s="2">
        <v>51</v>
      </c>
      <c r="B49" s="2">
        <v>48</v>
      </c>
      <c r="C49" s="2">
        <v>4</v>
      </c>
      <c r="D49" s="2">
        <v>0</v>
      </c>
      <c r="E49" s="2">
        <v>1.7989999999999999</v>
      </c>
      <c r="F49" s="2">
        <v>1</v>
      </c>
      <c r="H49" s="2">
        <v>51</v>
      </c>
      <c r="I49" s="2">
        <v>149</v>
      </c>
      <c r="J49" s="2">
        <v>7</v>
      </c>
      <c r="K49" s="2">
        <v>0</v>
      </c>
      <c r="L49" s="2">
        <v>1.0580000000000001</v>
      </c>
      <c r="M49" s="2">
        <v>2</v>
      </c>
    </row>
    <row r="50" spans="1:13" ht="14.25" customHeight="1">
      <c r="A50" s="2">
        <v>51</v>
      </c>
      <c r="B50" s="2">
        <v>49</v>
      </c>
      <c r="C50" s="2">
        <v>6</v>
      </c>
      <c r="D50" s="2">
        <v>1</v>
      </c>
      <c r="E50" s="2">
        <v>0.621</v>
      </c>
      <c r="F50" s="2">
        <v>1</v>
      </c>
      <c r="H50" s="2">
        <v>51</v>
      </c>
      <c r="I50" s="2">
        <v>150</v>
      </c>
      <c r="J50" s="2">
        <v>4</v>
      </c>
      <c r="K50" s="2">
        <v>0</v>
      </c>
      <c r="L50" s="2">
        <v>1.992</v>
      </c>
      <c r="M50" s="2">
        <v>1</v>
      </c>
    </row>
    <row r="51" spans="1:13" ht="14.25" customHeight="1">
      <c r="A51" s="2">
        <v>51</v>
      </c>
      <c r="B51" s="2">
        <v>50</v>
      </c>
      <c r="C51" s="2">
        <v>4</v>
      </c>
      <c r="D51" s="2">
        <v>1</v>
      </c>
      <c r="E51" s="2">
        <v>0.92800000000000005</v>
      </c>
      <c r="F51" s="2">
        <v>2</v>
      </c>
    </row>
    <row r="52" spans="1:13" ht="14.25" customHeight="1">
      <c r="A52" s="2">
        <v>51</v>
      </c>
      <c r="B52" s="2">
        <v>51</v>
      </c>
      <c r="C52" s="2">
        <v>8</v>
      </c>
      <c r="D52" s="2">
        <v>1</v>
      </c>
      <c r="E52" s="2">
        <v>1.339</v>
      </c>
      <c r="F52" s="2">
        <v>1</v>
      </c>
    </row>
    <row r="53" spans="1:13" ht="14.25" customHeight="1">
      <c r="A53" s="2">
        <v>51</v>
      </c>
      <c r="B53" s="2">
        <v>52</v>
      </c>
      <c r="C53" s="2">
        <v>4</v>
      </c>
      <c r="D53" s="2">
        <v>1</v>
      </c>
      <c r="E53" s="2">
        <v>0.64800000000000002</v>
      </c>
      <c r="F53" s="2">
        <v>2</v>
      </c>
    </row>
    <row r="54" spans="1:13" ht="14.25" customHeight="1">
      <c r="A54" s="2">
        <v>51</v>
      </c>
      <c r="B54" s="2">
        <v>53</v>
      </c>
      <c r="C54" s="2">
        <v>2</v>
      </c>
      <c r="D54" s="2">
        <v>1</v>
      </c>
      <c r="E54" s="2">
        <v>1.1779999999999999</v>
      </c>
      <c r="F54" s="2">
        <v>1</v>
      </c>
    </row>
    <row r="55" spans="1:13" ht="14.25" customHeight="1">
      <c r="A55" s="2">
        <v>51</v>
      </c>
      <c r="B55" s="2">
        <v>54</v>
      </c>
      <c r="C55" s="2">
        <v>1</v>
      </c>
      <c r="D55" s="2">
        <v>1</v>
      </c>
      <c r="E55" s="2">
        <v>1.032</v>
      </c>
      <c r="F55" s="2">
        <v>1</v>
      </c>
    </row>
    <row r="56" spans="1:13" ht="14.25" customHeight="1">
      <c r="A56" s="2">
        <v>51</v>
      </c>
      <c r="B56" s="2">
        <v>55</v>
      </c>
      <c r="C56" s="2">
        <v>6</v>
      </c>
      <c r="D56" s="2">
        <v>1</v>
      </c>
      <c r="E56" s="2">
        <v>1.746</v>
      </c>
      <c r="F56" s="2">
        <v>2</v>
      </c>
    </row>
    <row r="57" spans="1:13" ht="14.25" customHeight="1">
      <c r="A57" s="2">
        <v>51</v>
      </c>
      <c r="B57" s="2">
        <v>56</v>
      </c>
      <c r="C57" s="2">
        <v>1</v>
      </c>
      <c r="D57" s="2">
        <v>1</v>
      </c>
      <c r="E57" s="2">
        <v>1.153</v>
      </c>
      <c r="F57" s="2">
        <v>2</v>
      </c>
    </row>
    <row r="58" spans="1:13" ht="14.25" customHeight="1">
      <c r="A58" s="2">
        <v>51</v>
      </c>
      <c r="B58" s="2">
        <v>57</v>
      </c>
      <c r="C58" s="2">
        <v>8</v>
      </c>
      <c r="D58" s="2">
        <v>1</v>
      </c>
      <c r="E58" s="2">
        <v>1.002</v>
      </c>
      <c r="F58" s="2">
        <v>2</v>
      </c>
    </row>
    <row r="59" spans="1:13" ht="14.25" customHeight="1">
      <c r="A59" s="2">
        <v>51</v>
      </c>
      <c r="B59" s="2">
        <v>58</v>
      </c>
      <c r="C59" s="2">
        <v>3</v>
      </c>
      <c r="D59" s="2">
        <v>0</v>
      </c>
      <c r="E59" s="2">
        <v>0.90800000000000003</v>
      </c>
      <c r="F59" s="2">
        <v>2</v>
      </c>
    </row>
    <row r="60" spans="1:13" ht="14.25" customHeight="1">
      <c r="A60" s="2">
        <v>51</v>
      </c>
      <c r="B60" s="2">
        <v>59</v>
      </c>
      <c r="C60" s="2">
        <v>2</v>
      </c>
      <c r="D60" s="2">
        <v>1</v>
      </c>
      <c r="E60" s="2">
        <v>0.56999999999999995</v>
      </c>
      <c r="F60" s="2">
        <v>1</v>
      </c>
    </row>
    <row r="61" spans="1:13" ht="14.25" customHeight="1">
      <c r="A61" s="2">
        <v>51</v>
      </c>
      <c r="B61" s="2">
        <v>60</v>
      </c>
      <c r="C61" s="2">
        <v>6</v>
      </c>
      <c r="D61" s="2">
        <v>1</v>
      </c>
      <c r="E61" s="2">
        <v>0.73899999999999999</v>
      </c>
      <c r="F61" s="2">
        <v>2</v>
      </c>
    </row>
    <row r="62" spans="1:13" ht="14.25" customHeight="1">
      <c r="A62" s="2">
        <v>51</v>
      </c>
      <c r="B62" s="2">
        <v>61</v>
      </c>
      <c r="C62" s="2">
        <v>5</v>
      </c>
      <c r="D62" s="2">
        <v>1</v>
      </c>
      <c r="E62" s="2">
        <v>1.335</v>
      </c>
      <c r="F62" s="2">
        <v>1</v>
      </c>
    </row>
    <row r="63" spans="1:13" ht="14.25" customHeight="1">
      <c r="A63" s="2">
        <v>51</v>
      </c>
      <c r="B63" s="2">
        <v>62</v>
      </c>
      <c r="C63" s="2">
        <v>1</v>
      </c>
      <c r="D63" s="2">
        <v>1</v>
      </c>
      <c r="E63" s="2">
        <v>0.93100000000000005</v>
      </c>
      <c r="F63" s="2">
        <v>2</v>
      </c>
    </row>
    <row r="64" spans="1:13" ht="14.25" customHeight="1">
      <c r="A64" s="2">
        <v>51</v>
      </c>
      <c r="B64" s="2">
        <v>63</v>
      </c>
      <c r="C64" s="2">
        <v>4</v>
      </c>
      <c r="D64" s="2">
        <v>1</v>
      </c>
      <c r="E64" s="2">
        <v>1.1060000000000001</v>
      </c>
      <c r="F64" s="2">
        <v>1</v>
      </c>
    </row>
    <row r="65" spans="1:6" ht="14.25" customHeight="1">
      <c r="A65" s="2">
        <v>51</v>
      </c>
      <c r="B65" s="2">
        <v>64</v>
      </c>
      <c r="C65" s="2">
        <v>3</v>
      </c>
      <c r="D65" s="2">
        <v>1</v>
      </c>
      <c r="E65" s="2">
        <v>1.081</v>
      </c>
      <c r="F65" s="2">
        <v>1</v>
      </c>
    </row>
    <row r="66" spans="1:6" ht="14.25" customHeight="1">
      <c r="A66" s="2">
        <v>51</v>
      </c>
      <c r="B66" s="2">
        <v>65</v>
      </c>
      <c r="C66" s="2">
        <v>7</v>
      </c>
      <c r="D66" s="2">
        <v>1</v>
      </c>
      <c r="E66" s="2">
        <v>0.72199999999999998</v>
      </c>
      <c r="F66" s="2">
        <v>2</v>
      </c>
    </row>
    <row r="67" spans="1:6" ht="14.25" customHeight="1">
      <c r="A67" s="2">
        <v>51</v>
      </c>
      <c r="B67" s="2">
        <v>66</v>
      </c>
      <c r="C67" s="2">
        <v>8</v>
      </c>
      <c r="D67" s="2">
        <v>1</v>
      </c>
      <c r="E67" s="2">
        <v>0.53700000000000003</v>
      </c>
      <c r="F67" s="2">
        <v>2</v>
      </c>
    </row>
    <row r="68" spans="1:6" ht="14.25" customHeight="1">
      <c r="A68" s="2">
        <v>51</v>
      </c>
      <c r="B68" s="2">
        <v>67</v>
      </c>
      <c r="C68" s="2">
        <v>3</v>
      </c>
      <c r="D68" s="2">
        <v>0</v>
      </c>
      <c r="E68" s="2">
        <v>1.371</v>
      </c>
      <c r="F68" s="2">
        <v>2</v>
      </c>
    </row>
    <row r="69" spans="1:6" ht="14.25" customHeight="1">
      <c r="A69" s="2">
        <v>51</v>
      </c>
      <c r="B69" s="2">
        <v>68</v>
      </c>
      <c r="C69" s="2">
        <v>4</v>
      </c>
      <c r="D69" s="2">
        <v>1</v>
      </c>
      <c r="E69" s="2">
        <v>0.98399999999999999</v>
      </c>
      <c r="F69" s="2">
        <v>1</v>
      </c>
    </row>
    <row r="70" spans="1:6" ht="14.25" customHeight="1">
      <c r="A70" s="2">
        <v>51</v>
      </c>
      <c r="B70" s="2">
        <v>69</v>
      </c>
      <c r="C70" s="2">
        <v>7</v>
      </c>
      <c r="D70" s="2">
        <v>0</v>
      </c>
      <c r="E70" s="2">
        <v>0.91</v>
      </c>
      <c r="F70" s="2">
        <v>1</v>
      </c>
    </row>
    <row r="71" spans="1:6" ht="14.25" customHeight="1">
      <c r="A71" s="2">
        <v>51</v>
      </c>
      <c r="B71" s="2">
        <v>70</v>
      </c>
      <c r="C71" s="2">
        <v>8</v>
      </c>
      <c r="D71" s="2">
        <v>1</v>
      </c>
      <c r="E71" s="2">
        <v>1.6659999999999999</v>
      </c>
      <c r="F71" s="2">
        <v>2</v>
      </c>
    </row>
    <row r="72" spans="1:6" ht="14.25" customHeight="1">
      <c r="A72" s="2">
        <v>51</v>
      </c>
      <c r="B72" s="2">
        <v>71</v>
      </c>
      <c r="C72" s="2">
        <v>4</v>
      </c>
      <c r="D72" s="2">
        <v>1</v>
      </c>
      <c r="E72" s="2">
        <v>0.84799999999999998</v>
      </c>
      <c r="F72" s="2">
        <v>2</v>
      </c>
    </row>
    <row r="73" spans="1:6" ht="14.25" customHeight="1">
      <c r="A73" s="2">
        <v>51</v>
      </c>
      <c r="B73" s="2">
        <v>72</v>
      </c>
      <c r="C73" s="2">
        <v>5</v>
      </c>
      <c r="D73" s="2">
        <v>0</v>
      </c>
      <c r="E73" s="2">
        <v>1.778</v>
      </c>
      <c r="F73" s="2">
        <v>1</v>
      </c>
    </row>
    <row r="74" spans="1:6" ht="14.25" customHeight="1">
      <c r="A74" s="2">
        <v>51</v>
      </c>
      <c r="B74" s="2">
        <v>73</v>
      </c>
      <c r="C74" s="2">
        <v>8</v>
      </c>
      <c r="D74" s="2">
        <v>1</v>
      </c>
      <c r="E74" s="2">
        <v>0.94599999999999995</v>
      </c>
      <c r="F74" s="2">
        <v>1</v>
      </c>
    </row>
    <row r="75" spans="1:6" ht="14.25" customHeight="1">
      <c r="A75" s="2">
        <v>51</v>
      </c>
      <c r="B75" s="2">
        <v>74</v>
      </c>
      <c r="C75" s="2">
        <v>3</v>
      </c>
      <c r="D75" s="2">
        <v>0</v>
      </c>
      <c r="E75" s="2">
        <v>1.327</v>
      </c>
      <c r="F75" s="2">
        <v>2</v>
      </c>
    </row>
    <row r="76" spans="1:6" ht="14.25" customHeight="1">
      <c r="A76" s="2">
        <v>51</v>
      </c>
      <c r="B76" s="2">
        <v>75</v>
      </c>
      <c r="C76" s="2">
        <v>2</v>
      </c>
      <c r="D76" s="2">
        <v>1</v>
      </c>
      <c r="E76" s="2">
        <v>1.546</v>
      </c>
      <c r="F76" s="2">
        <v>1</v>
      </c>
    </row>
    <row r="77" spans="1:6" ht="14.25" customHeight="1">
      <c r="A77" s="2">
        <v>51</v>
      </c>
      <c r="B77" s="2">
        <v>76</v>
      </c>
      <c r="C77" s="2">
        <v>4</v>
      </c>
      <c r="D77" s="2">
        <v>0</v>
      </c>
      <c r="E77" s="2">
        <v>0.89100000000000001</v>
      </c>
      <c r="F77" s="2">
        <v>1</v>
      </c>
    </row>
    <row r="78" spans="1:6" ht="14.25" customHeight="1">
      <c r="A78" s="2">
        <v>51</v>
      </c>
      <c r="B78" s="2">
        <v>77</v>
      </c>
      <c r="C78" s="2">
        <v>3</v>
      </c>
      <c r="D78" s="2">
        <v>1</v>
      </c>
      <c r="E78" s="2">
        <v>0.79600000000000004</v>
      </c>
      <c r="F78" s="2">
        <v>2</v>
      </c>
    </row>
    <row r="79" spans="1:6" ht="14.25" customHeight="1">
      <c r="A79" s="2">
        <v>51</v>
      </c>
      <c r="B79" s="2">
        <v>78</v>
      </c>
      <c r="C79" s="2">
        <v>5</v>
      </c>
      <c r="D79" s="2">
        <v>1</v>
      </c>
      <c r="E79" s="2">
        <v>0.88300000000000001</v>
      </c>
      <c r="F79" s="2">
        <v>1</v>
      </c>
    </row>
    <row r="80" spans="1:6" ht="14.25" customHeight="1">
      <c r="A80" s="2">
        <v>51</v>
      </c>
      <c r="B80" s="2">
        <v>79</v>
      </c>
      <c r="C80" s="2">
        <v>6</v>
      </c>
      <c r="D80" s="2">
        <v>0</v>
      </c>
      <c r="E80" s="2">
        <v>1.472</v>
      </c>
      <c r="F80" s="2">
        <v>2</v>
      </c>
    </row>
    <row r="81" spans="1:6" ht="14.25" customHeight="1">
      <c r="A81" s="2">
        <v>51</v>
      </c>
      <c r="B81" s="2">
        <v>80</v>
      </c>
      <c r="C81" s="2">
        <v>8</v>
      </c>
      <c r="D81" s="2">
        <v>1</v>
      </c>
      <c r="E81" s="2">
        <v>1.008</v>
      </c>
      <c r="F81" s="2">
        <v>2</v>
      </c>
    </row>
    <row r="82" spans="1:6" ht="14.25" customHeight="1">
      <c r="A82" s="2">
        <v>51</v>
      </c>
      <c r="B82" s="2">
        <v>81</v>
      </c>
      <c r="C82" s="2">
        <v>5</v>
      </c>
      <c r="D82" s="2">
        <v>1</v>
      </c>
      <c r="E82" s="2">
        <v>1.351</v>
      </c>
      <c r="F82" s="2">
        <v>1</v>
      </c>
    </row>
    <row r="83" spans="1:6" ht="14.25" customHeight="1">
      <c r="A83" s="2">
        <v>51</v>
      </c>
      <c r="B83" s="2">
        <v>82</v>
      </c>
      <c r="C83" s="2">
        <v>2</v>
      </c>
      <c r="D83" s="2">
        <v>1</v>
      </c>
      <c r="E83" s="2">
        <v>1.544</v>
      </c>
      <c r="F83" s="2">
        <v>1</v>
      </c>
    </row>
    <row r="84" spans="1:6" ht="14.25" customHeight="1">
      <c r="A84" s="2">
        <v>51</v>
      </c>
      <c r="B84" s="2">
        <v>83</v>
      </c>
      <c r="C84" s="2">
        <v>7</v>
      </c>
      <c r="D84" s="2">
        <v>1</v>
      </c>
      <c r="E84" s="2">
        <v>1.61</v>
      </c>
      <c r="F84" s="2">
        <v>2</v>
      </c>
    </row>
    <row r="85" spans="1:6" ht="14.25" customHeight="1">
      <c r="A85" s="2">
        <v>51</v>
      </c>
      <c r="B85" s="2">
        <v>84</v>
      </c>
      <c r="C85" s="2">
        <v>6</v>
      </c>
      <c r="D85" s="2">
        <v>1</v>
      </c>
      <c r="E85" s="2">
        <v>0.82399999999999995</v>
      </c>
      <c r="F85" s="2">
        <v>2</v>
      </c>
    </row>
    <row r="86" spans="1:6" ht="14.25" customHeight="1">
      <c r="A86" s="2">
        <v>51</v>
      </c>
      <c r="B86" s="2">
        <v>85</v>
      </c>
      <c r="C86" s="2">
        <v>4</v>
      </c>
      <c r="D86" s="2">
        <v>0</v>
      </c>
      <c r="E86" s="2">
        <v>1.6659999999999999</v>
      </c>
      <c r="F86" s="2">
        <v>2</v>
      </c>
    </row>
    <row r="87" spans="1:6" ht="14.25" customHeight="1">
      <c r="A87" s="2">
        <v>51</v>
      </c>
      <c r="B87" s="2">
        <v>86</v>
      </c>
      <c r="C87" s="2">
        <v>6</v>
      </c>
      <c r="D87" s="2">
        <v>1</v>
      </c>
      <c r="E87" s="2">
        <v>0.65100000000000002</v>
      </c>
      <c r="F87" s="2">
        <v>2</v>
      </c>
    </row>
    <row r="88" spans="1:6" ht="14.25" customHeight="1">
      <c r="A88" s="2">
        <v>51</v>
      </c>
      <c r="B88" s="2">
        <v>87</v>
      </c>
      <c r="C88" s="2">
        <v>2</v>
      </c>
      <c r="D88" s="2">
        <v>0</v>
      </c>
      <c r="E88" s="2">
        <v>1.8089999999999999</v>
      </c>
      <c r="F88" s="2">
        <v>1</v>
      </c>
    </row>
    <row r="89" spans="1:6" ht="14.25" customHeight="1">
      <c r="A89" s="2">
        <v>51</v>
      </c>
      <c r="B89" s="2">
        <v>88</v>
      </c>
      <c r="C89" s="2">
        <v>1</v>
      </c>
      <c r="D89" s="2">
        <v>1</v>
      </c>
      <c r="E89" s="2">
        <v>0.997</v>
      </c>
      <c r="F89" s="2">
        <v>1</v>
      </c>
    </row>
    <row r="90" spans="1:6" ht="14.25" customHeight="1">
      <c r="A90" s="2">
        <v>51</v>
      </c>
      <c r="B90" s="2">
        <v>89</v>
      </c>
      <c r="C90" s="2">
        <v>2</v>
      </c>
      <c r="D90" s="2">
        <v>0</v>
      </c>
      <c r="E90" s="2">
        <v>1.6379999999999999</v>
      </c>
      <c r="F90" s="2">
        <v>1</v>
      </c>
    </row>
    <row r="91" spans="1:6" ht="14.25" customHeight="1">
      <c r="A91" s="2">
        <v>51</v>
      </c>
      <c r="B91" s="2">
        <v>90</v>
      </c>
      <c r="C91" s="2">
        <v>5</v>
      </c>
      <c r="D91" s="2">
        <v>1</v>
      </c>
      <c r="E91" s="2">
        <v>0.64700000000000002</v>
      </c>
      <c r="F91" s="2">
        <v>2</v>
      </c>
    </row>
    <row r="92" spans="1:6" ht="14.25" customHeight="1">
      <c r="A92" s="2">
        <v>51</v>
      </c>
      <c r="B92" s="2">
        <v>91</v>
      </c>
      <c r="C92" s="2">
        <v>7</v>
      </c>
      <c r="D92" s="2">
        <v>1</v>
      </c>
      <c r="E92" s="2">
        <v>1.704</v>
      </c>
      <c r="F92" s="2">
        <v>1</v>
      </c>
    </row>
    <row r="93" spans="1:6" ht="14.25" customHeight="1">
      <c r="A93" s="2">
        <v>51</v>
      </c>
      <c r="B93" s="2">
        <v>92</v>
      </c>
      <c r="C93" s="2">
        <v>3</v>
      </c>
      <c r="D93" s="2">
        <v>0</v>
      </c>
      <c r="E93" s="2">
        <v>1.4179999999999999</v>
      </c>
      <c r="F93" s="2">
        <v>2</v>
      </c>
    </row>
    <row r="94" spans="1:6" ht="14.25" customHeight="1">
      <c r="A94" s="2">
        <v>51</v>
      </c>
      <c r="B94" s="2">
        <v>93</v>
      </c>
      <c r="C94" s="2">
        <v>6</v>
      </c>
      <c r="D94" s="2">
        <v>1</v>
      </c>
      <c r="E94" s="2">
        <v>0.69199999999999995</v>
      </c>
      <c r="F94" s="2">
        <v>2</v>
      </c>
    </row>
    <row r="95" spans="1:6" ht="14.25" customHeight="1">
      <c r="A95" s="2">
        <v>51</v>
      </c>
      <c r="B95" s="2">
        <v>94</v>
      </c>
      <c r="C95" s="2">
        <v>8</v>
      </c>
      <c r="D95" s="2">
        <v>1</v>
      </c>
      <c r="E95" s="2">
        <v>1.8839999999999999</v>
      </c>
      <c r="F95" s="2">
        <v>2</v>
      </c>
    </row>
    <row r="96" spans="1:6" ht="14.25" customHeight="1">
      <c r="A96" s="2">
        <v>51</v>
      </c>
      <c r="B96" s="2">
        <v>95</v>
      </c>
      <c r="C96" s="2">
        <v>7</v>
      </c>
      <c r="D96" s="2">
        <v>0</v>
      </c>
      <c r="E96" s="2">
        <v>1.1930000000000001</v>
      </c>
      <c r="F96" s="2">
        <v>2</v>
      </c>
    </row>
    <row r="97" spans="1:6" ht="14.25" customHeight="1">
      <c r="A97" s="2">
        <v>51</v>
      </c>
      <c r="B97" s="2">
        <v>96</v>
      </c>
      <c r="C97" s="2">
        <v>4</v>
      </c>
      <c r="D97" s="2">
        <v>1</v>
      </c>
      <c r="E97" s="2">
        <v>1.6779999999999999</v>
      </c>
      <c r="F97" s="2">
        <v>1</v>
      </c>
    </row>
    <row r="98" spans="1:6" ht="14.25" customHeight="1">
      <c r="A98" s="2">
        <v>51</v>
      </c>
      <c r="B98" s="2">
        <v>97</v>
      </c>
      <c r="C98" s="2">
        <v>5</v>
      </c>
      <c r="D98" s="2">
        <v>1</v>
      </c>
      <c r="E98" s="2">
        <v>0.77800000000000002</v>
      </c>
      <c r="F98" s="2">
        <v>2</v>
      </c>
    </row>
    <row r="99" spans="1:6" ht="14.25" customHeight="1">
      <c r="A99" s="2">
        <v>51</v>
      </c>
      <c r="B99" s="2">
        <v>98</v>
      </c>
      <c r="C99" s="2">
        <v>1</v>
      </c>
      <c r="D99" s="2">
        <v>1</v>
      </c>
      <c r="E99" s="2">
        <v>1.0900000000000001</v>
      </c>
      <c r="F99" s="2">
        <v>2</v>
      </c>
    </row>
    <row r="100" spans="1:6" ht="14.25" customHeight="1">
      <c r="A100" s="2">
        <v>51</v>
      </c>
      <c r="B100" s="2">
        <v>99</v>
      </c>
      <c r="C100" s="2">
        <v>7</v>
      </c>
      <c r="D100" s="2">
        <v>1</v>
      </c>
      <c r="E100" s="2">
        <v>1.1850000000000001</v>
      </c>
      <c r="F100" s="2">
        <v>1</v>
      </c>
    </row>
    <row r="101" spans="1:6" ht="14.25" customHeight="1">
      <c r="A101" s="2">
        <v>51</v>
      </c>
      <c r="B101" s="2">
        <v>100</v>
      </c>
      <c r="C101" s="2">
        <v>1</v>
      </c>
      <c r="D101" s="2">
        <v>0</v>
      </c>
      <c r="E101" s="2">
        <v>1.3129999999999999</v>
      </c>
      <c r="F101" s="2">
        <v>1</v>
      </c>
    </row>
    <row r="102" spans="1:6" ht="14.25" customHeight="1">
      <c r="A102" s="2">
        <v>51</v>
      </c>
      <c r="B102" s="2">
        <v>101</v>
      </c>
      <c r="C102" s="2">
        <v>3</v>
      </c>
      <c r="D102" s="2">
        <v>1</v>
      </c>
      <c r="E102" s="2">
        <v>1.3540000000000001</v>
      </c>
      <c r="F102" s="2">
        <v>1</v>
      </c>
    </row>
    <row r="103" spans="1:6" ht="14.25" customHeight="1">
      <c r="A103" s="2">
        <v>51</v>
      </c>
      <c r="B103" s="2">
        <v>102</v>
      </c>
      <c r="C103" s="2">
        <v>5</v>
      </c>
      <c r="D103" s="2">
        <v>1</v>
      </c>
      <c r="E103" s="2">
        <v>0.41499999999999998</v>
      </c>
      <c r="F103" s="2">
        <v>2</v>
      </c>
    </row>
    <row r="104" spans="1:6" ht="14.25" customHeight="1">
      <c r="A104" s="2">
        <v>51</v>
      </c>
      <c r="B104" s="2">
        <v>103</v>
      </c>
      <c r="C104" s="2">
        <v>8</v>
      </c>
      <c r="D104" s="2">
        <v>0</v>
      </c>
      <c r="E104" s="2">
        <v>1.0509999999999999</v>
      </c>
      <c r="F104" s="2">
        <v>2</v>
      </c>
    </row>
    <row r="105" spans="1:6" ht="14.25" customHeight="1">
      <c r="A105" s="2">
        <v>51</v>
      </c>
      <c r="B105" s="2">
        <v>104</v>
      </c>
      <c r="C105" s="2">
        <v>6</v>
      </c>
      <c r="D105" s="2">
        <v>1</v>
      </c>
      <c r="E105" s="2">
        <v>1.0349999999999999</v>
      </c>
      <c r="F105" s="2">
        <v>1</v>
      </c>
    </row>
    <row r="106" spans="1:6" ht="14.25" customHeight="1">
      <c r="A106" s="2">
        <v>51</v>
      </c>
      <c r="B106" s="2">
        <v>105</v>
      </c>
      <c r="C106" s="2">
        <v>4</v>
      </c>
      <c r="E106" s="2">
        <v>2</v>
      </c>
    </row>
    <row r="107" spans="1:6" ht="14.25" customHeight="1">
      <c r="A107" s="2">
        <v>51</v>
      </c>
      <c r="B107" s="2">
        <v>106</v>
      </c>
      <c r="C107" s="2">
        <v>2</v>
      </c>
      <c r="D107" s="2">
        <v>1</v>
      </c>
      <c r="E107" s="2">
        <v>0.93700000000000006</v>
      </c>
      <c r="F107" s="2">
        <v>2</v>
      </c>
    </row>
    <row r="108" spans="1:6" ht="14.25" customHeight="1">
      <c r="A108" s="2">
        <v>51</v>
      </c>
      <c r="B108" s="2">
        <v>107</v>
      </c>
      <c r="C108" s="2">
        <v>8</v>
      </c>
      <c r="D108" s="2">
        <v>1</v>
      </c>
      <c r="E108" s="2">
        <v>0.88700000000000001</v>
      </c>
      <c r="F108" s="2">
        <v>2</v>
      </c>
    </row>
    <row r="109" spans="1:6" ht="14.25" customHeight="1">
      <c r="A109" s="2">
        <v>51</v>
      </c>
      <c r="B109" s="2">
        <v>108</v>
      </c>
      <c r="C109" s="2">
        <v>4</v>
      </c>
      <c r="D109" s="2">
        <v>1</v>
      </c>
      <c r="E109" s="2">
        <v>1.532</v>
      </c>
      <c r="F109" s="2">
        <v>1</v>
      </c>
    </row>
    <row r="110" spans="1:6" ht="14.25" customHeight="1">
      <c r="A110" s="2">
        <v>51</v>
      </c>
      <c r="B110" s="2">
        <v>109</v>
      </c>
      <c r="C110" s="2">
        <v>5</v>
      </c>
      <c r="D110" s="2">
        <v>1</v>
      </c>
      <c r="E110" s="2">
        <v>1.075</v>
      </c>
      <c r="F110" s="2">
        <v>1</v>
      </c>
    </row>
    <row r="111" spans="1:6" ht="14.25" customHeight="1">
      <c r="A111" s="2">
        <v>51</v>
      </c>
      <c r="B111" s="2">
        <v>110</v>
      </c>
      <c r="C111" s="2">
        <v>6</v>
      </c>
      <c r="D111" s="2">
        <v>1</v>
      </c>
      <c r="E111" s="2">
        <v>0.82499999999999996</v>
      </c>
      <c r="F111" s="2">
        <v>2</v>
      </c>
    </row>
    <row r="112" spans="1:6" ht="14.25" customHeight="1">
      <c r="A112" s="2">
        <v>51</v>
      </c>
      <c r="B112" s="2">
        <v>111</v>
      </c>
      <c r="C112" s="2">
        <v>3</v>
      </c>
      <c r="D112" s="2">
        <v>1</v>
      </c>
      <c r="E112" s="2">
        <v>1.365</v>
      </c>
      <c r="F112" s="2">
        <v>1</v>
      </c>
    </row>
    <row r="113" spans="1:6" ht="14.25" customHeight="1">
      <c r="A113" s="2">
        <v>51</v>
      </c>
      <c r="B113" s="2">
        <v>112</v>
      </c>
      <c r="C113" s="2">
        <v>2</v>
      </c>
      <c r="D113" s="2">
        <v>1</v>
      </c>
      <c r="E113" s="2">
        <v>0.93899999999999995</v>
      </c>
      <c r="F113" s="2">
        <v>2</v>
      </c>
    </row>
    <row r="114" spans="1:6" ht="14.25" customHeight="1">
      <c r="A114" s="2">
        <v>51</v>
      </c>
      <c r="B114" s="2">
        <v>113</v>
      </c>
      <c r="C114" s="2">
        <v>1</v>
      </c>
      <c r="E114" s="2">
        <v>2</v>
      </c>
    </row>
    <row r="115" spans="1:6" ht="14.25" customHeight="1">
      <c r="A115" s="2">
        <v>51</v>
      </c>
      <c r="B115" s="2">
        <v>114</v>
      </c>
      <c r="C115" s="2">
        <v>8</v>
      </c>
      <c r="D115" s="2">
        <v>1</v>
      </c>
      <c r="E115" s="2">
        <v>1.123</v>
      </c>
      <c r="F115" s="2">
        <v>1</v>
      </c>
    </row>
    <row r="116" spans="1:6" ht="14.25" customHeight="1">
      <c r="A116" s="2">
        <v>51</v>
      </c>
      <c r="B116" s="2">
        <v>115</v>
      </c>
      <c r="C116" s="2">
        <v>3</v>
      </c>
      <c r="D116" s="2">
        <v>1</v>
      </c>
      <c r="E116" s="2">
        <v>0.65100000000000002</v>
      </c>
      <c r="F116" s="2">
        <v>2</v>
      </c>
    </row>
    <row r="117" spans="1:6" ht="14.25" customHeight="1">
      <c r="A117" s="2">
        <v>51</v>
      </c>
      <c r="B117" s="2">
        <v>116</v>
      </c>
      <c r="C117" s="2">
        <v>7</v>
      </c>
      <c r="D117" s="2">
        <v>0</v>
      </c>
      <c r="E117" s="2">
        <v>1.2769999999999999</v>
      </c>
      <c r="F117" s="2">
        <v>1</v>
      </c>
    </row>
    <row r="118" spans="1:6" ht="14.25" customHeight="1">
      <c r="A118" s="2">
        <v>51</v>
      </c>
      <c r="B118" s="2">
        <v>117</v>
      </c>
      <c r="C118" s="2">
        <v>4</v>
      </c>
      <c r="D118" s="2">
        <v>1</v>
      </c>
      <c r="E118" s="2">
        <v>0.86</v>
      </c>
      <c r="F118" s="2">
        <v>1</v>
      </c>
    </row>
    <row r="119" spans="1:6" ht="14.25" customHeight="1">
      <c r="A119" s="2">
        <v>51</v>
      </c>
      <c r="B119" s="2">
        <v>118</v>
      </c>
      <c r="C119" s="2">
        <v>7</v>
      </c>
      <c r="D119" s="2">
        <v>1</v>
      </c>
      <c r="E119" s="2">
        <v>1.161</v>
      </c>
      <c r="F119" s="2">
        <v>1</v>
      </c>
    </row>
    <row r="120" spans="1:6" ht="14.25" customHeight="1">
      <c r="A120" s="2">
        <v>51</v>
      </c>
      <c r="B120" s="2">
        <v>119</v>
      </c>
      <c r="C120" s="2">
        <v>3</v>
      </c>
      <c r="D120" s="2">
        <v>0</v>
      </c>
      <c r="E120" s="2">
        <v>1.9359999999999999</v>
      </c>
      <c r="F120" s="2">
        <v>1</v>
      </c>
    </row>
    <row r="121" spans="1:6" ht="14.25" customHeight="1">
      <c r="A121" s="2">
        <v>51</v>
      </c>
      <c r="B121" s="2">
        <v>120</v>
      </c>
      <c r="C121" s="2">
        <v>2</v>
      </c>
      <c r="E121" s="2">
        <v>2</v>
      </c>
    </row>
    <row r="122" spans="1:6" ht="14.25" customHeight="1">
      <c r="A122" s="2">
        <v>51</v>
      </c>
      <c r="B122" s="2">
        <v>121</v>
      </c>
      <c r="C122" s="2">
        <v>6</v>
      </c>
      <c r="D122" s="2">
        <v>1</v>
      </c>
      <c r="E122" s="2">
        <v>0.94</v>
      </c>
      <c r="F122" s="2">
        <v>2</v>
      </c>
    </row>
    <row r="123" spans="1:6" ht="14.25" customHeight="1">
      <c r="A123" s="2">
        <v>51</v>
      </c>
      <c r="B123" s="2">
        <v>122</v>
      </c>
      <c r="C123" s="2">
        <v>1</v>
      </c>
      <c r="D123" s="2">
        <v>0</v>
      </c>
      <c r="E123" s="2">
        <v>1.8320000000000001</v>
      </c>
      <c r="F123" s="2">
        <v>1</v>
      </c>
    </row>
    <row r="124" spans="1:6" ht="14.25" customHeight="1">
      <c r="A124" s="2">
        <v>51</v>
      </c>
      <c r="B124" s="2">
        <v>123</v>
      </c>
      <c r="C124" s="2">
        <v>8</v>
      </c>
      <c r="D124" s="2">
        <v>0</v>
      </c>
      <c r="E124" s="2">
        <v>1.8160000000000001</v>
      </c>
      <c r="F124" s="2">
        <v>2</v>
      </c>
    </row>
    <row r="125" spans="1:6" ht="14.25" customHeight="1">
      <c r="A125" s="2">
        <v>51</v>
      </c>
      <c r="B125" s="2">
        <v>124</v>
      </c>
      <c r="C125" s="2">
        <v>3</v>
      </c>
      <c r="E125" s="2">
        <v>2.0009999999999999</v>
      </c>
    </row>
    <row r="126" spans="1:6" ht="14.25" customHeight="1">
      <c r="A126" s="2">
        <v>51</v>
      </c>
      <c r="B126" s="2">
        <v>125</v>
      </c>
      <c r="C126" s="2">
        <v>1</v>
      </c>
      <c r="D126" s="2">
        <v>0</v>
      </c>
      <c r="E126" s="2">
        <v>1.1339999999999999</v>
      </c>
      <c r="F126" s="2">
        <v>2</v>
      </c>
    </row>
    <row r="127" spans="1:6" ht="14.25" customHeight="1">
      <c r="A127" s="2">
        <v>51</v>
      </c>
      <c r="B127" s="2">
        <v>126</v>
      </c>
      <c r="C127" s="2">
        <v>8</v>
      </c>
      <c r="D127" s="2">
        <v>0</v>
      </c>
      <c r="E127" s="2">
        <v>1.1379999999999999</v>
      </c>
      <c r="F127" s="2">
        <v>1</v>
      </c>
    </row>
    <row r="128" spans="1:6" ht="14.25" customHeight="1">
      <c r="A128" s="2">
        <v>51</v>
      </c>
      <c r="B128" s="2">
        <v>127</v>
      </c>
      <c r="C128" s="2">
        <v>5</v>
      </c>
      <c r="D128" s="2">
        <v>1</v>
      </c>
      <c r="E128" s="2">
        <v>0.60099999999999998</v>
      </c>
      <c r="F128" s="2">
        <v>2</v>
      </c>
    </row>
    <row r="129" spans="1:6" ht="14.25" customHeight="1">
      <c r="A129" s="2">
        <v>51</v>
      </c>
      <c r="B129" s="2">
        <v>128</v>
      </c>
      <c r="C129" s="2">
        <v>4</v>
      </c>
      <c r="D129" s="2">
        <v>0</v>
      </c>
      <c r="E129" s="2">
        <v>1.0740000000000001</v>
      </c>
      <c r="F129" s="2">
        <v>2</v>
      </c>
    </row>
    <row r="130" spans="1:6" ht="14.25" customHeight="1">
      <c r="A130" s="2">
        <v>51</v>
      </c>
      <c r="B130" s="2">
        <v>129</v>
      </c>
      <c r="C130" s="2">
        <v>6</v>
      </c>
      <c r="D130" s="2">
        <v>0</v>
      </c>
      <c r="E130" s="2">
        <v>1.4730000000000001</v>
      </c>
      <c r="F130" s="2">
        <v>2</v>
      </c>
    </row>
    <row r="131" spans="1:6" ht="14.25" customHeight="1">
      <c r="A131" s="2">
        <v>51</v>
      </c>
      <c r="B131" s="2">
        <v>130</v>
      </c>
      <c r="C131" s="2">
        <v>5</v>
      </c>
      <c r="D131" s="2">
        <v>1</v>
      </c>
      <c r="E131" s="2">
        <v>0.94299999999999995</v>
      </c>
      <c r="F131" s="2">
        <v>2</v>
      </c>
    </row>
    <row r="132" spans="1:6" ht="14.25" customHeight="1">
      <c r="A132" s="2">
        <v>51</v>
      </c>
      <c r="B132" s="2">
        <v>131</v>
      </c>
      <c r="C132" s="2">
        <v>7</v>
      </c>
      <c r="D132" s="2">
        <v>1</v>
      </c>
      <c r="E132" s="2">
        <v>1.329</v>
      </c>
      <c r="F132" s="2">
        <v>1</v>
      </c>
    </row>
    <row r="133" spans="1:6" ht="14.25" customHeight="1">
      <c r="A133" s="2">
        <v>51</v>
      </c>
      <c r="B133" s="2">
        <v>132</v>
      </c>
      <c r="C133" s="2">
        <v>4</v>
      </c>
      <c r="D133" s="2">
        <v>0</v>
      </c>
      <c r="E133" s="2">
        <v>1.8560000000000001</v>
      </c>
      <c r="F133" s="2">
        <v>2</v>
      </c>
    </row>
    <row r="134" spans="1:6" ht="14.25" customHeight="1">
      <c r="A134" s="2">
        <v>51</v>
      </c>
      <c r="B134" s="2">
        <v>133</v>
      </c>
      <c r="C134" s="2">
        <v>1</v>
      </c>
      <c r="D134" s="2">
        <v>1</v>
      </c>
      <c r="E134" s="2">
        <v>1.6160000000000001</v>
      </c>
      <c r="F134" s="2">
        <v>2</v>
      </c>
    </row>
    <row r="135" spans="1:6" ht="14.25" customHeight="1">
      <c r="A135" s="2">
        <v>51</v>
      </c>
      <c r="B135" s="2">
        <v>134</v>
      </c>
      <c r="C135" s="2">
        <v>2</v>
      </c>
      <c r="D135" s="2">
        <v>1</v>
      </c>
      <c r="E135" s="2">
        <v>0.75600000000000001</v>
      </c>
      <c r="F135" s="2">
        <v>2</v>
      </c>
    </row>
    <row r="136" spans="1:6" ht="14.25" customHeight="1">
      <c r="A136" s="2">
        <v>51</v>
      </c>
      <c r="B136" s="2">
        <v>135</v>
      </c>
      <c r="C136" s="2">
        <v>5</v>
      </c>
      <c r="D136" s="2">
        <v>1</v>
      </c>
      <c r="E136" s="2">
        <v>1.72</v>
      </c>
      <c r="F136" s="2">
        <v>1</v>
      </c>
    </row>
    <row r="137" spans="1:6" ht="14.25" customHeight="1">
      <c r="A137" s="2">
        <v>51</v>
      </c>
      <c r="B137" s="2">
        <v>136</v>
      </c>
      <c r="C137" s="2">
        <v>1</v>
      </c>
      <c r="D137" s="2">
        <v>1</v>
      </c>
      <c r="E137" s="2">
        <v>0.75900000000000001</v>
      </c>
      <c r="F137" s="2">
        <v>2</v>
      </c>
    </row>
    <row r="138" spans="1:6" ht="14.25" customHeight="1">
      <c r="A138" s="2">
        <v>51</v>
      </c>
      <c r="B138" s="2">
        <v>137</v>
      </c>
      <c r="C138" s="2">
        <v>7</v>
      </c>
      <c r="D138" s="2">
        <v>1</v>
      </c>
      <c r="E138" s="2">
        <v>0.99199999999999999</v>
      </c>
      <c r="F138" s="2">
        <v>2</v>
      </c>
    </row>
    <row r="139" spans="1:6" ht="14.25" customHeight="1">
      <c r="A139" s="2">
        <v>51</v>
      </c>
      <c r="B139" s="2">
        <v>138</v>
      </c>
      <c r="C139" s="2">
        <v>4</v>
      </c>
      <c r="D139" s="2">
        <v>1</v>
      </c>
      <c r="E139" s="2">
        <v>0.96599999999999997</v>
      </c>
      <c r="F139" s="2">
        <v>1</v>
      </c>
    </row>
    <row r="140" spans="1:6" ht="14.25" customHeight="1">
      <c r="A140" s="2">
        <v>51</v>
      </c>
      <c r="B140" s="2">
        <v>139</v>
      </c>
      <c r="C140" s="2">
        <v>6</v>
      </c>
      <c r="E140" s="2">
        <v>2</v>
      </c>
    </row>
    <row r="141" spans="1:6" ht="14.25" customHeight="1">
      <c r="A141" s="2">
        <v>51</v>
      </c>
      <c r="B141" s="2">
        <v>140</v>
      </c>
      <c r="C141" s="2">
        <v>3</v>
      </c>
      <c r="D141" s="2">
        <v>1</v>
      </c>
      <c r="E141" s="2">
        <v>0.64300000000000002</v>
      </c>
      <c r="F141" s="2">
        <v>2</v>
      </c>
    </row>
    <row r="142" spans="1:6" ht="14.25" customHeight="1">
      <c r="A142" s="2">
        <v>51</v>
      </c>
      <c r="B142" s="2">
        <v>141</v>
      </c>
      <c r="C142" s="2">
        <v>6</v>
      </c>
      <c r="D142" s="2">
        <v>1</v>
      </c>
      <c r="E142" s="2">
        <v>1.4950000000000001</v>
      </c>
      <c r="F142" s="2">
        <v>1</v>
      </c>
    </row>
    <row r="143" spans="1:6" ht="14.25" customHeight="1">
      <c r="A143" s="2">
        <v>51</v>
      </c>
      <c r="B143" s="2">
        <v>142</v>
      </c>
      <c r="C143" s="2">
        <v>7</v>
      </c>
      <c r="D143" s="2">
        <v>1</v>
      </c>
      <c r="E143" s="2">
        <v>0.85299999999999998</v>
      </c>
      <c r="F143" s="2">
        <v>1</v>
      </c>
    </row>
    <row r="144" spans="1:6" ht="14.25" customHeight="1">
      <c r="A144" s="2">
        <v>51</v>
      </c>
      <c r="B144" s="2">
        <v>143</v>
      </c>
      <c r="C144" s="2">
        <v>2</v>
      </c>
      <c r="D144" s="2">
        <v>1</v>
      </c>
      <c r="E144" s="2">
        <v>0.73899999999999999</v>
      </c>
      <c r="F144" s="2">
        <v>2</v>
      </c>
    </row>
    <row r="145" spans="1:6" ht="14.25" customHeight="1">
      <c r="A145" s="2">
        <v>51</v>
      </c>
      <c r="B145" s="2">
        <v>144</v>
      </c>
      <c r="C145" s="2">
        <v>8</v>
      </c>
      <c r="D145" s="2">
        <v>0</v>
      </c>
      <c r="E145" s="2">
        <v>1.228</v>
      </c>
      <c r="F145" s="2">
        <v>1</v>
      </c>
    </row>
    <row r="146" spans="1:6" ht="14.25" customHeight="1">
      <c r="A146" s="2">
        <v>51</v>
      </c>
      <c r="B146" s="2">
        <v>145</v>
      </c>
      <c r="C146" s="2">
        <v>5</v>
      </c>
      <c r="D146" s="2">
        <v>0</v>
      </c>
      <c r="E146" s="2">
        <v>1.3979999999999999</v>
      </c>
      <c r="F146" s="2">
        <v>2</v>
      </c>
    </row>
    <row r="147" spans="1:6" ht="14.25" customHeight="1">
      <c r="A147" s="2">
        <v>51</v>
      </c>
      <c r="B147" s="2">
        <v>146</v>
      </c>
      <c r="C147" s="2">
        <v>2</v>
      </c>
      <c r="D147" s="2">
        <v>1</v>
      </c>
      <c r="E147" s="2">
        <v>1.5289999999999999</v>
      </c>
      <c r="F147" s="2">
        <v>1</v>
      </c>
    </row>
    <row r="148" spans="1:6" ht="14.25" customHeight="1">
      <c r="A148" s="2">
        <v>51</v>
      </c>
      <c r="B148" s="2">
        <v>147</v>
      </c>
      <c r="C148" s="2">
        <v>1</v>
      </c>
      <c r="D148" s="2">
        <v>1</v>
      </c>
      <c r="E148" s="2">
        <v>0.66300000000000003</v>
      </c>
      <c r="F148" s="2">
        <v>2</v>
      </c>
    </row>
    <row r="149" spans="1:6" ht="14.25" customHeight="1">
      <c r="A149" s="2">
        <v>51</v>
      </c>
      <c r="B149" s="2">
        <v>148</v>
      </c>
      <c r="C149" s="2">
        <v>8</v>
      </c>
      <c r="D149" s="2">
        <v>0</v>
      </c>
      <c r="E149" s="2">
        <v>1.5880000000000001</v>
      </c>
      <c r="F149" s="2">
        <v>1</v>
      </c>
    </row>
    <row r="150" spans="1:6" ht="14.25" customHeight="1">
      <c r="A150" s="2">
        <v>51</v>
      </c>
      <c r="B150" s="2">
        <v>149</v>
      </c>
      <c r="C150" s="2">
        <v>7</v>
      </c>
      <c r="D150" s="2">
        <v>0</v>
      </c>
      <c r="E150" s="2">
        <v>1.0580000000000001</v>
      </c>
      <c r="F150" s="2">
        <v>2</v>
      </c>
    </row>
    <row r="151" spans="1:6" ht="14.25" customHeight="1">
      <c r="A151" s="2">
        <v>51</v>
      </c>
      <c r="B151" s="2">
        <v>150</v>
      </c>
      <c r="C151" s="2">
        <v>4</v>
      </c>
      <c r="D151" s="2">
        <v>0</v>
      </c>
      <c r="E151" s="2">
        <v>1.992</v>
      </c>
      <c r="F151" s="2">
        <v>1</v>
      </c>
    </row>
    <row r="152" spans="1:6" ht="14.25" customHeight="1">
      <c r="A152" s="2">
        <v>51</v>
      </c>
      <c r="B152" s="2">
        <v>151</v>
      </c>
      <c r="C152" s="2">
        <v>1</v>
      </c>
      <c r="D152" s="2">
        <v>0</v>
      </c>
      <c r="E152" s="2">
        <v>1.141</v>
      </c>
      <c r="F152" s="2">
        <v>2</v>
      </c>
    </row>
    <row r="153" spans="1:6" ht="14.25" customHeight="1">
      <c r="A153" s="2">
        <v>51</v>
      </c>
      <c r="B153" s="2">
        <v>152</v>
      </c>
      <c r="C153" s="2">
        <v>5</v>
      </c>
      <c r="D153" s="2">
        <v>1</v>
      </c>
      <c r="E153" s="2">
        <v>0.65700000000000003</v>
      </c>
      <c r="F153" s="2">
        <v>2</v>
      </c>
    </row>
    <row r="154" spans="1:6" ht="14.25" customHeight="1">
      <c r="A154" s="2">
        <v>51</v>
      </c>
      <c r="B154" s="2">
        <v>153</v>
      </c>
      <c r="C154" s="2">
        <v>2</v>
      </c>
      <c r="D154" s="2">
        <v>0</v>
      </c>
      <c r="E154" s="2">
        <v>1.3819999999999999</v>
      </c>
      <c r="F154" s="2">
        <v>2</v>
      </c>
    </row>
    <row r="155" spans="1:6" ht="14.25" customHeight="1">
      <c r="A155" s="2">
        <v>51</v>
      </c>
      <c r="B155" s="2">
        <v>154</v>
      </c>
      <c r="C155" s="2">
        <v>6</v>
      </c>
      <c r="D155" s="2">
        <v>0</v>
      </c>
      <c r="E155" s="2">
        <v>1.006</v>
      </c>
      <c r="F155" s="2">
        <v>2</v>
      </c>
    </row>
    <row r="156" spans="1:6" ht="14.25" customHeight="1">
      <c r="A156" s="2">
        <v>51</v>
      </c>
      <c r="B156" s="2">
        <v>155</v>
      </c>
      <c r="C156" s="2">
        <v>1</v>
      </c>
      <c r="D156" s="2">
        <v>1</v>
      </c>
      <c r="E156" s="2">
        <v>1.2050000000000001</v>
      </c>
      <c r="F156" s="2">
        <v>2</v>
      </c>
    </row>
    <row r="157" spans="1:6" ht="14.25" customHeight="1">
      <c r="A157" s="2">
        <v>51</v>
      </c>
      <c r="B157" s="2">
        <v>156</v>
      </c>
      <c r="C157" s="2">
        <v>4</v>
      </c>
      <c r="D157" s="2">
        <v>1</v>
      </c>
      <c r="E157" s="2">
        <v>1.91</v>
      </c>
      <c r="F157" s="2">
        <v>2</v>
      </c>
    </row>
    <row r="158" spans="1:6" ht="14.25" customHeight="1">
      <c r="A158" s="2">
        <v>51</v>
      </c>
      <c r="B158" s="2">
        <v>157</v>
      </c>
      <c r="C158" s="2">
        <v>7</v>
      </c>
      <c r="D158" s="2">
        <v>1</v>
      </c>
      <c r="E158" s="2">
        <v>0.97499999999999998</v>
      </c>
      <c r="F158" s="2">
        <v>2</v>
      </c>
    </row>
    <row r="159" spans="1:6" ht="14.25" customHeight="1">
      <c r="A159" s="2">
        <v>51</v>
      </c>
      <c r="B159" s="2">
        <v>158</v>
      </c>
      <c r="C159" s="2">
        <v>4</v>
      </c>
      <c r="D159" s="2">
        <v>0</v>
      </c>
      <c r="E159" s="2">
        <v>0.69399999999999995</v>
      </c>
      <c r="F159" s="2">
        <v>2</v>
      </c>
    </row>
    <row r="160" spans="1:6" ht="14.25" customHeight="1">
      <c r="A160" s="2">
        <v>51</v>
      </c>
      <c r="B160" s="2">
        <v>159</v>
      </c>
      <c r="C160" s="2">
        <v>2</v>
      </c>
      <c r="D160" s="2">
        <v>1</v>
      </c>
      <c r="E160" s="2">
        <v>0.98499999999999999</v>
      </c>
      <c r="F160" s="2">
        <v>1</v>
      </c>
    </row>
    <row r="161" spans="1:6" ht="14.25" customHeight="1">
      <c r="A161" s="2">
        <v>51</v>
      </c>
      <c r="B161" s="2">
        <v>160</v>
      </c>
      <c r="C161" s="2">
        <v>4</v>
      </c>
      <c r="D161" s="2">
        <v>1</v>
      </c>
      <c r="E161" s="2">
        <v>0.75600000000000001</v>
      </c>
      <c r="F161" s="2">
        <v>2</v>
      </c>
    </row>
    <row r="162" spans="1:6" ht="14.25" customHeight="1">
      <c r="A162" s="2">
        <v>51</v>
      </c>
      <c r="B162" s="2">
        <v>161</v>
      </c>
      <c r="C162" s="2">
        <v>6</v>
      </c>
      <c r="D162" s="2">
        <v>1</v>
      </c>
      <c r="E162" s="2">
        <v>1.44</v>
      </c>
      <c r="F162" s="2">
        <v>1</v>
      </c>
    </row>
    <row r="163" spans="1:6" ht="14.25" customHeight="1">
      <c r="A163" s="2">
        <v>51</v>
      </c>
      <c r="B163" s="2">
        <v>162</v>
      </c>
      <c r="C163" s="2">
        <v>5</v>
      </c>
      <c r="D163" s="2">
        <v>1</v>
      </c>
      <c r="E163" s="2">
        <v>0.81200000000000006</v>
      </c>
      <c r="F163" s="2">
        <v>2</v>
      </c>
    </row>
    <row r="164" spans="1:6" ht="14.25" customHeight="1">
      <c r="A164" s="2">
        <v>51</v>
      </c>
      <c r="B164" s="2">
        <v>163</v>
      </c>
      <c r="C164" s="2">
        <v>4</v>
      </c>
      <c r="D164" s="2">
        <v>1</v>
      </c>
      <c r="E164" s="2">
        <v>1.468</v>
      </c>
      <c r="F164" s="2">
        <v>1</v>
      </c>
    </row>
    <row r="165" spans="1:6" ht="14.25" customHeight="1">
      <c r="A165" s="2">
        <v>51</v>
      </c>
      <c r="B165" s="2">
        <v>164</v>
      </c>
      <c r="C165" s="2">
        <v>6</v>
      </c>
      <c r="D165" s="2">
        <v>1</v>
      </c>
      <c r="E165" s="2">
        <v>1.4750000000000001</v>
      </c>
      <c r="F165" s="2">
        <v>1</v>
      </c>
    </row>
    <row r="166" spans="1:6" ht="14.25" customHeight="1">
      <c r="A166" s="2">
        <v>51</v>
      </c>
      <c r="B166" s="2">
        <v>165</v>
      </c>
      <c r="C166" s="2">
        <v>8</v>
      </c>
      <c r="D166" s="2">
        <v>1</v>
      </c>
      <c r="E166" s="2">
        <v>0.68899999999999995</v>
      </c>
      <c r="F166" s="2">
        <v>2</v>
      </c>
    </row>
    <row r="167" spans="1:6" ht="14.25" customHeight="1">
      <c r="A167" s="2">
        <v>51</v>
      </c>
      <c r="B167" s="2">
        <v>166</v>
      </c>
      <c r="C167" s="2">
        <v>6</v>
      </c>
      <c r="D167" s="2">
        <v>0</v>
      </c>
      <c r="E167" s="2">
        <v>1.7070000000000001</v>
      </c>
      <c r="F167" s="2">
        <v>1</v>
      </c>
    </row>
    <row r="168" spans="1:6" ht="14.25" customHeight="1">
      <c r="A168" s="2">
        <v>51</v>
      </c>
      <c r="B168" s="2">
        <v>167</v>
      </c>
      <c r="C168" s="2">
        <v>3</v>
      </c>
      <c r="D168" s="2">
        <v>1</v>
      </c>
      <c r="E168" s="2">
        <v>1.1919999999999999</v>
      </c>
      <c r="F168" s="2">
        <v>1</v>
      </c>
    </row>
    <row r="169" spans="1:6" ht="14.25" customHeight="1">
      <c r="A169" s="2">
        <v>51</v>
      </c>
      <c r="B169" s="2">
        <v>168</v>
      </c>
      <c r="C169" s="2">
        <v>2</v>
      </c>
      <c r="D169" s="2">
        <v>1</v>
      </c>
      <c r="E169" s="2">
        <v>1.909</v>
      </c>
      <c r="F169" s="2">
        <v>1</v>
      </c>
    </row>
    <row r="170" spans="1:6" ht="14.25" customHeight="1">
      <c r="A170" s="2">
        <v>51</v>
      </c>
      <c r="B170" s="2">
        <v>169</v>
      </c>
      <c r="C170" s="2">
        <v>8</v>
      </c>
      <c r="D170" s="2">
        <v>1</v>
      </c>
      <c r="E170" s="2">
        <v>1.9390000000000001</v>
      </c>
      <c r="F170" s="2">
        <v>2</v>
      </c>
    </row>
    <row r="171" spans="1:6" ht="14.25" customHeight="1">
      <c r="A171" s="2">
        <v>51</v>
      </c>
      <c r="B171" s="2">
        <v>170</v>
      </c>
      <c r="C171" s="2">
        <v>6</v>
      </c>
      <c r="D171" s="2">
        <v>0</v>
      </c>
      <c r="E171" s="2">
        <v>1.619</v>
      </c>
      <c r="F171" s="2">
        <v>1</v>
      </c>
    </row>
    <row r="172" spans="1:6" ht="14.25" customHeight="1">
      <c r="A172" s="2">
        <v>51</v>
      </c>
      <c r="B172" s="2">
        <v>171</v>
      </c>
      <c r="C172" s="2">
        <v>4</v>
      </c>
      <c r="D172" s="2">
        <v>1</v>
      </c>
      <c r="E172" s="2">
        <v>0.76700000000000002</v>
      </c>
      <c r="F172" s="2">
        <v>2</v>
      </c>
    </row>
    <row r="173" spans="1:6" ht="14.25" customHeight="1">
      <c r="A173" s="2">
        <v>51</v>
      </c>
      <c r="B173" s="2">
        <v>172</v>
      </c>
      <c r="C173" s="2">
        <v>1</v>
      </c>
      <c r="D173" s="2">
        <v>1</v>
      </c>
      <c r="E173" s="2">
        <v>1.1519999999999999</v>
      </c>
      <c r="F173" s="2">
        <v>2</v>
      </c>
    </row>
    <row r="174" spans="1:6" ht="14.25" customHeight="1">
      <c r="A174" s="2">
        <v>51</v>
      </c>
      <c r="B174" s="2">
        <v>173</v>
      </c>
      <c r="C174" s="2">
        <v>5</v>
      </c>
      <c r="E174" s="2">
        <v>2</v>
      </c>
    </row>
    <row r="175" spans="1:6" ht="14.25" customHeight="1">
      <c r="A175" s="2">
        <v>51</v>
      </c>
      <c r="B175" s="2">
        <v>174</v>
      </c>
      <c r="C175" s="2">
        <v>7</v>
      </c>
      <c r="D175" s="2">
        <v>1</v>
      </c>
      <c r="E175" s="2">
        <v>1.3620000000000001</v>
      </c>
      <c r="F175" s="2">
        <v>1</v>
      </c>
    </row>
    <row r="176" spans="1:6" ht="14.25" customHeight="1">
      <c r="A176" s="2">
        <v>51</v>
      </c>
      <c r="B176" s="2">
        <v>175</v>
      </c>
      <c r="C176" s="2">
        <v>8</v>
      </c>
      <c r="D176" s="2">
        <v>0</v>
      </c>
      <c r="E176" s="2">
        <v>1.2889999999999999</v>
      </c>
      <c r="F176" s="2">
        <v>2</v>
      </c>
    </row>
    <row r="177" spans="1:6" ht="14.25" customHeight="1">
      <c r="A177" s="2">
        <v>51</v>
      </c>
      <c r="B177" s="2">
        <v>176</v>
      </c>
      <c r="C177" s="2">
        <v>3</v>
      </c>
      <c r="D177" s="2">
        <v>1</v>
      </c>
      <c r="E177" s="2">
        <v>1.401</v>
      </c>
      <c r="F177" s="2">
        <v>2</v>
      </c>
    </row>
    <row r="178" spans="1:6" ht="14.25" customHeight="1">
      <c r="A178" s="2">
        <v>51</v>
      </c>
      <c r="B178" s="2">
        <v>177</v>
      </c>
      <c r="C178" s="2">
        <v>8</v>
      </c>
      <c r="D178" s="2">
        <v>0</v>
      </c>
      <c r="E178" s="2">
        <v>0.872</v>
      </c>
      <c r="F178" s="2">
        <v>1</v>
      </c>
    </row>
    <row r="179" spans="1:6" ht="14.25" customHeight="1">
      <c r="A179" s="2">
        <v>51</v>
      </c>
      <c r="B179" s="2">
        <v>178</v>
      </c>
      <c r="C179" s="2">
        <v>2</v>
      </c>
      <c r="D179" s="2">
        <v>1</v>
      </c>
      <c r="E179" s="2">
        <v>1.4179999999999999</v>
      </c>
      <c r="F179" s="2">
        <v>1</v>
      </c>
    </row>
    <row r="180" spans="1:6" ht="14.25" customHeight="1">
      <c r="A180" s="2">
        <v>51</v>
      </c>
      <c r="B180" s="2">
        <v>179</v>
      </c>
      <c r="C180" s="2">
        <v>5</v>
      </c>
      <c r="D180" s="2">
        <v>1</v>
      </c>
      <c r="E180" s="2">
        <v>1.1919999999999999</v>
      </c>
      <c r="F180" s="2">
        <v>1</v>
      </c>
    </row>
    <row r="181" spans="1:6" ht="14.25" customHeight="1">
      <c r="A181" s="2">
        <v>51</v>
      </c>
      <c r="B181" s="2">
        <v>180</v>
      </c>
      <c r="C181" s="2">
        <v>3</v>
      </c>
      <c r="D181" s="2">
        <v>1</v>
      </c>
      <c r="E181" s="2">
        <v>0.69799999999999995</v>
      </c>
      <c r="F181" s="2">
        <v>2</v>
      </c>
    </row>
    <row r="182" spans="1:6" ht="14.25" customHeight="1">
      <c r="A182" s="2">
        <v>51</v>
      </c>
      <c r="B182" s="2">
        <v>181</v>
      </c>
      <c r="C182" s="2">
        <v>8</v>
      </c>
      <c r="D182" s="2">
        <v>0</v>
      </c>
      <c r="E182" s="2">
        <v>1.337</v>
      </c>
      <c r="F182" s="2">
        <v>2</v>
      </c>
    </row>
    <row r="183" spans="1:6" ht="14.25" customHeight="1">
      <c r="A183" s="2">
        <v>51</v>
      </c>
      <c r="B183" s="2">
        <v>182</v>
      </c>
      <c r="C183" s="2">
        <v>6</v>
      </c>
      <c r="D183" s="2">
        <v>1</v>
      </c>
      <c r="E183" s="2">
        <v>1.538</v>
      </c>
      <c r="F183" s="2">
        <v>1</v>
      </c>
    </row>
    <row r="184" spans="1:6" ht="14.25" customHeight="1">
      <c r="A184" s="2">
        <v>51</v>
      </c>
      <c r="B184" s="2">
        <v>183</v>
      </c>
      <c r="C184" s="2">
        <v>7</v>
      </c>
      <c r="D184" s="2">
        <v>0</v>
      </c>
      <c r="E184" s="2">
        <v>1.36</v>
      </c>
      <c r="F184" s="2">
        <v>1</v>
      </c>
    </row>
    <row r="185" spans="1:6" ht="14.25" customHeight="1">
      <c r="A185" s="2">
        <v>51</v>
      </c>
      <c r="B185" s="2">
        <v>184</v>
      </c>
      <c r="C185" s="2">
        <v>8</v>
      </c>
      <c r="D185" s="2">
        <v>1</v>
      </c>
      <c r="E185" s="2">
        <v>0.76700000000000002</v>
      </c>
      <c r="F185" s="2">
        <v>2</v>
      </c>
    </row>
    <row r="186" spans="1:6" ht="14.25" customHeight="1">
      <c r="A186" s="2">
        <v>51</v>
      </c>
      <c r="B186" s="2">
        <v>185</v>
      </c>
      <c r="C186" s="2">
        <v>3</v>
      </c>
      <c r="D186" s="2">
        <v>1</v>
      </c>
      <c r="E186" s="2">
        <v>1.3440000000000001</v>
      </c>
      <c r="F186" s="2">
        <v>1</v>
      </c>
    </row>
    <row r="187" spans="1:6" ht="14.25" customHeight="1">
      <c r="A187" s="2">
        <v>51</v>
      </c>
      <c r="B187" s="2">
        <v>186</v>
      </c>
      <c r="C187" s="2">
        <v>7</v>
      </c>
      <c r="D187" s="2">
        <v>1</v>
      </c>
      <c r="E187" s="2">
        <v>0.871</v>
      </c>
      <c r="F187" s="2">
        <v>2</v>
      </c>
    </row>
    <row r="188" spans="1:6" ht="14.25" customHeight="1">
      <c r="A188" s="2">
        <v>51</v>
      </c>
      <c r="B188" s="2">
        <v>187</v>
      </c>
      <c r="C188" s="2">
        <v>3</v>
      </c>
      <c r="D188" s="2">
        <v>1</v>
      </c>
      <c r="E188" s="2">
        <v>1.4510000000000001</v>
      </c>
      <c r="F188" s="2">
        <v>2</v>
      </c>
    </row>
    <row r="189" spans="1:6" ht="14.25" customHeight="1">
      <c r="A189" s="2">
        <v>51</v>
      </c>
      <c r="B189" s="2">
        <v>188</v>
      </c>
      <c r="C189" s="2">
        <v>1</v>
      </c>
      <c r="D189" s="2">
        <v>1</v>
      </c>
      <c r="E189" s="2">
        <v>0.64600000000000002</v>
      </c>
      <c r="F189" s="2">
        <v>1</v>
      </c>
    </row>
    <row r="190" spans="1:6" ht="14.25" customHeight="1">
      <c r="A190" s="2">
        <v>51</v>
      </c>
      <c r="B190" s="2">
        <v>189</v>
      </c>
      <c r="C190" s="2">
        <v>2</v>
      </c>
      <c r="D190" s="2">
        <v>1</v>
      </c>
      <c r="E190" s="2">
        <v>1.698</v>
      </c>
      <c r="F190" s="2">
        <v>2</v>
      </c>
    </row>
    <row r="191" spans="1:6" ht="14.25" customHeight="1">
      <c r="A191" s="2">
        <v>51</v>
      </c>
      <c r="B191" s="2">
        <v>190</v>
      </c>
      <c r="C191" s="2">
        <v>8</v>
      </c>
      <c r="D191" s="2">
        <v>1</v>
      </c>
      <c r="E191" s="2">
        <v>0.81100000000000005</v>
      </c>
      <c r="F191" s="2">
        <v>2</v>
      </c>
    </row>
    <row r="192" spans="1:6" ht="14.25" customHeight="1">
      <c r="A192" s="2">
        <v>51</v>
      </c>
      <c r="B192" s="2">
        <v>191</v>
      </c>
      <c r="C192" s="2">
        <v>7</v>
      </c>
      <c r="D192" s="2">
        <v>1</v>
      </c>
      <c r="E192" s="2">
        <v>1.617</v>
      </c>
      <c r="F192" s="2">
        <v>1</v>
      </c>
    </row>
    <row r="193" spans="1:6" ht="14.25" customHeight="1">
      <c r="A193" s="2">
        <v>51</v>
      </c>
      <c r="B193" s="2">
        <v>192</v>
      </c>
      <c r="C193" s="2">
        <v>5</v>
      </c>
      <c r="D193" s="2">
        <v>1</v>
      </c>
      <c r="E193" s="2">
        <v>1.7170000000000001</v>
      </c>
      <c r="F193" s="2">
        <v>1</v>
      </c>
    </row>
    <row r="194" spans="1:6" ht="14.25" customHeight="1">
      <c r="A194" s="2">
        <v>51</v>
      </c>
      <c r="B194" s="2">
        <v>193</v>
      </c>
      <c r="C194" s="2">
        <v>1</v>
      </c>
      <c r="D194" s="2">
        <v>1</v>
      </c>
      <c r="E194" s="2">
        <v>0.59099999999999997</v>
      </c>
      <c r="F194" s="2">
        <v>2</v>
      </c>
    </row>
    <row r="195" spans="1:6" ht="14.25" customHeight="1">
      <c r="A195" s="2">
        <v>51</v>
      </c>
      <c r="B195" s="2">
        <v>194</v>
      </c>
      <c r="C195" s="2">
        <v>4</v>
      </c>
      <c r="D195" s="2">
        <v>1</v>
      </c>
      <c r="E195" s="2">
        <v>1.6830000000000001</v>
      </c>
      <c r="F195" s="2">
        <v>2</v>
      </c>
    </row>
    <row r="196" spans="1:6" ht="14.25" customHeight="1">
      <c r="A196" s="2">
        <v>51</v>
      </c>
      <c r="B196" s="2">
        <v>195</v>
      </c>
      <c r="C196" s="2">
        <v>1</v>
      </c>
      <c r="D196" s="2">
        <v>1</v>
      </c>
      <c r="E196" s="2">
        <v>1.2110000000000001</v>
      </c>
      <c r="F196" s="2">
        <v>1</v>
      </c>
    </row>
    <row r="197" spans="1:6" ht="14.25" customHeight="1">
      <c r="A197" s="2">
        <v>51</v>
      </c>
      <c r="B197" s="2">
        <v>196</v>
      </c>
      <c r="C197" s="2">
        <v>7</v>
      </c>
      <c r="D197" s="2">
        <v>1</v>
      </c>
      <c r="E197" s="2">
        <v>1.5369999999999999</v>
      </c>
      <c r="F197" s="2">
        <v>1</v>
      </c>
    </row>
    <row r="198" spans="1:6" ht="14.25" customHeight="1">
      <c r="A198" s="2">
        <v>51</v>
      </c>
      <c r="B198" s="2">
        <v>197</v>
      </c>
      <c r="C198" s="2">
        <v>4</v>
      </c>
      <c r="D198" s="2">
        <v>1</v>
      </c>
      <c r="E198" s="2">
        <v>0.55400000000000005</v>
      </c>
      <c r="F198" s="2">
        <v>2</v>
      </c>
    </row>
    <row r="199" spans="1:6" ht="14.25" customHeight="1">
      <c r="A199" s="2">
        <v>51</v>
      </c>
      <c r="B199" s="2">
        <v>198</v>
      </c>
      <c r="C199" s="2">
        <v>3</v>
      </c>
      <c r="D199" s="2">
        <v>1</v>
      </c>
      <c r="E199" s="2">
        <v>1.986</v>
      </c>
      <c r="F199" s="2">
        <v>2</v>
      </c>
    </row>
    <row r="200" spans="1:6" ht="14.25" customHeight="1">
      <c r="A200" s="2">
        <v>51</v>
      </c>
      <c r="B200" s="2">
        <v>199</v>
      </c>
      <c r="C200" s="2">
        <v>2</v>
      </c>
      <c r="D200" s="2">
        <v>1</v>
      </c>
      <c r="E200" s="2">
        <v>1.2250000000000001</v>
      </c>
      <c r="F200" s="2">
        <v>1</v>
      </c>
    </row>
    <row r="201" spans="1:6" ht="14.25" customHeight="1">
      <c r="A201" s="2">
        <v>51</v>
      </c>
      <c r="B201" s="2">
        <v>200</v>
      </c>
      <c r="C201" s="2">
        <v>5</v>
      </c>
      <c r="D201" s="2">
        <v>1</v>
      </c>
      <c r="E201" s="2">
        <v>0.90800000000000003</v>
      </c>
      <c r="F201" s="2">
        <v>2</v>
      </c>
    </row>
    <row r="202" spans="1:6" ht="14.25" customHeight="1">
      <c r="A202" s="2">
        <v>51</v>
      </c>
      <c r="B202" s="2">
        <v>201</v>
      </c>
      <c r="C202" s="2">
        <v>5</v>
      </c>
      <c r="D202" s="2">
        <v>1</v>
      </c>
      <c r="E202" s="2">
        <v>1.097</v>
      </c>
      <c r="F202" s="2">
        <v>1</v>
      </c>
    </row>
    <row r="203" spans="1:6" ht="14.25" customHeight="1">
      <c r="A203" s="2">
        <v>51</v>
      </c>
      <c r="B203" s="2">
        <v>202</v>
      </c>
      <c r="C203" s="2">
        <v>3</v>
      </c>
      <c r="D203" s="2">
        <v>1</v>
      </c>
      <c r="E203" s="2">
        <v>1.381</v>
      </c>
      <c r="F203" s="2">
        <v>2</v>
      </c>
    </row>
    <row r="204" spans="1:6" ht="14.25" customHeight="1">
      <c r="A204" s="2">
        <v>51</v>
      </c>
      <c r="B204" s="2">
        <v>203</v>
      </c>
      <c r="C204" s="2">
        <v>6</v>
      </c>
      <c r="D204" s="2">
        <v>1</v>
      </c>
      <c r="E204" s="2">
        <v>0.83499999999999996</v>
      </c>
      <c r="F204" s="2">
        <v>1</v>
      </c>
    </row>
    <row r="205" spans="1:6" ht="14.25" customHeight="1">
      <c r="A205" s="2">
        <v>51</v>
      </c>
      <c r="B205" s="2">
        <v>204</v>
      </c>
      <c r="C205" s="2">
        <v>8</v>
      </c>
      <c r="D205" s="2">
        <v>1</v>
      </c>
      <c r="E205" s="2">
        <v>0.91500000000000004</v>
      </c>
      <c r="F205" s="2">
        <v>1</v>
      </c>
    </row>
    <row r="206" spans="1:6" ht="14.25" customHeight="1">
      <c r="A206" s="2">
        <v>51</v>
      </c>
      <c r="B206" s="2">
        <v>205</v>
      </c>
      <c r="C206" s="2">
        <v>4</v>
      </c>
      <c r="D206" s="2">
        <v>1</v>
      </c>
      <c r="E206" s="2">
        <v>1.198</v>
      </c>
      <c r="F206" s="2">
        <v>2</v>
      </c>
    </row>
    <row r="207" spans="1:6" ht="14.25" customHeight="1">
      <c r="A207" s="2">
        <v>51</v>
      </c>
      <c r="B207" s="2">
        <v>206</v>
      </c>
      <c r="C207" s="2">
        <v>7</v>
      </c>
      <c r="D207" s="2">
        <v>1</v>
      </c>
      <c r="E207" s="2">
        <v>1.5620000000000001</v>
      </c>
      <c r="F207" s="2">
        <v>2</v>
      </c>
    </row>
    <row r="208" spans="1:6" ht="14.25" customHeight="1">
      <c r="A208" s="2">
        <v>51</v>
      </c>
      <c r="B208" s="2">
        <v>207</v>
      </c>
      <c r="C208" s="2">
        <v>6</v>
      </c>
      <c r="D208" s="2">
        <v>0</v>
      </c>
      <c r="E208" s="2">
        <v>0.98499999999999999</v>
      </c>
      <c r="F208" s="2">
        <v>1</v>
      </c>
    </row>
    <row r="209" spans="1:6" ht="14.25" customHeight="1">
      <c r="A209" s="2">
        <v>51</v>
      </c>
      <c r="B209" s="2">
        <v>208</v>
      </c>
      <c r="C209" s="2">
        <v>4</v>
      </c>
      <c r="D209" s="2">
        <v>1</v>
      </c>
      <c r="E209" s="2">
        <v>1.5920000000000001</v>
      </c>
      <c r="F209" s="2">
        <v>1</v>
      </c>
    </row>
    <row r="210" spans="1:6" ht="14.25" customHeight="1">
      <c r="A210" s="2">
        <v>51</v>
      </c>
      <c r="B210" s="2">
        <v>209</v>
      </c>
      <c r="C210" s="2">
        <v>7</v>
      </c>
      <c r="D210" s="2">
        <v>1</v>
      </c>
      <c r="E210" s="2">
        <v>1.2889999999999999</v>
      </c>
      <c r="F210" s="2">
        <v>1</v>
      </c>
    </row>
    <row r="211" spans="1:6" ht="14.25" customHeight="1">
      <c r="A211" s="2">
        <v>51</v>
      </c>
      <c r="B211" s="2">
        <v>210</v>
      </c>
      <c r="C211" s="2">
        <v>1</v>
      </c>
      <c r="D211" s="2">
        <v>1</v>
      </c>
      <c r="E211" s="2">
        <v>0.73099999999999998</v>
      </c>
      <c r="F211" s="2">
        <v>2</v>
      </c>
    </row>
    <row r="212" spans="1:6" ht="14.25" customHeight="1">
      <c r="A212" s="2">
        <v>51</v>
      </c>
      <c r="B212" s="2">
        <v>211</v>
      </c>
      <c r="C212" s="2">
        <v>7</v>
      </c>
      <c r="D212" s="2">
        <v>1</v>
      </c>
      <c r="E212" s="2">
        <v>1.0129999999999999</v>
      </c>
      <c r="F212" s="2">
        <v>1</v>
      </c>
    </row>
    <row r="213" spans="1:6" ht="14.25" customHeight="1">
      <c r="A213" s="2">
        <v>51</v>
      </c>
      <c r="B213" s="2">
        <v>212</v>
      </c>
      <c r="C213" s="2">
        <v>1</v>
      </c>
      <c r="D213" s="2">
        <v>1</v>
      </c>
      <c r="E213" s="2">
        <v>0.625</v>
      </c>
      <c r="F213" s="2">
        <v>2</v>
      </c>
    </row>
    <row r="214" spans="1:6" ht="14.25" customHeight="1">
      <c r="A214" s="2">
        <v>51</v>
      </c>
      <c r="B214" s="2">
        <v>213</v>
      </c>
      <c r="C214" s="2">
        <v>3</v>
      </c>
      <c r="D214" s="2">
        <v>1</v>
      </c>
      <c r="E214" s="2">
        <v>1.637</v>
      </c>
      <c r="F214" s="2">
        <v>1</v>
      </c>
    </row>
    <row r="215" spans="1:6" ht="14.25" customHeight="1">
      <c r="A215" s="2">
        <v>51</v>
      </c>
      <c r="B215" s="2">
        <v>214</v>
      </c>
      <c r="C215" s="2">
        <v>5</v>
      </c>
      <c r="D215" s="2">
        <v>1</v>
      </c>
      <c r="E215" s="2">
        <v>1.7250000000000001</v>
      </c>
      <c r="F215" s="2">
        <v>1</v>
      </c>
    </row>
    <row r="216" spans="1:6" ht="14.25" customHeight="1">
      <c r="A216" s="2">
        <v>51</v>
      </c>
      <c r="B216" s="2">
        <v>215</v>
      </c>
      <c r="C216" s="2">
        <v>3</v>
      </c>
      <c r="D216" s="2">
        <v>1</v>
      </c>
      <c r="E216" s="2">
        <v>0.71299999999999997</v>
      </c>
      <c r="F216" s="2">
        <v>2</v>
      </c>
    </row>
    <row r="217" spans="1:6" ht="14.25" customHeight="1">
      <c r="A217" s="2">
        <v>51</v>
      </c>
      <c r="B217" s="2">
        <v>216</v>
      </c>
      <c r="C217" s="2">
        <v>1</v>
      </c>
      <c r="D217" s="2">
        <v>1</v>
      </c>
      <c r="E217" s="2">
        <v>1.6339999999999999</v>
      </c>
      <c r="F217" s="2">
        <v>2</v>
      </c>
    </row>
    <row r="218" spans="1:6" ht="14.25" customHeight="1">
      <c r="A218" s="2">
        <v>51</v>
      </c>
      <c r="B218" s="2">
        <v>217</v>
      </c>
      <c r="C218" s="2">
        <v>3</v>
      </c>
      <c r="D218" s="2">
        <v>1</v>
      </c>
      <c r="E218" s="2">
        <v>1.085</v>
      </c>
      <c r="F218" s="2">
        <v>1</v>
      </c>
    </row>
    <row r="219" spans="1:6" ht="14.25" customHeight="1">
      <c r="A219" s="2">
        <v>51</v>
      </c>
      <c r="B219" s="2">
        <v>218</v>
      </c>
      <c r="C219" s="2">
        <v>4</v>
      </c>
      <c r="D219" s="2">
        <v>1</v>
      </c>
      <c r="E219" s="2">
        <v>1.159</v>
      </c>
      <c r="F219" s="2">
        <v>1</v>
      </c>
    </row>
    <row r="220" spans="1:6" ht="14.25" customHeight="1">
      <c r="A220" s="2">
        <v>51</v>
      </c>
      <c r="B220" s="2">
        <v>219</v>
      </c>
      <c r="C220" s="2">
        <v>7</v>
      </c>
      <c r="D220" s="2">
        <v>1</v>
      </c>
      <c r="E220" s="2">
        <v>1.306</v>
      </c>
      <c r="F220" s="2">
        <v>2</v>
      </c>
    </row>
    <row r="221" spans="1:6" ht="14.25" customHeight="1">
      <c r="A221" s="2">
        <v>51</v>
      </c>
      <c r="B221" s="2">
        <v>220</v>
      </c>
      <c r="C221" s="2">
        <v>5</v>
      </c>
      <c r="D221" s="2">
        <v>1</v>
      </c>
      <c r="E221" s="2">
        <v>1.802</v>
      </c>
      <c r="F221" s="2">
        <v>2</v>
      </c>
    </row>
    <row r="222" spans="1:6" ht="14.25" customHeight="1">
      <c r="A222" s="2">
        <v>51</v>
      </c>
      <c r="B222" s="2">
        <v>221</v>
      </c>
      <c r="C222" s="2">
        <v>1</v>
      </c>
      <c r="D222" s="2">
        <v>1</v>
      </c>
      <c r="E222" s="2">
        <v>0.85099999999999998</v>
      </c>
      <c r="F222" s="2">
        <v>2</v>
      </c>
    </row>
    <row r="223" spans="1:6" ht="14.25" customHeight="1">
      <c r="A223" s="2">
        <v>51</v>
      </c>
      <c r="B223" s="2">
        <v>222</v>
      </c>
      <c r="C223" s="2">
        <v>6</v>
      </c>
      <c r="D223" s="2">
        <v>1</v>
      </c>
      <c r="E223" s="2">
        <v>1.891</v>
      </c>
      <c r="F223" s="2">
        <v>2</v>
      </c>
    </row>
    <row r="224" spans="1:6" ht="14.25" customHeight="1">
      <c r="A224" s="2">
        <v>51</v>
      </c>
      <c r="B224" s="2">
        <v>223</v>
      </c>
      <c r="C224" s="2">
        <v>2</v>
      </c>
      <c r="D224" s="2">
        <v>1</v>
      </c>
      <c r="E224" s="2">
        <v>0.753</v>
      </c>
      <c r="F224" s="2">
        <v>1</v>
      </c>
    </row>
    <row r="225" spans="1:6" ht="14.25" customHeight="1">
      <c r="A225" s="2">
        <v>51</v>
      </c>
      <c r="B225" s="2">
        <v>224</v>
      </c>
      <c r="C225" s="2">
        <v>8</v>
      </c>
      <c r="D225" s="2">
        <v>1</v>
      </c>
      <c r="E225" s="2">
        <v>1.629</v>
      </c>
      <c r="F225" s="2">
        <v>1</v>
      </c>
    </row>
    <row r="226" spans="1:6" ht="14.25" customHeight="1">
      <c r="A226" s="2">
        <v>51</v>
      </c>
      <c r="B226" s="2">
        <v>225</v>
      </c>
      <c r="C226" s="2">
        <v>5</v>
      </c>
      <c r="D226" s="2">
        <v>1</v>
      </c>
      <c r="E226" s="2">
        <v>0.95299999999999996</v>
      </c>
      <c r="F226" s="2">
        <v>1</v>
      </c>
    </row>
    <row r="227" spans="1:6" ht="14.25" customHeight="1">
      <c r="A227" s="2">
        <v>51</v>
      </c>
      <c r="B227" s="2">
        <v>226</v>
      </c>
      <c r="C227" s="2">
        <v>3</v>
      </c>
      <c r="D227" s="2">
        <v>1</v>
      </c>
      <c r="E227" s="2">
        <v>1.032</v>
      </c>
      <c r="F227" s="2">
        <v>2</v>
      </c>
    </row>
    <row r="228" spans="1:6" ht="14.25" customHeight="1">
      <c r="A228" s="2">
        <v>51</v>
      </c>
      <c r="B228" s="2">
        <v>227</v>
      </c>
      <c r="C228" s="2">
        <v>2</v>
      </c>
      <c r="D228" s="2">
        <v>1</v>
      </c>
      <c r="E228" s="2">
        <v>0.89100000000000001</v>
      </c>
      <c r="F228" s="2">
        <v>2</v>
      </c>
    </row>
    <row r="229" spans="1:6" ht="14.25" customHeight="1">
      <c r="A229" s="2">
        <v>51</v>
      </c>
      <c r="B229" s="2">
        <v>228</v>
      </c>
      <c r="C229" s="2">
        <v>3</v>
      </c>
      <c r="D229" s="2">
        <v>1</v>
      </c>
      <c r="E229" s="2">
        <v>1.0009999999999999</v>
      </c>
      <c r="F229" s="2">
        <v>1</v>
      </c>
    </row>
    <row r="230" spans="1:6" ht="14.25" customHeight="1">
      <c r="A230" s="2">
        <v>51</v>
      </c>
      <c r="B230" s="2">
        <v>229</v>
      </c>
      <c r="C230" s="2">
        <v>1</v>
      </c>
      <c r="E230" s="2">
        <v>2</v>
      </c>
    </row>
    <row r="231" spans="1:6" ht="14.25" customHeight="1">
      <c r="A231" s="2">
        <v>51</v>
      </c>
      <c r="B231" s="2">
        <v>230</v>
      </c>
      <c r="C231" s="2">
        <v>5</v>
      </c>
      <c r="D231" s="2">
        <v>1</v>
      </c>
      <c r="E231" s="2">
        <v>0.68500000000000005</v>
      </c>
      <c r="F231" s="2">
        <v>2</v>
      </c>
    </row>
    <row r="232" spans="1:6" ht="14.25" customHeight="1">
      <c r="A232" s="2">
        <v>51</v>
      </c>
      <c r="B232" s="2">
        <v>231</v>
      </c>
      <c r="C232" s="2">
        <v>6</v>
      </c>
      <c r="D232" s="2">
        <v>1</v>
      </c>
      <c r="E232" s="2">
        <v>1.284</v>
      </c>
      <c r="F232" s="2">
        <v>1</v>
      </c>
    </row>
    <row r="233" spans="1:6" ht="14.25" customHeight="1">
      <c r="A233" s="2">
        <v>51</v>
      </c>
      <c r="B233" s="2">
        <v>232</v>
      </c>
      <c r="C233" s="2">
        <v>4</v>
      </c>
      <c r="D233" s="2">
        <v>1</v>
      </c>
      <c r="E233" s="2">
        <v>1.417</v>
      </c>
      <c r="F233" s="2">
        <v>1</v>
      </c>
    </row>
    <row r="234" spans="1:6" ht="14.25" customHeight="1">
      <c r="A234" s="2">
        <v>51</v>
      </c>
      <c r="B234" s="2">
        <v>233</v>
      </c>
      <c r="C234" s="2">
        <v>2</v>
      </c>
      <c r="D234" s="2">
        <v>1</v>
      </c>
      <c r="E234" s="2">
        <v>1.5920000000000001</v>
      </c>
      <c r="F234" s="2">
        <v>2</v>
      </c>
    </row>
    <row r="235" spans="1:6" ht="14.25" customHeight="1">
      <c r="A235" s="2">
        <v>51</v>
      </c>
      <c r="B235" s="2">
        <v>234</v>
      </c>
      <c r="C235" s="2">
        <v>7</v>
      </c>
      <c r="D235" s="2">
        <v>1</v>
      </c>
      <c r="E235" s="2">
        <v>0.63800000000000001</v>
      </c>
      <c r="F235" s="2">
        <v>2</v>
      </c>
    </row>
    <row r="236" spans="1:6" ht="14.25" customHeight="1">
      <c r="A236" s="2">
        <v>51</v>
      </c>
      <c r="B236" s="2">
        <v>235</v>
      </c>
      <c r="C236" s="2">
        <v>8</v>
      </c>
      <c r="D236" s="2">
        <v>1</v>
      </c>
      <c r="E236" s="2">
        <v>1.835</v>
      </c>
      <c r="F236" s="2">
        <v>1</v>
      </c>
    </row>
    <row r="237" spans="1:6" ht="14.25" customHeight="1">
      <c r="A237" s="2">
        <v>51</v>
      </c>
      <c r="B237" s="2">
        <v>236</v>
      </c>
      <c r="C237" s="2">
        <v>6</v>
      </c>
      <c r="D237" s="2">
        <v>1</v>
      </c>
      <c r="E237" s="2">
        <v>0.61799999999999999</v>
      </c>
      <c r="F237" s="2">
        <v>2</v>
      </c>
    </row>
    <row r="238" spans="1:6" ht="14.25" customHeight="1">
      <c r="A238" s="2">
        <v>51</v>
      </c>
      <c r="B238" s="2">
        <v>237</v>
      </c>
      <c r="C238" s="2">
        <v>4</v>
      </c>
      <c r="D238" s="2">
        <v>1</v>
      </c>
      <c r="E238" s="2">
        <v>1.6339999999999999</v>
      </c>
      <c r="F238" s="2">
        <v>2</v>
      </c>
    </row>
    <row r="239" spans="1:6" ht="14.25" customHeight="1">
      <c r="A239" s="2">
        <v>51</v>
      </c>
      <c r="B239" s="2">
        <v>238</v>
      </c>
      <c r="C239" s="2">
        <v>8</v>
      </c>
      <c r="D239" s="2">
        <v>1</v>
      </c>
      <c r="E239" s="2">
        <v>1.2410000000000001</v>
      </c>
      <c r="F239" s="2">
        <v>1</v>
      </c>
    </row>
    <row r="240" spans="1:6" ht="14.25" customHeight="1">
      <c r="A240" s="2">
        <v>51</v>
      </c>
      <c r="B240" s="2">
        <v>239</v>
      </c>
      <c r="C240" s="2">
        <v>7</v>
      </c>
      <c r="D240" s="2">
        <v>1</v>
      </c>
      <c r="E240" s="2">
        <v>1.528</v>
      </c>
      <c r="F240" s="2">
        <v>2</v>
      </c>
    </row>
    <row r="241" spans="1:6" ht="14.25" customHeight="1">
      <c r="A241" s="2">
        <v>51</v>
      </c>
      <c r="B241" s="2">
        <v>240</v>
      </c>
      <c r="C241" s="2">
        <v>8</v>
      </c>
      <c r="D241" s="2">
        <v>1</v>
      </c>
      <c r="E241" s="2">
        <v>0.76</v>
      </c>
      <c r="F241" s="2">
        <v>2</v>
      </c>
    </row>
    <row r="242" spans="1:6" ht="14.25" customHeight="1">
      <c r="A242" s="2">
        <v>51</v>
      </c>
      <c r="B242" s="2">
        <v>241</v>
      </c>
      <c r="C242" s="2">
        <v>1</v>
      </c>
      <c r="D242" s="2">
        <v>1</v>
      </c>
      <c r="E242" s="2">
        <v>1.123</v>
      </c>
      <c r="F242" s="2">
        <v>1</v>
      </c>
    </row>
    <row r="243" spans="1:6" ht="14.25" customHeight="1">
      <c r="A243" s="2">
        <v>51</v>
      </c>
      <c r="B243" s="2">
        <v>242</v>
      </c>
      <c r="C243" s="2">
        <v>4</v>
      </c>
      <c r="D243" s="2">
        <v>1</v>
      </c>
      <c r="E243" s="2">
        <v>1.252</v>
      </c>
      <c r="F243" s="2">
        <v>1</v>
      </c>
    </row>
    <row r="244" spans="1:6" ht="14.25" customHeight="1">
      <c r="A244" s="2">
        <v>51</v>
      </c>
      <c r="B244" s="2">
        <v>243</v>
      </c>
      <c r="C244" s="2">
        <v>8</v>
      </c>
      <c r="D244" s="2">
        <v>1</v>
      </c>
      <c r="E244" s="2">
        <v>0.72199999999999998</v>
      </c>
      <c r="F244" s="2">
        <v>2</v>
      </c>
    </row>
    <row r="245" spans="1:6" ht="14.25" customHeight="1">
      <c r="A245" s="2">
        <v>51</v>
      </c>
      <c r="B245" s="2">
        <v>244</v>
      </c>
      <c r="C245" s="2">
        <v>6</v>
      </c>
      <c r="D245" s="2">
        <v>1</v>
      </c>
      <c r="E245" s="2">
        <v>1.393</v>
      </c>
      <c r="F245" s="2">
        <v>2</v>
      </c>
    </row>
    <row r="246" spans="1:6" ht="14.25" customHeight="1">
      <c r="A246" s="2">
        <v>51</v>
      </c>
      <c r="B246" s="2">
        <v>245</v>
      </c>
      <c r="C246" s="2">
        <v>8</v>
      </c>
      <c r="D246" s="2">
        <v>1</v>
      </c>
      <c r="E246" s="2">
        <v>1.266</v>
      </c>
      <c r="F246" s="2">
        <v>1</v>
      </c>
    </row>
    <row r="247" spans="1:6" ht="14.25" customHeight="1">
      <c r="A247" s="2">
        <v>51</v>
      </c>
      <c r="B247" s="2">
        <v>246</v>
      </c>
      <c r="C247" s="2">
        <v>2</v>
      </c>
      <c r="D247" s="2">
        <v>1</v>
      </c>
      <c r="E247" s="2">
        <v>1.32</v>
      </c>
      <c r="F247" s="2">
        <v>1</v>
      </c>
    </row>
    <row r="248" spans="1:6" ht="14.25" customHeight="1">
      <c r="A248" s="2">
        <v>51</v>
      </c>
      <c r="B248" s="2">
        <v>247</v>
      </c>
      <c r="C248" s="2">
        <v>4</v>
      </c>
      <c r="D248" s="2">
        <v>1</v>
      </c>
      <c r="E248" s="2">
        <v>0.85699999999999998</v>
      </c>
      <c r="F248" s="2">
        <v>2</v>
      </c>
    </row>
    <row r="249" spans="1:6" ht="14.25" customHeight="1">
      <c r="A249" s="2">
        <v>51</v>
      </c>
      <c r="B249" s="2">
        <v>248</v>
      </c>
      <c r="C249" s="2">
        <v>2</v>
      </c>
      <c r="D249" s="2">
        <v>1</v>
      </c>
      <c r="E249" s="2">
        <v>1.66</v>
      </c>
      <c r="F249" s="2">
        <v>2</v>
      </c>
    </row>
    <row r="250" spans="1:6" ht="14.25" customHeight="1">
      <c r="A250" s="2">
        <v>51</v>
      </c>
      <c r="B250" s="2">
        <v>249</v>
      </c>
      <c r="C250" s="2">
        <v>5</v>
      </c>
      <c r="D250" s="2">
        <v>1</v>
      </c>
      <c r="E250" s="2">
        <v>1.2410000000000001</v>
      </c>
      <c r="F250" s="2">
        <v>1</v>
      </c>
    </row>
    <row r="251" spans="1:6" ht="14.25" customHeight="1">
      <c r="A251" s="2">
        <v>51</v>
      </c>
      <c r="B251" s="2">
        <v>250</v>
      </c>
      <c r="C251" s="2">
        <v>2</v>
      </c>
      <c r="D251" s="2">
        <v>1</v>
      </c>
      <c r="E251" s="2">
        <v>1.5389999999999999</v>
      </c>
      <c r="F251" s="2">
        <v>2</v>
      </c>
    </row>
    <row r="252" spans="1:6" ht="14.25" customHeight="1">
      <c r="A252" s="2">
        <v>51</v>
      </c>
      <c r="B252" s="2">
        <v>251</v>
      </c>
      <c r="C252" s="2">
        <v>1</v>
      </c>
      <c r="D252" s="2">
        <v>1</v>
      </c>
      <c r="E252" s="2">
        <v>0.92800000000000005</v>
      </c>
      <c r="F252" s="2">
        <v>1</v>
      </c>
    </row>
    <row r="253" spans="1:6" ht="14.25" customHeight="1">
      <c r="A253" s="2">
        <v>51</v>
      </c>
      <c r="B253" s="2">
        <v>252</v>
      </c>
      <c r="C253" s="2">
        <v>4</v>
      </c>
      <c r="D253" s="2">
        <v>1</v>
      </c>
      <c r="E253" s="2">
        <v>0.57099999999999995</v>
      </c>
      <c r="F253" s="2">
        <v>2</v>
      </c>
    </row>
    <row r="254" spans="1:6" ht="14.25" customHeight="1">
      <c r="A254" s="2">
        <v>51</v>
      </c>
      <c r="B254" s="2">
        <v>253</v>
      </c>
      <c r="C254" s="2">
        <v>3</v>
      </c>
      <c r="D254" s="2">
        <v>0</v>
      </c>
      <c r="E254" s="2">
        <v>1.712</v>
      </c>
      <c r="F254" s="2">
        <v>2</v>
      </c>
    </row>
    <row r="255" spans="1:6" ht="14.25" customHeight="1">
      <c r="A255" s="2">
        <v>51</v>
      </c>
      <c r="B255" s="2">
        <v>254</v>
      </c>
      <c r="C255" s="2">
        <v>5</v>
      </c>
      <c r="D255" s="2">
        <v>1</v>
      </c>
      <c r="E255" s="2">
        <v>0.96899999999999997</v>
      </c>
      <c r="F255" s="2">
        <v>1</v>
      </c>
    </row>
    <row r="256" spans="1:6" ht="14.25" customHeight="1">
      <c r="A256" s="2">
        <v>51</v>
      </c>
      <c r="B256" s="2">
        <v>255</v>
      </c>
      <c r="C256" s="2">
        <v>4</v>
      </c>
      <c r="D256" s="2">
        <v>1</v>
      </c>
      <c r="E256" s="2">
        <v>1.17</v>
      </c>
      <c r="F256" s="2">
        <v>2</v>
      </c>
    </row>
    <row r="257" spans="1:6" ht="14.25" customHeight="1">
      <c r="A257" s="2">
        <v>51</v>
      </c>
      <c r="B257" s="2">
        <v>256</v>
      </c>
      <c r="C257" s="2">
        <v>7</v>
      </c>
      <c r="D257" s="2">
        <v>1</v>
      </c>
      <c r="E257" s="2">
        <v>0.996</v>
      </c>
      <c r="F257" s="2">
        <v>2</v>
      </c>
    </row>
    <row r="258" spans="1:6" ht="14.25" customHeight="1">
      <c r="A258" s="2">
        <v>51</v>
      </c>
      <c r="B258" s="2">
        <v>257</v>
      </c>
      <c r="C258" s="2">
        <v>6</v>
      </c>
      <c r="D258" s="2">
        <v>1</v>
      </c>
      <c r="E258" s="2">
        <v>0.88900000000000001</v>
      </c>
      <c r="F258" s="2">
        <v>2</v>
      </c>
    </row>
    <row r="259" spans="1:6" ht="14.25" customHeight="1">
      <c r="A259" s="2">
        <v>51</v>
      </c>
      <c r="B259" s="2">
        <v>258</v>
      </c>
      <c r="C259" s="2">
        <v>1</v>
      </c>
      <c r="D259" s="2">
        <v>1</v>
      </c>
      <c r="E259" s="2">
        <v>1.8109999999999999</v>
      </c>
      <c r="F259" s="2">
        <v>1</v>
      </c>
    </row>
    <row r="260" spans="1:6" ht="14.25" customHeight="1">
      <c r="A260" s="2">
        <v>51</v>
      </c>
      <c r="B260" s="2">
        <v>259</v>
      </c>
      <c r="C260" s="2">
        <v>8</v>
      </c>
      <c r="D260" s="2">
        <v>1</v>
      </c>
      <c r="E260" s="2">
        <v>0.96099999999999997</v>
      </c>
      <c r="F260" s="2">
        <v>1</v>
      </c>
    </row>
    <row r="261" spans="1:6" ht="14.25" customHeight="1">
      <c r="A261" s="2">
        <v>51</v>
      </c>
      <c r="B261" s="2">
        <v>260</v>
      </c>
      <c r="C261" s="2">
        <v>2</v>
      </c>
      <c r="D261" s="2">
        <v>1</v>
      </c>
      <c r="E261" s="2">
        <v>0.97</v>
      </c>
      <c r="F261" s="2">
        <v>2</v>
      </c>
    </row>
    <row r="262" spans="1:6" ht="14.25" customHeight="1">
      <c r="A262" s="2">
        <v>51</v>
      </c>
      <c r="B262" s="2">
        <v>261</v>
      </c>
      <c r="C262" s="2">
        <v>7</v>
      </c>
      <c r="D262" s="2">
        <v>1</v>
      </c>
      <c r="E262" s="2">
        <v>1.0549999999999999</v>
      </c>
      <c r="F262" s="2">
        <v>1</v>
      </c>
    </row>
    <row r="263" spans="1:6" ht="14.25" customHeight="1">
      <c r="A263" s="2">
        <v>51</v>
      </c>
      <c r="B263" s="2">
        <v>262</v>
      </c>
      <c r="C263" s="2">
        <v>4</v>
      </c>
      <c r="D263" s="2">
        <v>1</v>
      </c>
      <c r="E263" s="2">
        <v>0.629</v>
      </c>
      <c r="F263" s="2">
        <v>2</v>
      </c>
    </row>
    <row r="264" spans="1:6" ht="14.25" customHeight="1">
      <c r="A264" s="2">
        <v>51</v>
      </c>
      <c r="B264" s="2">
        <v>263</v>
      </c>
      <c r="C264" s="2">
        <v>1</v>
      </c>
      <c r="D264" s="2">
        <v>1</v>
      </c>
      <c r="E264" s="2">
        <v>1.649</v>
      </c>
      <c r="F264" s="2">
        <v>1</v>
      </c>
    </row>
    <row r="265" spans="1:6" ht="14.25" customHeight="1">
      <c r="A265" s="2">
        <v>51</v>
      </c>
      <c r="B265" s="2">
        <v>264</v>
      </c>
      <c r="C265" s="2">
        <v>3</v>
      </c>
      <c r="D265" s="2">
        <v>1</v>
      </c>
      <c r="E265" s="2">
        <v>1.897</v>
      </c>
      <c r="F265" s="2">
        <v>1</v>
      </c>
    </row>
    <row r="266" spans="1:6" ht="14.25" customHeight="1">
      <c r="A266" s="2">
        <v>51</v>
      </c>
      <c r="B266" s="2">
        <v>265</v>
      </c>
      <c r="C266" s="2">
        <v>7</v>
      </c>
      <c r="D266" s="2">
        <v>1</v>
      </c>
      <c r="E266" s="2">
        <v>0.82</v>
      </c>
      <c r="F266" s="2">
        <v>2</v>
      </c>
    </row>
    <row r="267" spans="1:6" ht="14.25" customHeight="1">
      <c r="A267" s="2">
        <v>51</v>
      </c>
      <c r="B267" s="2">
        <v>266</v>
      </c>
      <c r="C267" s="2">
        <v>5</v>
      </c>
      <c r="D267" s="2">
        <v>1</v>
      </c>
      <c r="E267" s="2">
        <v>1.48</v>
      </c>
      <c r="F267" s="2">
        <v>2</v>
      </c>
    </row>
    <row r="268" spans="1:6" ht="14.25" customHeight="1">
      <c r="A268" s="2">
        <v>51</v>
      </c>
      <c r="B268" s="2">
        <v>267</v>
      </c>
      <c r="C268" s="2">
        <v>4</v>
      </c>
      <c r="D268" s="2">
        <v>1</v>
      </c>
      <c r="E268" s="2">
        <v>0.72799999999999998</v>
      </c>
      <c r="F268" s="2">
        <v>1</v>
      </c>
    </row>
    <row r="269" spans="1:6" ht="14.25" customHeight="1">
      <c r="A269" s="2">
        <v>51</v>
      </c>
      <c r="B269" s="2">
        <v>268</v>
      </c>
      <c r="C269" s="2">
        <v>2</v>
      </c>
      <c r="D269" s="2">
        <v>1</v>
      </c>
      <c r="E269" s="2">
        <v>1.3779999999999999</v>
      </c>
      <c r="F269" s="2">
        <v>1</v>
      </c>
    </row>
    <row r="270" spans="1:6" ht="14.25" customHeight="1">
      <c r="A270" s="2">
        <v>51</v>
      </c>
      <c r="B270" s="2">
        <v>269</v>
      </c>
      <c r="C270" s="2">
        <v>6</v>
      </c>
      <c r="D270" s="2">
        <v>1</v>
      </c>
      <c r="E270" s="2">
        <v>1.9890000000000001</v>
      </c>
      <c r="F270" s="2">
        <v>2</v>
      </c>
    </row>
    <row r="271" spans="1:6" ht="14.25" customHeight="1">
      <c r="A271" s="2">
        <v>51</v>
      </c>
      <c r="B271" s="2">
        <v>270</v>
      </c>
      <c r="C271" s="2">
        <v>8</v>
      </c>
      <c r="D271" s="2">
        <v>1</v>
      </c>
      <c r="E271" s="2">
        <v>1.28</v>
      </c>
      <c r="F271" s="2">
        <v>2</v>
      </c>
    </row>
    <row r="272" spans="1:6" ht="14.25" customHeight="1">
      <c r="A272" s="2">
        <v>51</v>
      </c>
      <c r="B272" s="2">
        <v>271</v>
      </c>
      <c r="C272" s="2">
        <v>1</v>
      </c>
      <c r="D272" s="2">
        <v>1</v>
      </c>
      <c r="E272" s="2">
        <v>0.82699999999999996</v>
      </c>
      <c r="F272" s="2">
        <v>2</v>
      </c>
    </row>
    <row r="273" spans="1:6" ht="14.25" customHeight="1">
      <c r="A273" s="2">
        <v>51</v>
      </c>
      <c r="B273" s="2">
        <v>272</v>
      </c>
      <c r="C273" s="2">
        <v>5</v>
      </c>
      <c r="D273" s="2">
        <v>0</v>
      </c>
      <c r="E273" s="2">
        <v>1.2350000000000001</v>
      </c>
      <c r="F273" s="2">
        <v>1</v>
      </c>
    </row>
    <row r="274" spans="1:6" ht="14.25" customHeight="1">
      <c r="A274" s="2">
        <v>51</v>
      </c>
      <c r="B274" s="2">
        <v>273</v>
      </c>
      <c r="C274" s="2">
        <v>3</v>
      </c>
      <c r="D274" s="2">
        <v>1</v>
      </c>
      <c r="E274" s="2">
        <v>0.80900000000000005</v>
      </c>
      <c r="F274" s="2">
        <v>1</v>
      </c>
    </row>
    <row r="275" spans="1:6" ht="14.25" customHeight="1">
      <c r="A275" s="2">
        <v>51</v>
      </c>
      <c r="B275" s="2">
        <v>274</v>
      </c>
      <c r="C275" s="2">
        <v>8</v>
      </c>
      <c r="D275" s="2">
        <v>1</v>
      </c>
      <c r="E275" s="2">
        <v>1.847</v>
      </c>
      <c r="F275" s="2">
        <v>1</v>
      </c>
    </row>
    <row r="276" spans="1:6" ht="14.25" customHeight="1">
      <c r="A276" s="2">
        <v>51</v>
      </c>
      <c r="B276" s="2">
        <v>275</v>
      </c>
      <c r="C276" s="2">
        <v>1</v>
      </c>
      <c r="D276" s="2">
        <v>1</v>
      </c>
      <c r="E276" s="2">
        <v>1.3919999999999999</v>
      </c>
      <c r="F276" s="2">
        <v>1</v>
      </c>
    </row>
    <row r="277" spans="1:6" ht="14.25" customHeight="1">
      <c r="A277" s="2">
        <v>51</v>
      </c>
      <c r="B277" s="2">
        <v>276</v>
      </c>
      <c r="C277" s="2">
        <v>5</v>
      </c>
      <c r="D277" s="2">
        <v>1</v>
      </c>
      <c r="E277" s="2">
        <v>1.0449999999999999</v>
      </c>
      <c r="F277" s="2">
        <v>2</v>
      </c>
    </row>
    <row r="278" spans="1:6" ht="14.25" customHeight="1">
      <c r="A278" s="2">
        <v>51</v>
      </c>
      <c r="B278" s="2">
        <v>277</v>
      </c>
      <c r="C278" s="2">
        <v>6</v>
      </c>
      <c r="D278" s="2">
        <v>1</v>
      </c>
      <c r="E278" s="2">
        <v>0.85799999999999998</v>
      </c>
      <c r="F278" s="2">
        <v>2</v>
      </c>
    </row>
    <row r="279" spans="1:6" ht="14.25" customHeight="1">
      <c r="A279" s="2">
        <v>51</v>
      </c>
      <c r="B279" s="2">
        <v>278</v>
      </c>
      <c r="C279" s="2">
        <v>2</v>
      </c>
      <c r="D279" s="2">
        <v>1</v>
      </c>
      <c r="E279" s="2">
        <v>0.83199999999999996</v>
      </c>
      <c r="F279" s="2">
        <v>1</v>
      </c>
    </row>
    <row r="280" spans="1:6" ht="14.25" customHeight="1">
      <c r="A280" s="2">
        <v>51</v>
      </c>
      <c r="B280" s="2">
        <v>279</v>
      </c>
      <c r="C280" s="2">
        <v>8</v>
      </c>
      <c r="D280" s="2">
        <v>1</v>
      </c>
      <c r="E280" s="2">
        <v>1.929</v>
      </c>
      <c r="F280" s="2">
        <v>1</v>
      </c>
    </row>
    <row r="281" spans="1:6" ht="14.25" customHeight="1">
      <c r="A281" s="2">
        <v>51</v>
      </c>
      <c r="B281" s="2">
        <v>280</v>
      </c>
      <c r="C281" s="2">
        <v>1</v>
      </c>
      <c r="D281" s="2">
        <v>1</v>
      </c>
      <c r="E281" s="2">
        <v>0.54500000000000004</v>
      </c>
      <c r="F281" s="2">
        <v>2</v>
      </c>
    </row>
    <row r="282" spans="1:6" ht="14.25" customHeight="1">
      <c r="A282" s="2">
        <v>51</v>
      </c>
      <c r="B282" s="2">
        <v>281</v>
      </c>
      <c r="C282" s="2">
        <v>7</v>
      </c>
      <c r="D282" s="2">
        <v>1</v>
      </c>
      <c r="E282" s="2">
        <v>1.127</v>
      </c>
      <c r="F282" s="2">
        <v>1</v>
      </c>
    </row>
    <row r="283" spans="1:6" ht="14.25" customHeight="1">
      <c r="A283" s="2">
        <v>51</v>
      </c>
      <c r="B283" s="2">
        <v>282</v>
      </c>
      <c r="C283" s="2">
        <v>6</v>
      </c>
      <c r="D283" s="2">
        <v>1</v>
      </c>
      <c r="E283" s="2">
        <v>1.7310000000000001</v>
      </c>
      <c r="F283" s="2">
        <v>1</v>
      </c>
    </row>
    <row r="284" spans="1:6" ht="14.25" customHeight="1">
      <c r="A284" s="2">
        <v>51</v>
      </c>
      <c r="B284" s="2">
        <v>283</v>
      </c>
      <c r="C284" s="2">
        <v>3</v>
      </c>
      <c r="D284" s="2">
        <v>1</v>
      </c>
      <c r="E284" s="2">
        <v>1.536</v>
      </c>
      <c r="F284" s="2">
        <v>2</v>
      </c>
    </row>
    <row r="285" spans="1:6" ht="14.25" customHeight="1">
      <c r="A285" s="2">
        <v>51</v>
      </c>
      <c r="B285" s="2">
        <v>284</v>
      </c>
      <c r="C285" s="2">
        <v>7</v>
      </c>
      <c r="D285" s="2">
        <v>1</v>
      </c>
      <c r="E285" s="2">
        <v>0.755</v>
      </c>
      <c r="F285" s="2">
        <v>2</v>
      </c>
    </row>
    <row r="286" spans="1:6" ht="14.25" customHeight="1">
      <c r="A286" s="2">
        <v>51</v>
      </c>
      <c r="B286" s="2">
        <v>285</v>
      </c>
      <c r="C286" s="2">
        <v>5</v>
      </c>
      <c r="D286" s="2">
        <v>1</v>
      </c>
      <c r="E286" s="2">
        <v>1.2789999999999999</v>
      </c>
      <c r="F286" s="2">
        <v>1</v>
      </c>
    </row>
    <row r="287" spans="1:6" ht="14.25" customHeight="1">
      <c r="A287" s="2">
        <v>51</v>
      </c>
      <c r="B287" s="2">
        <v>286</v>
      </c>
      <c r="C287" s="2">
        <v>8</v>
      </c>
      <c r="D287" s="2">
        <v>1</v>
      </c>
      <c r="E287" s="2">
        <v>0.61899999999999999</v>
      </c>
      <c r="F287" s="2">
        <v>2</v>
      </c>
    </row>
    <row r="288" spans="1:6" ht="14.25" customHeight="1">
      <c r="A288" s="2">
        <v>51</v>
      </c>
      <c r="B288" s="2">
        <v>287</v>
      </c>
      <c r="C288" s="2">
        <v>3</v>
      </c>
      <c r="D288" s="2">
        <v>1</v>
      </c>
      <c r="E288" s="2">
        <v>1.2410000000000001</v>
      </c>
      <c r="F288" s="2">
        <v>2</v>
      </c>
    </row>
    <row r="289" spans="1:6" ht="14.25" customHeight="1">
      <c r="A289" s="2">
        <v>51</v>
      </c>
      <c r="B289" s="2">
        <v>288</v>
      </c>
      <c r="C289" s="2">
        <v>6</v>
      </c>
      <c r="E289" s="2">
        <v>2</v>
      </c>
    </row>
    <row r="290" spans="1:6" ht="14.25" customHeight="1">
      <c r="A290" s="2">
        <v>51</v>
      </c>
      <c r="B290" s="2">
        <v>289</v>
      </c>
      <c r="C290" s="2">
        <v>4</v>
      </c>
      <c r="D290" s="2">
        <v>1</v>
      </c>
      <c r="E290" s="2">
        <v>1.37</v>
      </c>
      <c r="F290" s="2">
        <v>2</v>
      </c>
    </row>
    <row r="291" spans="1:6" ht="14.25" customHeight="1">
      <c r="A291" s="2">
        <v>51</v>
      </c>
      <c r="B291" s="2">
        <v>290</v>
      </c>
      <c r="C291" s="2">
        <v>2</v>
      </c>
      <c r="D291" s="2">
        <v>1</v>
      </c>
      <c r="E291" s="2">
        <v>0.68</v>
      </c>
      <c r="F291" s="2">
        <v>2</v>
      </c>
    </row>
    <row r="292" spans="1:6" ht="14.25" customHeight="1">
      <c r="A292" s="2">
        <v>51</v>
      </c>
      <c r="B292" s="2">
        <v>291</v>
      </c>
      <c r="C292" s="2">
        <v>5</v>
      </c>
      <c r="D292" s="2">
        <v>1</v>
      </c>
      <c r="E292" s="2">
        <v>1.304</v>
      </c>
      <c r="F292" s="2">
        <v>1</v>
      </c>
    </row>
    <row r="293" spans="1:6" ht="14.25" customHeight="1">
      <c r="A293" s="2">
        <v>51</v>
      </c>
      <c r="B293" s="2">
        <v>292</v>
      </c>
      <c r="C293" s="2">
        <v>7</v>
      </c>
      <c r="D293" s="2">
        <v>1</v>
      </c>
      <c r="E293" s="2">
        <v>1.617</v>
      </c>
      <c r="F293" s="2">
        <v>1</v>
      </c>
    </row>
    <row r="294" spans="1:6" ht="14.25" customHeight="1">
      <c r="A294" s="2">
        <v>51</v>
      </c>
      <c r="B294" s="2">
        <v>293</v>
      </c>
      <c r="C294" s="2">
        <v>8</v>
      </c>
      <c r="D294" s="2">
        <v>1</v>
      </c>
      <c r="E294" s="2">
        <v>0.77700000000000002</v>
      </c>
      <c r="F294" s="2">
        <v>2</v>
      </c>
    </row>
    <row r="295" spans="1:6" ht="14.25" customHeight="1">
      <c r="A295" s="2">
        <v>51</v>
      </c>
      <c r="B295" s="2">
        <v>294</v>
      </c>
      <c r="C295" s="2">
        <v>2</v>
      </c>
      <c r="E295" s="2">
        <v>2</v>
      </c>
    </row>
    <row r="296" spans="1:6" ht="14.25" customHeight="1">
      <c r="A296" s="2">
        <v>51</v>
      </c>
      <c r="B296" s="2">
        <v>295</v>
      </c>
      <c r="C296" s="2">
        <v>4</v>
      </c>
      <c r="D296" s="2">
        <v>0</v>
      </c>
      <c r="E296" s="2">
        <v>1.5029999999999999</v>
      </c>
      <c r="F296" s="2">
        <v>2</v>
      </c>
    </row>
    <row r="297" spans="1:6" ht="14.25" customHeight="1">
      <c r="A297" s="2">
        <v>51</v>
      </c>
      <c r="B297" s="2">
        <v>296</v>
      </c>
      <c r="C297" s="2">
        <v>3</v>
      </c>
      <c r="D297" s="2">
        <v>0</v>
      </c>
      <c r="E297" s="2">
        <v>1.8879999999999999</v>
      </c>
      <c r="F297" s="2">
        <v>2</v>
      </c>
    </row>
    <row r="298" spans="1:6" ht="14.25" customHeight="1">
      <c r="A298" s="2">
        <v>51</v>
      </c>
      <c r="B298" s="2">
        <v>297</v>
      </c>
      <c r="C298" s="2">
        <v>8</v>
      </c>
      <c r="D298" s="2">
        <v>1</v>
      </c>
      <c r="E298" s="2">
        <v>0.51100000000000001</v>
      </c>
      <c r="F298" s="2">
        <v>2</v>
      </c>
    </row>
    <row r="299" spans="1:6" ht="14.25" customHeight="1">
      <c r="A299" s="2">
        <v>51</v>
      </c>
      <c r="B299" s="2">
        <v>298</v>
      </c>
      <c r="C299" s="2">
        <v>6</v>
      </c>
      <c r="D299" s="2">
        <v>1</v>
      </c>
      <c r="E299" s="2">
        <v>1.492</v>
      </c>
      <c r="F299" s="2">
        <v>2</v>
      </c>
    </row>
    <row r="300" spans="1:6" ht="14.25" customHeight="1">
      <c r="A300" s="2">
        <v>51</v>
      </c>
      <c r="B300" s="2">
        <v>299</v>
      </c>
      <c r="C300" s="2">
        <v>2</v>
      </c>
      <c r="D300" s="2">
        <v>1</v>
      </c>
      <c r="E300" s="2">
        <v>1.07</v>
      </c>
      <c r="F300" s="2">
        <v>1</v>
      </c>
    </row>
    <row r="301" spans="1:6" ht="14.25" customHeight="1">
      <c r="A301" s="2">
        <v>51</v>
      </c>
      <c r="B301" s="2">
        <v>300</v>
      </c>
      <c r="C301" s="2">
        <v>4</v>
      </c>
      <c r="E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Y1000"/>
  <sheetViews>
    <sheetView workbookViewId="0">
      <selection activeCell="O36" sqref="O36"/>
    </sheetView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10.83203125" bestFit="1" customWidth="1"/>
    <col min="5" max="5" width="5.5" customWidth="1"/>
    <col min="6" max="26" width="8.6640625" customWidth="1"/>
  </cols>
  <sheetData>
    <row r="1" spans="1:25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52</v>
      </c>
      <c r="I1" s="2">
        <v>101</v>
      </c>
      <c r="J1" s="2">
        <v>6</v>
      </c>
      <c r="K1" s="2">
        <v>1</v>
      </c>
      <c r="L1" s="2">
        <v>1.27</v>
      </c>
      <c r="M1" s="2">
        <v>2</v>
      </c>
    </row>
    <row r="2" spans="1:25" ht="14.25" customHeight="1">
      <c r="A2" s="2">
        <v>52</v>
      </c>
      <c r="B2" s="2">
        <v>1</v>
      </c>
      <c r="C2" s="2">
        <v>8</v>
      </c>
      <c r="D2" s="2">
        <v>0</v>
      </c>
      <c r="E2" s="2">
        <v>1.921</v>
      </c>
      <c r="F2" s="2">
        <v>1</v>
      </c>
      <c r="H2" s="2">
        <v>52</v>
      </c>
      <c r="I2" s="2">
        <v>102</v>
      </c>
      <c r="J2" s="2">
        <v>7</v>
      </c>
      <c r="K2" s="2">
        <v>1</v>
      </c>
      <c r="L2" s="2">
        <v>1.2929999999999999</v>
      </c>
      <c r="M2" s="2">
        <v>1</v>
      </c>
    </row>
    <row r="3" spans="1:25" ht="14.25" customHeight="1">
      <c r="A3" s="2">
        <v>52</v>
      </c>
      <c r="B3" s="2">
        <v>2</v>
      </c>
      <c r="C3" s="2">
        <v>1</v>
      </c>
      <c r="D3" s="2">
        <v>1</v>
      </c>
      <c r="E3" s="2">
        <v>1.5209999999999999</v>
      </c>
      <c r="F3" s="2">
        <v>1</v>
      </c>
      <c r="H3" s="2">
        <v>52</v>
      </c>
      <c r="I3" s="2">
        <v>103</v>
      </c>
      <c r="J3" s="2">
        <v>5</v>
      </c>
      <c r="K3" s="2">
        <v>1</v>
      </c>
      <c r="L3" s="2">
        <v>0.91100000000000003</v>
      </c>
      <c r="M3" s="2">
        <v>2</v>
      </c>
    </row>
    <row r="4" spans="1:25" ht="14.25" customHeight="1">
      <c r="A4" s="2">
        <v>52</v>
      </c>
      <c r="B4" s="2">
        <v>3</v>
      </c>
      <c r="C4" s="2">
        <v>7</v>
      </c>
      <c r="D4" s="2">
        <v>1</v>
      </c>
      <c r="E4" s="2">
        <v>1.722</v>
      </c>
      <c r="F4" s="2">
        <v>2</v>
      </c>
      <c r="H4" s="2">
        <v>52</v>
      </c>
      <c r="I4" s="2">
        <v>104</v>
      </c>
      <c r="J4" s="2">
        <v>7</v>
      </c>
      <c r="K4" s="2">
        <v>1</v>
      </c>
      <c r="L4" s="2">
        <v>1.2330000000000001</v>
      </c>
      <c r="M4" s="2">
        <v>1</v>
      </c>
      <c r="N4" s="4"/>
      <c r="O4" s="4" t="s">
        <v>9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4.25" customHeight="1">
      <c r="A5" s="2">
        <v>52</v>
      </c>
      <c r="B5" s="2">
        <v>4</v>
      </c>
      <c r="C5" s="2">
        <v>1</v>
      </c>
      <c r="D5" s="2">
        <v>0</v>
      </c>
      <c r="E5" s="2">
        <v>1.6060000000000001</v>
      </c>
      <c r="F5" s="2">
        <v>2</v>
      </c>
      <c r="H5" s="2">
        <v>52</v>
      </c>
      <c r="I5" s="2">
        <v>105</v>
      </c>
      <c r="J5" s="2">
        <v>6</v>
      </c>
      <c r="K5" s="2">
        <v>1</v>
      </c>
      <c r="L5" s="2">
        <v>1.351</v>
      </c>
      <c r="M5" s="2">
        <v>2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  <c r="W5" s="4"/>
      <c r="X5" s="4"/>
      <c r="Y5" s="4"/>
    </row>
    <row r="6" spans="1:25" ht="14.25" customHeight="1">
      <c r="A6" s="2">
        <v>52</v>
      </c>
      <c r="B6" s="2">
        <v>5</v>
      </c>
      <c r="C6" s="2">
        <v>2</v>
      </c>
      <c r="E6" s="2">
        <v>2</v>
      </c>
      <c r="H6" s="2">
        <v>52</v>
      </c>
      <c r="I6" s="2">
        <v>106</v>
      </c>
      <c r="J6" s="2">
        <v>3</v>
      </c>
      <c r="K6" s="2">
        <v>1</v>
      </c>
      <c r="L6" s="2">
        <v>0.89700000000000002</v>
      </c>
      <c r="M6" s="2">
        <v>2</v>
      </c>
      <c r="N6" s="3">
        <v>1</v>
      </c>
      <c r="O6" s="4">
        <v>0.05</v>
      </c>
      <c r="P6" s="4">
        <v>0.95</v>
      </c>
      <c r="Q6" s="4">
        <v>0.1</v>
      </c>
      <c r="R6" s="4">
        <v>0.95</v>
      </c>
      <c r="S6" s="4">
        <v>0.05</v>
      </c>
      <c r="T6" s="4">
        <v>0.05</v>
      </c>
      <c r="U6" s="4">
        <v>0.95</v>
      </c>
      <c r="V6" s="4">
        <v>0.95</v>
      </c>
      <c r="W6" s="4"/>
      <c r="X6" s="4"/>
      <c r="Y6" s="4"/>
    </row>
    <row r="7" spans="1:25" ht="14.25" customHeight="1">
      <c r="A7" s="2">
        <v>52</v>
      </c>
      <c r="B7" s="2">
        <v>6</v>
      </c>
      <c r="C7" s="2">
        <v>7</v>
      </c>
      <c r="D7" s="2">
        <v>1</v>
      </c>
      <c r="E7" s="2">
        <v>1.7090000000000001</v>
      </c>
      <c r="F7" s="2">
        <v>2</v>
      </c>
      <c r="H7" s="2">
        <v>52</v>
      </c>
      <c r="I7" s="2">
        <v>107</v>
      </c>
      <c r="J7" s="2">
        <v>4</v>
      </c>
      <c r="K7" s="2">
        <v>0</v>
      </c>
      <c r="L7" s="2">
        <v>0.96899999999999997</v>
      </c>
      <c r="M7" s="2">
        <v>1</v>
      </c>
      <c r="N7" s="3">
        <v>2</v>
      </c>
      <c r="O7" s="4">
        <v>0.05</v>
      </c>
      <c r="P7" s="4">
        <v>0.05</v>
      </c>
      <c r="Q7" s="3">
        <v>1</v>
      </c>
      <c r="R7" s="4">
        <v>0.95</v>
      </c>
      <c r="S7" s="4">
        <v>0.05</v>
      </c>
      <c r="T7" s="4">
        <v>0.05</v>
      </c>
      <c r="U7" s="4">
        <v>0.95</v>
      </c>
      <c r="V7" s="4">
        <v>0.95</v>
      </c>
      <c r="W7" s="4"/>
      <c r="X7" s="4"/>
      <c r="Y7" s="4"/>
    </row>
    <row r="8" spans="1:25" ht="14.25" customHeight="1">
      <c r="A8" s="2">
        <v>52</v>
      </c>
      <c r="B8" s="2">
        <v>7</v>
      </c>
      <c r="C8" s="2">
        <v>2</v>
      </c>
      <c r="E8" s="2">
        <v>2</v>
      </c>
      <c r="H8" s="2">
        <v>52</v>
      </c>
      <c r="I8" s="2">
        <v>108</v>
      </c>
      <c r="J8" s="2">
        <v>5</v>
      </c>
      <c r="K8" s="2">
        <v>1</v>
      </c>
      <c r="L8" s="2">
        <v>1.496</v>
      </c>
      <c r="M8" s="2">
        <v>1</v>
      </c>
      <c r="N8" s="3">
        <v>3</v>
      </c>
      <c r="O8" s="4">
        <v>0.05</v>
      </c>
      <c r="P8" s="4">
        <v>0.95</v>
      </c>
      <c r="Q8" s="4">
        <v>0.1</v>
      </c>
      <c r="R8" s="4">
        <v>0.95</v>
      </c>
      <c r="S8" s="4">
        <v>0.05</v>
      </c>
      <c r="T8" s="4">
        <v>0.95</v>
      </c>
      <c r="U8" s="4">
        <v>0.05</v>
      </c>
      <c r="V8" s="4">
        <v>0.95</v>
      </c>
      <c r="W8" s="4"/>
      <c r="X8" s="4"/>
      <c r="Y8" s="4"/>
    </row>
    <row r="9" spans="1:25" ht="14.25" customHeight="1">
      <c r="A9" s="2">
        <v>52</v>
      </c>
      <c r="B9" s="2">
        <v>8</v>
      </c>
      <c r="C9" s="2">
        <v>5</v>
      </c>
      <c r="D9" s="2">
        <v>1</v>
      </c>
      <c r="E9" s="2">
        <v>1.1830000000000001</v>
      </c>
      <c r="F9" s="2">
        <v>1</v>
      </c>
      <c r="H9" s="2">
        <v>52</v>
      </c>
      <c r="I9" s="2">
        <v>109</v>
      </c>
      <c r="J9" s="2">
        <v>8</v>
      </c>
      <c r="K9" s="2">
        <v>1</v>
      </c>
      <c r="L9" s="2">
        <v>0.61899999999999999</v>
      </c>
      <c r="M9" s="2">
        <v>2</v>
      </c>
      <c r="N9" s="3">
        <v>4</v>
      </c>
      <c r="O9" s="4">
        <v>0.5</v>
      </c>
      <c r="P9" s="4">
        <v>0.5</v>
      </c>
      <c r="Q9" s="4">
        <v>0.5</v>
      </c>
      <c r="R9" s="4">
        <v>0.5</v>
      </c>
      <c r="S9" s="4">
        <v>0.05</v>
      </c>
      <c r="T9" s="4">
        <v>0.05</v>
      </c>
      <c r="U9" s="4">
        <v>0.95</v>
      </c>
      <c r="V9" s="4">
        <v>0.95</v>
      </c>
      <c r="W9" s="4"/>
      <c r="X9" s="4"/>
      <c r="Y9" s="4"/>
    </row>
    <row r="10" spans="1:25" ht="14.25" customHeight="1">
      <c r="A10" s="2">
        <v>52</v>
      </c>
      <c r="B10" s="2">
        <v>9</v>
      </c>
      <c r="C10" s="2">
        <v>8</v>
      </c>
      <c r="D10" s="2">
        <v>0</v>
      </c>
      <c r="E10" s="2">
        <v>1.623</v>
      </c>
      <c r="F10" s="2">
        <v>1</v>
      </c>
      <c r="H10" s="2">
        <v>52</v>
      </c>
      <c r="I10" s="2">
        <v>110</v>
      </c>
      <c r="J10" s="2">
        <v>6</v>
      </c>
      <c r="K10" s="2">
        <v>1</v>
      </c>
      <c r="L10" s="2">
        <v>1.24</v>
      </c>
      <c r="M10" s="2">
        <v>1</v>
      </c>
      <c r="N10" s="3">
        <v>5</v>
      </c>
      <c r="O10" s="4">
        <v>0.05</v>
      </c>
      <c r="P10" s="4">
        <v>0.95</v>
      </c>
      <c r="Q10" s="4">
        <v>0.1</v>
      </c>
      <c r="R10" s="4">
        <v>0.95</v>
      </c>
      <c r="S10" s="4">
        <v>0.5</v>
      </c>
      <c r="T10" s="4">
        <v>0.5</v>
      </c>
      <c r="U10" s="4">
        <v>0.5</v>
      </c>
      <c r="V10" s="4">
        <v>0.5</v>
      </c>
      <c r="W10" s="4"/>
      <c r="X10" s="4"/>
      <c r="Y10" s="4"/>
    </row>
    <row r="11" spans="1:25" ht="14.25" customHeight="1">
      <c r="A11" s="2">
        <v>52</v>
      </c>
      <c r="B11" s="2">
        <v>10</v>
      </c>
      <c r="C11" s="2">
        <v>5</v>
      </c>
      <c r="D11" s="2">
        <v>1</v>
      </c>
      <c r="E11" s="2">
        <v>1.6950000000000001</v>
      </c>
      <c r="F11" s="2">
        <v>1</v>
      </c>
      <c r="H11" s="2">
        <v>52</v>
      </c>
      <c r="I11" s="2">
        <v>111</v>
      </c>
      <c r="J11" s="2">
        <v>8</v>
      </c>
      <c r="K11" s="2">
        <v>0</v>
      </c>
      <c r="L11" s="2">
        <v>1.2490000000000001</v>
      </c>
      <c r="M11" s="2">
        <v>2</v>
      </c>
      <c r="N11" s="3">
        <v>6</v>
      </c>
      <c r="O11" s="4">
        <v>0.5</v>
      </c>
      <c r="P11" s="4">
        <v>0.5</v>
      </c>
      <c r="Q11" s="4">
        <v>0.5</v>
      </c>
      <c r="R11" s="4">
        <v>0.5</v>
      </c>
      <c r="S11" s="4">
        <v>0.5</v>
      </c>
      <c r="T11" s="4">
        <v>0.5</v>
      </c>
      <c r="U11" s="4">
        <v>0.5</v>
      </c>
      <c r="V11" s="4">
        <v>0.5</v>
      </c>
      <c r="W11" s="4"/>
      <c r="X11" s="4"/>
      <c r="Y11" s="4"/>
    </row>
    <row r="12" spans="1:25" ht="14.25" customHeight="1">
      <c r="A12" s="2">
        <v>52</v>
      </c>
      <c r="B12" s="2">
        <v>11</v>
      </c>
      <c r="C12" s="2">
        <v>6</v>
      </c>
      <c r="D12" s="2">
        <v>0</v>
      </c>
      <c r="E12" s="2">
        <v>1.2290000000000001</v>
      </c>
      <c r="F12" s="2">
        <v>2</v>
      </c>
      <c r="H12" s="2">
        <v>52</v>
      </c>
      <c r="I12" s="2">
        <v>112</v>
      </c>
      <c r="J12" s="2">
        <v>4</v>
      </c>
      <c r="L12" s="2"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25" customHeight="1">
      <c r="A13" s="2">
        <v>52</v>
      </c>
      <c r="B13" s="2">
        <v>12</v>
      </c>
      <c r="C13" s="2">
        <v>2</v>
      </c>
      <c r="D13" s="2">
        <v>0</v>
      </c>
      <c r="E13" s="2">
        <v>1.663</v>
      </c>
      <c r="F13" s="2">
        <v>1</v>
      </c>
      <c r="H13" s="2">
        <v>52</v>
      </c>
      <c r="I13" s="2">
        <v>113</v>
      </c>
      <c r="J13" s="2">
        <v>6</v>
      </c>
      <c r="K13" s="2">
        <v>1</v>
      </c>
      <c r="L13" s="2">
        <v>1.014</v>
      </c>
      <c r="M13" s="2"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">
        <v>52</v>
      </c>
      <c r="B14" s="2">
        <v>13</v>
      </c>
      <c r="C14" s="2">
        <v>4</v>
      </c>
      <c r="D14" s="2">
        <v>1</v>
      </c>
      <c r="E14" s="2">
        <v>0.65200000000000002</v>
      </c>
      <c r="F14" s="2">
        <v>2</v>
      </c>
      <c r="H14" s="2">
        <v>52</v>
      </c>
      <c r="I14" s="2">
        <v>114</v>
      </c>
      <c r="J14" s="2">
        <v>3</v>
      </c>
      <c r="K14" s="2">
        <v>1</v>
      </c>
      <c r="L14" s="2">
        <v>0.71899999999999997</v>
      </c>
      <c r="M14" s="2">
        <v>2</v>
      </c>
      <c r="N14" s="4"/>
      <c r="O14" s="4" t="s">
        <v>8</v>
      </c>
      <c r="P14" s="4" t="s">
        <v>7</v>
      </c>
      <c r="Q14" s="4" t="s">
        <v>8</v>
      </c>
      <c r="R14" s="4" t="s">
        <v>7</v>
      </c>
      <c r="S14" s="4" t="s">
        <v>8</v>
      </c>
      <c r="T14" s="4" t="s">
        <v>8</v>
      </c>
      <c r="U14" s="4" t="s">
        <v>7</v>
      </c>
      <c r="V14" s="4" t="s">
        <v>7</v>
      </c>
      <c r="W14" s="4"/>
      <c r="X14" s="4"/>
      <c r="Y14" s="4"/>
    </row>
    <row r="15" spans="1:25" ht="14.25" customHeight="1">
      <c r="A15" s="2">
        <v>52</v>
      </c>
      <c r="B15" s="2">
        <v>14</v>
      </c>
      <c r="C15" s="2">
        <v>8</v>
      </c>
      <c r="D15" s="2">
        <v>1</v>
      </c>
      <c r="E15" s="2">
        <v>1.173</v>
      </c>
      <c r="F15" s="2">
        <v>2</v>
      </c>
      <c r="H15" s="2">
        <v>52</v>
      </c>
      <c r="I15" s="2">
        <v>115</v>
      </c>
      <c r="J15" s="2">
        <v>7</v>
      </c>
      <c r="K15" s="2">
        <v>1</v>
      </c>
      <c r="L15" s="2">
        <v>1.0009999999999999</v>
      </c>
      <c r="M15" s="2">
        <v>2</v>
      </c>
      <c r="N15" s="4"/>
      <c r="O15" s="4" t="s">
        <v>9</v>
      </c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4.25" customHeight="1">
      <c r="A16" s="2">
        <v>52</v>
      </c>
      <c r="B16" s="2">
        <v>15</v>
      </c>
      <c r="C16" s="2">
        <v>7</v>
      </c>
      <c r="D16" s="2">
        <v>0</v>
      </c>
      <c r="E16" s="2">
        <v>0.68300000000000005</v>
      </c>
      <c r="F16" s="2">
        <v>1</v>
      </c>
      <c r="H16" s="2">
        <v>52</v>
      </c>
      <c r="I16" s="2">
        <v>116</v>
      </c>
      <c r="J16" s="2">
        <v>3</v>
      </c>
      <c r="K16" s="2">
        <v>1</v>
      </c>
      <c r="L16" s="2">
        <v>1.4450000000000001</v>
      </c>
      <c r="M16" s="2">
        <v>1</v>
      </c>
      <c r="N16" s="4"/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W16" s="4"/>
      <c r="X16" s="4" t="s">
        <v>15</v>
      </c>
      <c r="Y16" s="4"/>
    </row>
    <row r="17" spans="1:25" ht="14.25" customHeight="1">
      <c r="A17" s="2">
        <v>52</v>
      </c>
      <c r="B17" s="2">
        <v>16</v>
      </c>
      <c r="C17" s="2">
        <v>3</v>
      </c>
      <c r="D17" s="2">
        <v>1</v>
      </c>
      <c r="E17" s="2">
        <v>1.2889999999999999</v>
      </c>
      <c r="F17" s="2">
        <v>1</v>
      </c>
      <c r="H17" s="2">
        <v>52</v>
      </c>
      <c r="I17" s="2">
        <v>117</v>
      </c>
      <c r="J17" s="2">
        <v>1</v>
      </c>
      <c r="K17" s="2">
        <v>1</v>
      </c>
      <c r="L17" s="2">
        <v>1.915</v>
      </c>
      <c r="M17" s="2">
        <v>1</v>
      </c>
      <c r="N17" s="3">
        <v>1</v>
      </c>
      <c r="O17" s="3">
        <f>(O6*COUNTIF($J$1:$J$101,O$16) - COUNTIFS($J$1:$J$101,O$16,$K$1:$K$101,"=0"))^2</f>
        <v>0.48999999999999994</v>
      </c>
      <c r="P17" s="3">
        <f t="shared" ref="P17:P22" si="0">(P6*COUNTIF($J$1:$J$101,P$16) - COUNTIFS($J$1:$J$101,P$16,$K$1:$K$101,"=1"))^2</f>
        <v>0.42249999999999932</v>
      </c>
      <c r="Q17" s="3">
        <f t="shared" ref="Q17:Q22" si="1">(Q6*COUNTIF($J$1:$J$101,Q$16) - COUNTIFS($J$1:$J$101,Q$16,$K$1:$K$101,"=0"))^2</f>
        <v>0.15999999999999992</v>
      </c>
      <c r="R17" s="3">
        <f t="shared" ref="R17:R22" si="2">(R6*COUNTIF($J$1:$J$101,R$16) - COUNTIFS($J$1:$J$101,R$16,$K$1:$K$101,"=1"))^2</f>
        <v>2.8899999999999975</v>
      </c>
      <c r="S17" s="3">
        <f t="shared" ref="S17:T17" si="3">(S6*COUNTIF($J$1:$J$101,S$16) - COUNTIFS($J$1:$J$101,S$16,$K$1:$K$101,"=0"))^2</f>
        <v>2.8899999999999997</v>
      </c>
      <c r="T17" s="3">
        <f t="shared" si="3"/>
        <v>9.0000000000000024E-2</v>
      </c>
      <c r="U17" s="3">
        <f t="shared" ref="U17:V17" si="4">(U6*COUNTIF($J$1:$J$101,U$16) - COUNTIFS($J$1:$J$101,U$16,$K$1:$K$101,"=1"))^2</f>
        <v>9.0000000000000427E-2</v>
      </c>
      <c r="V17" s="3">
        <f t="shared" si="4"/>
        <v>2.7224999999999984</v>
      </c>
      <c r="W17" s="4"/>
      <c r="X17" s="4"/>
      <c r="Y17" s="4"/>
    </row>
    <row r="18" spans="1:25" ht="14.25" customHeight="1">
      <c r="A18" s="2">
        <v>52</v>
      </c>
      <c r="B18" s="2">
        <v>17</v>
      </c>
      <c r="C18" s="2">
        <v>1</v>
      </c>
      <c r="D18" s="2">
        <v>0</v>
      </c>
      <c r="E18" s="2">
        <v>1.2410000000000001</v>
      </c>
      <c r="F18" s="2">
        <v>2</v>
      </c>
      <c r="H18" s="2">
        <v>52</v>
      </c>
      <c r="I18" s="2">
        <v>118</v>
      </c>
      <c r="J18" s="2">
        <v>2</v>
      </c>
      <c r="K18" s="2">
        <v>1</v>
      </c>
      <c r="L18" s="2">
        <v>0.95699999999999996</v>
      </c>
      <c r="M18" s="2">
        <v>2</v>
      </c>
      <c r="N18" s="3">
        <v>2</v>
      </c>
      <c r="O18" s="3">
        <f t="shared" ref="O18:O22" si="5">(O7*COUNTIF($J$1:$J$101,O$16) - COUNTIFS($J$1:$J$101,O$16,$K$1:$K$101,"=0"))^2</f>
        <v>0.48999999999999994</v>
      </c>
      <c r="P18" s="3">
        <f t="shared" si="0"/>
        <v>31.922500000000003</v>
      </c>
      <c r="Q18" s="6">
        <f t="shared" si="1"/>
        <v>25</v>
      </c>
      <c r="R18" s="3">
        <f t="shared" si="2"/>
        <v>2.8899999999999975</v>
      </c>
      <c r="S18" s="6">
        <f t="shared" ref="S18:T18" si="6">(S7*COUNTIF($J$1:$J$101,S$16) - COUNTIFS($J$1:$J$101,S$16,$K$1:$K$101,"=0"))^2</f>
        <v>2.8899999999999997</v>
      </c>
      <c r="T18" s="6">
        <f t="shared" si="6"/>
        <v>9.0000000000000024E-2</v>
      </c>
      <c r="U18" s="6">
        <f t="shared" ref="U18:V18" si="7">(U7*COUNTIF($J$1:$J$101,U$16) - COUNTIFS($J$1:$J$101,U$16,$K$1:$K$101,"=1"))^2</f>
        <v>9.0000000000000427E-2</v>
      </c>
      <c r="V18" s="6">
        <f t="shared" si="7"/>
        <v>2.7224999999999984</v>
      </c>
      <c r="W18" s="4"/>
      <c r="X18" s="4"/>
      <c r="Y18" s="4"/>
    </row>
    <row r="19" spans="1:25" ht="14.25" customHeight="1">
      <c r="A19" s="2">
        <v>52</v>
      </c>
      <c r="B19" s="2">
        <v>18</v>
      </c>
      <c r="C19" s="2">
        <v>2</v>
      </c>
      <c r="D19" s="2">
        <v>1</v>
      </c>
      <c r="E19" s="2">
        <v>1.766</v>
      </c>
      <c r="F19" s="2">
        <v>2</v>
      </c>
      <c r="H19" s="2">
        <v>52</v>
      </c>
      <c r="I19" s="2">
        <v>119</v>
      </c>
      <c r="J19" s="2">
        <v>5</v>
      </c>
      <c r="K19" s="2">
        <v>0</v>
      </c>
      <c r="L19" s="2">
        <v>1.4770000000000001</v>
      </c>
      <c r="M19" s="2">
        <v>2</v>
      </c>
      <c r="N19" s="3">
        <v>3</v>
      </c>
      <c r="O19" s="3">
        <f t="shared" si="5"/>
        <v>0.48999999999999994</v>
      </c>
      <c r="P19" s="3">
        <f t="shared" si="0"/>
        <v>0.42249999999999932</v>
      </c>
      <c r="Q19" s="3">
        <f t="shared" si="1"/>
        <v>0.15999999999999992</v>
      </c>
      <c r="R19" s="3">
        <f t="shared" si="2"/>
        <v>2.8899999999999975</v>
      </c>
      <c r="S19" s="6">
        <f t="shared" ref="S19:T19" si="8">(S8*COUNTIF($J$1:$J$101,S$16) - COUNTIFS($J$1:$J$101,S$16,$K$1:$K$101,"=0"))^2</f>
        <v>2.8899999999999997</v>
      </c>
      <c r="T19" s="6">
        <f t="shared" si="8"/>
        <v>32.489999999999995</v>
      </c>
      <c r="U19" s="3">
        <f t="shared" ref="U19:V19" si="9">(U8*COUNTIF($J$1:$J$101,U$16) - COUNTIFS($J$1:$J$101,U$16,$K$1:$K$101,"=1"))^2</f>
        <v>32.49</v>
      </c>
      <c r="V19" s="6">
        <f t="shared" si="9"/>
        <v>2.7224999999999984</v>
      </c>
      <c r="W19" s="4"/>
      <c r="X19" s="4"/>
      <c r="Y19" s="4"/>
    </row>
    <row r="20" spans="1:25" ht="14.25" customHeight="1">
      <c r="A20" s="2">
        <v>52</v>
      </c>
      <c r="B20" s="2">
        <v>19</v>
      </c>
      <c r="C20" s="2">
        <v>3</v>
      </c>
      <c r="D20" s="2">
        <v>1</v>
      </c>
      <c r="E20" s="2">
        <v>1.869</v>
      </c>
      <c r="F20" s="2">
        <v>1</v>
      </c>
      <c r="H20" s="2">
        <v>52</v>
      </c>
      <c r="I20" s="2">
        <v>120</v>
      </c>
      <c r="J20" s="2">
        <v>2</v>
      </c>
      <c r="K20" s="2">
        <v>1</v>
      </c>
      <c r="L20" s="2">
        <v>1.4410000000000001</v>
      </c>
      <c r="M20" s="2">
        <v>1</v>
      </c>
      <c r="N20" s="3">
        <v>4</v>
      </c>
      <c r="O20" s="3">
        <f t="shared" si="5"/>
        <v>4</v>
      </c>
      <c r="P20" s="3">
        <f t="shared" si="0"/>
        <v>6.25</v>
      </c>
      <c r="Q20" s="3">
        <f t="shared" si="1"/>
        <v>4</v>
      </c>
      <c r="R20" s="3">
        <f t="shared" si="2"/>
        <v>1</v>
      </c>
      <c r="S20" s="6">
        <f t="shared" ref="S20:T20" si="10">(S9*COUNTIF($J$1:$J$101,S$16) - COUNTIFS($J$1:$J$101,S$16,$K$1:$K$101,"=0"))^2</f>
        <v>2.8899999999999997</v>
      </c>
      <c r="T20" s="6">
        <f t="shared" si="10"/>
        <v>9.0000000000000024E-2</v>
      </c>
      <c r="U20" s="6">
        <f t="shared" ref="U20:V20" si="11">(U9*COUNTIF($J$1:$J$101,U$16) - COUNTIFS($J$1:$J$101,U$16,$K$1:$K$101,"=1"))^2</f>
        <v>9.0000000000000427E-2</v>
      </c>
      <c r="V20" s="6">
        <f t="shared" si="11"/>
        <v>2.7224999999999984</v>
      </c>
      <c r="W20" s="4"/>
      <c r="X20" s="4"/>
      <c r="Y20" s="4"/>
    </row>
    <row r="21" spans="1:25" ht="14.25" customHeight="1">
      <c r="A21" s="2">
        <v>52</v>
      </c>
      <c r="B21" s="2">
        <v>20</v>
      </c>
      <c r="C21" s="2">
        <v>6</v>
      </c>
      <c r="D21" s="2">
        <v>1</v>
      </c>
      <c r="E21" s="2">
        <v>1.5109999999999999</v>
      </c>
      <c r="F21" s="2">
        <v>1</v>
      </c>
      <c r="H21" s="2">
        <v>52</v>
      </c>
      <c r="I21" s="2">
        <v>121</v>
      </c>
      <c r="J21" s="2">
        <v>5</v>
      </c>
      <c r="K21" s="2">
        <v>0</v>
      </c>
      <c r="L21" s="2">
        <v>1.964</v>
      </c>
      <c r="M21" s="2">
        <v>2</v>
      </c>
      <c r="N21" s="3">
        <v>5</v>
      </c>
      <c r="O21" s="3">
        <f t="shared" si="5"/>
        <v>0.48999999999999994</v>
      </c>
      <c r="P21" s="3">
        <f t="shared" si="0"/>
        <v>0.42249999999999932</v>
      </c>
      <c r="Q21" s="3">
        <f t="shared" si="1"/>
        <v>0.15999999999999992</v>
      </c>
      <c r="R21" s="3">
        <f t="shared" si="2"/>
        <v>2.8899999999999975</v>
      </c>
      <c r="S21" s="6">
        <f t="shared" ref="S21:T21" si="12">(S10*COUNTIF($J$1:$J$101,S$16) - COUNTIFS($J$1:$J$101,S$16,$K$1:$K$101,"=0"))^2</f>
        <v>1</v>
      </c>
      <c r="T21" s="6">
        <f t="shared" si="12"/>
        <v>9</v>
      </c>
      <c r="U21" s="6">
        <f t="shared" ref="U21:V21" si="13">(U10*COUNTIF($J$1:$J$101,U$16) - COUNTIFS($J$1:$J$101,U$16,$K$1:$K$101,"=1"))^2</f>
        <v>9</v>
      </c>
      <c r="V21" s="6">
        <f t="shared" si="13"/>
        <v>2.25</v>
      </c>
      <c r="W21" s="4"/>
      <c r="X21" s="4"/>
      <c r="Y21" s="4"/>
    </row>
    <row r="22" spans="1:25" ht="14.25" customHeight="1">
      <c r="A22" s="2">
        <v>52</v>
      </c>
      <c r="B22" s="2">
        <v>21</v>
      </c>
      <c r="C22" s="2">
        <v>3</v>
      </c>
      <c r="D22" s="2">
        <v>0</v>
      </c>
      <c r="E22" s="2">
        <v>1.2589999999999999</v>
      </c>
      <c r="F22" s="2">
        <v>2</v>
      </c>
      <c r="H22" s="2">
        <v>52</v>
      </c>
      <c r="I22" s="2">
        <v>122</v>
      </c>
      <c r="J22" s="2">
        <v>8</v>
      </c>
      <c r="K22" s="2">
        <v>1</v>
      </c>
      <c r="L22" s="2">
        <v>0.999</v>
      </c>
      <c r="M22" s="2">
        <v>1</v>
      </c>
      <c r="N22" s="3">
        <v>6</v>
      </c>
      <c r="O22" s="3">
        <f t="shared" si="5"/>
        <v>4</v>
      </c>
      <c r="P22" s="3">
        <f t="shared" si="0"/>
        <v>6.25</v>
      </c>
      <c r="Q22" s="3">
        <f t="shared" si="1"/>
        <v>4</v>
      </c>
      <c r="R22" s="3">
        <f t="shared" si="2"/>
        <v>1</v>
      </c>
      <c r="S22" s="6">
        <f t="shared" ref="S22:T22" si="14">(S11*COUNTIF($J$1:$J$101,S$16) - COUNTIFS($J$1:$J$101,S$16,$K$1:$K$101,"=0"))^2</f>
        <v>1</v>
      </c>
      <c r="T22" s="6">
        <f t="shared" si="14"/>
        <v>9</v>
      </c>
      <c r="U22" s="6">
        <f t="shared" ref="U22:V22" si="15">(U11*COUNTIF($J$1:$J$101,U$16) - COUNTIFS($J$1:$J$101,U$16,$K$1:$K$101,"=1"))^2</f>
        <v>9</v>
      </c>
      <c r="V22" s="6">
        <f t="shared" si="15"/>
        <v>2.25</v>
      </c>
      <c r="W22" s="4"/>
      <c r="X22" s="4"/>
      <c r="Y22" s="4"/>
    </row>
    <row r="23" spans="1:25" ht="14.25" customHeight="1">
      <c r="A23" s="2">
        <v>52</v>
      </c>
      <c r="B23" s="2">
        <v>22</v>
      </c>
      <c r="C23" s="2">
        <v>5</v>
      </c>
      <c r="D23" s="2">
        <v>1</v>
      </c>
      <c r="E23" s="2">
        <v>0.65800000000000003</v>
      </c>
      <c r="F23" s="2">
        <v>1</v>
      </c>
      <c r="H23" s="2">
        <v>52</v>
      </c>
      <c r="I23" s="2">
        <v>123</v>
      </c>
      <c r="J23" s="2">
        <v>2</v>
      </c>
      <c r="K23" s="2">
        <v>1</v>
      </c>
      <c r="L23" s="2">
        <v>0.78100000000000003</v>
      </c>
      <c r="M23" s="2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4.25" customHeight="1">
      <c r="A24" s="2">
        <v>52</v>
      </c>
      <c r="B24" s="2">
        <v>23</v>
      </c>
      <c r="C24" s="2">
        <v>1</v>
      </c>
      <c r="D24" s="2">
        <v>0</v>
      </c>
      <c r="E24" s="2">
        <v>1.518</v>
      </c>
      <c r="F24" s="2">
        <v>2</v>
      </c>
      <c r="H24" s="2">
        <v>52</v>
      </c>
      <c r="I24" s="2">
        <v>124</v>
      </c>
      <c r="J24" s="2">
        <v>8</v>
      </c>
      <c r="K24" s="2">
        <v>0</v>
      </c>
      <c r="L24" s="2">
        <v>1.5680000000000001</v>
      </c>
      <c r="M24" s="2">
        <v>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25" customHeight="1">
      <c r="A25" s="2">
        <v>52</v>
      </c>
      <c r="B25" s="2">
        <v>24</v>
      </c>
      <c r="C25" s="2">
        <v>3</v>
      </c>
      <c r="E25" s="2">
        <v>2</v>
      </c>
      <c r="H25" s="2">
        <v>52</v>
      </c>
      <c r="I25" s="2">
        <v>125</v>
      </c>
      <c r="J25" s="2">
        <v>1</v>
      </c>
      <c r="K25" s="2">
        <v>0</v>
      </c>
      <c r="L25" s="2">
        <v>1.302</v>
      </c>
      <c r="M25" s="2">
        <v>1</v>
      </c>
      <c r="N25" s="4"/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U25" s="3">
        <v>7</v>
      </c>
      <c r="V25" s="3">
        <v>8</v>
      </c>
      <c r="W25" s="4"/>
      <c r="X25" s="4" t="s">
        <v>16</v>
      </c>
      <c r="Y25" s="4"/>
    </row>
    <row r="26" spans="1:25" ht="14.25" customHeight="1">
      <c r="A26" s="2">
        <v>52</v>
      </c>
      <c r="B26" s="2">
        <v>25</v>
      </c>
      <c r="C26" s="2">
        <v>7</v>
      </c>
      <c r="D26" s="2">
        <v>1</v>
      </c>
      <c r="E26" s="2">
        <v>1.1679999999999999</v>
      </c>
      <c r="F26" s="2">
        <v>2</v>
      </c>
      <c r="H26" s="2">
        <v>52</v>
      </c>
      <c r="I26" s="2">
        <v>126</v>
      </c>
      <c r="J26" s="2">
        <v>7</v>
      </c>
      <c r="K26" s="2">
        <v>1</v>
      </c>
      <c r="L26" s="2">
        <v>1.4410000000000001</v>
      </c>
      <c r="M26" s="2">
        <v>1</v>
      </c>
      <c r="N26" s="4"/>
      <c r="O26" s="3">
        <f>COUNTIF($J$1:$J$102,O16)*COUNTIF($J$1:$J$102,O16)</f>
        <v>36</v>
      </c>
      <c r="P26" s="3">
        <f>COUNTIF($J$1:$J$102,P16)*COUNTIF($J$1:$J$102,P16)</f>
        <v>49</v>
      </c>
      <c r="Q26" s="3">
        <f t="shared" ref="Q26:V26" si="16">COUNTIF($J$1:$J$102,Q16)*COUNTIF($J$1:$J$102,Q16)</f>
        <v>36</v>
      </c>
      <c r="R26" s="3">
        <f t="shared" si="16"/>
        <v>36</v>
      </c>
      <c r="S26" s="3">
        <f t="shared" si="16"/>
        <v>36</v>
      </c>
      <c r="T26" s="3">
        <f t="shared" si="16"/>
        <v>36</v>
      </c>
      <c r="U26" s="3">
        <f t="shared" si="16"/>
        <v>36</v>
      </c>
      <c r="V26" s="3">
        <f t="shared" si="16"/>
        <v>49</v>
      </c>
      <c r="W26" s="4"/>
      <c r="X26" s="4"/>
      <c r="Y26" s="4"/>
    </row>
    <row r="27" spans="1:25" ht="14.25" customHeight="1">
      <c r="A27" s="2">
        <v>52</v>
      </c>
      <c r="B27" s="2">
        <v>26</v>
      </c>
      <c r="C27" s="2">
        <v>6</v>
      </c>
      <c r="D27" s="2">
        <v>0</v>
      </c>
      <c r="E27" s="2">
        <v>1.0229999999999999</v>
      </c>
      <c r="F27" s="2">
        <v>2</v>
      </c>
      <c r="H27" s="2">
        <v>52</v>
      </c>
      <c r="I27" s="2">
        <v>127</v>
      </c>
      <c r="J27" s="2">
        <v>8</v>
      </c>
      <c r="K27" s="2">
        <v>1</v>
      </c>
      <c r="L27" s="2">
        <v>1.173</v>
      </c>
      <c r="M27" s="2">
        <v>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>
      <c r="A28" s="2">
        <v>52</v>
      </c>
      <c r="B28" s="2">
        <v>27</v>
      </c>
      <c r="C28" s="2">
        <v>8</v>
      </c>
      <c r="D28" s="2">
        <v>1</v>
      </c>
      <c r="E28" s="2">
        <v>0.89300000000000002</v>
      </c>
      <c r="F28" s="2">
        <v>2</v>
      </c>
      <c r="H28" s="2">
        <v>52</v>
      </c>
      <c r="I28" s="2">
        <v>128</v>
      </c>
      <c r="J28" s="2">
        <v>6</v>
      </c>
      <c r="K28" s="2">
        <v>1</v>
      </c>
      <c r="L28" s="2">
        <v>0.92600000000000005</v>
      </c>
      <c r="M28" s="2">
        <v>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2">
        <v>52</v>
      </c>
      <c r="B29" s="2">
        <v>28</v>
      </c>
      <c r="C29" s="2">
        <v>4</v>
      </c>
      <c r="D29" s="2">
        <v>0</v>
      </c>
      <c r="E29" s="2">
        <v>1.042</v>
      </c>
      <c r="F29" s="2">
        <v>1</v>
      </c>
      <c r="H29" s="2">
        <v>52</v>
      </c>
      <c r="I29" s="2">
        <v>129</v>
      </c>
      <c r="J29" s="2">
        <v>1</v>
      </c>
      <c r="K29" s="2">
        <v>1</v>
      </c>
      <c r="L29" s="2">
        <v>1.2629999999999999</v>
      </c>
      <c r="M29" s="2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2">
        <v>52</v>
      </c>
      <c r="B30" s="2">
        <v>29</v>
      </c>
      <c r="C30" s="2">
        <v>3</v>
      </c>
      <c r="D30" s="2">
        <v>0</v>
      </c>
      <c r="E30" s="2">
        <v>1.214</v>
      </c>
      <c r="F30" s="2">
        <v>2</v>
      </c>
      <c r="H30" s="2">
        <v>52</v>
      </c>
      <c r="I30" s="2">
        <v>130</v>
      </c>
      <c r="J30" s="2">
        <v>4</v>
      </c>
      <c r="K30" s="2">
        <v>1</v>
      </c>
      <c r="L30" s="2">
        <v>1.5349999999999999</v>
      </c>
      <c r="M30" s="2">
        <v>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2">
        <v>52</v>
      </c>
      <c r="B31" s="2">
        <v>30</v>
      </c>
      <c r="C31" s="2">
        <v>7</v>
      </c>
      <c r="D31" s="2">
        <v>1</v>
      </c>
      <c r="E31" s="2">
        <v>0.79800000000000004</v>
      </c>
      <c r="F31" s="2">
        <v>2</v>
      </c>
      <c r="H31" s="2">
        <v>52</v>
      </c>
      <c r="I31" s="2">
        <v>131</v>
      </c>
      <c r="J31" s="2">
        <v>2</v>
      </c>
      <c r="K31" s="2">
        <v>1</v>
      </c>
      <c r="L31" s="2">
        <v>1.978</v>
      </c>
      <c r="M31" s="2">
        <v>2</v>
      </c>
      <c r="N31" s="3">
        <v>1</v>
      </c>
      <c r="O31" s="3">
        <f>SUM(O17:V17)/SUM(O$26:V$26)</f>
        <v>3.1066878980891704E-2</v>
      </c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2">
        <v>52</v>
      </c>
      <c r="B32" s="2">
        <v>31</v>
      </c>
      <c r="C32" s="2">
        <v>8</v>
      </c>
      <c r="D32" s="2">
        <v>1</v>
      </c>
      <c r="E32" s="2">
        <v>0.79100000000000004</v>
      </c>
      <c r="F32" s="2">
        <v>2</v>
      </c>
      <c r="H32" s="2">
        <v>52</v>
      </c>
      <c r="I32" s="2">
        <v>132</v>
      </c>
      <c r="J32" s="2">
        <v>6</v>
      </c>
      <c r="K32" s="2">
        <v>1</v>
      </c>
      <c r="L32" s="2">
        <v>1.0529999999999999</v>
      </c>
      <c r="M32" s="2">
        <v>1</v>
      </c>
      <c r="N32" s="3">
        <v>2</v>
      </c>
      <c r="O32" s="3">
        <f t="shared" ref="O32:O36" si="17">SUM(O18:V18)/SUM(O$26:V$26)</f>
        <v>0.21049363057324844</v>
      </c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2">
        <v>52</v>
      </c>
      <c r="B33" s="2">
        <v>32</v>
      </c>
      <c r="C33" s="2">
        <v>6</v>
      </c>
      <c r="D33" s="2">
        <v>1</v>
      </c>
      <c r="E33" s="2">
        <v>0.81299999999999994</v>
      </c>
      <c r="F33" s="2">
        <v>1</v>
      </c>
      <c r="H33" s="2">
        <v>52</v>
      </c>
      <c r="I33" s="2">
        <v>133</v>
      </c>
      <c r="J33" s="2">
        <v>2</v>
      </c>
      <c r="K33" s="2">
        <v>1</v>
      </c>
      <c r="L33" s="2">
        <v>1.3109999999999999</v>
      </c>
      <c r="M33" s="2">
        <v>2</v>
      </c>
      <c r="N33" s="3">
        <v>3</v>
      </c>
      <c r="O33" s="3">
        <f t="shared" si="17"/>
        <v>0.23743630573248406</v>
      </c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2">
        <v>52</v>
      </c>
      <c r="B34" s="2">
        <v>33</v>
      </c>
      <c r="C34" s="2">
        <v>4</v>
      </c>
      <c r="D34" s="2">
        <v>0</v>
      </c>
      <c r="E34" s="2">
        <v>0.88900000000000001</v>
      </c>
      <c r="F34" s="2">
        <v>1</v>
      </c>
      <c r="H34" s="2">
        <v>52</v>
      </c>
      <c r="I34" s="2">
        <v>134</v>
      </c>
      <c r="J34" s="2">
        <v>3</v>
      </c>
      <c r="K34" s="2">
        <v>1</v>
      </c>
      <c r="L34" s="2">
        <v>1.47</v>
      </c>
      <c r="M34" s="2">
        <v>2</v>
      </c>
      <c r="N34" s="3">
        <v>4</v>
      </c>
      <c r="O34" s="3">
        <f t="shared" si="17"/>
        <v>6.7014331210191069E-2</v>
      </c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>
      <c r="A35" s="2">
        <v>52</v>
      </c>
      <c r="B35" s="2">
        <v>34</v>
      </c>
      <c r="C35" s="2">
        <v>2</v>
      </c>
      <c r="D35" s="2">
        <v>0</v>
      </c>
      <c r="E35" s="2">
        <v>0.79100000000000004</v>
      </c>
      <c r="F35" s="2">
        <v>1</v>
      </c>
      <c r="H35" s="2">
        <v>52</v>
      </c>
      <c r="I35" s="2">
        <v>135</v>
      </c>
      <c r="J35" s="2">
        <v>8</v>
      </c>
      <c r="K35" s="2">
        <v>1</v>
      </c>
      <c r="L35" s="2">
        <v>1.254</v>
      </c>
      <c r="M35" s="2">
        <v>1</v>
      </c>
      <c r="N35" s="3">
        <v>5</v>
      </c>
      <c r="O35" s="3">
        <f t="shared" si="17"/>
        <v>8.0294585987261136E-2</v>
      </c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>
      <c r="A36" s="2">
        <v>52</v>
      </c>
      <c r="B36" s="2">
        <v>35</v>
      </c>
      <c r="C36" s="2">
        <v>5</v>
      </c>
      <c r="D36" s="2">
        <v>1</v>
      </c>
      <c r="E36" s="2">
        <v>1.669</v>
      </c>
      <c r="F36" s="2">
        <v>1</v>
      </c>
      <c r="H36" s="2">
        <v>52</v>
      </c>
      <c r="I36" s="2">
        <v>136</v>
      </c>
      <c r="J36" s="2">
        <v>2</v>
      </c>
      <c r="K36" s="2">
        <v>1</v>
      </c>
      <c r="L36" s="2">
        <v>0.89100000000000001</v>
      </c>
      <c r="M36" s="2">
        <v>2</v>
      </c>
      <c r="N36" s="3">
        <v>6</v>
      </c>
      <c r="O36" s="3">
        <f t="shared" si="17"/>
        <v>0.11624203821656051</v>
      </c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4.25" customHeight="1">
      <c r="A37" s="2">
        <v>52</v>
      </c>
      <c r="B37" s="2">
        <v>36</v>
      </c>
      <c r="C37" s="2">
        <v>8</v>
      </c>
      <c r="D37" s="2">
        <v>1</v>
      </c>
      <c r="E37" s="2">
        <v>0.627</v>
      </c>
      <c r="F37" s="2">
        <v>2</v>
      </c>
      <c r="H37" s="2">
        <v>52</v>
      </c>
      <c r="I37" s="2">
        <v>137</v>
      </c>
      <c r="J37" s="2">
        <v>1</v>
      </c>
      <c r="K37" s="2">
        <v>1</v>
      </c>
      <c r="L37" s="2">
        <v>1.111</v>
      </c>
      <c r="M37" s="2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4.25" customHeight="1">
      <c r="A38" s="2">
        <v>52</v>
      </c>
      <c r="B38" s="2">
        <v>37</v>
      </c>
      <c r="C38" s="2">
        <v>1</v>
      </c>
      <c r="D38" s="2">
        <v>1</v>
      </c>
      <c r="E38" s="2">
        <v>0.92600000000000005</v>
      </c>
      <c r="F38" s="2">
        <v>1</v>
      </c>
      <c r="H38" s="2">
        <v>52</v>
      </c>
      <c r="I38" s="2">
        <v>138</v>
      </c>
      <c r="J38" s="2">
        <v>8</v>
      </c>
      <c r="K38" s="2">
        <v>1</v>
      </c>
      <c r="L38" s="2">
        <v>1.1020000000000001</v>
      </c>
      <c r="M38" s="2">
        <v>1</v>
      </c>
    </row>
    <row r="39" spans="1:25" ht="14.25" customHeight="1">
      <c r="A39" s="2">
        <v>52</v>
      </c>
      <c r="B39" s="2">
        <v>38</v>
      </c>
      <c r="C39" s="2">
        <v>3</v>
      </c>
      <c r="D39" s="2">
        <v>0</v>
      </c>
      <c r="E39" s="2">
        <v>1.151</v>
      </c>
      <c r="F39" s="2">
        <v>2</v>
      </c>
      <c r="H39" s="2">
        <v>52</v>
      </c>
      <c r="I39" s="2">
        <v>139</v>
      </c>
      <c r="J39" s="2">
        <v>1</v>
      </c>
      <c r="K39" s="2">
        <v>1</v>
      </c>
      <c r="L39" s="2">
        <v>0.878</v>
      </c>
      <c r="M39" s="2">
        <v>1</v>
      </c>
    </row>
    <row r="40" spans="1:25" ht="14.25" customHeight="1">
      <c r="A40" s="2">
        <v>52</v>
      </c>
      <c r="B40" s="2">
        <v>39</v>
      </c>
      <c r="C40" s="2">
        <v>5</v>
      </c>
      <c r="D40" s="2">
        <v>1</v>
      </c>
      <c r="E40" s="2">
        <v>1.3520000000000001</v>
      </c>
      <c r="F40" s="2">
        <v>1</v>
      </c>
      <c r="H40" s="2">
        <v>52</v>
      </c>
      <c r="I40" s="2">
        <v>140</v>
      </c>
      <c r="J40" s="2">
        <v>7</v>
      </c>
      <c r="K40" s="2">
        <v>1</v>
      </c>
      <c r="L40" s="2">
        <v>0.84199999999999997</v>
      </c>
      <c r="M40" s="2">
        <v>2</v>
      </c>
    </row>
    <row r="41" spans="1:25" ht="14.25" customHeight="1">
      <c r="A41" s="2">
        <v>52</v>
      </c>
      <c r="B41" s="2">
        <v>40</v>
      </c>
      <c r="C41" s="2">
        <v>4</v>
      </c>
      <c r="D41" s="2">
        <v>0</v>
      </c>
      <c r="E41" s="2">
        <v>1.3440000000000001</v>
      </c>
      <c r="F41" s="2">
        <v>1</v>
      </c>
      <c r="H41" s="2">
        <v>52</v>
      </c>
      <c r="I41" s="2">
        <v>141</v>
      </c>
      <c r="J41" s="2">
        <v>4</v>
      </c>
      <c r="K41" s="2">
        <v>1</v>
      </c>
      <c r="L41" s="2">
        <v>1.794</v>
      </c>
      <c r="M41" s="2">
        <v>1</v>
      </c>
    </row>
    <row r="42" spans="1:25" ht="14.25" customHeight="1">
      <c r="A42" s="2">
        <v>52</v>
      </c>
      <c r="B42" s="2">
        <v>41</v>
      </c>
      <c r="C42" s="2">
        <v>6</v>
      </c>
      <c r="D42" s="2">
        <v>1</v>
      </c>
      <c r="E42" s="2">
        <v>1.151</v>
      </c>
      <c r="F42" s="2">
        <v>1</v>
      </c>
      <c r="H42" s="2">
        <v>52</v>
      </c>
      <c r="I42" s="2">
        <v>142</v>
      </c>
      <c r="J42" s="2">
        <v>7</v>
      </c>
      <c r="K42" s="2">
        <v>1</v>
      </c>
      <c r="L42" s="2">
        <v>1.0820000000000001</v>
      </c>
      <c r="M42" s="2">
        <v>2</v>
      </c>
    </row>
    <row r="43" spans="1:25" ht="14.25" customHeight="1">
      <c r="A43" s="2">
        <v>52</v>
      </c>
      <c r="B43" s="2">
        <v>42</v>
      </c>
      <c r="C43" s="2">
        <v>2</v>
      </c>
      <c r="D43" s="2">
        <v>0</v>
      </c>
      <c r="E43" s="2">
        <v>0.73199999999999998</v>
      </c>
      <c r="F43" s="2">
        <v>1</v>
      </c>
      <c r="H43" s="2">
        <v>52</v>
      </c>
      <c r="I43" s="2">
        <v>143</v>
      </c>
      <c r="J43" s="2">
        <v>4</v>
      </c>
      <c r="K43" s="2">
        <v>1</v>
      </c>
      <c r="L43" s="2">
        <v>1.83</v>
      </c>
      <c r="M43" s="2">
        <v>2</v>
      </c>
    </row>
    <row r="44" spans="1:25" ht="14.25" customHeight="1">
      <c r="A44" s="2">
        <v>52</v>
      </c>
      <c r="B44" s="2">
        <v>43</v>
      </c>
      <c r="C44" s="2">
        <v>7</v>
      </c>
      <c r="D44" s="2">
        <v>1</v>
      </c>
      <c r="E44" s="2">
        <v>1.25</v>
      </c>
      <c r="F44" s="2">
        <v>2</v>
      </c>
      <c r="H44" s="2">
        <v>52</v>
      </c>
      <c r="I44" s="2">
        <v>144</v>
      </c>
      <c r="J44" s="2">
        <v>2</v>
      </c>
      <c r="K44" s="2">
        <v>0</v>
      </c>
      <c r="L44" s="2">
        <v>0.97199999999999998</v>
      </c>
      <c r="M44" s="2">
        <v>1</v>
      </c>
    </row>
    <row r="45" spans="1:25" ht="14.25" customHeight="1">
      <c r="A45" s="2">
        <v>52</v>
      </c>
      <c r="B45" s="2">
        <v>44</v>
      </c>
      <c r="C45" s="2">
        <v>4</v>
      </c>
      <c r="D45" s="2">
        <v>0</v>
      </c>
      <c r="E45" s="2">
        <v>1.2470000000000001</v>
      </c>
      <c r="F45" s="2">
        <v>1</v>
      </c>
      <c r="H45" s="2">
        <v>52</v>
      </c>
      <c r="I45" s="2">
        <v>145</v>
      </c>
      <c r="J45" s="2">
        <v>1</v>
      </c>
      <c r="K45" s="2">
        <v>1</v>
      </c>
      <c r="L45" s="2">
        <v>0.92700000000000005</v>
      </c>
      <c r="M45" s="2">
        <v>1</v>
      </c>
    </row>
    <row r="46" spans="1:25" ht="14.25" customHeight="1">
      <c r="A46" s="2">
        <v>52</v>
      </c>
      <c r="B46" s="2">
        <v>45</v>
      </c>
      <c r="C46" s="2">
        <v>5</v>
      </c>
      <c r="D46" s="2">
        <v>1</v>
      </c>
      <c r="E46" s="2">
        <v>0.80400000000000005</v>
      </c>
      <c r="F46" s="2">
        <v>1</v>
      </c>
      <c r="H46" s="2">
        <v>52</v>
      </c>
      <c r="I46" s="2">
        <v>146</v>
      </c>
      <c r="J46" s="2">
        <v>3</v>
      </c>
      <c r="K46" s="2">
        <v>1</v>
      </c>
      <c r="L46" s="2">
        <v>0.91100000000000003</v>
      </c>
      <c r="M46" s="2">
        <v>2</v>
      </c>
    </row>
    <row r="47" spans="1:25" ht="14.25" customHeight="1">
      <c r="A47" s="2">
        <v>52</v>
      </c>
      <c r="B47" s="2">
        <v>46</v>
      </c>
      <c r="C47" s="2">
        <v>4</v>
      </c>
      <c r="D47" s="2">
        <v>1</v>
      </c>
      <c r="E47" s="2">
        <v>0.879</v>
      </c>
      <c r="F47" s="2">
        <v>2</v>
      </c>
      <c r="H47" s="2">
        <v>52</v>
      </c>
      <c r="I47" s="2">
        <v>147</v>
      </c>
      <c r="J47" s="2">
        <v>5</v>
      </c>
      <c r="K47" s="2">
        <v>1</v>
      </c>
      <c r="L47" s="2">
        <v>0.84199999999999997</v>
      </c>
      <c r="M47" s="2">
        <v>1</v>
      </c>
    </row>
    <row r="48" spans="1:25" ht="14.25" customHeight="1">
      <c r="A48" s="2">
        <v>52</v>
      </c>
      <c r="B48" s="2">
        <v>47</v>
      </c>
      <c r="C48" s="2">
        <v>1</v>
      </c>
      <c r="D48" s="2">
        <v>1</v>
      </c>
      <c r="E48" s="2">
        <v>0.75900000000000001</v>
      </c>
      <c r="F48" s="2">
        <v>1</v>
      </c>
      <c r="H48" s="2">
        <v>52</v>
      </c>
      <c r="I48" s="2">
        <v>148</v>
      </c>
      <c r="J48" s="2">
        <v>3</v>
      </c>
      <c r="K48" s="2">
        <v>0</v>
      </c>
      <c r="L48" s="2">
        <v>1.2549999999999999</v>
      </c>
      <c r="M48" s="2">
        <v>2</v>
      </c>
    </row>
    <row r="49" spans="1:13" ht="14.25" customHeight="1">
      <c r="A49" s="2">
        <v>52</v>
      </c>
      <c r="B49" s="2">
        <v>48</v>
      </c>
      <c r="C49" s="2">
        <v>6</v>
      </c>
      <c r="D49" s="2">
        <v>1</v>
      </c>
      <c r="E49" s="2">
        <v>0.81</v>
      </c>
      <c r="F49" s="2">
        <v>1</v>
      </c>
      <c r="H49" s="2">
        <v>52</v>
      </c>
      <c r="I49" s="2">
        <v>149</v>
      </c>
      <c r="J49" s="2">
        <v>4</v>
      </c>
      <c r="K49" s="2">
        <v>1</v>
      </c>
      <c r="L49" s="2">
        <v>1.7509999999999999</v>
      </c>
      <c r="M49" s="2">
        <v>2</v>
      </c>
    </row>
    <row r="50" spans="1:13" ht="14.25" customHeight="1">
      <c r="A50" s="2">
        <v>52</v>
      </c>
      <c r="B50" s="2">
        <v>49</v>
      </c>
      <c r="C50" s="2">
        <v>2</v>
      </c>
      <c r="D50" s="2">
        <v>0</v>
      </c>
      <c r="E50" s="2">
        <v>0.66100000000000003</v>
      </c>
      <c r="F50" s="2">
        <v>1</v>
      </c>
      <c r="H50" s="2">
        <v>52</v>
      </c>
      <c r="I50" s="2">
        <v>150</v>
      </c>
      <c r="J50" s="2">
        <v>5</v>
      </c>
      <c r="K50" s="2">
        <v>1</v>
      </c>
      <c r="L50" s="2">
        <v>0.90600000000000003</v>
      </c>
      <c r="M50" s="2">
        <v>2</v>
      </c>
    </row>
    <row r="51" spans="1:13" ht="14.25" customHeight="1">
      <c r="A51" s="2">
        <v>52</v>
      </c>
      <c r="B51" s="2">
        <v>50</v>
      </c>
      <c r="C51" s="2">
        <v>8</v>
      </c>
      <c r="D51" s="2">
        <v>1</v>
      </c>
      <c r="E51" s="2">
        <v>0.88800000000000001</v>
      </c>
      <c r="F51" s="2">
        <v>2</v>
      </c>
    </row>
    <row r="52" spans="1:13" ht="14.25" customHeight="1">
      <c r="A52" s="2">
        <v>52</v>
      </c>
      <c r="B52" s="2">
        <v>51</v>
      </c>
      <c r="C52" s="2">
        <v>4</v>
      </c>
      <c r="D52" s="2">
        <v>0</v>
      </c>
      <c r="E52" s="2">
        <v>1.115</v>
      </c>
      <c r="F52" s="2">
        <v>1</v>
      </c>
    </row>
    <row r="53" spans="1:13" ht="14.25" customHeight="1">
      <c r="A53" s="2">
        <v>52</v>
      </c>
      <c r="B53" s="2">
        <v>52</v>
      </c>
      <c r="C53" s="2">
        <v>2</v>
      </c>
      <c r="D53" s="2">
        <v>1</v>
      </c>
      <c r="E53" s="2">
        <v>0.91200000000000003</v>
      </c>
      <c r="F53" s="2">
        <v>1</v>
      </c>
    </row>
    <row r="54" spans="1:13" ht="14.25" customHeight="1">
      <c r="A54" s="2">
        <v>52</v>
      </c>
      <c r="B54" s="2">
        <v>53</v>
      </c>
      <c r="C54" s="2">
        <v>3</v>
      </c>
      <c r="D54" s="2">
        <v>1</v>
      </c>
      <c r="E54" s="2">
        <v>0.628</v>
      </c>
      <c r="F54" s="2">
        <v>2</v>
      </c>
    </row>
    <row r="55" spans="1:13" ht="14.25" customHeight="1">
      <c r="A55" s="2">
        <v>52</v>
      </c>
      <c r="B55" s="2">
        <v>54</v>
      </c>
      <c r="C55" s="2">
        <v>2</v>
      </c>
      <c r="D55" s="2">
        <v>1</v>
      </c>
      <c r="E55" s="2">
        <v>0.83699999999999997</v>
      </c>
      <c r="F55" s="2">
        <v>1</v>
      </c>
    </row>
    <row r="56" spans="1:13" ht="14.25" customHeight="1">
      <c r="A56" s="2">
        <v>52</v>
      </c>
      <c r="B56" s="2">
        <v>55</v>
      </c>
      <c r="C56" s="2">
        <v>8</v>
      </c>
      <c r="D56" s="2">
        <v>0</v>
      </c>
      <c r="E56" s="2">
        <v>0.71699999999999997</v>
      </c>
      <c r="F56" s="2">
        <v>1</v>
      </c>
    </row>
    <row r="57" spans="1:13" ht="14.25" customHeight="1">
      <c r="A57" s="2">
        <v>52</v>
      </c>
      <c r="B57" s="2">
        <v>56</v>
      </c>
      <c r="C57" s="2">
        <v>7</v>
      </c>
      <c r="D57" s="2">
        <v>1</v>
      </c>
      <c r="E57" s="2">
        <v>0.86899999999999999</v>
      </c>
      <c r="F57" s="2">
        <v>2</v>
      </c>
    </row>
    <row r="58" spans="1:13" ht="14.25" customHeight="1">
      <c r="A58" s="2">
        <v>52</v>
      </c>
      <c r="B58" s="2">
        <v>57</v>
      </c>
      <c r="C58" s="2">
        <v>1</v>
      </c>
      <c r="D58" s="2">
        <v>1</v>
      </c>
      <c r="E58" s="2">
        <v>1.3109999999999999</v>
      </c>
      <c r="F58" s="2">
        <v>2</v>
      </c>
    </row>
    <row r="59" spans="1:13" ht="14.25" customHeight="1">
      <c r="A59" s="2">
        <v>52</v>
      </c>
      <c r="B59" s="2">
        <v>58</v>
      </c>
      <c r="C59" s="2">
        <v>8</v>
      </c>
      <c r="D59" s="2">
        <v>1</v>
      </c>
      <c r="E59" s="2">
        <v>1.1359999999999999</v>
      </c>
      <c r="F59" s="2">
        <v>1</v>
      </c>
    </row>
    <row r="60" spans="1:13" ht="14.25" customHeight="1">
      <c r="A60" s="2">
        <v>52</v>
      </c>
      <c r="B60" s="2">
        <v>59</v>
      </c>
      <c r="C60" s="2">
        <v>6</v>
      </c>
      <c r="D60" s="2">
        <v>1</v>
      </c>
      <c r="E60" s="2">
        <v>1.8220000000000001</v>
      </c>
      <c r="F60" s="2">
        <v>2</v>
      </c>
    </row>
    <row r="61" spans="1:13" ht="14.25" customHeight="1">
      <c r="A61" s="2">
        <v>52</v>
      </c>
      <c r="B61" s="2">
        <v>60</v>
      </c>
      <c r="C61" s="2">
        <v>5</v>
      </c>
      <c r="D61" s="2">
        <v>1</v>
      </c>
      <c r="E61" s="2">
        <v>1.343</v>
      </c>
      <c r="F61" s="2">
        <v>1</v>
      </c>
    </row>
    <row r="62" spans="1:13" ht="14.25" customHeight="1">
      <c r="A62" s="2">
        <v>52</v>
      </c>
      <c r="B62" s="2">
        <v>61</v>
      </c>
      <c r="C62" s="2">
        <v>8</v>
      </c>
      <c r="D62" s="2">
        <v>0</v>
      </c>
      <c r="E62" s="2">
        <v>1.2210000000000001</v>
      </c>
      <c r="F62" s="2">
        <v>2</v>
      </c>
    </row>
    <row r="63" spans="1:13" ht="14.25" customHeight="1">
      <c r="A63" s="2">
        <v>52</v>
      </c>
      <c r="B63" s="2">
        <v>62</v>
      </c>
      <c r="C63" s="2">
        <v>1</v>
      </c>
      <c r="D63" s="2">
        <v>0</v>
      </c>
      <c r="E63" s="2">
        <v>1.6379999999999999</v>
      </c>
      <c r="F63" s="2">
        <v>1</v>
      </c>
    </row>
    <row r="64" spans="1:13" ht="14.25" customHeight="1">
      <c r="A64" s="2">
        <v>52</v>
      </c>
      <c r="B64" s="2">
        <v>63</v>
      </c>
      <c r="C64" s="2">
        <v>4</v>
      </c>
      <c r="D64" s="2">
        <v>1</v>
      </c>
      <c r="E64" s="2">
        <v>1.7769999999999999</v>
      </c>
      <c r="F64" s="2">
        <v>2</v>
      </c>
    </row>
    <row r="65" spans="1:6" ht="14.25" customHeight="1">
      <c r="A65" s="2">
        <v>52</v>
      </c>
      <c r="B65" s="2">
        <v>64</v>
      </c>
      <c r="C65" s="2">
        <v>6</v>
      </c>
      <c r="D65" s="2">
        <v>1</v>
      </c>
      <c r="E65" s="2">
        <v>1.6639999999999999</v>
      </c>
      <c r="F65" s="2">
        <v>2</v>
      </c>
    </row>
    <row r="66" spans="1:6" ht="14.25" customHeight="1">
      <c r="A66" s="2">
        <v>52</v>
      </c>
      <c r="B66" s="2">
        <v>65</v>
      </c>
      <c r="C66" s="2">
        <v>3</v>
      </c>
      <c r="D66" s="2">
        <v>1</v>
      </c>
      <c r="E66" s="2">
        <v>1.1970000000000001</v>
      </c>
      <c r="F66" s="2">
        <v>2</v>
      </c>
    </row>
    <row r="67" spans="1:6" ht="14.25" customHeight="1">
      <c r="A67" s="2">
        <v>52</v>
      </c>
      <c r="B67" s="2">
        <v>66</v>
      </c>
      <c r="C67" s="2">
        <v>6</v>
      </c>
      <c r="D67" s="2">
        <v>1</v>
      </c>
      <c r="E67" s="2">
        <v>1.6160000000000001</v>
      </c>
      <c r="F67" s="2">
        <v>1</v>
      </c>
    </row>
    <row r="68" spans="1:6" ht="14.25" customHeight="1">
      <c r="A68" s="2">
        <v>52</v>
      </c>
      <c r="B68" s="2">
        <v>67</v>
      </c>
      <c r="C68" s="2">
        <v>4</v>
      </c>
      <c r="D68" s="2">
        <v>1</v>
      </c>
      <c r="E68" s="2">
        <v>1.6619999999999999</v>
      </c>
      <c r="F68" s="2">
        <v>1</v>
      </c>
    </row>
    <row r="69" spans="1:6" ht="14.25" customHeight="1">
      <c r="A69" s="2">
        <v>52</v>
      </c>
      <c r="B69" s="2">
        <v>68</v>
      </c>
      <c r="C69" s="2">
        <v>7</v>
      </c>
      <c r="D69" s="2">
        <v>1</v>
      </c>
      <c r="E69" s="2">
        <v>0.76600000000000001</v>
      </c>
      <c r="F69" s="2">
        <v>2</v>
      </c>
    </row>
    <row r="70" spans="1:6" ht="14.25" customHeight="1">
      <c r="A70" s="2">
        <v>52</v>
      </c>
      <c r="B70" s="2">
        <v>69</v>
      </c>
      <c r="C70" s="2">
        <v>5</v>
      </c>
      <c r="D70" s="2">
        <v>1</v>
      </c>
      <c r="E70" s="2">
        <v>1.401</v>
      </c>
      <c r="F70" s="2">
        <v>1</v>
      </c>
    </row>
    <row r="71" spans="1:6" ht="14.25" customHeight="1">
      <c r="A71" s="2">
        <v>52</v>
      </c>
      <c r="B71" s="2">
        <v>70</v>
      </c>
      <c r="C71" s="2">
        <v>7</v>
      </c>
      <c r="D71" s="2">
        <v>0</v>
      </c>
      <c r="E71" s="2">
        <v>1.8340000000000001</v>
      </c>
      <c r="F71" s="2">
        <v>2</v>
      </c>
    </row>
    <row r="72" spans="1:6" ht="14.25" customHeight="1">
      <c r="A72" s="2">
        <v>52</v>
      </c>
      <c r="B72" s="2">
        <v>71</v>
      </c>
      <c r="C72" s="2">
        <v>2</v>
      </c>
      <c r="E72" s="2">
        <v>2</v>
      </c>
    </row>
    <row r="73" spans="1:6" ht="14.25" customHeight="1">
      <c r="A73" s="2">
        <v>52</v>
      </c>
      <c r="B73" s="2">
        <v>72</v>
      </c>
      <c r="C73" s="2">
        <v>1</v>
      </c>
      <c r="D73" s="2">
        <v>1</v>
      </c>
      <c r="E73" s="2">
        <v>1.1499999999999999</v>
      </c>
      <c r="F73" s="2">
        <v>1</v>
      </c>
    </row>
    <row r="74" spans="1:6" ht="14.25" customHeight="1">
      <c r="A74" s="2">
        <v>52</v>
      </c>
      <c r="B74" s="2">
        <v>73</v>
      </c>
      <c r="C74" s="2">
        <v>3</v>
      </c>
      <c r="D74" s="2">
        <v>1</v>
      </c>
      <c r="E74" s="2">
        <v>1.677</v>
      </c>
      <c r="F74" s="2">
        <v>1</v>
      </c>
    </row>
    <row r="75" spans="1:6" ht="14.25" customHeight="1">
      <c r="A75" s="2">
        <v>52</v>
      </c>
      <c r="B75" s="2">
        <v>74</v>
      </c>
      <c r="C75" s="2">
        <v>2</v>
      </c>
      <c r="D75" s="2">
        <v>1</v>
      </c>
      <c r="E75" s="2">
        <v>1.19</v>
      </c>
      <c r="F75" s="2">
        <v>1</v>
      </c>
    </row>
    <row r="76" spans="1:6" ht="14.25" customHeight="1">
      <c r="A76" s="2">
        <v>52</v>
      </c>
      <c r="B76" s="2">
        <v>75</v>
      </c>
      <c r="C76" s="2">
        <v>3</v>
      </c>
      <c r="D76" s="2">
        <v>1</v>
      </c>
      <c r="E76" s="2">
        <v>1.1659999999999999</v>
      </c>
      <c r="F76" s="2">
        <v>2</v>
      </c>
    </row>
    <row r="77" spans="1:6" ht="14.25" customHeight="1">
      <c r="A77" s="2">
        <v>52</v>
      </c>
      <c r="B77" s="2">
        <v>76</v>
      </c>
      <c r="C77" s="2">
        <v>5</v>
      </c>
      <c r="D77" s="2">
        <v>1</v>
      </c>
      <c r="E77" s="2">
        <v>1.458</v>
      </c>
      <c r="F77" s="2">
        <v>1</v>
      </c>
    </row>
    <row r="78" spans="1:6" ht="14.25" customHeight="1">
      <c r="A78" s="2">
        <v>52</v>
      </c>
      <c r="B78" s="2">
        <v>77</v>
      </c>
      <c r="C78" s="2">
        <v>8</v>
      </c>
      <c r="D78" s="2">
        <v>1</v>
      </c>
      <c r="E78" s="2">
        <v>1.238</v>
      </c>
      <c r="F78" s="2">
        <v>2</v>
      </c>
    </row>
    <row r="79" spans="1:6" ht="14.25" customHeight="1">
      <c r="A79" s="2">
        <v>52</v>
      </c>
      <c r="B79" s="2">
        <v>78</v>
      </c>
      <c r="C79" s="2">
        <v>5</v>
      </c>
      <c r="E79" s="2">
        <v>2.0009999999999999</v>
      </c>
    </row>
    <row r="80" spans="1:6" ht="14.25" customHeight="1">
      <c r="A80" s="2">
        <v>52</v>
      </c>
      <c r="B80" s="2">
        <v>79</v>
      </c>
      <c r="C80" s="2">
        <v>1</v>
      </c>
      <c r="D80" s="2">
        <v>1</v>
      </c>
      <c r="E80" s="2">
        <v>1.423</v>
      </c>
      <c r="F80" s="2">
        <v>1</v>
      </c>
    </row>
    <row r="81" spans="1:6" ht="14.25" customHeight="1">
      <c r="A81" s="2">
        <v>52</v>
      </c>
      <c r="B81" s="2">
        <v>80</v>
      </c>
      <c r="C81" s="2">
        <v>5</v>
      </c>
      <c r="E81" s="2">
        <v>2</v>
      </c>
    </row>
    <row r="82" spans="1:6" ht="14.25" customHeight="1">
      <c r="A82" s="2">
        <v>52</v>
      </c>
      <c r="B82" s="2">
        <v>81</v>
      </c>
      <c r="C82" s="2">
        <v>8</v>
      </c>
      <c r="D82" s="2">
        <v>1</v>
      </c>
      <c r="E82" s="2">
        <v>0.99399999999999999</v>
      </c>
      <c r="F82" s="2">
        <v>2</v>
      </c>
    </row>
    <row r="83" spans="1:6" ht="14.25" customHeight="1">
      <c r="A83" s="2">
        <v>52</v>
      </c>
      <c r="B83" s="2">
        <v>82</v>
      </c>
      <c r="C83" s="2">
        <v>2</v>
      </c>
      <c r="D83" s="2">
        <v>1</v>
      </c>
      <c r="E83" s="2">
        <v>0.98199999999999998</v>
      </c>
      <c r="F83" s="2">
        <v>1</v>
      </c>
    </row>
    <row r="84" spans="1:6" ht="14.25" customHeight="1">
      <c r="A84" s="2">
        <v>52</v>
      </c>
      <c r="B84" s="2">
        <v>83</v>
      </c>
      <c r="C84" s="2">
        <v>1</v>
      </c>
      <c r="D84" s="2">
        <v>1</v>
      </c>
      <c r="E84" s="2">
        <v>1.109</v>
      </c>
      <c r="F84" s="2">
        <v>2</v>
      </c>
    </row>
    <row r="85" spans="1:6" ht="14.25" customHeight="1">
      <c r="A85" s="2">
        <v>52</v>
      </c>
      <c r="B85" s="2">
        <v>84</v>
      </c>
      <c r="C85" s="2">
        <v>4</v>
      </c>
      <c r="D85" s="2">
        <v>0</v>
      </c>
      <c r="E85" s="2">
        <v>0.79500000000000004</v>
      </c>
      <c r="F85" s="2">
        <v>1</v>
      </c>
    </row>
    <row r="86" spans="1:6" ht="14.25" customHeight="1">
      <c r="A86" s="2">
        <v>52</v>
      </c>
      <c r="B86" s="2">
        <v>85</v>
      </c>
      <c r="C86" s="2">
        <v>2</v>
      </c>
      <c r="D86" s="2">
        <v>1</v>
      </c>
      <c r="E86" s="2">
        <v>0.85499999999999998</v>
      </c>
      <c r="F86" s="2">
        <v>1</v>
      </c>
    </row>
    <row r="87" spans="1:6" ht="14.25" customHeight="1">
      <c r="A87" s="2">
        <v>52</v>
      </c>
      <c r="B87" s="2">
        <v>86</v>
      </c>
      <c r="C87" s="2">
        <v>8</v>
      </c>
      <c r="D87" s="2">
        <v>1</v>
      </c>
      <c r="E87" s="2">
        <v>0.82199999999999995</v>
      </c>
      <c r="F87" s="2">
        <v>2</v>
      </c>
    </row>
    <row r="88" spans="1:6" ht="14.25" customHeight="1">
      <c r="A88" s="2">
        <v>52</v>
      </c>
      <c r="B88" s="2">
        <v>87</v>
      </c>
      <c r="C88" s="2">
        <v>4</v>
      </c>
      <c r="D88" s="2">
        <v>1</v>
      </c>
      <c r="E88" s="2">
        <v>0.95599999999999996</v>
      </c>
      <c r="F88" s="2">
        <v>1</v>
      </c>
    </row>
    <row r="89" spans="1:6" ht="14.25" customHeight="1">
      <c r="A89" s="2">
        <v>52</v>
      </c>
      <c r="B89" s="2">
        <v>88</v>
      </c>
      <c r="C89" s="2">
        <v>3</v>
      </c>
      <c r="D89" s="2">
        <v>0</v>
      </c>
      <c r="E89" s="2">
        <v>1.1819999999999999</v>
      </c>
      <c r="F89" s="2">
        <v>2</v>
      </c>
    </row>
    <row r="90" spans="1:6" ht="14.25" customHeight="1">
      <c r="A90" s="2">
        <v>52</v>
      </c>
      <c r="B90" s="2">
        <v>89</v>
      </c>
      <c r="C90" s="2">
        <v>7</v>
      </c>
      <c r="D90" s="2">
        <v>1</v>
      </c>
      <c r="E90" s="2">
        <v>1.181</v>
      </c>
      <c r="F90" s="2">
        <v>1</v>
      </c>
    </row>
    <row r="91" spans="1:6" ht="14.25" customHeight="1">
      <c r="A91" s="2">
        <v>52</v>
      </c>
      <c r="B91" s="2">
        <v>90</v>
      </c>
      <c r="C91" s="2">
        <v>6</v>
      </c>
      <c r="D91" s="2">
        <v>1</v>
      </c>
      <c r="E91" s="2">
        <v>0.86299999999999999</v>
      </c>
      <c r="F91" s="2">
        <v>2</v>
      </c>
    </row>
    <row r="92" spans="1:6" ht="14.25" customHeight="1">
      <c r="A92" s="2">
        <v>52</v>
      </c>
      <c r="B92" s="2">
        <v>91</v>
      </c>
      <c r="C92" s="2">
        <v>2</v>
      </c>
      <c r="D92" s="2">
        <v>1</v>
      </c>
      <c r="E92" s="2">
        <v>1.1100000000000001</v>
      </c>
      <c r="F92" s="2">
        <v>1</v>
      </c>
    </row>
    <row r="93" spans="1:6" ht="14.25" customHeight="1">
      <c r="A93" s="2">
        <v>52</v>
      </c>
      <c r="B93" s="2">
        <v>92</v>
      </c>
      <c r="C93" s="2">
        <v>1</v>
      </c>
      <c r="D93" s="2">
        <v>0</v>
      </c>
      <c r="E93" s="2">
        <v>0.79400000000000004</v>
      </c>
      <c r="F93" s="2">
        <v>1</v>
      </c>
    </row>
    <row r="94" spans="1:6" ht="14.25" customHeight="1">
      <c r="A94" s="2">
        <v>52</v>
      </c>
      <c r="B94" s="2">
        <v>93</v>
      </c>
      <c r="C94" s="2">
        <v>4</v>
      </c>
      <c r="D94" s="2">
        <v>1</v>
      </c>
      <c r="E94" s="2">
        <v>1.423</v>
      </c>
      <c r="F94" s="2">
        <v>2</v>
      </c>
    </row>
    <row r="95" spans="1:6" ht="14.25" customHeight="1">
      <c r="A95" s="2">
        <v>52</v>
      </c>
      <c r="B95" s="2">
        <v>94</v>
      </c>
      <c r="C95" s="2">
        <v>6</v>
      </c>
      <c r="D95" s="2">
        <v>1</v>
      </c>
      <c r="E95" s="2">
        <v>0.91900000000000004</v>
      </c>
      <c r="F95" s="2">
        <v>2</v>
      </c>
    </row>
    <row r="96" spans="1:6" ht="14.25" customHeight="1">
      <c r="A96" s="2">
        <v>52</v>
      </c>
      <c r="B96" s="2">
        <v>95</v>
      </c>
      <c r="C96" s="2">
        <v>3</v>
      </c>
      <c r="D96" s="2">
        <v>1</v>
      </c>
      <c r="E96" s="2">
        <v>1.3009999999999999</v>
      </c>
      <c r="F96" s="2">
        <v>1</v>
      </c>
    </row>
    <row r="97" spans="1:6" ht="14.25" customHeight="1">
      <c r="A97" s="2">
        <v>52</v>
      </c>
      <c r="B97" s="2">
        <v>96</v>
      </c>
      <c r="C97" s="2">
        <v>6</v>
      </c>
      <c r="D97" s="2">
        <v>1</v>
      </c>
      <c r="E97" s="2">
        <v>1.5069999999999999</v>
      </c>
      <c r="F97" s="2">
        <v>2</v>
      </c>
    </row>
    <row r="98" spans="1:6" ht="14.25" customHeight="1">
      <c r="A98" s="2">
        <v>52</v>
      </c>
      <c r="B98" s="2">
        <v>97</v>
      </c>
      <c r="C98" s="2">
        <v>5</v>
      </c>
      <c r="D98" s="2">
        <v>1</v>
      </c>
      <c r="E98" s="2">
        <v>1.6970000000000001</v>
      </c>
      <c r="F98" s="2">
        <v>1</v>
      </c>
    </row>
    <row r="99" spans="1:6" ht="14.25" customHeight="1">
      <c r="A99" s="2">
        <v>52</v>
      </c>
      <c r="B99" s="2">
        <v>98</v>
      </c>
      <c r="C99" s="2">
        <v>7</v>
      </c>
      <c r="D99" s="2">
        <v>0</v>
      </c>
      <c r="E99" s="2">
        <v>0.58299999999999996</v>
      </c>
      <c r="F99" s="2">
        <v>2</v>
      </c>
    </row>
    <row r="100" spans="1:6" ht="14.25" customHeight="1">
      <c r="A100" s="2">
        <v>52</v>
      </c>
      <c r="B100" s="2">
        <v>99</v>
      </c>
      <c r="C100" s="2">
        <v>8</v>
      </c>
      <c r="D100" s="2">
        <v>1</v>
      </c>
      <c r="E100" s="2">
        <v>1.2569999999999999</v>
      </c>
      <c r="F100" s="2">
        <v>2</v>
      </c>
    </row>
    <row r="101" spans="1:6" ht="14.25" customHeight="1">
      <c r="A101" s="2">
        <v>52</v>
      </c>
      <c r="B101" s="2">
        <v>100</v>
      </c>
      <c r="C101" s="2">
        <v>7</v>
      </c>
      <c r="D101" s="2">
        <v>1</v>
      </c>
      <c r="E101" s="2">
        <v>0.81299999999999994</v>
      </c>
      <c r="F101" s="2">
        <v>2</v>
      </c>
    </row>
    <row r="102" spans="1:6" ht="14.25" customHeight="1">
      <c r="A102" s="2">
        <v>52</v>
      </c>
      <c r="B102" s="2">
        <v>101</v>
      </c>
      <c r="C102" s="2">
        <v>6</v>
      </c>
      <c r="D102" s="2">
        <v>1</v>
      </c>
      <c r="E102" s="2">
        <v>1.27</v>
      </c>
      <c r="F102" s="2">
        <v>2</v>
      </c>
    </row>
    <row r="103" spans="1:6" ht="14.25" customHeight="1">
      <c r="A103" s="2">
        <v>52</v>
      </c>
      <c r="B103" s="2">
        <v>102</v>
      </c>
      <c r="C103" s="2">
        <v>7</v>
      </c>
      <c r="D103" s="2">
        <v>1</v>
      </c>
      <c r="E103" s="2">
        <v>1.2929999999999999</v>
      </c>
      <c r="F103" s="2">
        <v>1</v>
      </c>
    </row>
    <row r="104" spans="1:6" ht="14.25" customHeight="1">
      <c r="A104" s="2">
        <v>52</v>
      </c>
      <c r="B104" s="2">
        <v>103</v>
      </c>
      <c r="C104" s="2">
        <v>5</v>
      </c>
      <c r="D104" s="2">
        <v>1</v>
      </c>
      <c r="E104" s="2">
        <v>0.91100000000000003</v>
      </c>
      <c r="F104" s="2">
        <v>2</v>
      </c>
    </row>
    <row r="105" spans="1:6" ht="14.25" customHeight="1">
      <c r="A105" s="2">
        <v>52</v>
      </c>
      <c r="B105" s="2">
        <v>104</v>
      </c>
      <c r="C105" s="2">
        <v>7</v>
      </c>
      <c r="D105" s="2">
        <v>1</v>
      </c>
      <c r="E105" s="2">
        <v>1.2330000000000001</v>
      </c>
      <c r="F105" s="2">
        <v>1</v>
      </c>
    </row>
    <row r="106" spans="1:6" ht="14.25" customHeight="1">
      <c r="A106" s="2">
        <v>52</v>
      </c>
      <c r="B106" s="2">
        <v>105</v>
      </c>
      <c r="C106" s="2">
        <v>6</v>
      </c>
      <c r="D106" s="2">
        <v>1</v>
      </c>
      <c r="E106" s="2">
        <v>1.351</v>
      </c>
      <c r="F106" s="2">
        <v>2</v>
      </c>
    </row>
    <row r="107" spans="1:6" ht="14.25" customHeight="1">
      <c r="A107" s="2">
        <v>52</v>
      </c>
      <c r="B107" s="2">
        <v>106</v>
      </c>
      <c r="C107" s="2">
        <v>3</v>
      </c>
      <c r="D107" s="2">
        <v>1</v>
      </c>
      <c r="E107" s="2">
        <v>0.89700000000000002</v>
      </c>
      <c r="F107" s="2">
        <v>2</v>
      </c>
    </row>
    <row r="108" spans="1:6" ht="14.25" customHeight="1">
      <c r="A108" s="2">
        <v>52</v>
      </c>
      <c r="B108" s="2">
        <v>107</v>
      </c>
      <c r="C108" s="2">
        <v>4</v>
      </c>
      <c r="D108" s="2">
        <v>0</v>
      </c>
      <c r="E108" s="2">
        <v>0.96899999999999997</v>
      </c>
      <c r="F108" s="2">
        <v>1</v>
      </c>
    </row>
    <row r="109" spans="1:6" ht="14.25" customHeight="1">
      <c r="A109" s="2">
        <v>52</v>
      </c>
      <c r="B109" s="2">
        <v>108</v>
      </c>
      <c r="C109" s="2">
        <v>5</v>
      </c>
      <c r="D109" s="2">
        <v>1</v>
      </c>
      <c r="E109" s="2">
        <v>1.496</v>
      </c>
      <c r="F109" s="2">
        <v>1</v>
      </c>
    </row>
    <row r="110" spans="1:6" ht="14.25" customHeight="1">
      <c r="A110" s="2">
        <v>52</v>
      </c>
      <c r="B110" s="2">
        <v>109</v>
      </c>
      <c r="C110" s="2">
        <v>8</v>
      </c>
      <c r="D110" s="2">
        <v>1</v>
      </c>
      <c r="E110" s="2">
        <v>0.61899999999999999</v>
      </c>
      <c r="F110" s="2">
        <v>2</v>
      </c>
    </row>
    <row r="111" spans="1:6" ht="14.25" customHeight="1">
      <c r="A111" s="2">
        <v>52</v>
      </c>
      <c r="B111" s="2">
        <v>110</v>
      </c>
      <c r="C111" s="2">
        <v>6</v>
      </c>
      <c r="D111" s="2">
        <v>1</v>
      </c>
      <c r="E111" s="2">
        <v>1.24</v>
      </c>
      <c r="F111" s="2">
        <v>1</v>
      </c>
    </row>
    <row r="112" spans="1:6" ht="14.25" customHeight="1">
      <c r="A112" s="2">
        <v>52</v>
      </c>
      <c r="B112" s="2">
        <v>111</v>
      </c>
      <c r="C112" s="2">
        <v>8</v>
      </c>
      <c r="D112" s="2">
        <v>0</v>
      </c>
      <c r="E112" s="2">
        <v>1.2490000000000001</v>
      </c>
      <c r="F112" s="2">
        <v>2</v>
      </c>
    </row>
    <row r="113" spans="1:6" ht="14.25" customHeight="1">
      <c r="A113" s="2">
        <v>52</v>
      </c>
      <c r="B113" s="2">
        <v>112</v>
      </c>
      <c r="C113" s="2">
        <v>4</v>
      </c>
      <c r="E113" s="2">
        <v>2</v>
      </c>
    </row>
    <row r="114" spans="1:6" ht="14.25" customHeight="1">
      <c r="A114" s="2">
        <v>52</v>
      </c>
      <c r="B114" s="2">
        <v>113</v>
      </c>
      <c r="C114" s="2">
        <v>6</v>
      </c>
      <c r="D114" s="2">
        <v>1</v>
      </c>
      <c r="E114" s="2">
        <v>1.014</v>
      </c>
      <c r="F114" s="2">
        <v>2</v>
      </c>
    </row>
    <row r="115" spans="1:6" ht="14.25" customHeight="1">
      <c r="A115" s="2">
        <v>52</v>
      </c>
      <c r="B115" s="2">
        <v>114</v>
      </c>
      <c r="C115" s="2">
        <v>3</v>
      </c>
      <c r="D115" s="2">
        <v>1</v>
      </c>
      <c r="E115" s="2">
        <v>0.71899999999999997</v>
      </c>
      <c r="F115" s="2">
        <v>2</v>
      </c>
    </row>
    <row r="116" spans="1:6" ht="14.25" customHeight="1">
      <c r="A116" s="2">
        <v>52</v>
      </c>
      <c r="B116" s="2">
        <v>115</v>
      </c>
      <c r="C116" s="2">
        <v>7</v>
      </c>
      <c r="D116" s="2">
        <v>1</v>
      </c>
      <c r="E116" s="2">
        <v>1.0009999999999999</v>
      </c>
      <c r="F116" s="2">
        <v>2</v>
      </c>
    </row>
    <row r="117" spans="1:6" ht="14.25" customHeight="1">
      <c r="A117" s="2">
        <v>52</v>
      </c>
      <c r="B117" s="2">
        <v>116</v>
      </c>
      <c r="C117" s="2">
        <v>3</v>
      </c>
      <c r="D117" s="2">
        <v>1</v>
      </c>
      <c r="E117" s="2">
        <v>1.4450000000000001</v>
      </c>
      <c r="F117" s="2">
        <v>1</v>
      </c>
    </row>
    <row r="118" spans="1:6" ht="14.25" customHeight="1">
      <c r="A118" s="2">
        <v>52</v>
      </c>
      <c r="B118" s="2">
        <v>117</v>
      </c>
      <c r="C118" s="2">
        <v>1</v>
      </c>
      <c r="D118" s="2">
        <v>1</v>
      </c>
      <c r="E118" s="2">
        <v>1.915</v>
      </c>
      <c r="F118" s="2">
        <v>1</v>
      </c>
    </row>
    <row r="119" spans="1:6" ht="14.25" customHeight="1">
      <c r="A119" s="2">
        <v>52</v>
      </c>
      <c r="B119" s="2">
        <v>118</v>
      </c>
      <c r="C119" s="2">
        <v>2</v>
      </c>
      <c r="D119" s="2">
        <v>1</v>
      </c>
      <c r="E119" s="2">
        <v>0.95699999999999996</v>
      </c>
      <c r="F119" s="2">
        <v>2</v>
      </c>
    </row>
    <row r="120" spans="1:6" ht="14.25" customHeight="1">
      <c r="A120" s="2">
        <v>52</v>
      </c>
      <c r="B120" s="2">
        <v>119</v>
      </c>
      <c r="C120" s="2">
        <v>5</v>
      </c>
      <c r="D120" s="2">
        <v>0</v>
      </c>
      <c r="E120" s="2">
        <v>1.4770000000000001</v>
      </c>
      <c r="F120" s="2">
        <v>2</v>
      </c>
    </row>
    <row r="121" spans="1:6" ht="14.25" customHeight="1">
      <c r="A121" s="2">
        <v>52</v>
      </c>
      <c r="B121" s="2">
        <v>120</v>
      </c>
      <c r="C121" s="2">
        <v>2</v>
      </c>
      <c r="D121" s="2">
        <v>1</v>
      </c>
      <c r="E121" s="2">
        <v>1.4410000000000001</v>
      </c>
      <c r="F121" s="2">
        <v>1</v>
      </c>
    </row>
    <row r="122" spans="1:6" ht="14.25" customHeight="1">
      <c r="A122" s="2">
        <v>52</v>
      </c>
      <c r="B122" s="2">
        <v>121</v>
      </c>
      <c r="C122" s="2">
        <v>5</v>
      </c>
      <c r="D122" s="2">
        <v>0</v>
      </c>
      <c r="E122" s="2">
        <v>1.964</v>
      </c>
      <c r="F122" s="2">
        <v>2</v>
      </c>
    </row>
    <row r="123" spans="1:6" ht="14.25" customHeight="1">
      <c r="A123" s="2">
        <v>52</v>
      </c>
      <c r="B123" s="2">
        <v>122</v>
      </c>
      <c r="C123" s="2">
        <v>8</v>
      </c>
      <c r="D123" s="2">
        <v>1</v>
      </c>
      <c r="E123" s="2">
        <v>0.999</v>
      </c>
      <c r="F123" s="2">
        <v>1</v>
      </c>
    </row>
    <row r="124" spans="1:6" ht="14.25" customHeight="1">
      <c r="A124" s="2">
        <v>52</v>
      </c>
      <c r="B124" s="2">
        <v>123</v>
      </c>
      <c r="C124" s="2">
        <v>2</v>
      </c>
      <c r="D124" s="2">
        <v>1</v>
      </c>
      <c r="E124" s="2">
        <v>0.78100000000000003</v>
      </c>
      <c r="F124" s="2">
        <v>1</v>
      </c>
    </row>
    <row r="125" spans="1:6" ht="14.25" customHeight="1">
      <c r="A125" s="2">
        <v>52</v>
      </c>
      <c r="B125" s="2">
        <v>124</v>
      </c>
      <c r="C125" s="2">
        <v>8</v>
      </c>
      <c r="D125" s="2">
        <v>0</v>
      </c>
      <c r="E125" s="2">
        <v>1.5680000000000001</v>
      </c>
      <c r="F125" s="2">
        <v>2</v>
      </c>
    </row>
    <row r="126" spans="1:6" ht="14.25" customHeight="1">
      <c r="A126" s="2">
        <v>52</v>
      </c>
      <c r="B126" s="2">
        <v>125</v>
      </c>
      <c r="C126" s="2">
        <v>1</v>
      </c>
      <c r="D126" s="2">
        <v>0</v>
      </c>
      <c r="E126" s="2">
        <v>1.302</v>
      </c>
      <c r="F126" s="2">
        <v>1</v>
      </c>
    </row>
    <row r="127" spans="1:6" ht="14.25" customHeight="1">
      <c r="A127" s="2">
        <v>52</v>
      </c>
      <c r="B127" s="2">
        <v>126</v>
      </c>
      <c r="C127" s="2">
        <v>7</v>
      </c>
      <c r="D127" s="2">
        <v>1</v>
      </c>
      <c r="E127" s="2">
        <v>1.4410000000000001</v>
      </c>
      <c r="F127" s="2">
        <v>1</v>
      </c>
    </row>
    <row r="128" spans="1:6" ht="14.25" customHeight="1">
      <c r="A128" s="2">
        <v>52</v>
      </c>
      <c r="B128" s="2">
        <v>127</v>
      </c>
      <c r="C128" s="2">
        <v>8</v>
      </c>
      <c r="D128" s="2">
        <v>1</v>
      </c>
      <c r="E128" s="2">
        <v>1.173</v>
      </c>
      <c r="F128" s="2">
        <v>2</v>
      </c>
    </row>
    <row r="129" spans="1:6" ht="14.25" customHeight="1">
      <c r="A129" s="2">
        <v>52</v>
      </c>
      <c r="B129" s="2">
        <v>128</v>
      </c>
      <c r="C129" s="2">
        <v>6</v>
      </c>
      <c r="D129" s="2">
        <v>1</v>
      </c>
      <c r="E129" s="2">
        <v>0.92600000000000005</v>
      </c>
      <c r="F129" s="2">
        <v>2</v>
      </c>
    </row>
    <row r="130" spans="1:6" ht="14.25" customHeight="1">
      <c r="A130" s="2">
        <v>52</v>
      </c>
      <c r="B130" s="2">
        <v>129</v>
      </c>
      <c r="C130" s="2">
        <v>1</v>
      </c>
      <c r="D130" s="2">
        <v>1</v>
      </c>
      <c r="E130" s="2">
        <v>1.2629999999999999</v>
      </c>
      <c r="F130" s="2">
        <v>1</v>
      </c>
    </row>
    <row r="131" spans="1:6" ht="14.25" customHeight="1">
      <c r="A131" s="2">
        <v>52</v>
      </c>
      <c r="B131" s="2">
        <v>130</v>
      </c>
      <c r="C131" s="2">
        <v>4</v>
      </c>
      <c r="D131" s="2">
        <v>1</v>
      </c>
      <c r="E131" s="2">
        <v>1.5349999999999999</v>
      </c>
      <c r="F131" s="2">
        <v>2</v>
      </c>
    </row>
    <row r="132" spans="1:6" ht="14.25" customHeight="1">
      <c r="A132" s="2">
        <v>52</v>
      </c>
      <c r="B132" s="2">
        <v>131</v>
      </c>
      <c r="C132" s="2">
        <v>2</v>
      </c>
      <c r="D132" s="2">
        <v>1</v>
      </c>
      <c r="E132" s="2">
        <v>1.978</v>
      </c>
      <c r="F132" s="2">
        <v>2</v>
      </c>
    </row>
    <row r="133" spans="1:6" ht="14.25" customHeight="1">
      <c r="A133" s="2">
        <v>52</v>
      </c>
      <c r="B133" s="2">
        <v>132</v>
      </c>
      <c r="C133" s="2">
        <v>6</v>
      </c>
      <c r="D133" s="2">
        <v>1</v>
      </c>
      <c r="E133" s="2">
        <v>1.0529999999999999</v>
      </c>
      <c r="F133" s="2">
        <v>1</v>
      </c>
    </row>
    <row r="134" spans="1:6" ht="14.25" customHeight="1">
      <c r="A134" s="2">
        <v>52</v>
      </c>
      <c r="B134" s="2">
        <v>133</v>
      </c>
      <c r="C134" s="2">
        <v>2</v>
      </c>
      <c r="D134" s="2">
        <v>1</v>
      </c>
      <c r="E134" s="2">
        <v>1.3109999999999999</v>
      </c>
      <c r="F134" s="2">
        <v>2</v>
      </c>
    </row>
    <row r="135" spans="1:6" ht="14.25" customHeight="1">
      <c r="A135" s="2">
        <v>52</v>
      </c>
      <c r="B135" s="2">
        <v>134</v>
      </c>
      <c r="C135" s="2">
        <v>3</v>
      </c>
      <c r="D135" s="2">
        <v>1</v>
      </c>
      <c r="E135" s="2">
        <v>1.47</v>
      </c>
      <c r="F135" s="2">
        <v>2</v>
      </c>
    </row>
    <row r="136" spans="1:6" ht="14.25" customHeight="1">
      <c r="A136" s="2">
        <v>52</v>
      </c>
      <c r="B136" s="2">
        <v>135</v>
      </c>
      <c r="C136" s="2">
        <v>8</v>
      </c>
      <c r="D136" s="2">
        <v>1</v>
      </c>
      <c r="E136" s="2">
        <v>1.254</v>
      </c>
      <c r="F136" s="2">
        <v>1</v>
      </c>
    </row>
    <row r="137" spans="1:6" ht="14.25" customHeight="1">
      <c r="A137" s="2">
        <v>52</v>
      </c>
      <c r="B137" s="2">
        <v>136</v>
      </c>
      <c r="C137" s="2">
        <v>2</v>
      </c>
      <c r="D137" s="2">
        <v>1</v>
      </c>
      <c r="E137" s="2">
        <v>0.89100000000000001</v>
      </c>
      <c r="F137" s="2">
        <v>2</v>
      </c>
    </row>
    <row r="138" spans="1:6" ht="14.25" customHeight="1">
      <c r="A138" s="2">
        <v>52</v>
      </c>
      <c r="B138" s="2">
        <v>137</v>
      </c>
      <c r="C138" s="2">
        <v>1</v>
      </c>
      <c r="D138" s="2">
        <v>1</v>
      </c>
      <c r="E138" s="2">
        <v>1.111</v>
      </c>
      <c r="F138" s="2">
        <v>1</v>
      </c>
    </row>
    <row r="139" spans="1:6" ht="14.25" customHeight="1">
      <c r="A139" s="2">
        <v>52</v>
      </c>
      <c r="B139" s="2">
        <v>138</v>
      </c>
      <c r="C139" s="2">
        <v>8</v>
      </c>
      <c r="D139" s="2">
        <v>1</v>
      </c>
      <c r="E139" s="2">
        <v>1.1020000000000001</v>
      </c>
      <c r="F139" s="2">
        <v>1</v>
      </c>
    </row>
    <row r="140" spans="1:6" ht="14.25" customHeight="1">
      <c r="A140" s="2">
        <v>52</v>
      </c>
      <c r="B140" s="2">
        <v>139</v>
      </c>
      <c r="C140" s="2">
        <v>1</v>
      </c>
      <c r="D140" s="2">
        <v>1</v>
      </c>
      <c r="E140" s="2">
        <v>0.878</v>
      </c>
      <c r="F140" s="2">
        <v>1</v>
      </c>
    </row>
    <row r="141" spans="1:6" ht="14.25" customHeight="1">
      <c r="A141" s="2">
        <v>52</v>
      </c>
      <c r="B141" s="2">
        <v>140</v>
      </c>
      <c r="C141" s="2">
        <v>7</v>
      </c>
      <c r="D141" s="2">
        <v>1</v>
      </c>
      <c r="E141" s="2">
        <v>0.84199999999999997</v>
      </c>
      <c r="F141" s="2">
        <v>2</v>
      </c>
    </row>
    <row r="142" spans="1:6" ht="14.25" customHeight="1">
      <c r="A142" s="2">
        <v>52</v>
      </c>
      <c r="B142" s="2">
        <v>141</v>
      </c>
      <c r="C142" s="2">
        <v>4</v>
      </c>
      <c r="D142" s="2">
        <v>1</v>
      </c>
      <c r="E142" s="2">
        <v>1.794</v>
      </c>
      <c r="F142" s="2">
        <v>1</v>
      </c>
    </row>
    <row r="143" spans="1:6" ht="14.25" customHeight="1">
      <c r="A143" s="2">
        <v>52</v>
      </c>
      <c r="B143" s="2">
        <v>142</v>
      </c>
      <c r="C143" s="2">
        <v>7</v>
      </c>
      <c r="D143" s="2">
        <v>1</v>
      </c>
      <c r="E143" s="2">
        <v>1.0820000000000001</v>
      </c>
      <c r="F143" s="2">
        <v>2</v>
      </c>
    </row>
    <row r="144" spans="1:6" ht="14.25" customHeight="1">
      <c r="A144" s="2">
        <v>52</v>
      </c>
      <c r="B144" s="2">
        <v>143</v>
      </c>
      <c r="C144" s="2">
        <v>4</v>
      </c>
      <c r="D144" s="2">
        <v>1</v>
      </c>
      <c r="E144" s="2">
        <v>1.83</v>
      </c>
      <c r="F144" s="2">
        <v>2</v>
      </c>
    </row>
    <row r="145" spans="1:6" ht="14.25" customHeight="1">
      <c r="A145" s="2">
        <v>52</v>
      </c>
      <c r="B145" s="2">
        <v>144</v>
      </c>
      <c r="C145" s="2">
        <v>2</v>
      </c>
      <c r="D145" s="2">
        <v>0</v>
      </c>
      <c r="E145" s="2">
        <v>0.97199999999999998</v>
      </c>
      <c r="F145" s="2">
        <v>1</v>
      </c>
    </row>
    <row r="146" spans="1:6" ht="14.25" customHeight="1">
      <c r="A146" s="2">
        <v>52</v>
      </c>
      <c r="B146" s="2">
        <v>145</v>
      </c>
      <c r="C146" s="2">
        <v>1</v>
      </c>
      <c r="D146" s="2">
        <v>1</v>
      </c>
      <c r="E146" s="2">
        <v>0.92700000000000005</v>
      </c>
      <c r="F146" s="2">
        <v>1</v>
      </c>
    </row>
    <row r="147" spans="1:6" ht="14.25" customHeight="1">
      <c r="A147" s="2">
        <v>52</v>
      </c>
      <c r="B147" s="2">
        <v>146</v>
      </c>
      <c r="C147" s="2">
        <v>3</v>
      </c>
      <c r="D147" s="2">
        <v>1</v>
      </c>
      <c r="E147" s="2">
        <v>0.91100000000000003</v>
      </c>
      <c r="F147" s="2">
        <v>2</v>
      </c>
    </row>
    <row r="148" spans="1:6" ht="14.25" customHeight="1">
      <c r="A148" s="2">
        <v>52</v>
      </c>
      <c r="B148" s="2">
        <v>147</v>
      </c>
      <c r="C148" s="2">
        <v>5</v>
      </c>
      <c r="D148" s="2">
        <v>1</v>
      </c>
      <c r="E148" s="2">
        <v>0.84199999999999997</v>
      </c>
      <c r="F148" s="2">
        <v>1</v>
      </c>
    </row>
    <row r="149" spans="1:6" ht="14.25" customHeight="1">
      <c r="A149" s="2">
        <v>52</v>
      </c>
      <c r="B149" s="2">
        <v>148</v>
      </c>
      <c r="C149" s="2">
        <v>3</v>
      </c>
      <c r="D149" s="2">
        <v>0</v>
      </c>
      <c r="E149" s="2">
        <v>1.2549999999999999</v>
      </c>
      <c r="F149" s="2">
        <v>2</v>
      </c>
    </row>
    <row r="150" spans="1:6" ht="14.25" customHeight="1">
      <c r="A150" s="2">
        <v>52</v>
      </c>
      <c r="B150" s="2">
        <v>149</v>
      </c>
      <c r="C150" s="2">
        <v>4</v>
      </c>
      <c r="D150" s="2">
        <v>1</v>
      </c>
      <c r="E150" s="2">
        <v>1.7509999999999999</v>
      </c>
      <c r="F150" s="2">
        <v>2</v>
      </c>
    </row>
    <row r="151" spans="1:6" ht="14.25" customHeight="1">
      <c r="A151" s="2">
        <v>52</v>
      </c>
      <c r="B151" s="2">
        <v>150</v>
      </c>
      <c r="C151" s="2">
        <v>5</v>
      </c>
      <c r="D151" s="2">
        <v>1</v>
      </c>
      <c r="E151" s="2">
        <v>0.90600000000000003</v>
      </c>
      <c r="F151" s="2">
        <v>2</v>
      </c>
    </row>
    <row r="152" spans="1:6" ht="14.25" customHeight="1">
      <c r="A152" s="2">
        <v>52</v>
      </c>
      <c r="B152" s="2">
        <v>151</v>
      </c>
      <c r="C152" s="2">
        <v>3</v>
      </c>
      <c r="D152" s="2">
        <v>1</v>
      </c>
      <c r="E152" s="2">
        <v>1.093</v>
      </c>
      <c r="F152" s="2">
        <v>2</v>
      </c>
    </row>
    <row r="153" spans="1:6" ht="14.25" customHeight="1">
      <c r="A153" s="2">
        <v>52</v>
      </c>
      <c r="B153" s="2">
        <v>152</v>
      </c>
      <c r="C153" s="2">
        <v>4</v>
      </c>
      <c r="D153" s="2">
        <v>1</v>
      </c>
      <c r="E153" s="2">
        <v>0.92600000000000005</v>
      </c>
      <c r="F153" s="2">
        <v>1</v>
      </c>
    </row>
    <row r="154" spans="1:6" ht="14.25" customHeight="1">
      <c r="A154" s="2">
        <v>52</v>
      </c>
      <c r="B154" s="2">
        <v>153</v>
      </c>
      <c r="C154" s="2">
        <v>3</v>
      </c>
      <c r="D154" s="2">
        <v>0</v>
      </c>
      <c r="E154" s="2">
        <v>1.5269999999999999</v>
      </c>
      <c r="F154" s="2">
        <v>1</v>
      </c>
    </row>
    <row r="155" spans="1:6" ht="14.25" customHeight="1">
      <c r="A155" s="2">
        <v>52</v>
      </c>
      <c r="B155" s="2">
        <v>154</v>
      </c>
      <c r="C155" s="2">
        <v>5</v>
      </c>
      <c r="D155" s="2">
        <v>1</v>
      </c>
      <c r="E155" s="2">
        <v>1.415</v>
      </c>
      <c r="F155" s="2">
        <v>1</v>
      </c>
    </row>
    <row r="156" spans="1:6" ht="14.25" customHeight="1">
      <c r="A156" s="2">
        <v>52</v>
      </c>
      <c r="B156" s="2">
        <v>155</v>
      </c>
      <c r="C156" s="2">
        <v>2</v>
      </c>
      <c r="D156" s="2">
        <v>1</v>
      </c>
      <c r="E156" s="2">
        <v>1.054</v>
      </c>
      <c r="F156" s="2">
        <v>2</v>
      </c>
    </row>
    <row r="157" spans="1:6" ht="14.25" customHeight="1">
      <c r="A157" s="2">
        <v>52</v>
      </c>
      <c r="B157" s="2">
        <v>156</v>
      </c>
      <c r="C157" s="2">
        <v>1</v>
      </c>
      <c r="E157" s="2">
        <v>2</v>
      </c>
    </row>
    <row r="158" spans="1:6" ht="14.25" customHeight="1">
      <c r="A158" s="2">
        <v>52</v>
      </c>
      <c r="B158" s="2">
        <v>157</v>
      </c>
      <c r="C158" s="2">
        <v>5</v>
      </c>
      <c r="D158" s="2">
        <v>1</v>
      </c>
      <c r="E158" s="2">
        <v>1.746</v>
      </c>
      <c r="F158" s="2">
        <v>2</v>
      </c>
    </row>
    <row r="159" spans="1:6" ht="14.25" customHeight="1">
      <c r="A159" s="2">
        <v>52</v>
      </c>
      <c r="B159" s="2">
        <v>158</v>
      </c>
      <c r="C159" s="2">
        <v>6</v>
      </c>
      <c r="D159" s="2">
        <v>1</v>
      </c>
      <c r="E159" s="2">
        <v>1.639</v>
      </c>
      <c r="F159" s="2">
        <v>1</v>
      </c>
    </row>
    <row r="160" spans="1:6" ht="14.25" customHeight="1">
      <c r="A160" s="2">
        <v>52</v>
      </c>
      <c r="B160" s="2">
        <v>159</v>
      </c>
      <c r="C160" s="2">
        <v>8</v>
      </c>
      <c r="D160" s="2">
        <v>1</v>
      </c>
      <c r="E160" s="2">
        <v>0.91600000000000004</v>
      </c>
      <c r="F160" s="2">
        <v>2</v>
      </c>
    </row>
    <row r="161" spans="1:6" ht="14.25" customHeight="1">
      <c r="A161" s="2">
        <v>52</v>
      </c>
      <c r="B161" s="2">
        <v>160</v>
      </c>
      <c r="C161" s="2">
        <v>1</v>
      </c>
      <c r="D161" s="2">
        <v>1</v>
      </c>
      <c r="E161" s="2">
        <v>0.85899999999999999</v>
      </c>
      <c r="F161" s="2">
        <v>1</v>
      </c>
    </row>
    <row r="162" spans="1:6" ht="14.25" customHeight="1">
      <c r="A162" s="2">
        <v>52</v>
      </c>
      <c r="B162" s="2">
        <v>161</v>
      </c>
      <c r="C162" s="2">
        <v>2</v>
      </c>
      <c r="D162" s="2">
        <v>1</v>
      </c>
      <c r="E162" s="2">
        <v>1.6970000000000001</v>
      </c>
      <c r="F162" s="2">
        <v>1</v>
      </c>
    </row>
    <row r="163" spans="1:6" ht="14.25" customHeight="1">
      <c r="A163" s="2">
        <v>52</v>
      </c>
      <c r="B163" s="2">
        <v>162</v>
      </c>
      <c r="C163" s="2">
        <v>6</v>
      </c>
      <c r="D163" s="2">
        <v>1</v>
      </c>
      <c r="E163" s="2">
        <v>1.742</v>
      </c>
      <c r="F163" s="2">
        <v>2</v>
      </c>
    </row>
    <row r="164" spans="1:6" ht="14.25" customHeight="1">
      <c r="A164" s="2">
        <v>52</v>
      </c>
      <c r="B164" s="2">
        <v>163</v>
      </c>
      <c r="C164" s="2">
        <v>7</v>
      </c>
      <c r="D164" s="2">
        <v>1</v>
      </c>
      <c r="E164" s="2">
        <v>1.002</v>
      </c>
      <c r="F164" s="2">
        <v>2</v>
      </c>
    </row>
    <row r="165" spans="1:6" ht="14.25" customHeight="1">
      <c r="A165" s="2">
        <v>52</v>
      </c>
      <c r="B165" s="2">
        <v>164</v>
      </c>
      <c r="C165" s="2">
        <v>1</v>
      </c>
      <c r="D165" s="2">
        <v>1</v>
      </c>
      <c r="E165" s="2">
        <v>0.78</v>
      </c>
      <c r="F165" s="2">
        <v>2</v>
      </c>
    </row>
    <row r="166" spans="1:6" ht="14.25" customHeight="1">
      <c r="A166" s="2">
        <v>52</v>
      </c>
      <c r="B166" s="2">
        <v>165</v>
      </c>
      <c r="C166" s="2">
        <v>3</v>
      </c>
      <c r="D166" s="2">
        <v>1</v>
      </c>
      <c r="E166" s="2">
        <v>1.7929999999999999</v>
      </c>
      <c r="F166" s="2">
        <v>2</v>
      </c>
    </row>
    <row r="167" spans="1:6" ht="14.25" customHeight="1">
      <c r="A167" s="2">
        <v>52</v>
      </c>
      <c r="B167" s="2">
        <v>166</v>
      </c>
      <c r="C167" s="2">
        <v>5</v>
      </c>
      <c r="D167" s="2">
        <v>1</v>
      </c>
      <c r="E167" s="2">
        <v>1.2230000000000001</v>
      </c>
      <c r="F167" s="2">
        <v>1</v>
      </c>
    </row>
    <row r="168" spans="1:6" ht="14.25" customHeight="1">
      <c r="A168" s="2">
        <v>52</v>
      </c>
      <c r="B168" s="2">
        <v>167</v>
      </c>
      <c r="C168" s="2">
        <v>6</v>
      </c>
      <c r="D168" s="2">
        <v>1</v>
      </c>
      <c r="E168" s="2">
        <v>1.3420000000000001</v>
      </c>
      <c r="F168" s="2">
        <v>1</v>
      </c>
    </row>
    <row r="169" spans="1:6" ht="14.25" customHeight="1">
      <c r="A169" s="2">
        <v>52</v>
      </c>
      <c r="B169" s="2">
        <v>168</v>
      </c>
      <c r="C169" s="2">
        <v>1</v>
      </c>
      <c r="D169" s="2">
        <v>1</v>
      </c>
      <c r="E169" s="2">
        <v>1.2010000000000001</v>
      </c>
      <c r="F169" s="2">
        <v>2</v>
      </c>
    </row>
    <row r="170" spans="1:6" ht="14.25" customHeight="1">
      <c r="A170" s="2">
        <v>52</v>
      </c>
      <c r="B170" s="2">
        <v>169</v>
      </c>
      <c r="C170" s="2">
        <v>8</v>
      </c>
      <c r="D170" s="2">
        <v>1</v>
      </c>
      <c r="E170" s="2">
        <v>1.7370000000000001</v>
      </c>
      <c r="F170" s="2">
        <v>1</v>
      </c>
    </row>
    <row r="171" spans="1:6" ht="14.25" customHeight="1">
      <c r="A171" s="2">
        <v>52</v>
      </c>
      <c r="B171" s="2">
        <v>170</v>
      </c>
      <c r="C171" s="2">
        <v>5</v>
      </c>
      <c r="D171" s="2">
        <v>1</v>
      </c>
      <c r="E171" s="2">
        <v>1.304</v>
      </c>
      <c r="F171" s="2">
        <v>1</v>
      </c>
    </row>
    <row r="172" spans="1:6" ht="14.25" customHeight="1">
      <c r="A172" s="2">
        <v>52</v>
      </c>
      <c r="B172" s="2">
        <v>171</v>
      </c>
      <c r="C172" s="2">
        <v>4</v>
      </c>
      <c r="D172" s="2">
        <v>1</v>
      </c>
      <c r="E172" s="2">
        <v>1.6459999999999999</v>
      </c>
      <c r="F172" s="2">
        <v>1</v>
      </c>
    </row>
    <row r="173" spans="1:6" ht="14.25" customHeight="1">
      <c r="A173" s="2">
        <v>52</v>
      </c>
      <c r="B173" s="2">
        <v>172</v>
      </c>
      <c r="C173" s="2">
        <v>2</v>
      </c>
      <c r="D173" s="2">
        <v>1</v>
      </c>
      <c r="E173" s="2">
        <v>1.2869999999999999</v>
      </c>
      <c r="F173" s="2">
        <v>1</v>
      </c>
    </row>
    <row r="174" spans="1:6" ht="14.25" customHeight="1">
      <c r="A174" s="2">
        <v>52</v>
      </c>
      <c r="B174" s="2">
        <v>173</v>
      </c>
      <c r="C174" s="2">
        <v>7</v>
      </c>
      <c r="D174" s="2">
        <v>1</v>
      </c>
      <c r="E174" s="2">
        <v>1.37</v>
      </c>
      <c r="F174" s="2">
        <v>1</v>
      </c>
    </row>
    <row r="175" spans="1:6" ht="14.25" customHeight="1">
      <c r="A175" s="2">
        <v>52</v>
      </c>
      <c r="B175" s="2">
        <v>174</v>
      </c>
      <c r="C175" s="2">
        <v>2</v>
      </c>
      <c r="E175" s="2">
        <v>2</v>
      </c>
    </row>
    <row r="176" spans="1:6" ht="14.25" customHeight="1">
      <c r="A176" s="2">
        <v>52</v>
      </c>
      <c r="B176" s="2">
        <v>175</v>
      </c>
      <c r="C176" s="2">
        <v>1</v>
      </c>
      <c r="D176" s="2">
        <v>1</v>
      </c>
      <c r="E176" s="2">
        <v>1.3340000000000001</v>
      </c>
      <c r="F176" s="2">
        <v>2</v>
      </c>
    </row>
    <row r="177" spans="1:6" ht="14.25" customHeight="1">
      <c r="A177" s="2">
        <v>52</v>
      </c>
      <c r="B177" s="2">
        <v>176</v>
      </c>
      <c r="C177" s="2">
        <v>3</v>
      </c>
      <c r="D177" s="2">
        <v>1</v>
      </c>
      <c r="E177" s="2">
        <v>1.2410000000000001</v>
      </c>
      <c r="F177" s="2">
        <v>1</v>
      </c>
    </row>
    <row r="178" spans="1:6" ht="14.25" customHeight="1">
      <c r="A178" s="2">
        <v>52</v>
      </c>
      <c r="B178" s="2">
        <v>177</v>
      </c>
      <c r="C178" s="2">
        <v>8</v>
      </c>
      <c r="D178" s="2">
        <v>1</v>
      </c>
      <c r="E178" s="2">
        <v>0.8</v>
      </c>
      <c r="F178" s="2">
        <v>2</v>
      </c>
    </row>
    <row r="179" spans="1:6" ht="14.25" customHeight="1">
      <c r="A179" s="2">
        <v>52</v>
      </c>
      <c r="B179" s="2">
        <v>178</v>
      </c>
      <c r="C179" s="2">
        <v>2</v>
      </c>
      <c r="D179" s="2">
        <v>1</v>
      </c>
      <c r="E179" s="2">
        <v>0.83</v>
      </c>
      <c r="F179" s="2">
        <v>2</v>
      </c>
    </row>
    <row r="180" spans="1:6" ht="14.25" customHeight="1">
      <c r="A180" s="2">
        <v>52</v>
      </c>
      <c r="B180" s="2">
        <v>179</v>
      </c>
      <c r="C180" s="2">
        <v>8</v>
      </c>
      <c r="D180" s="2">
        <v>1</v>
      </c>
      <c r="E180" s="2">
        <v>1.343</v>
      </c>
      <c r="F180" s="2">
        <v>1</v>
      </c>
    </row>
    <row r="181" spans="1:6" ht="14.25" customHeight="1">
      <c r="A181" s="2">
        <v>52</v>
      </c>
      <c r="B181" s="2">
        <v>180</v>
      </c>
      <c r="C181" s="2">
        <v>6</v>
      </c>
      <c r="D181" s="2">
        <v>0</v>
      </c>
      <c r="E181" s="2">
        <v>1.343</v>
      </c>
      <c r="F181" s="2">
        <v>1</v>
      </c>
    </row>
    <row r="182" spans="1:6" ht="14.25" customHeight="1">
      <c r="A182" s="2">
        <v>52</v>
      </c>
      <c r="B182" s="2">
        <v>181</v>
      </c>
      <c r="C182" s="2">
        <v>3</v>
      </c>
      <c r="D182" s="2">
        <v>1</v>
      </c>
      <c r="E182" s="2">
        <v>1.0089999999999999</v>
      </c>
      <c r="F182" s="2">
        <v>2</v>
      </c>
    </row>
    <row r="183" spans="1:6" ht="14.25" customHeight="1">
      <c r="A183" s="2">
        <v>52</v>
      </c>
      <c r="B183" s="2">
        <v>182</v>
      </c>
      <c r="C183" s="2">
        <v>2</v>
      </c>
      <c r="D183" s="2">
        <v>1</v>
      </c>
      <c r="E183" s="2">
        <v>1.321</v>
      </c>
      <c r="F183" s="2">
        <v>1</v>
      </c>
    </row>
    <row r="184" spans="1:6" ht="14.25" customHeight="1">
      <c r="A184" s="2">
        <v>52</v>
      </c>
      <c r="B184" s="2">
        <v>183</v>
      </c>
      <c r="C184" s="2">
        <v>6</v>
      </c>
      <c r="D184" s="2">
        <v>1</v>
      </c>
      <c r="E184" s="2">
        <v>1.042</v>
      </c>
      <c r="F184" s="2">
        <v>2</v>
      </c>
    </row>
    <row r="185" spans="1:6" ht="14.25" customHeight="1">
      <c r="A185" s="2">
        <v>52</v>
      </c>
      <c r="B185" s="2">
        <v>184</v>
      </c>
      <c r="C185" s="2">
        <v>7</v>
      </c>
      <c r="D185" s="2">
        <v>1</v>
      </c>
      <c r="E185" s="2">
        <v>1.3109999999999999</v>
      </c>
      <c r="F185" s="2">
        <v>2</v>
      </c>
    </row>
    <row r="186" spans="1:6" ht="14.25" customHeight="1">
      <c r="A186" s="2">
        <v>52</v>
      </c>
      <c r="B186" s="2">
        <v>185</v>
      </c>
      <c r="C186" s="2">
        <v>8</v>
      </c>
      <c r="D186" s="2">
        <v>1</v>
      </c>
      <c r="E186" s="2">
        <v>1.0980000000000001</v>
      </c>
      <c r="F186" s="2">
        <v>1</v>
      </c>
    </row>
    <row r="187" spans="1:6" ht="14.25" customHeight="1">
      <c r="A187" s="2">
        <v>52</v>
      </c>
      <c r="B187" s="2">
        <v>186</v>
      </c>
      <c r="C187" s="2">
        <v>7</v>
      </c>
      <c r="D187" s="2">
        <v>1</v>
      </c>
      <c r="E187" s="2">
        <v>0.73299999999999998</v>
      </c>
      <c r="F187" s="2">
        <v>2</v>
      </c>
    </row>
    <row r="188" spans="1:6" ht="14.25" customHeight="1">
      <c r="A188" s="2">
        <v>52</v>
      </c>
      <c r="B188" s="2">
        <v>187</v>
      </c>
      <c r="C188" s="2">
        <v>3</v>
      </c>
      <c r="D188" s="2">
        <v>1</v>
      </c>
      <c r="E188" s="2">
        <v>1.2370000000000001</v>
      </c>
      <c r="F188" s="2">
        <v>1</v>
      </c>
    </row>
    <row r="189" spans="1:6" ht="14.25" customHeight="1">
      <c r="A189" s="2">
        <v>52</v>
      </c>
      <c r="B189" s="2">
        <v>188</v>
      </c>
      <c r="C189" s="2">
        <v>4</v>
      </c>
      <c r="D189" s="2">
        <v>1</v>
      </c>
      <c r="E189" s="2">
        <v>1.758</v>
      </c>
      <c r="F189" s="2">
        <v>1</v>
      </c>
    </row>
    <row r="190" spans="1:6" ht="14.25" customHeight="1">
      <c r="A190" s="2">
        <v>52</v>
      </c>
      <c r="B190" s="2">
        <v>189</v>
      </c>
      <c r="C190" s="2">
        <v>7</v>
      </c>
      <c r="D190" s="2">
        <v>1</v>
      </c>
      <c r="E190" s="2">
        <v>1.0229999999999999</v>
      </c>
      <c r="F190" s="2">
        <v>1</v>
      </c>
    </row>
    <row r="191" spans="1:6" ht="14.25" customHeight="1">
      <c r="A191" s="2">
        <v>52</v>
      </c>
      <c r="B191" s="2">
        <v>190</v>
      </c>
      <c r="C191" s="2">
        <v>2</v>
      </c>
      <c r="D191" s="2">
        <v>1</v>
      </c>
      <c r="E191" s="2">
        <v>0.89400000000000002</v>
      </c>
      <c r="F191" s="2">
        <v>2</v>
      </c>
    </row>
    <row r="192" spans="1:6" ht="14.25" customHeight="1">
      <c r="A192" s="2">
        <v>52</v>
      </c>
      <c r="B192" s="2">
        <v>191</v>
      </c>
      <c r="C192" s="2">
        <v>6</v>
      </c>
      <c r="D192" s="2">
        <v>1</v>
      </c>
      <c r="E192" s="2">
        <v>1.0289999999999999</v>
      </c>
      <c r="F192" s="2">
        <v>1</v>
      </c>
    </row>
    <row r="193" spans="1:6" ht="14.25" customHeight="1">
      <c r="A193" s="2">
        <v>52</v>
      </c>
      <c r="B193" s="2">
        <v>192</v>
      </c>
      <c r="C193" s="2">
        <v>8</v>
      </c>
      <c r="D193" s="2">
        <v>0</v>
      </c>
      <c r="E193" s="2">
        <v>1.0429999999999999</v>
      </c>
      <c r="F193" s="2">
        <v>1</v>
      </c>
    </row>
    <row r="194" spans="1:6" ht="14.25" customHeight="1">
      <c r="A194" s="2">
        <v>52</v>
      </c>
      <c r="B194" s="2">
        <v>193</v>
      </c>
      <c r="C194" s="2">
        <v>4</v>
      </c>
      <c r="D194" s="2">
        <v>0</v>
      </c>
      <c r="E194" s="2">
        <v>1.6950000000000001</v>
      </c>
      <c r="F194" s="2">
        <v>1</v>
      </c>
    </row>
    <row r="195" spans="1:6" ht="14.25" customHeight="1">
      <c r="A195" s="2">
        <v>52</v>
      </c>
      <c r="B195" s="2">
        <v>194</v>
      </c>
      <c r="C195" s="2">
        <v>5</v>
      </c>
      <c r="D195" s="2">
        <v>1</v>
      </c>
      <c r="E195" s="2">
        <v>1.0369999999999999</v>
      </c>
      <c r="F195" s="2">
        <v>2</v>
      </c>
    </row>
    <row r="196" spans="1:6" ht="14.25" customHeight="1">
      <c r="A196" s="2">
        <v>52</v>
      </c>
      <c r="B196" s="2">
        <v>195</v>
      </c>
      <c r="C196" s="2">
        <v>4</v>
      </c>
      <c r="D196" s="2">
        <v>1</v>
      </c>
      <c r="E196" s="2">
        <v>0.92800000000000005</v>
      </c>
      <c r="F196" s="2">
        <v>1</v>
      </c>
    </row>
    <row r="197" spans="1:6" ht="14.25" customHeight="1">
      <c r="A197" s="2">
        <v>52</v>
      </c>
      <c r="B197" s="2">
        <v>196</v>
      </c>
      <c r="C197" s="2">
        <v>5</v>
      </c>
      <c r="D197" s="2">
        <v>1</v>
      </c>
      <c r="E197" s="2">
        <v>0.97899999999999998</v>
      </c>
      <c r="F197" s="2">
        <v>2</v>
      </c>
    </row>
    <row r="198" spans="1:6" ht="14.25" customHeight="1">
      <c r="A198" s="2">
        <v>52</v>
      </c>
      <c r="B198" s="2">
        <v>197</v>
      </c>
      <c r="C198" s="2">
        <v>7</v>
      </c>
      <c r="D198" s="2">
        <v>1</v>
      </c>
      <c r="E198" s="2">
        <v>0.96199999999999997</v>
      </c>
      <c r="F198" s="2">
        <v>1</v>
      </c>
    </row>
    <row r="199" spans="1:6" ht="14.25" customHeight="1">
      <c r="A199" s="2">
        <v>52</v>
      </c>
      <c r="B199" s="2">
        <v>198</v>
      </c>
      <c r="C199" s="2">
        <v>1</v>
      </c>
      <c r="D199" s="2">
        <v>1</v>
      </c>
      <c r="E199" s="2">
        <v>1.198</v>
      </c>
      <c r="F199" s="2">
        <v>1</v>
      </c>
    </row>
    <row r="200" spans="1:6" ht="14.25" customHeight="1">
      <c r="A200" s="2">
        <v>52</v>
      </c>
      <c r="B200" s="2">
        <v>199</v>
      </c>
      <c r="C200" s="2">
        <v>4</v>
      </c>
      <c r="D200" s="2">
        <v>1</v>
      </c>
      <c r="E200" s="2">
        <v>1.575</v>
      </c>
      <c r="F200" s="2">
        <v>2</v>
      </c>
    </row>
    <row r="201" spans="1:6" ht="14.25" customHeight="1">
      <c r="A201" s="2">
        <v>52</v>
      </c>
      <c r="B201" s="2">
        <v>200</v>
      </c>
      <c r="C201" s="2">
        <v>8</v>
      </c>
      <c r="D201" s="2">
        <v>0</v>
      </c>
      <c r="E201" s="2">
        <v>1.0289999999999999</v>
      </c>
      <c r="F201" s="2">
        <v>1</v>
      </c>
    </row>
    <row r="202" spans="1:6" ht="14.25" customHeight="1">
      <c r="A202" s="2">
        <v>52</v>
      </c>
      <c r="B202" s="2">
        <v>201</v>
      </c>
      <c r="C202" s="2">
        <v>5</v>
      </c>
      <c r="E202" s="2">
        <v>2</v>
      </c>
    </row>
    <row r="203" spans="1:6" ht="14.25" customHeight="1">
      <c r="A203" s="2">
        <v>52</v>
      </c>
      <c r="B203" s="2">
        <v>202</v>
      </c>
      <c r="C203" s="2">
        <v>6</v>
      </c>
      <c r="D203" s="2">
        <v>1</v>
      </c>
      <c r="E203" s="2">
        <v>1.08</v>
      </c>
      <c r="F203" s="2">
        <v>1</v>
      </c>
    </row>
    <row r="204" spans="1:6" ht="14.25" customHeight="1">
      <c r="A204" s="2">
        <v>52</v>
      </c>
      <c r="B204" s="2">
        <v>203</v>
      </c>
      <c r="C204" s="2">
        <v>3</v>
      </c>
      <c r="D204" s="2">
        <v>0</v>
      </c>
      <c r="E204" s="2">
        <v>1.4159999999999999</v>
      </c>
      <c r="F204" s="2">
        <v>1</v>
      </c>
    </row>
    <row r="205" spans="1:6" ht="14.25" customHeight="1">
      <c r="A205" s="2">
        <v>52</v>
      </c>
      <c r="B205" s="2">
        <v>204</v>
      </c>
      <c r="C205" s="2">
        <v>4</v>
      </c>
      <c r="D205" s="2">
        <v>0</v>
      </c>
      <c r="E205" s="2">
        <v>1.62</v>
      </c>
      <c r="F205" s="2">
        <v>2</v>
      </c>
    </row>
    <row r="206" spans="1:6" ht="14.25" customHeight="1">
      <c r="A206" s="2">
        <v>52</v>
      </c>
      <c r="B206" s="2">
        <v>205</v>
      </c>
      <c r="C206" s="2">
        <v>8</v>
      </c>
      <c r="D206" s="2">
        <v>1</v>
      </c>
      <c r="E206" s="2">
        <v>1.08</v>
      </c>
      <c r="F206" s="2">
        <v>2</v>
      </c>
    </row>
    <row r="207" spans="1:6" ht="14.25" customHeight="1">
      <c r="A207" s="2">
        <v>52</v>
      </c>
      <c r="B207" s="2">
        <v>206</v>
      </c>
      <c r="C207" s="2">
        <v>6</v>
      </c>
      <c r="D207" s="2">
        <v>0</v>
      </c>
      <c r="E207" s="2">
        <v>1.593</v>
      </c>
      <c r="F207" s="2">
        <v>1</v>
      </c>
    </row>
    <row r="208" spans="1:6" ht="14.25" customHeight="1">
      <c r="A208" s="2">
        <v>52</v>
      </c>
      <c r="B208" s="2">
        <v>207</v>
      </c>
      <c r="C208" s="2">
        <v>1</v>
      </c>
      <c r="D208" s="2">
        <v>1</v>
      </c>
      <c r="E208" s="2">
        <v>1.198</v>
      </c>
      <c r="F208" s="2">
        <v>2</v>
      </c>
    </row>
    <row r="209" spans="1:6" ht="14.25" customHeight="1">
      <c r="A209" s="2">
        <v>52</v>
      </c>
      <c r="B209" s="2">
        <v>208</v>
      </c>
      <c r="C209" s="2">
        <v>5</v>
      </c>
      <c r="D209" s="2">
        <v>1</v>
      </c>
      <c r="E209" s="2">
        <v>1.012</v>
      </c>
      <c r="F209" s="2">
        <v>1</v>
      </c>
    </row>
    <row r="210" spans="1:6" ht="14.25" customHeight="1">
      <c r="A210" s="2">
        <v>52</v>
      </c>
      <c r="B210" s="2">
        <v>209</v>
      </c>
      <c r="C210" s="2">
        <v>8</v>
      </c>
      <c r="D210" s="2">
        <v>1</v>
      </c>
      <c r="E210" s="2">
        <v>1.165</v>
      </c>
      <c r="F210" s="2">
        <v>2</v>
      </c>
    </row>
    <row r="211" spans="1:6" ht="14.25" customHeight="1">
      <c r="A211" s="2">
        <v>52</v>
      </c>
      <c r="B211" s="2">
        <v>210</v>
      </c>
      <c r="C211" s="2">
        <v>7</v>
      </c>
      <c r="D211" s="2">
        <v>1</v>
      </c>
      <c r="E211" s="2">
        <v>1.0720000000000001</v>
      </c>
      <c r="F211" s="2">
        <v>1</v>
      </c>
    </row>
    <row r="212" spans="1:6" ht="14.25" customHeight="1">
      <c r="A212" s="2">
        <v>52</v>
      </c>
      <c r="B212" s="2">
        <v>211</v>
      </c>
      <c r="C212" s="2">
        <v>1</v>
      </c>
      <c r="D212" s="2">
        <v>1</v>
      </c>
      <c r="E212" s="2">
        <v>1.488</v>
      </c>
      <c r="F212" s="2">
        <v>1</v>
      </c>
    </row>
    <row r="213" spans="1:6" ht="14.25" customHeight="1">
      <c r="A213" s="2">
        <v>52</v>
      </c>
      <c r="B213" s="2">
        <v>212</v>
      </c>
      <c r="C213" s="2">
        <v>2</v>
      </c>
      <c r="D213" s="2">
        <v>1</v>
      </c>
      <c r="E213" s="2">
        <v>1.3380000000000001</v>
      </c>
      <c r="F213" s="2">
        <v>2</v>
      </c>
    </row>
    <row r="214" spans="1:6" ht="14.25" customHeight="1">
      <c r="A214" s="2">
        <v>52</v>
      </c>
      <c r="B214" s="2">
        <v>213</v>
      </c>
      <c r="C214" s="2">
        <v>5</v>
      </c>
      <c r="D214" s="2">
        <v>1</v>
      </c>
      <c r="E214" s="2">
        <v>1.3089999999999999</v>
      </c>
      <c r="F214" s="2">
        <v>2</v>
      </c>
    </row>
    <row r="215" spans="1:6" ht="14.25" customHeight="1">
      <c r="A215" s="2">
        <v>52</v>
      </c>
      <c r="B215" s="2">
        <v>214</v>
      </c>
      <c r="C215" s="2">
        <v>4</v>
      </c>
      <c r="D215" s="2">
        <v>1</v>
      </c>
      <c r="E215" s="2">
        <v>1.7330000000000001</v>
      </c>
      <c r="F215" s="2">
        <v>2</v>
      </c>
    </row>
    <row r="216" spans="1:6" ht="14.25" customHeight="1">
      <c r="A216" s="2">
        <v>52</v>
      </c>
      <c r="B216" s="2">
        <v>215</v>
      </c>
      <c r="C216" s="2">
        <v>2</v>
      </c>
      <c r="D216" s="2">
        <v>0</v>
      </c>
      <c r="E216" s="2">
        <v>1.7869999999999999</v>
      </c>
      <c r="F216" s="2">
        <v>1</v>
      </c>
    </row>
    <row r="217" spans="1:6" ht="14.25" customHeight="1">
      <c r="A217" s="2">
        <v>52</v>
      </c>
      <c r="B217" s="2">
        <v>216</v>
      </c>
      <c r="C217" s="2">
        <v>4</v>
      </c>
      <c r="D217" s="2">
        <v>1</v>
      </c>
      <c r="E217" s="2">
        <v>1.073</v>
      </c>
      <c r="F217" s="2">
        <v>1</v>
      </c>
    </row>
    <row r="218" spans="1:6" ht="14.25" customHeight="1">
      <c r="A218" s="2">
        <v>52</v>
      </c>
      <c r="B218" s="2">
        <v>217</v>
      </c>
      <c r="C218" s="2">
        <v>3</v>
      </c>
      <c r="D218" s="2">
        <v>1</v>
      </c>
      <c r="E218" s="2">
        <v>0.878</v>
      </c>
      <c r="F218" s="2">
        <v>1</v>
      </c>
    </row>
    <row r="219" spans="1:6" ht="14.25" customHeight="1">
      <c r="A219" s="2">
        <v>52</v>
      </c>
      <c r="B219" s="2">
        <v>218</v>
      </c>
      <c r="C219" s="2">
        <v>6</v>
      </c>
      <c r="D219" s="2">
        <v>1</v>
      </c>
      <c r="E219" s="2">
        <v>1.107</v>
      </c>
      <c r="F219" s="2">
        <v>2</v>
      </c>
    </row>
    <row r="220" spans="1:6" ht="14.25" customHeight="1">
      <c r="A220" s="2">
        <v>52</v>
      </c>
      <c r="B220" s="2">
        <v>219</v>
      </c>
      <c r="C220" s="2">
        <v>7</v>
      </c>
      <c r="D220" s="2">
        <v>1</v>
      </c>
      <c r="E220" s="2">
        <v>1.5580000000000001</v>
      </c>
      <c r="F220" s="2">
        <v>1</v>
      </c>
    </row>
    <row r="221" spans="1:6" ht="14.25" customHeight="1">
      <c r="A221" s="2">
        <v>52</v>
      </c>
      <c r="B221" s="2">
        <v>220</v>
      </c>
      <c r="C221" s="2">
        <v>8</v>
      </c>
      <c r="D221" s="2">
        <v>1</v>
      </c>
      <c r="E221" s="2">
        <v>1.377</v>
      </c>
      <c r="F221" s="2">
        <v>1</v>
      </c>
    </row>
    <row r="222" spans="1:6" ht="14.25" customHeight="1">
      <c r="A222" s="2">
        <v>52</v>
      </c>
      <c r="B222" s="2">
        <v>221</v>
      </c>
      <c r="C222" s="2">
        <v>2</v>
      </c>
      <c r="D222" s="2">
        <v>0</v>
      </c>
      <c r="E222" s="2">
        <v>1.458</v>
      </c>
      <c r="F222" s="2">
        <v>2</v>
      </c>
    </row>
    <row r="223" spans="1:6" ht="14.25" customHeight="1">
      <c r="A223" s="2">
        <v>52</v>
      </c>
      <c r="B223" s="2">
        <v>222</v>
      </c>
      <c r="C223" s="2">
        <v>8</v>
      </c>
      <c r="D223" s="2">
        <v>1</v>
      </c>
      <c r="E223" s="2">
        <v>0.86199999999999999</v>
      </c>
      <c r="F223" s="2">
        <v>1</v>
      </c>
    </row>
    <row r="224" spans="1:6" ht="14.25" customHeight="1">
      <c r="A224" s="2">
        <v>52</v>
      </c>
      <c r="B224" s="2">
        <v>223</v>
      </c>
      <c r="C224" s="2">
        <v>1</v>
      </c>
      <c r="D224" s="2">
        <v>1</v>
      </c>
      <c r="E224" s="2">
        <v>1.409</v>
      </c>
      <c r="F224" s="2">
        <v>1</v>
      </c>
    </row>
    <row r="225" spans="1:6" ht="14.25" customHeight="1">
      <c r="A225" s="2">
        <v>52</v>
      </c>
      <c r="B225" s="2">
        <v>224</v>
      </c>
      <c r="C225" s="2">
        <v>5</v>
      </c>
      <c r="D225" s="2">
        <v>1</v>
      </c>
      <c r="E225" s="2">
        <v>1.5980000000000001</v>
      </c>
      <c r="F225" s="2">
        <v>1</v>
      </c>
    </row>
    <row r="226" spans="1:6" ht="14.25" customHeight="1">
      <c r="A226" s="2">
        <v>52</v>
      </c>
      <c r="B226" s="2">
        <v>225</v>
      </c>
      <c r="C226" s="2">
        <v>3</v>
      </c>
      <c r="D226" s="2">
        <v>1</v>
      </c>
      <c r="E226" s="2">
        <v>1.7190000000000001</v>
      </c>
      <c r="F226" s="2">
        <v>2</v>
      </c>
    </row>
    <row r="227" spans="1:6" ht="14.25" customHeight="1">
      <c r="A227" s="2">
        <v>52</v>
      </c>
      <c r="B227" s="2">
        <v>226</v>
      </c>
      <c r="C227" s="2">
        <v>7</v>
      </c>
      <c r="D227" s="2">
        <v>1</v>
      </c>
      <c r="E227" s="2">
        <v>1.2609999999999999</v>
      </c>
      <c r="F227" s="2">
        <v>1</v>
      </c>
    </row>
    <row r="228" spans="1:6" ht="14.25" customHeight="1">
      <c r="A228" s="2">
        <v>52</v>
      </c>
      <c r="B228" s="2">
        <v>227</v>
      </c>
      <c r="C228" s="2">
        <v>2</v>
      </c>
      <c r="D228" s="2">
        <v>1</v>
      </c>
      <c r="E228" s="2">
        <v>1.145</v>
      </c>
      <c r="F228" s="2">
        <v>2</v>
      </c>
    </row>
    <row r="229" spans="1:6" ht="14.25" customHeight="1">
      <c r="A229" s="2">
        <v>52</v>
      </c>
      <c r="B229" s="2">
        <v>228</v>
      </c>
      <c r="C229" s="2">
        <v>8</v>
      </c>
      <c r="D229" s="2">
        <v>1</v>
      </c>
      <c r="E229" s="2">
        <v>0.95199999999999996</v>
      </c>
      <c r="F229" s="2">
        <v>2</v>
      </c>
    </row>
    <row r="230" spans="1:6" ht="14.25" customHeight="1">
      <c r="A230" s="2">
        <v>52</v>
      </c>
      <c r="B230" s="2">
        <v>229</v>
      </c>
      <c r="C230" s="2">
        <v>2</v>
      </c>
      <c r="D230" s="2">
        <v>1</v>
      </c>
      <c r="E230" s="2">
        <v>1.47</v>
      </c>
      <c r="F230" s="2">
        <v>1</v>
      </c>
    </row>
    <row r="231" spans="1:6" ht="14.25" customHeight="1">
      <c r="A231" s="2">
        <v>52</v>
      </c>
      <c r="B231" s="2">
        <v>230</v>
      </c>
      <c r="C231" s="2">
        <v>1</v>
      </c>
      <c r="E231" s="2">
        <v>2</v>
      </c>
    </row>
    <row r="232" spans="1:6" ht="14.25" customHeight="1">
      <c r="A232" s="2">
        <v>52</v>
      </c>
      <c r="B232" s="2">
        <v>231</v>
      </c>
      <c r="C232" s="2">
        <v>7</v>
      </c>
      <c r="D232" s="2">
        <v>1</v>
      </c>
      <c r="E232" s="2">
        <v>0.71699999999999997</v>
      </c>
      <c r="F232" s="2">
        <v>2</v>
      </c>
    </row>
    <row r="233" spans="1:6" ht="14.25" customHeight="1">
      <c r="A233" s="2">
        <v>52</v>
      </c>
      <c r="B233" s="2">
        <v>232</v>
      </c>
      <c r="C233" s="2">
        <v>5</v>
      </c>
      <c r="D233" s="2">
        <v>1</v>
      </c>
      <c r="E233" s="2">
        <v>1.141</v>
      </c>
      <c r="F233" s="2">
        <v>1</v>
      </c>
    </row>
    <row r="234" spans="1:6" ht="14.25" customHeight="1">
      <c r="A234" s="2">
        <v>52</v>
      </c>
      <c r="B234" s="2">
        <v>233</v>
      </c>
      <c r="C234" s="2">
        <v>1</v>
      </c>
      <c r="D234" s="2">
        <v>1</v>
      </c>
      <c r="E234" s="2">
        <v>0.84699999999999998</v>
      </c>
      <c r="F234" s="2">
        <v>2</v>
      </c>
    </row>
    <row r="235" spans="1:6" ht="14.25" customHeight="1">
      <c r="A235" s="2">
        <v>52</v>
      </c>
      <c r="B235" s="2">
        <v>234</v>
      </c>
      <c r="C235" s="2">
        <v>3</v>
      </c>
      <c r="D235" s="2">
        <v>0</v>
      </c>
      <c r="E235" s="2">
        <v>0.72899999999999998</v>
      </c>
      <c r="F235" s="2">
        <v>1</v>
      </c>
    </row>
    <row r="236" spans="1:6" ht="14.25" customHeight="1">
      <c r="A236" s="2">
        <v>52</v>
      </c>
      <c r="B236" s="2">
        <v>235</v>
      </c>
      <c r="C236" s="2">
        <v>4</v>
      </c>
      <c r="D236" s="2">
        <v>1</v>
      </c>
      <c r="E236" s="2">
        <v>0.81599999999999995</v>
      </c>
      <c r="F236" s="2">
        <v>1</v>
      </c>
    </row>
    <row r="237" spans="1:6" ht="14.25" customHeight="1">
      <c r="A237" s="2">
        <v>52</v>
      </c>
      <c r="B237" s="2">
        <v>236</v>
      </c>
      <c r="C237" s="2">
        <v>5</v>
      </c>
      <c r="D237" s="2">
        <v>1</v>
      </c>
      <c r="E237" s="2">
        <v>0.89700000000000002</v>
      </c>
      <c r="F237" s="2">
        <v>2</v>
      </c>
    </row>
    <row r="238" spans="1:6" ht="14.25" customHeight="1">
      <c r="A238" s="2">
        <v>52</v>
      </c>
      <c r="B238" s="2">
        <v>237</v>
      </c>
      <c r="C238" s="2">
        <v>3</v>
      </c>
      <c r="D238" s="2">
        <v>1</v>
      </c>
      <c r="E238" s="2">
        <v>1.5880000000000001</v>
      </c>
      <c r="F238" s="2">
        <v>1</v>
      </c>
    </row>
    <row r="239" spans="1:6" ht="14.25" customHeight="1">
      <c r="A239" s="2">
        <v>52</v>
      </c>
      <c r="B239" s="2">
        <v>238</v>
      </c>
      <c r="C239" s="2">
        <v>2</v>
      </c>
      <c r="D239" s="2">
        <v>1</v>
      </c>
      <c r="E239" s="2">
        <v>1.369</v>
      </c>
      <c r="F239" s="2">
        <v>1</v>
      </c>
    </row>
    <row r="240" spans="1:6" ht="14.25" customHeight="1">
      <c r="A240" s="2">
        <v>52</v>
      </c>
      <c r="B240" s="2">
        <v>239</v>
      </c>
      <c r="C240" s="2">
        <v>4</v>
      </c>
      <c r="D240" s="2">
        <v>1</v>
      </c>
      <c r="E240" s="2">
        <v>0.94699999999999995</v>
      </c>
      <c r="F240" s="2">
        <v>1</v>
      </c>
    </row>
    <row r="241" spans="1:6" ht="14.25" customHeight="1">
      <c r="A241" s="2">
        <v>52</v>
      </c>
      <c r="B241" s="2">
        <v>240</v>
      </c>
      <c r="C241" s="2">
        <v>8</v>
      </c>
      <c r="D241" s="2">
        <v>1</v>
      </c>
      <c r="E241" s="2">
        <v>0.94299999999999995</v>
      </c>
      <c r="F241" s="2">
        <v>2</v>
      </c>
    </row>
    <row r="242" spans="1:6" ht="14.25" customHeight="1">
      <c r="A242" s="2">
        <v>52</v>
      </c>
      <c r="B242" s="2">
        <v>241</v>
      </c>
      <c r="C242" s="2">
        <v>6</v>
      </c>
      <c r="D242" s="2">
        <v>1</v>
      </c>
      <c r="E242" s="2">
        <v>1.0149999999999999</v>
      </c>
      <c r="F242" s="2">
        <v>1</v>
      </c>
    </row>
    <row r="243" spans="1:6" ht="14.25" customHeight="1">
      <c r="A243" s="2">
        <v>52</v>
      </c>
      <c r="B243" s="2">
        <v>242</v>
      </c>
      <c r="C243" s="2">
        <v>2</v>
      </c>
      <c r="D243" s="2">
        <v>1</v>
      </c>
      <c r="E243" s="2">
        <v>1.141</v>
      </c>
      <c r="F243" s="2">
        <v>2</v>
      </c>
    </row>
    <row r="244" spans="1:6" ht="14.25" customHeight="1">
      <c r="A244" s="2">
        <v>52</v>
      </c>
      <c r="B244" s="2">
        <v>243</v>
      </c>
      <c r="C244" s="2">
        <v>3</v>
      </c>
      <c r="D244" s="2">
        <v>0</v>
      </c>
      <c r="E244" s="2">
        <v>0.86199999999999999</v>
      </c>
      <c r="F244" s="2">
        <v>1</v>
      </c>
    </row>
    <row r="245" spans="1:6" ht="14.25" customHeight="1">
      <c r="A245" s="2">
        <v>52</v>
      </c>
      <c r="B245" s="2">
        <v>244</v>
      </c>
      <c r="C245" s="2">
        <v>6</v>
      </c>
      <c r="D245" s="2">
        <v>1</v>
      </c>
      <c r="E245" s="2">
        <v>0.74099999999999999</v>
      </c>
      <c r="F245" s="2">
        <v>2</v>
      </c>
    </row>
    <row r="246" spans="1:6" ht="14.25" customHeight="1">
      <c r="A246" s="2">
        <v>52</v>
      </c>
      <c r="B246" s="2">
        <v>245</v>
      </c>
      <c r="C246" s="2">
        <v>7</v>
      </c>
      <c r="D246" s="2">
        <v>1</v>
      </c>
      <c r="E246" s="2">
        <v>1.083</v>
      </c>
      <c r="F246" s="2">
        <v>1</v>
      </c>
    </row>
    <row r="247" spans="1:6" ht="14.25" customHeight="1">
      <c r="A247" s="2">
        <v>52</v>
      </c>
      <c r="B247" s="2">
        <v>246</v>
      </c>
      <c r="C247" s="2">
        <v>8</v>
      </c>
      <c r="D247" s="2">
        <v>1</v>
      </c>
      <c r="E247" s="2">
        <v>0.77300000000000002</v>
      </c>
      <c r="F247" s="2">
        <v>2</v>
      </c>
    </row>
    <row r="248" spans="1:6" ht="14.25" customHeight="1">
      <c r="A248" s="2">
        <v>52</v>
      </c>
      <c r="B248" s="2">
        <v>247</v>
      </c>
      <c r="C248" s="2">
        <v>1</v>
      </c>
      <c r="D248" s="2">
        <v>1</v>
      </c>
      <c r="E248" s="2">
        <v>1.3280000000000001</v>
      </c>
      <c r="F248" s="2">
        <v>1</v>
      </c>
    </row>
    <row r="249" spans="1:6" ht="14.25" customHeight="1">
      <c r="A249" s="2">
        <v>52</v>
      </c>
      <c r="B249" s="2">
        <v>248</v>
      </c>
      <c r="C249" s="2">
        <v>7</v>
      </c>
      <c r="D249" s="2">
        <v>1</v>
      </c>
      <c r="E249" s="2">
        <v>1.1279999999999999</v>
      </c>
      <c r="F249" s="2">
        <v>1</v>
      </c>
    </row>
    <row r="250" spans="1:6" ht="14.25" customHeight="1">
      <c r="A250" s="2">
        <v>52</v>
      </c>
      <c r="B250" s="2">
        <v>249</v>
      </c>
      <c r="C250" s="2">
        <v>6</v>
      </c>
      <c r="D250" s="2">
        <v>1</v>
      </c>
      <c r="E250" s="2">
        <v>0.95299999999999996</v>
      </c>
      <c r="F250" s="2">
        <v>2</v>
      </c>
    </row>
    <row r="251" spans="1:6" ht="14.25" customHeight="1">
      <c r="A251" s="2">
        <v>52</v>
      </c>
      <c r="B251" s="2">
        <v>250</v>
      </c>
      <c r="C251" s="2">
        <v>4</v>
      </c>
      <c r="D251" s="2">
        <v>0</v>
      </c>
      <c r="E251" s="2">
        <v>1.2090000000000001</v>
      </c>
      <c r="F251" s="2">
        <v>1</v>
      </c>
    </row>
    <row r="252" spans="1:6" ht="14.25" customHeight="1">
      <c r="A252" s="2">
        <v>52</v>
      </c>
      <c r="B252" s="2">
        <v>251</v>
      </c>
      <c r="C252" s="2">
        <v>8</v>
      </c>
      <c r="D252" s="2">
        <v>1</v>
      </c>
      <c r="E252" s="2">
        <v>1.2350000000000001</v>
      </c>
      <c r="F252" s="2">
        <v>2</v>
      </c>
    </row>
    <row r="253" spans="1:6" ht="14.25" customHeight="1">
      <c r="A253" s="2">
        <v>52</v>
      </c>
      <c r="B253" s="2">
        <v>252</v>
      </c>
      <c r="C253" s="2">
        <v>3</v>
      </c>
      <c r="D253" s="2">
        <v>1</v>
      </c>
      <c r="E253" s="2">
        <v>0.998</v>
      </c>
      <c r="F253" s="2">
        <v>1</v>
      </c>
    </row>
    <row r="254" spans="1:6" ht="14.25" customHeight="1">
      <c r="A254" s="2">
        <v>52</v>
      </c>
      <c r="B254" s="2">
        <v>253</v>
      </c>
      <c r="C254" s="2">
        <v>8</v>
      </c>
      <c r="D254" s="2">
        <v>0</v>
      </c>
      <c r="E254" s="2">
        <v>1.391</v>
      </c>
      <c r="F254" s="2">
        <v>1</v>
      </c>
    </row>
    <row r="255" spans="1:6" ht="14.25" customHeight="1">
      <c r="A255" s="2">
        <v>52</v>
      </c>
      <c r="B255" s="2">
        <v>254</v>
      </c>
      <c r="C255" s="2">
        <v>6</v>
      </c>
      <c r="D255" s="2">
        <v>1</v>
      </c>
      <c r="E255" s="2">
        <v>1.2729999999999999</v>
      </c>
      <c r="F255" s="2">
        <v>1</v>
      </c>
    </row>
    <row r="256" spans="1:6" ht="14.25" customHeight="1">
      <c r="A256" s="2">
        <v>52</v>
      </c>
      <c r="B256" s="2">
        <v>255</v>
      </c>
      <c r="C256" s="2">
        <v>2</v>
      </c>
      <c r="D256" s="2">
        <v>1</v>
      </c>
      <c r="E256" s="2">
        <v>0.91800000000000004</v>
      </c>
      <c r="F256" s="2">
        <v>2</v>
      </c>
    </row>
    <row r="257" spans="1:6" ht="14.25" customHeight="1">
      <c r="A257" s="2">
        <v>52</v>
      </c>
      <c r="B257" s="2">
        <v>256</v>
      </c>
      <c r="C257" s="2">
        <v>1</v>
      </c>
      <c r="D257" s="2">
        <v>0</v>
      </c>
      <c r="E257" s="2">
        <v>1.6419999999999999</v>
      </c>
      <c r="F257" s="2">
        <v>1</v>
      </c>
    </row>
    <row r="258" spans="1:6" ht="14.25" customHeight="1">
      <c r="A258" s="2">
        <v>52</v>
      </c>
      <c r="B258" s="2">
        <v>257</v>
      </c>
      <c r="C258" s="2">
        <v>4</v>
      </c>
      <c r="D258" s="2">
        <v>1</v>
      </c>
      <c r="E258" s="2">
        <v>1.03</v>
      </c>
      <c r="F258" s="2">
        <v>2</v>
      </c>
    </row>
    <row r="259" spans="1:6" ht="14.25" customHeight="1">
      <c r="A259" s="2">
        <v>52</v>
      </c>
      <c r="B259" s="2">
        <v>258</v>
      </c>
      <c r="C259" s="2">
        <v>3</v>
      </c>
      <c r="D259" s="2">
        <v>1</v>
      </c>
      <c r="E259" s="2">
        <v>0.98799999999999999</v>
      </c>
      <c r="F259" s="2">
        <v>1</v>
      </c>
    </row>
    <row r="260" spans="1:6" ht="14.25" customHeight="1">
      <c r="A260" s="2">
        <v>52</v>
      </c>
      <c r="B260" s="2">
        <v>259</v>
      </c>
      <c r="C260" s="2">
        <v>1</v>
      </c>
      <c r="D260" s="2">
        <v>1</v>
      </c>
      <c r="E260" s="2">
        <v>0.93400000000000005</v>
      </c>
      <c r="F260" s="2">
        <v>2</v>
      </c>
    </row>
    <row r="261" spans="1:6" ht="14.25" customHeight="1">
      <c r="A261" s="2">
        <v>52</v>
      </c>
      <c r="B261" s="2">
        <v>260</v>
      </c>
      <c r="C261" s="2">
        <v>2</v>
      </c>
      <c r="D261" s="2">
        <v>1</v>
      </c>
      <c r="E261" s="2">
        <v>0.998</v>
      </c>
      <c r="F261" s="2">
        <v>1</v>
      </c>
    </row>
    <row r="262" spans="1:6" ht="14.25" customHeight="1">
      <c r="A262" s="2">
        <v>52</v>
      </c>
      <c r="B262" s="2">
        <v>261</v>
      </c>
      <c r="C262" s="2">
        <v>7</v>
      </c>
      <c r="D262" s="2">
        <v>1</v>
      </c>
      <c r="E262" s="2">
        <v>1.3220000000000001</v>
      </c>
      <c r="F262" s="2">
        <v>1</v>
      </c>
    </row>
    <row r="263" spans="1:6" ht="14.25" customHeight="1">
      <c r="A263" s="2">
        <v>52</v>
      </c>
      <c r="B263" s="2">
        <v>262</v>
      </c>
      <c r="C263" s="2">
        <v>6</v>
      </c>
      <c r="D263" s="2">
        <v>1</v>
      </c>
      <c r="E263" s="2">
        <v>1.8089999999999999</v>
      </c>
      <c r="F263" s="2">
        <v>2</v>
      </c>
    </row>
    <row r="264" spans="1:6" ht="14.25" customHeight="1">
      <c r="A264" s="2">
        <v>52</v>
      </c>
      <c r="B264" s="2">
        <v>263</v>
      </c>
      <c r="C264" s="2">
        <v>1</v>
      </c>
      <c r="D264" s="2">
        <v>1</v>
      </c>
      <c r="E264" s="2">
        <v>0.98199999999999998</v>
      </c>
      <c r="F264" s="2">
        <v>2</v>
      </c>
    </row>
    <row r="265" spans="1:6" ht="14.25" customHeight="1">
      <c r="A265" s="2">
        <v>52</v>
      </c>
      <c r="B265" s="2">
        <v>264</v>
      </c>
      <c r="C265" s="2">
        <v>5</v>
      </c>
      <c r="D265" s="2">
        <v>1</v>
      </c>
      <c r="E265" s="2">
        <v>1.028</v>
      </c>
      <c r="F265" s="2">
        <v>2</v>
      </c>
    </row>
    <row r="266" spans="1:6" ht="14.25" customHeight="1">
      <c r="A266" s="2">
        <v>52</v>
      </c>
      <c r="B266" s="2">
        <v>265</v>
      </c>
      <c r="C266" s="2">
        <v>1</v>
      </c>
      <c r="D266" s="2">
        <v>1</v>
      </c>
      <c r="E266" s="2">
        <v>1.4850000000000001</v>
      </c>
      <c r="F266" s="2">
        <v>2</v>
      </c>
    </row>
    <row r="267" spans="1:6" ht="14.25" customHeight="1">
      <c r="A267" s="2">
        <v>52</v>
      </c>
      <c r="B267" s="2">
        <v>266</v>
      </c>
      <c r="C267" s="2">
        <v>8</v>
      </c>
      <c r="D267" s="2">
        <v>1</v>
      </c>
      <c r="E267" s="2">
        <v>0.99</v>
      </c>
      <c r="F267" s="2">
        <v>1</v>
      </c>
    </row>
    <row r="268" spans="1:6" ht="14.25" customHeight="1">
      <c r="A268" s="2">
        <v>52</v>
      </c>
      <c r="B268" s="2">
        <v>267</v>
      </c>
      <c r="C268" s="2">
        <v>3</v>
      </c>
      <c r="D268" s="2">
        <v>1</v>
      </c>
      <c r="E268" s="2">
        <v>1.2809999999999999</v>
      </c>
      <c r="F268" s="2">
        <v>1</v>
      </c>
    </row>
    <row r="269" spans="1:6" ht="14.25" customHeight="1">
      <c r="A269" s="2">
        <v>52</v>
      </c>
      <c r="B269" s="2">
        <v>268</v>
      </c>
      <c r="C269" s="2">
        <v>2</v>
      </c>
      <c r="D269" s="2">
        <v>1</v>
      </c>
      <c r="E269" s="2">
        <v>1.008</v>
      </c>
      <c r="F269" s="2">
        <v>2</v>
      </c>
    </row>
    <row r="270" spans="1:6" ht="14.25" customHeight="1">
      <c r="A270" s="2">
        <v>52</v>
      </c>
      <c r="B270" s="2">
        <v>269</v>
      </c>
      <c r="C270" s="2">
        <v>8</v>
      </c>
      <c r="D270" s="2">
        <v>0</v>
      </c>
      <c r="E270" s="2">
        <v>1.5389999999999999</v>
      </c>
      <c r="F270" s="2">
        <v>2</v>
      </c>
    </row>
    <row r="271" spans="1:6" ht="14.25" customHeight="1">
      <c r="A271" s="2">
        <v>52</v>
      </c>
      <c r="B271" s="2">
        <v>270</v>
      </c>
      <c r="C271" s="2">
        <v>7</v>
      </c>
      <c r="E271" s="2">
        <v>2</v>
      </c>
    </row>
    <row r="272" spans="1:6" ht="14.25" customHeight="1">
      <c r="A272" s="2">
        <v>52</v>
      </c>
      <c r="B272" s="2">
        <v>271</v>
      </c>
      <c r="C272" s="2">
        <v>8</v>
      </c>
      <c r="D272" s="2">
        <v>0</v>
      </c>
      <c r="E272" s="2">
        <v>1.4570000000000001</v>
      </c>
      <c r="F272" s="2">
        <v>2</v>
      </c>
    </row>
    <row r="273" spans="1:6" ht="14.25" customHeight="1">
      <c r="A273" s="2">
        <v>52</v>
      </c>
      <c r="B273" s="2">
        <v>272</v>
      </c>
      <c r="C273" s="2">
        <v>4</v>
      </c>
      <c r="D273" s="2">
        <v>1</v>
      </c>
      <c r="E273" s="2">
        <v>0.81399999999999995</v>
      </c>
      <c r="F273" s="2">
        <v>1</v>
      </c>
    </row>
    <row r="274" spans="1:6" ht="14.25" customHeight="1">
      <c r="A274" s="2">
        <v>52</v>
      </c>
      <c r="B274" s="2">
        <v>273</v>
      </c>
      <c r="C274" s="2">
        <v>7</v>
      </c>
      <c r="D274" s="2">
        <v>1</v>
      </c>
      <c r="E274" s="2">
        <v>1.1970000000000001</v>
      </c>
      <c r="F274" s="2">
        <v>1</v>
      </c>
    </row>
    <row r="275" spans="1:6" ht="14.25" customHeight="1">
      <c r="A275" s="2">
        <v>52</v>
      </c>
      <c r="B275" s="2">
        <v>274</v>
      </c>
      <c r="C275" s="2">
        <v>6</v>
      </c>
      <c r="D275" s="2">
        <v>1</v>
      </c>
      <c r="E275" s="2">
        <v>1.1240000000000001</v>
      </c>
      <c r="F275" s="2">
        <v>1</v>
      </c>
    </row>
    <row r="276" spans="1:6" ht="14.25" customHeight="1">
      <c r="A276" s="2">
        <v>52</v>
      </c>
      <c r="B276" s="2">
        <v>275</v>
      </c>
      <c r="C276" s="2">
        <v>7</v>
      </c>
      <c r="D276" s="2">
        <v>1</v>
      </c>
      <c r="E276" s="2">
        <v>1.391</v>
      </c>
      <c r="F276" s="2">
        <v>2</v>
      </c>
    </row>
    <row r="277" spans="1:6" ht="14.25" customHeight="1">
      <c r="A277" s="2">
        <v>52</v>
      </c>
      <c r="B277" s="2">
        <v>276</v>
      </c>
      <c r="C277" s="2">
        <v>8</v>
      </c>
      <c r="D277" s="2">
        <v>1</v>
      </c>
      <c r="E277" s="2">
        <v>1.345</v>
      </c>
      <c r="F277" s="2">
        <v>1</v>
      </c>
    </row>
    <row r="278" spans="1:6" ht="14.25" customHeight="1">
      <c r="A278" s="2">
        <v>52</v>
      </c>
      <c r="B278" s="2">
        <v>277</v>
      </c>
      <c r="C278" s="2">
        <v>3</v>
      </c>
      <c r="D278" s="2">
        <v>1</v>
      </c>
      <c r="E278" s="2">
        <v>0.751</v>
      </c>
      <c r="F278" s="2">
        <v>2</v>
      </c>
    </row>
    <row r="279" spans="1:6" ht="14.25" customHeight="1">
      <c r="A279" s="2">
        <v>52</v>
      </c>
      <c r="B279" s="2">
        <v>278</v>
      </c>
      <c r="C279" s="2">
        <v>5</v>
      </c>
      <c r="D279" s="2">
        <v>1</v>
      </c>
      <c r="E279" s="2">
        <v>0.86299999999999999</v>
      </c>
      <c r="F279" s="2">
        <v>2</v>
      </c>
    </row>
    <row r="280" spans="1:6" ht="14.25" customHeight="1">
      <c r="A280" s="2">
        <v>52</v>
      </c>
      <c r="B280" s="2">
        <v>279</v>
      </c>
      <c r="C280" s="2">
        <v>7</v>
      </c>
      <c r="D280" s="2">
        <v>1</v>
      </c>
      <c r="E280" s="2">
        <v>1.024</v>
      </c>
      <c r="F280" s="2">
        <v>1</v>
      </c>
    </row>
    <row r="281" spans="1:6" ht="14.25" customHeight="1">
      <c r="A281" s="2">
        <v>52</v>
      </c>
      <c r="B281" s="2">
        <v>280</v>
      </c>
      <c r="C281" s="2">
        <v>6</v>
      </c>
      <c r="D281" s="2">
        <v>1</v>
      </c>
      <c r="E281" s="2">
        <v>1.6140000000000001</v>
      </c>
      <c r="F281" s="2">
        <v>2</v>
      </c>
    </row>
    <row r="282" spans="1:6" ht="14.25" customHeight="1">
      <c r="A282" s="2">
        <v>52</v>
      </c>
      <c r="B282" s="2">
        <v>281</v>
      </c>
      <c r="C282" s="2">
        <v>1</v>
      </c>
      <c r="D282" s="2">
        <v>1</v>
      </c>
      <c r="E282" s="2">
        <v>1.03</v>
      </c>
      <c r="F282" s="2">
        <v>2</v>
      </c>
    </row>
    <row r="283" spans="1:6" ht="14.25" customHeight="1">
      <c r="A283" s="2">
        <v>52</v>
      </c>
      <c r="B283" s="2">
        <v>282</v>
      </c>
      <c r="C283" s="2">
        <v>3</v>
      </c>
      <c r="D283" s="2">
        <v>1</v>
      </c>
      <c r="E283" s="2">
        <v>0.95799999999999996</v>
      </c>
      <c r="F283" s="2">
        <v>1</v>
      </c>
    </row>
    <row r="284" spans="1:6" ht="14.25" customHeight="1">
      <c r="A284" s="2">
        <v>52</v>
      </c>
      <c r="B284" s="2">
        <v>283</v>
      </c>
      <c r="C284" s="2">
        <v>2</v>
      </c>
      <c r="D284" s="2">
        <v>1</v>
      </c>
      <c r="E284" s="2">
        <v>0.67600000000000005</v>
      </c>
      <c r="F284" s="2">
        <v>2</v>
      </c>
    </row>
    <row r="285" spans="1:6" ht="14.25" customHeight="1">
      <c r="A285" s="2">
        <v>52</v>
      </c>
      <c r="B285" s="2">
        <v>284</v>
      </c>
      <c r="C285" s="2">
        <v>4</v>
      </c>
      <c r="D285" s="2">
        <v>0</v>
      </c>
      <c r="E285" s="2">
        <v>0.86099999999999999</v>
      </c>
      <c r="F285" s="2">
        <v>1</v>
      </c>
    </row>
    <row r="286" spans="1:6" ht="14.25" customHeight="1">
      <c r="A286" s="2">
        <v>52</v>
      </c>
      <c r="B286" s="2">
        <v>285</v>
      </c>
      <c r="C286" s="2">
        <v>5</v>
      </c>
      <c r="D286" s="2">
        <v>1</v>
      </c>
      <c r="E286" s="2">
        <v>0.73799999999999999</v>
      </c>
      <c r="F286" s="2">
        <v>1</v>
      </c>
    </row>
    <row r="287" spans="1:6" ht="14.25" customHeight="1">
      <c r="A287" s="2">
        <v>52</v>
      </c>
      <c r="B287" s="2">
        <v>286</v>
      </c>
      <c r="C287" s="2">
        <v>2</v>
      </c>
      <c r="D287" s="2">
        <v>1</v>
      </c>
      <c r="E287" s="2">
        <v>0.61899999999999999</v>
      </c>
      <c r="F287" s="2">
        <v>2</v>
      </c>
    </row>
    <row r="288" spans="1:6" ht="14.25" customHeight="1">
      <c r="A288" s="2">
        <v>52</v>
      </c>
      <c r="B288" s="2">
        <v>287</v>
      </c>
      <c r="C288" s="2">
        <v>8</v>
      </c>
      <c r="D288" s="2">
        <v>0</v>
      </c>
      <c r="E288" s="2">
        <v>1.962</v>
      </c>
      <c r="F288" s="2">
        <v>2</v>
      </c>
    </row>
    <row r="289" spans="1:6" ht="14.25" customHeight="1">
      <c r="A289" s="2">
        <v>52</v>
      </c>
      <c r="B289" s="2">
        <v>288</v>
      </c>
      <c r="C289" s="2">
        <v>6</v>
      </c>
      <c r="D289" s="2">
        <v>0</v>
      </c>
      <c r="E289" s="2">
        <v>1.573</v>
      </c>
      <c r="F289" s="2">
        <v>2</v>
      </c>
    </row>
    <row r="290" spans="1:6" ht="14.25" customHeight="1">
      <c r="A290" s="2">
        <v>52</v>
      </c>
      <c r="B290" s="2">
        <v>289</v>
      </c>
      <c r="C290" s="2">
        <v>5</v>
      </c>
      <c r="D290" s="2">
        <v>1</v>
      </c>
      <c r="E290" s="2">
        <v>1.5109999999999999</v>
      </c>
      <c r="F290" s="2">
        <v>1</v>
      </c>
    </row>
    <row r="291" spans="1:6" ht="14.25" customHeight="1">
      <c r="A291" s="2">
        <v>52</v>
      </c>
      <c r="B291" s="2">
        <v>290</v>
      </c>
      <c r="C291" s="2">
        <v>4</v>
      </c>
      <c r="D291" s="2">
        <v>1</v>
      </c>
      <c r="E291" s="2">
        <v>0.78900000000000003</v>
      </c>
      <c r="F291" s="2">
        <v>2</v>
      </c>
    </row>
    <row r="292" spans="1:6" ht="14.25" customHeight="1">
      <c r="A292" s="2">
        <v>52</v>
      </c>
      <c r="B292" s="2">
        <v>291</v>
      </c>
      <c r="C292" s="2">
        <v>5</v>
      </c>
      <c r="D292" s="2">
        <v>1</v>
      </c>
      <c r="E292" s="2">
        <v>1.5920000000000001</v>
      </c>
      <c r="F292" s="2">
        <v>1</v>
      </c>
    </row>
    <row r="293" spans="1:6" ht="14.25" customHeight="1">
      <c r="A293" s="2">
        <v>52</v>
      </c>
      <c r="B293" s="2">
        <v>292</v>
      </c>
      <c r="C293" s="2">
        <v>2</v>
      </c>
      <c r="D293" s="2">
        <v>1</v>
      </c>
      <c r="E293" s="2">
        <v>1.5920000000000001</v>
      </c>
      <c r="F293" s="2">
        <v>2</v>
      </c>
    </row>
    <row r="294" spans="1:6" ht="14.25" customHeight="1">
      <c r="A294" s="2">
        <v>52</v>
      </c>
      <c r="B294" s="2">
        <v>293</v>
      </c>
      <c r="C294" s="2">
        <v>7</v>
      </c>
      <c r="D294" s="2">
        <v>0</v>
      </c>
      <c r="E294" s="2">
        <v>1.2609999999999999</v>
      </c>
      <c r="F294" s="2">
        <v>1</v>
      </c>
    </row>
    <row r="295" spans="1:6" ht="14.25" customHeight="1">
      <c r="A295" s="2">
        <v>52</v>
      </c>
      <c r="B295" s="2">
        <v>294</v>
      </c>
      <c r="C295" s="2">
        <v>3</v>
      </c>
      <c r="D295" s="2">
        <v>1</v>
      </c>
      <c r="E295" s="2">
        <v>1.0229999999999999</v>
      </c>
      <c r="F295" s="2">
        <v>2</v>
      </c>
    </row>
    <row r="296" spans="1:6" ht="14.25" customHeight="1">
      <c r="A296" s="2">
        <v>52</v>
      </c>
      <c r="B296" s="2">
        <v>295</v>
      </c>
      <c r="C296" s="2">
        <v>2</v>
      </c>
      <c r="D296" s="2">
        <v>1</v>
      </c>
      <c r="E296" s="2">
        <v>1.1259999999999999</v>
      </c>
      <c r="F296" s="2">
        <v>1</v>
      </c>
    </row>
    <row r="297" spans="1:6" ht="14.25" customHeight="1">
      <c r="A297" s="2">
        <v>52</v>
      </c>
      <c r="B297" s="2">
        <v>296</v>
      </c>
      <c r="C297" s="2">
        <v>6</v>
      </c>
      <c r="D297" s="2">
        <v>1</v>
      </c>
      <c r="E297" s="2">
        <v>1.1259999999999999</v>
      </c>
      <c r="F297" s="2">
        <v>2</v>
      </c>
    </row>
    <row r="298" spans="1:6" ht="14.25" customHeight="1">
      <c r="A298" s="2">
        <v>52</v>
      </c>
      <c r="B298" s="2">
        <v>297</v>
      </c>
      <c r="C298" s="2">
        <v>4</v>
      </c>
      <c r="D298" s="2">
        <v>1</v>
      </c>
      <c r="E298" s="2">
        <v>1.6240000000000001</v>
      </c>
      <c r="F298" s="2">
        <v>1</v>
      </c>
    </row>
    <row r="299" spans="1:6" ht="14.25" customHeight="1">
      <c r="A299" s="2">
        <v>52</v>
      </c>
      <c r="B299" s="2">
        <v>298</v>
      </c>
      <c r="C299" s="2">
        <v>5</v>
      </c>
      <c r="D299" s="2">
        <v>1</v>
      </c>
      <c r="E299" s="2">
        <v>1.242</v>
      </c>
      <c r="F299" s="2">
        <v>1</v>
      </c>
    </row>
    <row r="300" spans="1:6" ht="14.25" customHeight="1">
      <c r="A300" s="2">
        <v>52</v>
      </c>
      <c r="B300" s="2">
        <v>299</v>
      </c>
      <c r="C300" s="2">
        <v>1</v>
      </c>
      <c r="D300" s="2">
        <v>1</v>
      </c>
      <c r="E300" s="2">
        <v>1.286</v>
      </c>
      <c r="F300" s="2">
        <v>2</v>
      </c>
    </row>
    <row r="301" spans="1:6" ht="14.25" customHeight="1">
      <c r="A301" s="2">
        <v>52</v>
      </c>
      <c r="B301" s="2">
        <v>300</v>
      </c>
      <c r="C301" s="2">
        <v>4</v>
      </c>
      <c r="D301" s="2">
        <v>1</v>
      </c>
      <c r="E301" s="2">
        <v>1.0069999999999999</v>
      </c>
      <c r="F301" s="2">
        <v>2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8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7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8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7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8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8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7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7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B17F-9548-6248-A047-506723CEF71B}">
  <dimension ref="A1:Z310"/>
  <sheetViews>
    <sheetView workbookViewId="0">
      <selection activeCell="P17" sqref="P17"/>
    </sheetView>
  </sheetViews>
  <sheetFormatPr baseColWidth="10" defaultRowHeight="15"/>
  <cols>
    <col min="1" max="1" width="7.5" customWidth="1"/>
  </cols>
  <sheetData>
    <row r="1" spans="1:26">
      <c r="A1" s="2" t="s">
        <v>0</v>
      </c>
      <c r="B1" s="50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53</v>
      </c>
      <c r="I1">
        <v>1</v>
      </c>
      <c r="J1">
        <v>8</v>
      </c>
      <c r="K1">
        <v>0</v>
      </c>
      <c r="L1">
        <v>1.393</v>
      </c>
      <c r="M1">
        <v>2</v>
      </c>
    </row>
    <row r="2" spans="1:26">
      <c r="A2" s="2">
        <v>53</v>
      </c>
      <c r="B2">
        <v>1</v>
      </c>
      <c r="C2">
        <v>8</v>
      </c>
      <c r="D2">
        <v>0</v>
      </c>
      <c r="E2">
        <v>1.393</v>
      </c>
      <c r="F2">
        <v>2</v>
      </c>
      <c r="H2" s="2">
        <v>53</v>
      </c>
      <c r="I2">
        <v>2</v>
      </c>
      <c r="J2">
        <v>5</v>
      </c>
      <c r="K2">
        <v>1</v>
      </c>
      <c r="L2">
        <v>1.5529999999999999</v>
      </c>
      <c r="M2">
        <v>2</v>
      </c>
    </row>
    <row r="3" spans="1:26">
      <c r="A3" s="2">
        <v>53</v>
      </c>
      <c r="B3">
        <v>2</v>
      </c>
      <c r="C3">
        <v>5</v>
      </c>
      <c r="D3">
        <v>1</v>
      </c>
      <c r="E3">
        <v>1.5529999999999999</v>
      </c>
      <c r="F3">
        <v>2</v>
      </c>
      <c r="H3" s="2">
        <v>53</v>
      </c>
      <c r="I3">
        <v>3</v>
      </c>
      <c r="J3">
        <v>3</v>
      </c>
      <c r="K3">
        <v>1</v>
      </c>
      <c r="L3">
        <v>1.8380000000000001</v>
      </c>
      <c r="M3">
        <v>2</v>
      </c>
    </row>
    <row r="4" spans="1:26">
      <c r="A4" s="2">
        <v>53</v>
      </c>
      <c r="B4">
        <v>3</v>
      </c>
      <c r="C4">
        <v>3</v>
      </c>
      <c r="D4">
        <v>1</v>
      </c>
      <c r="E4">
        <v>1.8380000000000001</v>
      </c>
      <c r="F4">
        <v>2</v>
      </c>
      <c r="H4" s="2">
        <v>53</v>
      </c>
      <c r="I4">
        <v>4</v>
      </c>
      <c r="J4">
        <v>5</v>
      </c>
      <c r="K4" t="s">
        <v>103</v>
      </c>
      <c r="L4">
        <v>2.0009999999999999</v>
      </c>
      <c r="M4" t="s">
        <v>103</v>
      </c>
      <c r="N4" s="4"/>
      <c r="O4" s="4" t="s">
        <v>9</v>
      </c>
      <c r="P4" s="4"/>
      <c r="Q4" s="4"/>
      <c r="R4" s="4"/>
      <c r="S4" s="4"/>
      <c r="T4" s="4"/>
      <c r="U4" s="4"/>
      <c r="V4" s="4"/>
    </row>
    <row r="5" spans="1:26">
      <c r="A5" s="2">
        <v>53</v>
      </c>
      <c r="B5">
        <v>4</v>
      </c>
      <c r="C5">
        <v>5</v>
      </c>
      <c r="D5" t="s">
        <v>103</v>
      </c>
      <c r="E5">
        <v>2.0009999999999999</v>
      </c>
      <c r="F5" t="s">
        <v>103</v>
      </c>
      <c r="H5" s="2">
        <v>53</v>
      </c>
      <c r="I5">
        <v>5</v>
      </c>
      <c r="J5">
        <v>4</v>
      </c>
      <c r="K5">
        <v>1</v>
      </c>
      <c r="L5">
        <v>0.86299999999999999</v>
      </c>
      <c r="M5">
        <v>1</v>
      </c>
      <c r="N5" s="4"/>
      <c r="O5" s="3">
        <v>1</v>
      </c>
      <c r="P5" s="3">
        <v>2</v>
      </c>
      <c r="Q5" s="3">
        <v>3</v>
      </c>
      <c r="R5" s="3">
        <v>4</v>
      </c>
      <c r="S5" s="3">
        <v>5</v>
      </c>
      <c r="T5" s="3">
        <v>6</v>
      </c>
      <c r="U5" s="3">
        <v>7</v>
      </c>
      <c r="V5" s="3">
        <v>8</v>
      </c>
    </row>
    <row r="6" spans="1:26">
      <c r="A6" s="2">
        <v>53</v>
      </c>
      <c r="B6">
        <v>5</v>
      </c>
      <c r="C6">
        <v>4</v>
      </c>
      <c r="D6">
        <v>1</v>
      </c>
      <c r="E6">
        <v>0.86299999999999999</v>
      </c>
      <c r="F6">
        <v>1</v>
      </c>
      <c r="H6" s="2">
        <v>53</v>
      </c>
      <c r="I6">
        <v>6</v>
      </c>
      <c r="J6">
        <v>2</v>
      </c>
      <c r="K6">
        <v>0</v>
      </c>
      <c r="L6">
        <v>1.095</v>
      </c>
      <c r="M6">
        <v>2</v>
      </c>
      <c r="N6" s="3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6">
      <c r="A7" s="2">
        <v>53</v>
      </c>
      <c r="B7">
        <v>6</v>
      </c>
      <c r="C7">
        <v>2</v>
      </c>
      <c r="D7">
        <v>0</v>
      </c>
      <c r="E7">
        <v>1.095</v>
      </c>
      <c r="F7">
        <v>2</v>
      </c>
      <c r="H7" s="2">
        <v>53</v>
      </c>
      <c r="I7">
        <v>7</v>
      </c>
      <c r="J7">
        <v>3</v>
      </c>
      <c r="K7">
        <v>1</v>
      </c>
      <c r="L7">
        <v>1.127</v>
      </c>
      <c r="M7">
        <v>2</v>
      </c>
      <c r="N7" s="3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6">
      <c r="A8" s="2">
        <v>53</v>
      </c>
      <c r="B8">
        <v>7</v>
      </c>
      <c r="C8">
        <v>3</v>
      </c>
      <c r="D8">
        <v>1</v>
      </c>
      <c r="E8">
        <v>1.127</v>
      </c>
      <c r="F8">
        <v>2</v>
      </c>
      <c r="H8" s="2">
        <v>53</v>
      </c>
      <c r="I8">
        <v>8</v>
      </c>
      <c r="J8">
        <v>6</v>
      </c>
      <c r="K8">
        <v>1</v>
      </c>
      <c r="L8">
        <v>1.2549999999999999</v>
      </c>
      <c r="M8">
        <v>2</v>
      </c>
      <c r="N8" s="3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6">
      <c r="A9" s="2">
        <v>53</v>
      </c>
      <c r="B9">
        <v>8</v>
      </c>
      <c r="C9">
        <v>6</v>
      </c>
      <c r="D9">
        <v>1</v>
      </c>
      <c r="E9">
        <v>1.2549999999999999</v>
      </c>
      <c r="F9">
        <v>2</v>
      </c>
      <c r="H9" s="2">
        <v>53</v>
      </c>
      <c r="I9">
        <v>9</v>
      </c>
      <c r="J9">
        <v>4</v>
      </c>
      <c r="K9">
        <v>1</v>
      </c>
      <c r="L9">
        <v>1.121</v>
      </c>
      <c r="M9">
        <v>1</v>
      </c>
      <c r="N9" s="3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6">
      <c r="A10" s="2">
        <v>53</v>
      </c>
      <c r="B10">
        <v>9</v>
      </c>
      <c r="C10">
        <v>4</v>
      </c>
      <c r="D10">
        <v>1</v>
      </c>
      <c r="E10">
        <v>1.121</v>
      </c>
      <c r="F10">
        <v>1</v>
      </c>
      <c r="H10" s="2">
        <v>53</v>
      </c>
      <c r="I10">
        <v>10</v>
      </c>
      <c r="J10">
        <v>1</v>
      </c>
      <c r="K10">
        <v>1</v>
      </c>
      <c r="L10">
        <v>1.345</v>
      </c>
      <c r="M10">
        <v>2</v>
      </c>
      <c r="N10" s="3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6">
      <c r="A11" s="2">
        <v>53</v>
      </c>
      <c r="B11">
        <v>10</v>
      </c>
      <c r="C11">
        <v>1</v>
      </c>
      <c r="D11">
        <v>1</v>
      </c>
      <c r="E11">
        <v>1.345</v>
      </c>
      <c r="F11">
        <v>2</v>
      </c>
      <c r="H11" s="2">
        <v>53</v>
      </c>
      <c r="I11">
        <v>11</v>
      </c>
      <c r="J11">
        <v>8</v>
      </c>
      <c r="K11">
        <v>1</v>
      </c>
      <c r="L11">
        <v>1.125</v>
      </c>
      <c r="M11">
        <v>1</v>
      </c>
      <c r="N11" s="3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6">
      <c r="A12" s="2">
        <v>53</v>
      </c>
      <c r="B12">
        <v>11</v>
      </c>
      <c r="C12">
        <v>8</v>
      </c>
      <c r="D12">
        <v>1</v>
      </c>
      <c r="E12">
        <v>1.125</v>
      </c>
      <c r="F12">
        <v>1</v>
      </c>
      <c r="H12" s="2">
        <v>53</v>
      </c>
      <c r="I12">
        <v>12</v>
      </c>
      <c r="J12">
        <v>1</v>
      </c>
      <c r="K12">
        <v>1</v>
      </c>
      <c r="L12">
        <v>0.91600000000000004</v>
      </c>
      <c r="M12">
        <v>2</v>
      </c>
    </row>
    <row r="13" spans="1:26">
      <c r="A13" s="2">
        <v>53</v>
      </c>
      <c r="B13">
        <v>12</v>
      </c>
      <c r="C13">
        <v>1</v>
      </c>
      <c r="D13">
        <v>1</v>
      </c>
      <c r="E13">
        <v>0.91600000000000004</v>
      </c>
      <c r="F13">
        <v>2</v>
      </c>
      <c r="H13" s="2">
        <v>53</v>
      </c>
      <c r="I13">
        <v>13</v>
      </c>
      <c r="J13">
        <v>7</v>
      </c>
      <c r="K13">
        <v>1</v>
      </c>
      <c r="L13">
        <v>0.95599999999999996</v>
      </c>
      <c r="M13">
        <v>1</v>
      </c>
    </row>
    <row r="14" spans="1:26">
      <c r="A14" s="2">
        <v>53</v>
      </c>
      <c r="B14">
        <v>13</v>
      </c>
      <c r="C14">
        <v>7</v>
      </c>
      <c r="D14">
        <v>1</v>
      </c>
      <c r="E14">
        <v>0.95599999999999996</v>
      </c>
      <c r="F14">
        <v>1</v>
      </c>
      <c r="H14" s="2">
        <v>53</v>
      </c>
      <c r="I14">
        <v>14</v>
      </c>
      <c r="J14">
        <v>2</v>
      </c>
      <c r="K14">
        <v>0</v>
      </c>
      <c r="L14">
        <v>1.3859999999999999</v>
      </c>
      <c r="M14">
        <v>2</v>
      </c>
      <c r="O14" s="4" t="s">
        <v>7</v>
      </c>
      <c r="P14" s="4" t="s">
        <v>8</v>
      </c>
      <c r="Q14" s="4" t="s">
        <v>7</v>
      </c>
      <c r="R14" s="4" t="s">
        <v>8</v>
      </c>
      <c r="S14" s="4" t="s">
        <v>7</v>
      </c>
      <c r="T14" s="4" t="s">
        <v>7</v>
      </c>
      <c r="U14" s="4" t="s">
        <v>8</v>
      </c>
      <c r="V14" s="4" t="s">
        <v>8</v>
      </c>
    </row>
    <row r="15" spans="1:26">
      <c r="A15" s="2">
        <v>53</v>
      </c>
      <c r="B15">
        <v>14</v>
      </c>
      <c r="C15">
        <v>2</v>
      </c>
      <c r="D15">
        <v>0</v>
      </c>
      <c r="E15">
        <v>1.3859999999999999</v>
      </c>
      <c r="F15">
        <v>2</v>
      </c>
      <c r="H15" s="2">
        <v>53</v>
      </c>
      <c r="I15">
        <v>15</v>
      </c>
      <c r="J15">
        <v>8</v>
      </c>
      <c r="K15">
        <v>1</v>
      </c>
      <c r="L15">
        <v>0.96699999999999997</v>
      </c>
      <c r="M15">
        <v>1</v>
      </c>
      <c r="O15" s="4" t="s">
        <v>9</v>
      </c>
      <c r="P15" s="4"/>
      <c r="Q15" s="4"/>
      <c r="R15" s="4"/>
      <c r="S15" s="4"/>
      <c r="T15" s="4"/>
      <c r="U15" s="4"/>
      <c r="V15" s="4"/>
      <c r="Z15" s="50" t="s">
        <v>7</v>
      </c>
    </row>
    <row r="16" spans="1:26">
      <c r="A16" s="2">
        <v>53</v>
      </c>
      <c r="B16">
        <v>15</v>
      </c>
      <c r="C16">
        <v>8</v>
      </c>
      <c r="D16">
        <v>1</v>
      </c>
      <c r="E16">
        <v>0.96699999999999997</v>
      </c>
      <c r="F16">
        <v>1</v>
      </c>
      <c r="H16" s="2">
        <v>53</v>
      </c>
      <c r="I16">
        <v>16</v>
      </c>
      <c r="J16">
        <v>1</v>
      </c>
      <c r="K16">
        <v>1</v>
      </c>
      <c r="L16">
        <v>1.093</v>
      </c>
      <c r="M16">
        <v>2</v>
      </c>
      <c r="O16" s="3">
        <v>1</v>
      </c>
      <c r="P16" s="3">
        <v>2</v>
      </c>
      <c r="Q16" s="3">
        <v>3</v>
      </c>
      <c r="R16" s="3">
        <v>4</v>
      </c>
      <c r="S16" s="3">
        <v>5</v>
      </c>
      <c r="T16" s="3">
        <v>6</v>
      </c>
      <c r="U16" s="3">
        <v>7</v>
      </c>
      <c r="V16" s="3">
        <v>8</v>
      </c>
      <c r="Z16" s="50" t="s">
        <v>8</v>
      </c>
    </row>
    <row r="17" spans="1:26">
      <c r="A17" s="2">
        <v>53</v>
      </c>
      <c r="B17">
        <v>16</v>
      </c>
      <c r="C17">
        <v>1</v>
      </c>
      <c r="D17">
        <v>1</v>
      </c>
      <c r="E17">
        <v>1.093</v>
      </c>
      <c r="F17">
        <v>2</v>
      </c>
      <c r="H17" s="2">
        <v>53</v>
      </c>
      <c r="I17">
        <v>17</v>
      </c>
      <c r="J17">
        <v>4</v>
      </c>
      <c r="K17">
        <v>0</v>
      </c>
      <c r="L17">
        <v>1.5489999999999999</v>
      </c>
      <c r="M17">
        <v>2</v>
      </c>
      <c r="N17" s="3">
        <v>1</v>
      </c>
      <c r="O17" s="3">
        <f t="shared" ref="O17:O22" si="0">(O6*COUNTIF($J$1:$J$101,O$16) - COUNTIFS($J$1:$J$101,O$16,$K$1:$K$101,"=1"))^2</f>
        <v>1.959999999999996</v>
      </c>
      <c r="P17" s="3">
        <f t="shared" ref="P17:P22" si="1">(P6*COUNTIF($J$1:$J$101,P$16) - COUNTIFS($J$1:$J$101,P$16,$K$1:$K$101,"=0"))^2</f>
        <v>19.360000000000003</v>
      </c>
      <c r="Q17" s="3">
        <f t="shared" ref="Q17:Q22" si="2">(Q6*COUNTIF($J$1:$J$101,Q$16) - COUNTIFS($J$1:$J$101,Q$16,$K$1:$K$101,"=1"))^2</f>
        <v>1.959999999999996</v>
      </c>
      <c r="R17" s="3">
        <f t="shared" ref="R17:R22" si="3">(R6*COUNTIF($J$1:$J$101,R$16) - COUNTIFS($J$1:$J$101,R$16,$K$1:$K$101,"=0"))^2</f>
        <v>5.76</v>
      </c>
      <c r="S17" s="3">
        <f t="shared" ref="S17:T22" si="4">(S6*COUNTIF($J$1:$J$101,S$16) - COUNTIFS($J$1:$J$101,S$16,$K$1:$K$101,"=1"))^2</f>
        <v>0.15999999999999887</v>
      </c>
      <c r="T17" s="3">
        <f t="shared" si="4"/>
        <v>0.49000000000000149</v>
      </c>
      <c r="U17" s="3">
        <f t="shared" ref="U17:V22" si="5">(U6*COUNTIF($J$1:$J$101,U$16) - COUNTIFS($J$1:$J$101,U$16,$K$1:$K$101,"=0"))^2</f>
        <v>0.4900000000000001</v>
      </c>
      <c r="V17" s="3">
        <f t="shared" si="5"/>
        <v>1.9599999999999997</v>
      </c>
      <c r="Z17" s="50" t="s">
        <v>7</v>
      </c>
    </row>
    <row r="18" spans="1:26">
      <c r="A18" s="2">
        <v>53</v>
      </c>
      <c r="B18">
        <v>17</v>
      </c>
      <c r="C18">
        <v>4</v>
      </c>
      <c r="D18">
        <v>0</v>
      </c>
      <c r="E18">
        <v>1.5489999999999999</v>
      </c>
      <c r="F18">
        <v>2</v>
      </c>
      <c r="H18" s="2">
        <v>53</v>
      </c>
      <c r="I18">
        <v>18</v>
      </c>
      <c r="J18">
        <v>8</v>
      </c>
      <c r="K18">
        <v>1</v>
      </c>
      <c r="L18">
        <v>1.1639999999999999</v>
      </c>
      <c r="M18">
        <v>1</v>
      </c>
      <c r="N18" s="3">
        <v>2</v>
      </c>
      <c r="O18" s="3">
        <f t="shared" si="0"/>
        <v>1.959999999999996</v>
      </c>
      <c r="P18" s="3">
        <f t="shared" si="1"/>
        <v>40.95999999999998</v>
      </c>
      <c r="Q18" s="3">
        <f t="shared" si="2"/>
        <v>88.360000000000014</v>
      </c>
      <c r="R18" s="3">
        <f t="shared" si="3"/>
        <v>5.76</v>
      </c>
      <c r="S18" s="3">
        <f t="shared" si="4"/>
        <v>0.15999999999999887</v>
      </c>
      <c r="T18" s="3">
        <f t="shared" si="4"/>
        <v>0.49000000000000149</v>
      </c>
      <c r="U18" s="3">
        <f t="shared" si="5"/>
        <v>0.4900000000000001</v>
      </c>
      <c r="V18" s="3">
        <f t="shared" si="5"/>
        <v>1.9599999999999997</v>
      </c>
      <c r="Z18" s="50" t="s">
        <v>8</v>
      </c>
    </row>
    <row r="19" spans="1:26">
      <c r="A19" s="2">
        <v>53</v>
      </c>
      <c r="B19">
        <v>18</v>
      </c>
      <c r="C19">
        <v>8</v>
      </c>
      <c r="D19">
        <v>1</v>
      </c>
      <c r="E19">
        <v>1.1639999999999999</v>
      </c>
      <c r="F19">
        <v>1</v>
      </c>
      <c r="H19" s="2">
        <v>53</v>
      </c>
      <c r="I19">
        <v>19</v>
      </c>
      <c r="J19">
        <v>1</v>
      </c>
      <c r="K19">
        <v>1</v>
      </c>
      <c r="L19">
        <v>1.1859999999999999</v>
      </c>
      <c r="M19">
        <v>2</v>
      </c>
      <c r="N19" s="3">
        <v>3</v>
      </c>
      <c r="O19" s="3">
        <f t="shared" si="0"/>
        <v>1.959999999999996</v>
      </c>
      <c r="P19" s="3">
        <f t="shared" si="1"/>
        <v>19.360000000000003</v>
      </c>
      <c r="Q19" s="3">
        <f t="shared" si="2"/>
        <v>1.959999999999996</v>
      </c>
      <c r="R19" s="3">
        <f t="shared" si="3"/>
        <v>5.76</v>
      </c>
      <c r="S19" s="3">
        <f t="shared" si="4"/>
        <v>0.15999999999999887</v>
      </c>
      <c r="T19" s="3">
        <f t="shared" si="4"/>
        <v>176.89000000000001</v>
      </c>
      <c r="U19" s="3">
        <f t="shared" si="5"/>
        <v>176.88999999999996</v>
      </c>
      <c r="V19" s="3">
        <f t="shared" si="5"/>
        <v>1.9599999999999997</v>
      </c>
      <c r="Z19" s="50" t="s">
        <v>7</v>
      </c>
    </row>
    <row r="20" spans="1:26">
      <c r="A20" s="2">
        <v>53</v>
      </c>
      <c r="B20">
        <v>19</v>
      </c>
      <c r="C20">
        <v>1</v>
      </c>
      <c r="D20">
        <v>1</v>
      </c>
      <c r="E20">
        <v>1.1859999999999999</v>
      </c>
      <c r="F20">
        <v>2</v>
      </c>
      <c r="H20" s="2">
        <v>53</v>
      </c>
      <c r="I20">
        <v>20</v>
      </c>
      <c r="J20">
        <v>8</v>
      </c>
      <c r="K20">
        <v>1</v>
      </c>
      <c r="L20">
        <v>1.0389999999999999</v>
      </c>
      <c r="M20">
        <v>1</v>
      </c>
      <c r="N20" s="3">
        <v>4</v>
      </c>
      <c r="O20" s="3">
        <f t="shared" si="0"/>
        <v>16</v>
      </c>
      <c r="P20" s="3">
        <f t="shared" si="1"/>
        <v>1</v>
      </c>
      <c r="Q20" s="3">
        <f t="shared" si="2"/>
        <v>16</v>
      </c>
      <c r="R20" s="3">
        <f t="shared" si="3"/>
        <v>9</v>
      </c>
      <c r="S20" s="3">
        <f t="shared" si="4"/>
        <v>0.15999999999999887</v>
      </c>
      <c r="T20" s="3">
        <f t="shared" si="4"/>
        <v>0.49000000000000149</v>
      </c>
      <c r="U20" s="3">
        <f t="shared" si="5"/>
        <v>0.4900000000000001</v>
      </c>
      <c r="V20" s="3">
        <f t="shared" si="5"/>
        <v>1.9599999999999997</v>
      </c>
      <c r="Z20" s="50" t="s">
        <v>7</v>
      </c>
    </row>
    <row r="21" spans="1:26">
      <c r="A21" s="2">
        <v>53</v>
      </c>
      <c r="B21">
        <v>20</v>
      </c>
      <c r="C21">
        <v>8</v>
      </c>
      <c r="D21">
        <v>1</v>
      </c>
      <c r="E21">
        <v>1.0389999999999999</v>
      </c>
      <c r="F21">
        <v>1</v>
      </c>
      <c r="H21" s="2">
        <v>53</v>
      </c>
      <c r="I21">
        <v>21</v>
      </c>
      <c r="J21">
        <v>3</v>
      </c>
      <c r="K21">
        <v>0</v>
      </c>
      <c r="L21">
        <v>1.554</v>
      </c>
      <c r="M21">
        <v>1</v>
      </c>
      <c r="N21" s="3">
        <v>5</v>
      </c>
      <c r="O21" s="3">
        <f t="shared" si="0"/>
        <v>1.959999999999996</v>
      </c>
      <c r="P21" s="3">
        <f t="shared" si="1"/>
        <v>19.360000000000003</v>
      </c>
      <c r="Q21" s="3">
        <f t="shared" si="2"/>
        <v>1.959999999999996</v>
      </c>
      <c r="R21" s="3">
        <f t="shared" si="3"/>
        <v>5.76</v>
      </c>
      <c r="S21" s="3">
        <f t="shared" si="4"/>
        <v>25</v>
      </c>
      <c r="T21" s="3">
        <f t="shared" si="4"/>
        <v>49</v>
      </c>
      <c r="U21" s="3">
        <f t="shared" si="5"/>
        <v>49</v>
      </c>
      <c r="V21" s="3">
        <f t="shared" si="5"/>
        <v>16</v>
      </c>
      <c r="Z21" s="50" t="s">
        <v>8</v>
      </c>
    </row>
    <row r="22" spans="1:26">
      <c r="A22" s="2">
        <v>53</v>
      </c>
      <c r="B22">
        <v>21</v>
      </c>
      <c r="C22">
        <v>3</v>
      </c>
      <c r="D22">
        <v>0</v>
      </c>
      <c r="E22">
        <v>1.554</v>
      </c>
      <c r="F22">
        <v>1</v>
      </c>
      <c r="H22" s="2">
        <v>53</v>
      </c>
      <c r="I22">
        <v>22</v>
      </c>
      <c r="J22">
        <v>6</v>
      </c>
      <c r="K22">
        <v>1</v>
      </c>
      <c r="L22">
        <v>1.6</v>
      </c>
      <c r="M22">
        <v>2</v>
      </c>
      <c r="N22" s="3">
        <v>6</v>
      </c>
      <c r="O22" s="3">
        <f t="shared" si="0"/>
        <v>16</v>
      </c>
      <c r="P22" s="3">
        <f t="shared" si="1"/>
        <v>1</v>
      </c>
      <c r="Q22" s="3">
        <f t="shared" si="2"/>
        <v>16</v>
      </c>
      <c r="R22" s="3">
        <f t="shared" si="3"/>
        <v>9</v>
      </c>
      <c r="S22" s="3">
        <f t="shared" si="4"/>
        <v>25</v>
      </c>
      <c r="T22" s="3">
        <f t="shared" si="4"/>
        <v>49</v>
      </c>
      <c r="U22" s="3">
        <f t="shared" si="5"/>
        <v>49</v>
      </c>
      <c r="V22" s="3">
        <f t="shared" si="5"/>
        <v>16</v>
      </c>
      <c r="Z22" s="50" t="s">
        <v>8</v>
      </c>
    </row>
    <row r="23" spans="1:26">
      <c r="A23" s="2">
        <v>53</v>
      </c>
      <c r="B23">
        <v>22</v>
      </c>
      <c r="C23">
        <v>6</v>
      </c>
      <c r="D23">
        <v>1</v>
      </c>
      <c r="E23">
        <v>1.6</v>
      </c>
      <c r="F23">
        <v>2</v>
      </c>
      <c r="H23" s="2">
        <v>53</v>
      </c>
      <c r="I23">
        <v>23</v>
      </c>
      <c r="J23">
        <v>5</v>
      </c>
      <c r="K23">
        <v>1</v>
      </c>
      <c r="L23">
        <v>1.0840000000000001</v>
      </c>
      <c r="M23">
        <v>2</v>
      </c>
    </row>
    <row r="24" spans="1:26">
      <c r="A24" s="2">
        <v>53</v>
      </c>
      <c r="B24">
        <v>23</v>
      </c>
      <c r="C24">
        <v>5</v>
      </c>
      <c r="D24">
        <v>1</v>
      </c>
      <c r="E24">
        <v>1.0840000000000001</v>
      </c>
      <c r="F24">
        <v>2</v>
      </c>
      <c r="H24" s="2">
        <v>53</v>
      </c>
      <c r="I24">
        <v>24</v>
      </c>
      <c r="J24">
        <v>2</v>
      </c>
      <c r="K24">
        <v>0</v>
      </c>
      <c r="L24">
        <v>1.661</v>
      </c>
      <c r="M24">
        <v>2</v>
      </c>
    </row>
    <row r="25" spans="1:26">
      <c r="A25" s="2">
        <v>53</v>
      </c>
      <c r="B25">
        <v>24</v>
      </c>
      <c r="C25">
        <v>2</v>
      </c>
      <c r="D25">
        <v>0</v>
      </c>
      <c r="E25">
        <v>1.661</v>
      </c>
      <c r="F25">
        <v>2</v>
      </c>
      <c r="H25" s="2">
        <v>53</v>
      </c>
      <c r="I25">
        <v>25</v>
      </c>
      <c r="J25">
        <v>3</v>
      </c>
      <c r="K25">
        <v>0</v>
      </c>
      <c r="L25">
        <v>0.93600000000000005</v>
      </c>
      <c r="M25">
        <v>1</v>
      </c>
      <c r="O25">
        <v>1</v>
      </c>
      <c r="P25">
        <v>2</v>
      </c>
      <c r="Q25">
        <v>3</v>
      </c>
      <c r="R25">
        <v>4</v>
      </c>
      <c r="S25">
        <v>5</v>
      </c>
      <c r="T25">
        <v>6</v>
      </c>
      <c r="U25">
        <v>7</v>
      </c>
      <c r="V25">
        <v>8</v>
      </c>
    </row>
    <row r="26" spans="1:26">
      <c r="A26" s="2">
        <v>53</v>
      </c>
      <c r="B26">
        <v>25</v>
      </c>
      <c r="C26">
        <v>3</v>
      </c>
      <c r="D26">
        <v>0</v>
      </c>
      <c r="E26">
        <v>0.93600000000000005</v>
      </c>
      <c r="F26">
        <v>1</v>
      </c>
      <c r="H26" s="2">
        <v>53</v>
      </c>
      <c r="I26">
        <v>26</v>
      </c>
      <c r="J26">
        <v>6</v>
      </c>
      <c r="K26">
        <v>1</v>
      </c>
      <c r="L26">
        <v>1.3109999999999999</v>
      </c>
      <c r="M26">
        <v>2</v>
      </c>
      <c r="O26" s="3">
        <f>COUNTIF($J$1:$J$100,O16)*COUNTIF($J$1:$J$100,O16)</f>
        <v>144</v>
      </c>
      <c r="P26" s="3">
        <f>COUNTIF($J$1:$J$102,P16)*COUNTIF($J$1:$J$102,P16)</f>
        <v>144</v>
      </c>
      <c r="Q26" s="3">
        <f t="shared" ref="Q26:V26" si="6">COUNTIF($J$1:$J$102,Q16)*COUNTIF($J$1:$J$102,Q16)</f>
        <v>144</v>
      </c>
      <c r="R26" s="3">
        <f t="shared" si="6"/>
        <v>144</v>
      </c>
      <c r="S26" s="3">
        <f t="shared" si="6"/>
        <v>144</v>
      </c>
      <c r="T26" s="3">
        <f t="shared" si="6"/>
        <v>196</v>
      </c>
      <c r="U26" s="3">
        <f t="shared" si="6"/>
        <v>196</v>
      </c>
      <c r="V26" s="3">
        <f t="shared" si="6"/>
        <v>144</v>
      </c>
    </row>
    <row r="27" spans="1:26">
      <c r="A27" s="2">
        <v>53</v>
      </c>
      <c r="B27">
        <v>26</v>
      </c>
      <c r="C27">
        <v>6</v>
      </c>
      <c r="D27">
        <v>1</v>
      </c>
      <c r="E27">
        <v>1.3109999999999999</v>
      </c>
      <c r="F27">
        <v>2</v>
      </c>
      <c r="H27" s="2">
        <v>53</v>
      </c>
      <c r="I27">
        <v>27</v>
      </c>
      <c r="J27">
        <v>1</v>
      </c>
      <c r="K27">
        <v>0</v>
      </c>
      <c r="L27">
        <v>1.607</v>
      </c>
      <c r="M27">
        <v>1</v>
      </c>
    </row>
    <row r="28" spans="1:26">
      <c r="A28" s="2">
        <v>53</v>
      </c>
      <c r="B28">
        <v>27</v>
      </c>
      <c r="C28">
        <v>1</v>
      </c>
      <c r="D28">
        <v>0</v>
      </c>
      <c r="E28">
        <v>1.607</v>
      </c>
      <c r="F28">
        <v>1</v>
      </c>
      <c r="H28" s="2">
        <v>53</v>
      </c>
      <c r="I28">
        <v>28</v>
      </c>
      <c r="J28">
        <v>7</v>
      </c>
      <c r="K28">
        <v>1</v>
      </c>
      <c r="L28">
        <v>1.395</v>
      </c>
      <c r="M28">
        <v>1</v>
      </c>
    </row>
    <row r="29" spans="1:26">
      <c r="A29" s="2">
        <v>53</v>
      </c>
      <c r="B29">
        <v>28</v>
      </c>
      <c r="C29">
        <v>7</v>
      </c>
      <c r="D29">
        <v>1</v>
      </c>
      <c r="E29">
        <v>1.395</v>
      </c>
      <c r="F29">
        <v>1</v>
      </c>
      <c r="H29" s="2">
        <v>53</v>
      </c>
      <c r="I29">
        <v>29</v>
      </c>
      <c r="J29">
        <v>6</v>
      </c>
      <c r="K29">
        <v>1</v>
      </c>
      <c r="L29">
        <v>1.5840000000000001</v>
      </c>
      <c r="M29">
        <v>2</v>
      </c>
    </row>
    <row r="30" spans="1:26">
      <c r="A30" s="2">
        <v>53</v>
      </c>
      <c r="B30">
        <v>29</v>
      </c>
      <c r="C30">
        <v>6</v>
      </c>
      <c r="D30">
        <v>1</v>
      </c>
      <c r="E30">
        <v>1.5840000000000001</v>
      </c>
      <c r="F30">
        <v>2</v>
      </c>
      <c r="H30" s="2">
        <v>53</v>
      </c>
      <c r="I30">
        <v>30</v>
      </c>
      <c r="J30">
        <v>4</v>
      </c>
      <c r="K30">
        <v>0</v>
      </c>
      <c r="L30">
        <v>1.069</v>
      </c>
      <c r="M30">
        <v>2</v>
      </c>
    </row>
    <row r="31" spans="1:26">
      <c r="A31" s="2">
        <v>53</v>
      </c>
      <c r="B31">
        <v>30</v>
      </c>
      <c r="C31">
        <v>4</v>
      </c>
      <c r="D31">
        <v>0</v>
      </c>
      <c r="E31">
        <v>1.069</v>
      </c>
      <c r="F31">
        <v>2</v>
      </c>
      <c r="H31" s="2">
        <v>53</v>
      </c>
      <c r="I31">
        <v>31</v>
      </c>
      <c r="J31">
        <v>7</v>
      </c>
      <c r="K31">
        <v>1</v>
      </c>
      <c r="L31">
        <v>1.119</v>
      </c>
      <c r="M31">
        <v>1</v>
      </c>
      <c r="N31">
        <v>1</v>
      </c>
      <c r="O31" s="53">
        <f>SUM(O17:V17)/SUM(O$26:V$26)</f>
        <v>2.5589171974522294E-2</v>
      </c>
    </row>
    <row r="32" spans="1:26">
      <c r="A32" s="2">
        <v>53</v>
      </c>
      <c r="B32">
        <v>31</v>
      </c>
      <c r="C32">
        <v>7</v>
      </c>
      <c r="D32">
        <v>1</v>
      </c>
      <c r="E32">
        <v>1.119</v>
      </c>
      <c r="F32">
        <v>1</v>
      </c>
      <c r="H32" s="2">
        <v>53</v>
      </c>
      <c r="I32">
        <v>32</v>
      </c>
      <c r="J32">
        <v>6</v>
      </c>
      <c r="K32">
        <v>1</v>
      </c>
      <c r="L32">
        <v>1.472</v>
      </c>
      <c r="M32">
        <v>2</v>
      </c>
      <c r="N32">
        <v>2</v>
      </c>
      <c r="O32" s="53">
        <f>SUM(O18:V18)/SUM(O$26:V$26)</f>
        <v>0.1115764331210191</v>
      </c>
    </row>
    <row r="33" spans="1:15">
      <c r="A33" s="2">
        <v>53</v>
      </c>
      <c r="B33">
        <v>32</v>
      </c>
      <c r="C33">
        <v>6</v>
      </c>
      <c r="D33">
        <v>1</v>
      </c>
      <c r="E33">
        <v>1.472</v>
      </c>
      <c r="F33">
        <v>2</v>
      </c>
      <c r="H33" s="2">
        <v>53</v>
      </c>
      <c r="I33">
        <v>33</v>
      </c>
      <c r="J33">
        <v>4</v>
      </c>
      <c r="K33">
        <v>1</v>
      </c>
      <c r="L33">
        <v>1.792</v>
      </c>
      <c r="M33">
        <v>1</v>
      </c>
      <c r="N33">
        <v>3</v>
      </c>
      <c r="O33" s="53">
        <f t="shared" ref="O33:O36" si="7">SUM(O19:V19)/SUM(O$26:V$26)</f>
        <v>0.30648089171974519</v>
      </c>
    </row>
    <row r="34" spans="1:15">
      <c r="A34" s="2">
        <v>53</v>
      </c>
      <c r="B34">
        <v>33</v>
      </c>
      <c r="C34">
        <v>4</v>
      </c>
      <c r="D34">
        <v>1</v>
      </c>
      <c r="E34">
        <v>1.792</v>
      </c>
      <c r="F34">
        <v>1</v>
      </c>
      <c r="H34" s="2">
        <v>53</v>
      </c>
      <c r="I34">
        <v>34</v>
      </c>
      <c r="J34">
        <v>5</v>
      </c>
      <c r="K34">
        <v>1</v>
      </c>
      <c r="L34">
        <v>1.3580000000000001</v>
      </c>
      <c r="M34">
        <v>2</v>
      </c>
      <c r="N34">
        <v>4</v>
      </c>
      <c r="O34" s="53">
        <f t="shared" si="7"/>
        <v>3.590764331210191E-2</v>
      </c>
    </row>
    <row r="35" spans="1:15">
      <c r="A35" s="2">
        <v>53</v>
      </c>
      <c r="B35">
        <v>34</v>
      </c>
      <c r="C35">
        <v>5</v>
      </c>
      <c r="D35">
        <v>1</v>
      </c>
      <c r="E35">
        <v>1.3580000000000001</v>
      </c>
      <c r="F35">
        <v>2</v>
      </c>
      <c r="H35" s="2">
        <v>53</v>
      </c>
      <c r="I35">
        <v>35</v>
      </c>
      <c r="J35">
        <v>3</v>
      </c>
      <c r="K35">
        <v>1</v>
      </c>
      <c r="L35">
        <v>1.4590000000000001</v>
      </c>
      <c r="M35">
        <v>2</v>
      </c>
      <c r="N35">
        <v>5</v>
      </c>
      <c r="O35" s="53">
        <f t="shared" si="7"/>
        <v>0.13378980891719744</v>
      </c>
    </row>
    <row r="36" spans="1:15">
      <c r="A36" s="2">
        <v>53</v>
      </c>
      <c r="B36">
        <v>35</v>
      </c>
      <c r="C36">
        <v>3</v>
      </c>
      <c r="D36">
        <v>1</v>
      </c>
      <c r="E36">
        <v>1.4590000000000001</v>
      </c>
      <c r="F36">
        <v>2</v>
      </c>
      <c r="H36" s="2">
        <v>53</v>
      </c>
      <c r="I36">
        <v>36</v>
      </c>
      <c r="J36">
        <v>2</v>
      </c>
      <c r="K36">
        <v>0</v>
      </c>
      <c r="L36">
        <v>0.73299999999999998</v>
      </c>
      <c r="M36">
        <v>2</v>
      </c>
      <c r="N36">
        <v>6</v>
      </c>
      <c r="O36" s="53">
        <f t="shared" si="7"/>
        <v>0.14410828025477707</v>
      </c>
    </row>
    <row r="37" spans="1:15">
      <c r="A37" s="2">
        <v>53</v>
      </c>
      <c r="B37">
        <v>36</v>
      </c>
      <c r="C37">
        <v>2</v>
      </c>
      <c r="D37">
        <v>0</v>
      </c>
      <c r="E37">
        <v>0.73299999999999998</v>
      </c>
      <c r="F37">
        <v>2</v>
      </c>
      <c r="H37" s="2">
        <v>53</v>
      </c>
      <c r="I37">
        <v>37</v>
      </c>
      <c r="J37">
        <v>7</v>
      </c>
      <c r="K37">
        <v>1</v>
      </c>
      <c r="L37">
        <v>1.0760000000000001</v>
      </c>
      <c r="M37">
        <v>1</v>
      </c>
      <c r="O37" s="51"/>
    </row>
    <row r="38" spans="1:15">
      <c r="A38" s="2">
        <v>53</v>
      </c>
      <c r="B38">
        <v>37</v>
      </c>
      <c r="C38">
        <v>7</v>
      </c>
      <c r="D38">
        <v>1</v>
      </c>
      <c r="E38">
        <v>1.0760000000000001</v>
      </c>
      <c r="F38">
        <v>1</v>
      </c>
      <c r="H38" s="2">
        <v>53</v>
      </c>
      <c r="I38">
        <v>38</v>
      </c>
      <c r="J38">
        <v>5</v>
      </c>
      <c r="K38">
        <v>1</v>
      </c>
      <c r="L38">
        <v>1.1739999999999999</v>
      </c>
      <c r="M38">
        <v>2</v>
      </c>
    </row>
    <row r="39" spans="1:15">
      <c r="A39" s="2">
        <v>53</v>
      </c>
      <c r="B39">
        <v>38</v>
      </c>
      <c r="C39">
        <v>5</v>
      </c>
      <c r="D39">
        <v>1</v>
      </c>
      <c r="E39">
        <v>1.1739999999999999</v>
      </c>
      <c r="F39">
        <v>2</v>
      </c>
      <c r="H39" s="2">
        <v>53</v>
      </c>
      <c r="I39">
        <v>39</v>
      </c>
      <c r="J39">
        <v>6</v>
      </c>
      <c r="K39">
        <v>1</v>
      </c>
      <c r="L39">
        <v>1.0029999999999999</v>
      </c>
      <c r="M39">
        <v>2</v>
      </c>
    </row>
    <row r="40" spans="1:15">
      <c r="A40" s="2">
        <v>53</v>
      </c>
      <c r="B40">
        <v>39</v>
      </c>
      <c r="C40">
        <v>6</v>
      </c>
      <c r="D40">
        <v>1</v>
      </c>
      <c r="E40">
        <v>1.0029999999999999</v>
      </c>
      <c r="F40">
        <v>2</v>
      </c>
      <c r="H40" s="2">
        <v>53</v>
      </c>
      <c r="I40">
        <v>40</v>
      </c>
      <c r="J40">
        <v>4</v>
      </c>
      <c r="K40">
        <v>0</v>
      </c>
      <c r="L40">
        <v>1.4159999999999999</v>
      </c>
      <c r="M40">
        <v>2</v>
      </c>
    </row>
    <row r="41" spans="1:15">
      <c r="A41" s="2">
        <v>53</v>
      </c>
      <c r="B41">
        <v>40</v>
      </c>
      <c r="C41">
        <v>4</v>
      </c>
      <c r="D41">
        <v>0</v>
      </c>
      <c r="E41">
        <v>1.4159999999999999</v>
      </c>
      <c r="F41">
        <v>2</v>
      </c>
      <c r="H41" s="2">
        <v>53</v>
      </c>
      <c r="I41">
        <v>41</v>
      </c>
      <c r="J41">
        <v>8</v>
      </c>
      <c r="K41">
        <v>1</v>
      </c>
      <c r="L41">
        <v>1.3240000000000001</v>
      </c>
      <c r="M41">
        <v>1</v>
      </c>
    </row>
    <row r="42" spans="1:15">
      <c r="A42" s="2">
        <v>53</v>
      </c>
      <c r="B42">
        <v>41</v>
      </c>
      <c r="C42">
        <v>8</v>
      </c>
      <c r="D42">
        <v>1</v>
      </c>
      <c r="E42">
        <v>1.3240000000000001</v>
      </c>
      <c r="F42">
        <v>1</v>
      </c>
      <c r="H42" s="2">
        <v>53</v>
      </c>
      <c r="I42">
        <v>42</v>
      </c>
      <c r="J42">
        <v>2</v>
      </c>
      <c r="K42">
        <v>0</v>
      </c>
      <c r="L42">
        <v>0.93100000000000005</v>
      </c>
      <c r="M42">
        <v>2</v>
      </c>
    </row>
    <row r="43" spans="1:15">
      <c r="A43" s="2">
        <v>53</v>
      </c>
      <c r="B43">
        <v>42</v>
      </c>
      <c r="C43">
        <v>2</v>
      </c>
      <c r="D43">
        <v>0</v>
      </c>
      <c r="E43">
        <v>0.93100000000000005</v>
      </c>
      <c r="F43">
        <v>2</v>
      </c>
      <c r="H43" s="2">
        <v>53</v>
      </c>
      <c r="I43">
        <v>43</v>
      </c>
      <c r="J43">
        <v>6</v>
      </c>
      <c r="K43">
        <v>1</v>
      </c>
      <c r="L43">
        <v>1.194</v>
      </c>
      <c r="M43">
        <v>2</v>
      </c>
    </row>
    <row r="44" spans="1:15">
      <c r="A44" s="2">
        <v>53</v>
      </c>
      <c r="B44">
        <v>43</v>
      </c>
      <c r="C44">
        <v>6</v>
      </c>
      <c r="D44">
        <v>1</v>
      </c>
      <c r="E44">
        <v>1.194</v>
      </c>
      <c r="F44">
        <v>2</v>
      </c>
      <c r="H44" s="2">
        <v>53</v>
      </c>
      <c r="I44">
        <v>44</v>
      </c>
      <c r="J44">
        <v>1</v>
      </c>
      <c r="K44">
        <v>1</v>
      </c>
      <c r="L44">
        <v>1.9510000000000001</v>
      </c>
      <c r="M44">
        <v>2</v>
      </c>
    </row>
    <row r="45" spans="1:15">
      <c r="A45" s="2">
        <v>53</v>
      </c>
      <c r="B45">
        <v>44</v>
      </c>
      <c r="C45">
        <v>1</v>
      </c>
      <c r="D45">
        <v>1</v>
      </c>
      <c r="E45">
        <v>1.9510000000000001</v>
      </c>
      <c r="F45">
        <v>2</v>
      </c>
      <c r="H45" s="2">
        <v>53</v>
      </c>
      <c r="I45">
        <v>45</v>
      </c>
      <c r="J45">
        <v>7</v>
      </c>
      <c r="K45">
        <v>1</v>
      </c>
      <c r="L45">
        <v>1.0049999999999999</v>
      </c>
      <c r="M45">
        <v>1</v>
      </c>
    </row>
    <row r="46" spans="1:15">
      <c r="A46" s="2">
        <v>53</v>
      </c>
      <c r="B46">
        <v>45</v>
      </c>
      <c r="C46">
        <v>7</v>
      </c>
      <c r="D46">
        <v>1</v>
      </c>
      <c r="E46">
        <v>1.0049999999999999</v>
      </c>
      <c r="F46">
        <v>1</v>
      </c>
      <c r="H46" s="2">
        <v>53</v>
      </c>
      <c r="I46">
        <v>46</v>
      </c>
      <c r="J46">
        <v>3</v>
      </c>
      <c r="K46">
        <v>1</v>
      </c>
      <c r="L46">
        <v>1.722</v>
      </c>
      <c r="M46">
        <v>2</v>
      </c>
    </row>
    <row r="47" spans="1:15">
      <c r="A47" s="2">
        <v>53</v>
      </c>
      <c r="B47">
        <v>46</v>
      </c>
      <c r="C47">
        <v>3</v>
      </c>
      <c r="D47">
        <v>1</v>
      </c>
      <c r="E47">
        <v>1.722</v>
      </c>
      <c r="F47">
        <v>2</v>
      </c>
      <c r="H47" s="2">
        <v>53</v>
      </c>
      <c r="I47">
        <v>47</v>
      </c>
      <c r="J47">
        <v>2</v>
      </c>
      <c r="K47">
        <v>1</v>
      </c>
      <c r="L47">
        <v>1.129</v>
      </c>
      <c r="M47">
        <v>1</v>
      </c>
    </row>
    <row r="48" spans="1:15">
      <c r="A48" s="2">
        <v>53</v>
      </c>
      <c r="B48">
        <v>47</v>
      </c>
      <c r="C48">
        <v>2</v>
      </c>
      <c r="D48">
        <v>1</v>
      </c>
      <c r="E48">
        <v>1.129</v>
      </c>
      <c r="F48">
        <v>1</v>
      </c>
      <c r="H48" s="2">
        <v>53</v>
      </c>
      <c r="I48">
        <v>48</v>
      </c>
      <c r="J48">
        <v>7</v>
      </c>
      <c r="K48">
        <v>1</v>
      </c>
      <c r="L48">
        <v>1.248</v>
      </c>
      <c r="M48">
        <v>1</v>
      </c>
    </row>
    <row r="49" spans="1:13">
      <c r="A49" s="2">
        <v>53</v>
      </c>
      <c r="B49">
        <v>48</v>
      </c>
      <c r="C49">
        <v>7</v>
      </c>
      <c r="D49">
        <v>1</v>
      </c>
      <c r="E49">
        <v>1.248</v>
      </c>
      <c r="F49">
        <v>1</v>
      </c>
      <c r="H49" s="2">
        <v>53</v>
      </c>
      <c r="I49">
        <v>49</v>
      </c>
      <c r="J49">
        <v>5</v>
      </c>
      <c r="K49">
        <v>1</v>
      </c>
      <c r="L49">
        <v>1.635</v>
      </c>
      <c r="M49">
        <v>2</v>
      </c>
    </row>
    <row r="50" spans="1:13">
      <c r="A50" s="2">
        <v>53</v>
      </c>
      <c r="B50">
        <v>49</v>
      </c>
      <c r="C50">
        <v>5</v>
      </c>
      <c r="D50">
        <v>1</v>
      </c>
      <c r="E50">
        <v>1.635</v>
      </c>
      <c r="F50">
        <v>2</v>
      </c>
      <c r="H50" s="2">
        <v>53</v>
      </c>
      <c r="I50">
        <v>50</v>
      </c>
      <c r="J50">
        <v>7</v>
      </c>
      <c r="K50">
        <v>1</v>
      </c>
      <c r="L50">
        <v>1.375</v>
      </c>
      <c r="M50">
        <v>1</v>
      </c>
    </row>
    <row r="51" spans="1:13">
      <c r="A51" s="2">
        <v>53</v>
      </c>
      <c r="B51">
        <v>50</v>
      </c>
      <c r="C51">
        <v>7</v>
      </c>
      <c r="D51">
        <v>1</v>
      </c>
      <c r="E51">
        <v>1.375</v>
      </c>
      <c r="F51">
        <v>1</v>
      </c>
      <c r="H51" s="2">
        <v>53</v>
      </c>
      <c r="I51">
        <v>51</v>
      </c>
      <c r="J51">
        <v>5</v>
      </c>
      <c r="K51">
        <v>1</v>
      </c>
      <c r="L51">
        <v>1.1930000000000001</v>
      </c>
      <c r="M51" t="s">
        <v>103</v>
      </c>
    </row>
    <row r="52" spans="1:13">
      <c r="A52" s="2">
        <v>53</v>
      </c>
      <c r="B52">
        <v>51</v>
      </c>
      <c r="C52">
        <v>5</v>
      </c>
      <c r="D52">
        <v>1</v>
      </c>
      <c r="E52">
        <v>1.1930000000000001</v>
      </c>
      <c r="F52" t="s">
        <v>103</v>
      </c>
      <c r="H52" s="2">
        <v>53</v>
      </c>
      <c r="I52">
        <v>52</v>
      </c>
      <c r="J52">
        <v>7</v>
      </c>
      <c r="K52">
        <v>1</v>
      </c>
      <c r="L52">
        <v>0.997</v>
      </c>
      <c r="M52" t="s">
        <v>103</v>
      </c>
    </row>
    <row r="53" spans="1:13">
      <c r="A53" s="2">
        <v>53</v>
      </c>
      <c r="B53">
        <v>52</v>
      </c>
      <c r="C53">
        <v>7</v>
      </c>
      <c r="D53">
        <v>1</v>
      </c>
      <c r="E53">
        <v>0.997</v>
      </c>
      <c r="F53" t="s">
        <v>103</v>
      </c>
      <c r="H53" s="2">
        <v>53</v>
      </c>
      <c r="I53">
        <v>53</v>
      </c>
      <c r="J53">
        <v>4</v>
      </c>
      <c r="K53">
        <v>1</v>
      </c>
      <c r="L53">
        <v>1.298</v>
      </c>
      <c r="M53" t="s">
        <v>103</v>
      </c>
    </row>
    <row r="54" spans="1:13">
      <c r="A54" s="2">
        <v>53</v>
      </c>
      <c r="B54">
        <v>53</v>
      </c>
      <c r="C54">
        <v>4</v>
      </c>
      <c r="D54">
        <v>1</v>
      </c>
      <c r="E54">
        <v>1.298</v>
      </c>
      <c r="F54" t="s">
        <v>103</v>
      </c>
      <c r="H54" s="2">
        <v>53</v>
      </c>
      <c r="I54">
        <v>54</v>
      </c>
      <c r="J54">
        <v>2</v>
      </c>
      <c r="K54">
        <v>1</v>
      </c>
      <c r="L54">
        <v>1.49</v>
      </c>
      <c r="M54" t="s">
        <v>103</v>
      </c>
    </row>
    <row r="55" spans="1:13">
      <c r="A55" s="2">
        <v>53</v>
      </c>
      <c r="B55">
        <v>54</v>
      </c>
      <c r="C55">
        <v>2</v>
      </c>
      <c r="D55">
        <v>1</v>
      </c>
      <c r="E55">
        <v>1.49</v>
      </c>
      <c r="F55" t="s">
        <v>103</v>
      </c>
      <c r="H55" s="2">
        <v>53</v>
      </c>
      <c r="I55">
        <v>55</v>
      </c>
      <c r="J55">
        <v>6</v>
      </c>
      <c r="K55">
        <v>1</v>
      </c>
      <c r="L55">
        <v>1.4830000000000001</v>
      </c>
      <c r="M55" t="s">
        <v>103</v>
      </c>
    </row>
    <row r="56" spans="1:13">
      <c r="A56" s="2">
        <v>53</v>
      </c>
      <c r="B56">
        <v>55</v>
      </c>
      <c r="C56">
        <v>6</v>
      </c>
      <c r="D56">
        <v>1</v>
      </c>
      <c r="E56">
        <v>1.4830000000000001</v>
      </c>
      <c r="F56" t="s">
        <v>103</v>
      </c>
      <c r="H56" s="2">
        <v>53</v>
      </c>
      <c r="I56">
        <v>56</v>
      </c>
      <c r="J56">
        <v>8</v>
      </c>
      <c r="K56">
        <v>0</v>
      </c>
      <c r="L56">
        <v>1.341</v>
      </c>
      <c r="M56" t="s">
        <v>103</v>
      </c>
    </row>
    <row r="57" spans="1:13">
      <c r="A57" s="2">
        <v>53</v>
      </c>
      <c r="B57">
        <v>56</v>
      </c>
      <c r="C57">
        <v>8</v>
      </c>
      <c r="D57">
        <v>0</v>
      </c>
      <c r="E57">
        <v>1.341</v>
      </c>
      <c r="F57" t="s">
        <v>103</v>
      </c>
      <c r="H57" s="2">
        <v>53</v>
      </c>
      <c r="I57">
        <v>57</v>
      </c>
      <c r="J57">
        <v>3</v>
      </c>
      <c r="K57">
        <v>1</v>
      </c>
      <c r="L57">
        <v>1.179</v>
      </c>
      <c r="M57" t="s">
        <v>103</v>
      </c>
    </row>
    <row r="58" spans="1:13">
      <c r="A58" s="2">
        <v>53</v>
      </c>
      <c r="B58">
        <v>57</v>
      </c>
      <c r="C58">
        <v>3</v>
      </c>
      <c r="D58">
        <v>1</v>
      </c>
      <c r="E58">
        <v>1.179</v>
      </c>
      <c r="F58" t="s">
        <v>103</v>
      </c>
      <c r="H58" s="2">
        <v>53</v>
      </c>
      <c r="I58">
        <v>58</v>
      </c>
      <c r="J58">
        <v>8</v>
      </c>
      <c r="K58">
        <v>1</v>
      </c>
      <c r="L58">
        <v>1.4159999999999999</v>
      </c>
      <c r="M58" t="s">
        <v>103</v>
      </c>
    </row>
    <row r="59" spans="1:13">
      <c r="A59" s="2">
        <v>53</v>
      </c>
      <c r="B59">
        <v>58</v>
      </c>
      <c r="C59">
        <v>8</v>
      </c>
      <c r="D59">
        <v>1</v>
      </c>
      <c r="E59">
        <v>1.4159999999999999</v>
      </c>
      <c r="F59" t="s">
        <v>103</v>
      </c>
      <c r="H59" s="2">
        <v>53</v>
      </c>
      <c r="I59">
        <v>59</v>
      </c>
      <c r="J59">
        <v>6</v>
      </c>
      <c r="K59">
        <v>1</v>
      </c>
      <c r="L59">
        <v>1.1890000000000001</v>
      </c>
      <c r="M59" t="s">
        <v>103</v>
      </c>
    </row>
    <row r="60" spans="1:13">
      <c r="A60" s="2">
        <v>53</v>
      </c>
      <c r="B60">
        <v>59</v>
      </c>
      <c r="C60">
        <v>6</v>
      </c>
      <c r="D60">
        <v>1</v>
      </c>
      <c r="E60">
        <v>1.1890000000000001</v>
      </c>
      <c r="F60" t="s">
        <v>103</v>
      </c>
      <c r="H60" s="2">
        <v>53</v>
      </c>
      <c r="I60">
        <v>60</v>
      </c>
      <c r="J60">
        <v>2</v>
      </c>
      <c r="K60">
        <v>1</v>
      </c>
      <c r="L60">
        <v>1.089</v>
      </c>
      <c r="M60" t="s">
        <v>103</v>
      </c>
    </row>
    <row r="61" spans="1:13">
      <c r="A61" s="2">
        <v>53</v>
      </c>
      <c r="B61">
        <v>60</v>
      </c>
      <c r="C61">
        <v>2</v>
      </c>
      <c r="D61">
        <v>1</v>
      </c>
      <c r="E61">
        <v>1.089</v>
      </c>
      <c r="F61" t="s">
        <v>103</v>
      </c>
      <c r="H61" s="2">
        <v>53</v>
      </c>
      <c r="I61">
        <v>61</v>
      </c>
      <c r="J61">
        <v>7</v>
      </c>
      <c r="K61">
        <v>1</v>
      </c>
      <c r="L61">
        <v>1.026</v>
      </c>
      <c r="M61" t="s">
        <v>103</v>
      </c>
    </row>
    <row r="62" spans="1:13">
      <c r="A62" s="2">
        <v>53</v>
      </c>
      <c r="B62">
        <v>61</v>
      </c>
      <c r="C62">
        <v>7</v>
      </c>
      <c r="D62">
        <v>1</v>
      </c>
      <c r="E62">
        <v>1.026</v>
      </c>
      <c r="F62" t="s">
        <v>103</v>
      </c>
      <c r="H62" s="2">
        <v>53</v>
      </c>
      <c r="I62">
        <v>62</v>
      </c>
      <c r="J62">
        <v>8</v>
      </c>
      <c r="K62">
        <v>1</v>
      </c>
      <c r="L62">
        <v>1.1639999999999999</v>
      </c>
      <c r="M62" t="s">
        <v>103</v>
      </c>
    </row>
    <row r="63" spans="1:13">
      <c r="A63" s="2">
        <v>53</v>
      </c>
      <c r="B63">
        <v>62</v>
      </c>
      <c r="C63">
        <v>8</v>
      </c>
      <c r="D63">
        <v>1</v>
      </c>
      <c r="E63">
        <v>1.1639999999999999</v>
      </c>
      <c r="F63" t="s">
        <v>103</v>
      </c>
      <c r="H63" s="2">
        <v>53</v>
      </c>
      <c r="I63">
        <v>63</v>
      </c>
      <c r="J63">
        <v>2</v>
      </c>
      <c r="K63">
        <v>1</v>
      </c>
      <c r="L63">
        <v>0.90700000000000003</v>
      </c>
      <c r="M63" t="s">
        <v>103</v>
      </c>
    </row>
    <row r="64" spans="1:13">
      <c r="A64" s="2">
        <v>53</v>
      </c>
      <c r="B64">
        <v>63</v>
      </c>
      <c r="C64">
        <v>2</v>
      </c>
      <c r="D64">
        <v>1</v>
      </c>
      <c r="E64">
        <v>0.90700000000000003</v>
      </c>
      <c r="F64" t="s">
        <v>103</v>
      </c>
      <c r="H64" s="2">
        <v>53</v>
      </c>
      <c r="I64">
        <v>64</v>
      </c>
      <c r="J64">
        <v>8</v>
      </c>
      <c r="K64">
        <v>1</v>
      </c>
      <c r="L64">
        <v>1.171</v>
      </c>
      <c r="M64" t="s">
        <v>103</v>
      </c>
    </row>
    <row r="65" spans="1:13">
      <c r="A65" s="2">
        <v>53</v>
      </c>
      <c r="B65">
        <v>64</v>
      </c>
      <c r="C65">
        <v>8</v>
      </c>
      <c r="D65">
        <v>1</v>
      </c>
      <c r="E65">
        <v>1.171</v>
      </c>
      <c r="F65" t="s">
        <v>103</v>
      </c>
      <c r="H65" s="2">
        <v>53</v>
      </c>
      <c r="I65">
        <v>65</v>
      </c>
      <c r="J65">
        <v>3</v>
      </c>
      <c r="K65">
        <v>1</v>
      </c>
      <c r="L65">
        <v>0.85599999999999998</v>
      </c>
      <c r="M65" t="s">
        <v>103</v>
      </c>
    </row>
    <row r="66" spans="1:13">
      <c r="A66" s="2">
        <v>53</v>
      </c>
      <c r="B66">
        <v>65</v>
      </c>
      <c r="C66">
        <v>3</v>
      </c>
      <c r="D66">
        <v>1</v>
      </c>
      <c r="E66">
        <v>0.85599999999999998</v>
      </c>
      <c r="F66" t="s">
        <v>103</v>
      </c>
      <c r="H66" s="2">
        <v>53</v>
      </c>
      <c r="I66">
        <v>66</v>
      </c>
      <c r="J66">
        <v>6</v>
      </c>
      <c r="K66">
        <v>1</v>
      </c>
      <c r="L66">
        <v>0.91300000000000003</v>
      </c>
      <c r="M66" t="s">
        <v>103</v>
      </c>
    </row>
    <row r="67" spans="1:13">
      <c r="A67" s="2">
        <v>53</v>
      </c>
      <c r="B67">
        <v>66</v>
      </c>
      <c r="C67">
        <v>6</v>
      </c>
      <c r="D67">
        <v>1</v>
      </c>
      <c r="E67">
        <v>0.91300000000000003</v>
      </c>
      <c r="F67" t="s">
        <v>103</v>
      </c>
      <c r="H67" s="2">
        <v>53</v>
      </c>
      <c r="I67">
        <v>67</v>
      </c>
      <c r="J67">
        <v>1</v>
      </c>
      <c r="K67">
        <v>1</v>
      </c>
      <c r="L67">
        <v>0.97799999999999998</v>
      </c>
      <c r="M67" t="s">
        <v>103</v>
      </c>
    </row>
    <row r="68" spans="1:13">
      <c r="A68" s="2">
        <v>53</v>
      </c>
      <c r="B68">
        <v>67</v>
      </c>
      <c r="C68">
        <v>1</v>
      </c>
      <c r="D68">
        <v>1</v>
      </c>
      <c r="E68">
        <v>0.97799999999999998</v>
      </c>
      <c r="F68" t="s">
        <v>103</v>
      </c>
      <c r="H68" s="2">
        <v>53</v>
      </c>
      <c r="I68">
        <v>68</v>
      </c>
      <c r="J68">
        <v>4</v>
      </c>
      <c r="K68">
        <v>1</v>
      </c>
      <c r="L68">
        <v>0.75800000000000001</v>
      </c>
      <c r="M68" t="s">
        <v>103</v>
      </c>
    </row>
    <row r="69" spans="1:13">
      <c r="A69" s="2">
        <v>53</v>
      </c>
      <c r="B69">
        <v>68</v>
      </c>
      <c r="C69">
        <v>4</v>
      </c>
      <c r="D69">
        <v>1</v>
      </c>
      <c r="E69">
        <v>0.75800000000000001</v>
      </c>
      <c r="F69" t="s">
        <v>103</v>
      </c>
      <c r="H69" s="2">
        <v>53</v>
      </c>
      <c r="I69">
        <v>69</v>
      </c>
      <c r="J69">
        <v>7</v>
      </c>
      <c r="K69">
        <v>1</v>
      </c>
      <c r="L69">
        <v>0.81200000000000006</v>
      </c>
      <c r="M69" t="s">
        <v>103</v>
      </c>
    </row>
    <row r="70" spans="1:13">
      <c r="A70" s="2">
        <v>53</v>
      </c>
      <c r="B70">
        <v>69</v>
      </c>
      <c r="C70">
        <v>7</v>
      </c>
      <c r="D70">
        <v>1</v>
      </c>
      <c r="E70">
        <v>0.81200000000000006</v>
      </c>
      <c r="F70" t="s">
        <v>103</v>
      </c>
      <c r="H70" s="2">
        <v>53</v>
      </c>
      <c r="I70">
        <v>70</v>
      </c>
      <c r="J70">
        <v>2</v>
      </c>
      <c r="K70">
        <v>1</v>
      </c>
      <c r="L70">
        <v>0.72799999999999998</v>
      </c>
      <c r="M70" t="s">
        <v>103</v>
      </c>
    </row>
    <row r="71" spans="1:13">
      <c r="A71" s="2">
        <v>53</v>
      </c>
      <c r="B71">
        <v>70</v>
      </c>
      <c r="C71">
        <v>2</v>
      </c>
      <c r="D71">
        <v>1</v>
      </c>
      <c r="E71">
        <v>0.72799999999999998</v>
      </c>
      <c r="F71" t="s">
        <v>103</v>
      </c>
      <c r="H71" s="2">
        <v>53</v>
      </c>
      <c r="I71">
        <v>71</v>
      </c>
      <c r="J71">
        <v>5</v>
      </c>
      <c r="K71">
        <v>1</v>
      </c>
      <c r="L71">
        <v>0.88800000000000001</v>
      </c>
      <c r="M71" t="s">
        <v>103</v>
      </c>
    </row>
    <row r="72" spans="1:13">
      <c r="A72" s="2">
        <v>53</v>
      </c>
      <c r="B72">
        <v>71</v>
      </c>
      <c r="C72">
        <v>5</v>
      </c>
      <c r="D72">
        <v>1</v>
      </c>
      <c r="E72">
        <v>0.88800000000000001</v>
      </c>
      <c r="F72" t="s">
        <v>103</v>
      </c>
      <c r="H72" s="2">
        <v>53</v>
      </c>
      <c r="I72">
        <v>72</v>
      </c>
      <c r="J72">
        <v>1</v>
      </c>
      <c r="K72">
        <v>0</v>
      </c>
      <c r="L72">
        <v>1.1359999999999999</v>
      </c>
      <c r="M72" t="s">
        <v>103</v>
      </c>
    </row>
    <row r="73" spans="1:13">
      <c r="A73" s="2">
        <v>53</v>
      </c>
      <c r="B73">
        <v>72</v>
      </c>
      <c r="C73">
        <v>1</v>
      </c>
      <c r="D73">
        <v>0</v>
      </c>
      <c r="E73">
        <v>1.1359999999999999</v>
      </c>
      <c r="F73" t="s">
        <v>103</v>
      </c>
      <c r="H73" s="2">
        <v>53</v>
      </c>
      <c r="I73">
        <v>73</v>
      </c>
      <c r="J73">
        <v>2</v>
      </c>
      <c r="K73">
        <v>1</v>
      </c>
      <c r="L73">
        <v>1.1839999999999999</v>
      </c>
      <c r="M73" t="s">
        <v>103</v>
      </c>
    </row>
    <row r="74" spans="1:13">
      <c r="A74" s="2">
        <v>53</v>
      </c>
      <c r="B74">
        <v>73</v>
      </c>
      <c r="C74">
        <v>2</v>
      </c>
      <c r="D74">
        <v>1</v>
      </c>
      <c r="E74">
        <v>1.1839999999999999</v>
      </c>
      <c r="F74" t="s">
        <v>103</v>
      </c>
      <c r="H74" s="2">
        <v>53</v>
      </c>
      <c r="I74">
        <v>74</v>
      </c>
      <c r="J74">
        <v>1</v>
      </c>
      <c r="K74">
        <v>1</v>
      </c>
      <c r="L74">
        <v>0.97299999999999998</v>
      </c>
      <c r="M74" t="s">
        <v>103</v>
      </c>
    </row>
    <row r="75" spans="1:13">
      <c r="A75" s="2">
        <v>53</v>
      </c>
      <c r="B75">
        <v>74</v>
      </c>
      <c r="C75">
        <v>1</v>
      </c>
      <c r="D75">
        <v>1</v>
      </c>
      <c r="E75">
        <v>0.97299999999999998</v>
      </c>
      <c r="F75" t="s">
        <v>103</v>
      </c>
      <c r="H75" s="2">
        <v>53</v>
      </c>
      <c r="I75">
        <v>75</v>
      </c>
      <c r="J75">
        <v>6</v>
      </c>
      <c r="K75">
        <v>1</v>
      </c>
      <c r="L75">
        <v>0.746</v>
      </c>
      <c r="M75" t="s">
        <v>103</v>
      </c>
    </row>
    <row r="76" spans="1:13">
      <c r="A76" s="2">
        <v>53</v>
      </c>
      <c r="B76">
        <v>75</v>
      </c>
      <c r="C76">
        <v>6</v>
      </c>
      <c r="D76">
        <v>1</v>
      </c>
      <c r="E76">
        <v>0.746</v>
      </c>
      <c r="F76" t="s">
        <v>103</v>
      </c>
      <c r="H76" s="2">
        <v>53</v>
      </c>
      <c r="I76">
        <v>76</v>
      </c>
      <c r="J76">
        <v>8</v>
      </c>
      <c r="K76">
        <v>1</v>
      </c>
      <c r="L76">
        <v>1.4730000000000001</v>
      </c>
      <c r="M76" t="s">
        <v>103</v>
      </c>
    </row>
    <row r="77" spans="1:13">
      <c r="A77" s="2">
        <v>53</v>
      </c>
      <c r="B77">
        <v>76</v>
      </c>
      <c r="C77">
        <v>8</v>
      </c>
      <c r="D77">
        <v>1</v>
      </c>
      <c r="E77">
        <v>1.4730000000000001</v>
      </c>
      <c r="F77" t="s">
        <v>103</v>
      </c>
      <c r="H77" s="2">
        <v>53</v>
      </c>
      <c r="I77">
        <v>77</v>
      </c>
      <c r="J77">
        <v>7</v>
      </c>
      <c r="K77">
        <v>1</v>
      </c>
      <c r="L77">
        <v>0.89100000000000001</v>
      </c>
      <c r="M77" t="s">
        <v>103</v>
      </c>
    </row>
    <row r="78" spans="1:13">
      <c r="A78" s="2">
        <v>53</v>
      </c>
      <c r="B78">
        <v>77</v>
      </c>
      <c r="C78">
        <v>7</v>
      </c>
      <c r="D78">
        <v>1</v>
      </c>
      <c r="E78">
        <v>0.89100000000000001</v>
      </c>
      <c r="F78" t="s">
        <v>103</v>
      </c>
      <c r="H78" s="2">
        <v>53</v>
      </c>
      <c r="I78">
        <v>78</v>
      </c>
      <c r="J78">
        <v>6</v>
      </c>
      <c r="K78">
        <v>1</v>
      </c>
      <c r="L78">
        <v>0.98699999999999999</v>
      </c>
      <c r="M78" t="s">
        <v>103</v>
      </c>
    </row>
    <row r="79" spans="1:13">
      <c r="A79" s="2">
        <v>53</v>
      </c>
      <c r="B79">
        <v>78</v>
      </c>
      <c r="C79">
        <v>6</v>
      </c>
      <c r="D79">
        <v>1</v>
      </c>
      <c r="E79">
        <v>0.98699999999999999</v>
      </c>
      <c r="F79" t="s">
        <v>103</v>
      </c>
      <c r="H79" s="2">
        <v>53</v>
      </c>
      <c r="I79">
        <v>79</v>
      </c>
      <c r="J79">
        <v>3</v>
      </c>
      <c r="K79">
        <v>1</v>
      </c>
      <c r="L79">
        <v>1.2869999999999999</v>
      </c>
      <c r="M79" t="s">
        <v>103</v>
      </c>
    </row>
    <row r="80" spans="1:13">
      <c r="A80" s="2">
        <v>53</v>
      </c>
      <c r="B80">
        <v>79</v>
      </c>
      <c r="C80">
        <v>3</v>
      </c>
      <c r="D80">
        <v>1</v>
      </c>
      <c r="E80">
        <v>1.2869999999999999</v>
      </c>
      <c r="F80" t="s">
        <v>103</v>
      </c>
      <c r="H80" s="2">
        <v>53</v>
      </c>
      <c r="I80">
        <v>80</v>
      </c>
      <c r="J80">
        <v>7</v>
      </c>
      <c r="K80">
        <v>1</v>
      </c>
      <c r="L80">
        <v>1.4079999999999999</v>
      </c>
      <c r="M80" t="s">
        <v>103</v>
      </c>
    </row>
    <row r="81" spans="1:13">
      <c r="A81" s="2">
        <v>53</v>
      </c>
      <c r="B81">
        <v>80</v>
      </c>
      <c r="C81">
        <v>7</v>
      </c>
      <c r="D81">
        <v>1</v>
      </c>
      <c r="E81">
        <v>1.4079999999999999</v>
      </c>
      <c r="F81" t="s">
        <v>103</v>
      </c>
      <c r="H81" s="2">
        <v>53</v>
      </c>
      <c r="I81">
        <v>81</v>
      </c>
      <c r="J81">
        <v>6</v>
      </c>
      <c r="K81">
        <v>1</v>
      </c>
      <c r="L81">
        <v>1.444</v>
      </c>
      <c r="M81" t="s">
        <v>103</v>
      </c>
    </row>
    <row r="82" spans="1:13">
      <c r="A82" s="2">
        <v>53</v>
      </c>
      <c r="B82">
        <v>81</v>
      </c>
      <c r="C82">
        <v>6</v>
      </c>
      <c r="D82">
        <v>1</v>
      </c>
      <c r="E82">
        <v>1.444</v>
      </c>
      <c r="F82" t="s">
        <v>103</v>
      </c>
      <c r="H82" s="2">
        <v>53</v>
      </c>
      <c r="I82">
        <v>82</v>
      </c>
      <c r="J82">
        <v>5</v>
      </c>
      <c r="K82">
        <v>1</v>
      </c>
      <c r="L82">
        <v>0.97499999999999998</v>
      </c>
      <c r="M82" t="s">
        <v>103</v>
      </c>
    </row>
    <row r="83" spans="1:13">
      <c r="A83" s="2">
        <v>53</v>
      </c>
      <c r="B83">
        <v>82</v>
      </c>
      <c r="C83">
        <v>5</v>
      </c>
      <c r="D83">
        <v>1</v>
      </c>
      <c r="E83">
        <v>0.97499999999999998</v>
      </c>
      <c r="F83" t="s">
        <v>103</v>
      </c>
      <c r="H83" s="2">
        <v>53</v>
      </c>
      <c r="I83">
        <v>83</v>
      </c>
      <c r="J83">
        <v>3</v>
      </c>
      <c r="K83">
        <v>1</v>
      </c>
      <c r="L83">
        <v>1.3169999999999999</v>
      </c>
      <c r="M83" t="s">
        <v>103</v>
      </c>
    </row>
    <row r="84" spans="1:13">
      <c r="A84" s="2">
        <v>53</v>
      </c>
      <c r="B84">
        <v>83</v>
      </c>
      <c r="C84">
        <v>3</v>
      </c>
      <c r="D84">
        <v>1</v>
      </c>
      <c r="E84">
        <v>1.3169999999999999</v>
      </c>
      <c r="F84" t="s">
        <v>103</v>
      </c>
      <c r="H84" s="2">
        <v>53</v>
      </c>
      <c r="I84">
        <v>84</v>
      </c>
      <c r="J84">
        <v>1</v>
      </c>
      <c r="K84">
        <v>1</v>
      </c>
      <c r="L84">
        <v>1.2050000000000001</v>
      </c>
      <c r="M84" t="s">
        <v>103</v>
      </c>
    </row>
    <row r="85" spans="1:13">
      <c r="A85" s="2">
        <v>53</v>
      </c>
      <c r="B85">
        <v>84</v>
      </c>
      <c r="C85">
        <v>1</v>
      </c>
      <c r="D85">
        <v>1</v>
      </c>
      <c r="E85">
        <v>1.2050000000000001</v>
      </c>
      <c r="F85" t="s">
        <v>103</v>
      </c>
      <c r="H85" s="2">
        <v>53</v>
      </c>
      <c r="I85">
        <v>85</v>
      </c>
      <c r="J85">
        <v>4</v>
      </c>
      <c r="K85">
        <v>1</v>
      </c>
      <c r="L85">
        <v>1.528</v>
      </c>
      <c r="M85" t="s">
        <v>103</v>
      </c>
    </row>
    <row r="86" spans="1:13">
      <c r="A86" s="2">
        <v>53</v>
      </c>
      <c r="B86">
        <v>85</v>
      </c>
      <c r="C86">
        <v>4</v>
      </c>
      <c r="D86">
        <v>1</v>
      </c>
      <c r="E86">
        <v>1.528</v>
      </c>
      <c r="F86" t="s">
        <v>103</v>
      </c>
      <c r="H86" s="2">
        <v>53</v>
      </c>
      <c r="I86">
        <v>86</v>
      </c>
      <c r="J86">
        <v>5</v>
      </c>
      <c r="K86">
        <v>1</v>
      </c>
      <c r="L86">
        <v>1.4790000000000001</v>
      </c>
      <c r="M86" t="s">
        <v>103</v>
      </c>
    </row>
    <row r="87" spans="1:13">
      <c r="A87" s="2">
        <v>53</v>
      </c>
      <c r="B87">
        <v>86</v>
      </c>
      <c r="C87">
        <v>5</v>
      </c>
      <c r="D87">
        <v>1</v>
      </c>
      <c r="E87">
        <v>1.4790000000000001</v>
      </c>
      <c r="F87" t="s">
        <v>103</v>
      </c>
      <c r="H87" s="2">
        <v>53</v>
      </c>
      <c r="I87">
        <v>87</v>
      </c>
      <c r="J87">
        <v>3</v>
      </c>
      <c r="K87">
        <v>1</v>
      </c>
      <c r="L87">
        <v>1.137</v>
      </c>
      <c r="M87" t="s">
        <v>103</v>
      </c>
    </row>
    <row r="88" spans="1:13">
      <c r="A88" s="2">
        <v>53</v>
      </c>
      <c r="B88">
        <v>87</v>
      </c>
      <c r="C88">
        <v>3</v>
      </c>
      <c r="D88">
        <v>1</v>
      </c>
      <c r="E88">
        <v>1.137</v>
      </c>
      <c r="F88" t="s">
        <v>103</v>
      </c>
      <c r="H88" s="2">
        <v>53</v>
      </c>
      <c r="I88">
        <v>88</v>
      </c>
      <c r="J88">
        <v>1</v>
      </c>
      <c r="K88">
        <v>1</v>
      </c>
      <c r="L88">
        <v>1.0880000000000001</v>
      </c>
      <c r="M88" t="s">
        <v>103</v>
      </c>
    </row>
    <row r="89" spans="1:13">
      <c r="A89" s="2">
        <v>53</v>
      </c>
      <c r="B89">
        <v>88</v>
      </c>
      <c r="C89">
        <v>1</v>
      </c>
      <c r="D89">
        <v>1</v>
      </c>
      <c r="E89">
        <v>1.0880000000000001</v>
      </c>
      <c r="F89" t="s">
        <v>103</v>
      </c>
      <c r="H89" s="2">
        <v>53</v>
      </c>
      <c r="I89">
        <v>89</v>
      </c>
      <c r="J89">
        <v>4</v>
      </c>
      <c r="K89">
        <v>1</v>
      </c>
      <c r="L89">
        <v>1.169</v>
      </c>
      <c r="M89" t="s">
        <v>103</v>
      </c>
    </row>
    <row r="90" spans="1:13">
      <c r="A90" s="2">
        <v>53</v>
      </c>
      <c r="B90">
        <v>89</v>
      </c>
      <c r="C90">
        <v>4</v>
      </c>
      <c r="D90">
        <v>1</v>
      </c>
      <c r="E90">
        <v>1.169</v>
      </c>
      <c r="F90" t="s">
        <v>103</v>
      </c>
      <c r="H90" s="2">
        <v>53</v>
      </c>
      <c r="I90">
        <v>90</v>
      </c>
      <c r="J90">
        <v>2</v>
      </c>
      <c r="K90">
        <v>1</v>
      </c>
      <c r="L90">
        <v>1.2549999999999999</v>
      </c>
      <c r="M90" t="s">
        <v>103</v>
      </c>
    </row>
    <row r="91" spans="1:13">
      <c r="A91" s="2">
        <v>53</v>
      </c>
      <c r="B91">
        <v>90</v>
      </c>
      <c r="C91">
        <v>2</v>
      </c>
      <c r="D91">
        <v>1</v>
      </c>
      <c r="E91">
        <v>1.2549999999999999</v>
      </c>
      <c r="F91" t="s">
        <v>103</v>
      </c>
      <c r="H91" s="2">
        <v>53</v>
      </c>
      <c r="I91">
        <v>91</v>
      </c>
      <c r="J91">
        <v>3</v>
      </c>
      <c r="K91">
        <v>1</v>
      </c>
      <c r="L91">
        <v>0.88900000000000001</v>
      </c>
      <c r="M91" t="s">
        <v>103</v>
      </c>
    </row>
    <row r="92" spans="1:13">
      <c r="A92" s="2">
        <v>53</v>
      </c>
      <c r="B92">
        <v>91</v>
      </c>
      <c r="C92">
        <v>3</v>
      </c>
      <c r="D92">
        <v>1</v>
      </c>
      <c r="E92">
        <v>0.88900000000000001</v>
      </c>
      <c r="F92" t="s">
        <v>103</v>
      </c>
      <c r="H92" s="2">
        <v>53</v>
      </c>
      <c r="I92">
        <v>92</v>
      </c>
      <c r="J92">
        <v>1</v>
      </c>
      <c r="K92">
        <v>1</v>
      </c>
      <c r="L92">
        <v>1.226</v>
      </c>
      <c r="M92" t="s">
        <v>103</v>
      </c>
    </row>
    <row r="93" spans="1:13">
      <c r="A93" s="2">
        <v>53</v>
      </c>
      <c r="B93">
        <v>92</v>
      </c>
      <c r="C93">
        <v>1</v>
      </c>
      <c r="D93">
        <v>1</v>
      </c>
      <c r="E93">
        <v>1.226</v>
      </c>
      <c r="F93" t="s">
        <v>103</v>
      </c>
      <c r="H93" s="2">
        <v>53</v>
      </c>
      <c r="I93">
        <v>93</v>
      </c>
      <c r="J93">
        <v>7</v>
      </c>
      <c r="K93">
        <v>1</v>
      </c>
      <c r="L93">
        <v>1.3169999999999999</v>
      </c>
      <c r="M93" t="s">
        <v>103</v>
      </c>
    </row>
    <row r="94" spans="1:13">
      <c r="A94" s="2">
        <v>53</v>
      </c>
      <c r="B94">
        <v>93</v>
      </c>
      <c r="C94">
        <v>7</v>
      </c>
      <c r="D94">
        <v>1</v>
      </c>
      <c r="E94">
        <v>1.3169999999999999</v>
      </c>
      <c r="F94" t="s">
        <v>103</v>
      </c>
      <c r="H94" s="2">
        <v>53</v>
      </c>
      <c r="I94">
        <v>94</v>
      </c>
      <c r="J94">
        <v>4</v>
      </c>
      <c r="K94">
        <v>1</v>
      </c>
      <c r="L94">
        <v>1.7410000000000001</v>
      </c>
      <c r="M94" t="s">
        <v>103</v>
      </c>
    </row>
    <row r="95" spans="1:13">
      <c r="A95" s="2">
        <v>53</v>
      </c>
      <c r="B95">
        <v>94</v>
      </c>
      <c r="C95">
        <v>4</v>
      </c>
      <c r="D95">
        <v>1</v>
      </c>
      <c r="E95">
        <v>1.7410000000000001</v>
      </c>
      <c r="F95" t="s">
        <v>103</v>
      </c>
      <c r="H95" s="2">
        <v>53</v>
      </c>
      <c r="I95">
        <v>95</v>
      </c>
      <c r="J95">
        <v>5</v>
      </c>
      <c r="K95">
        <v>1</v>
      </c>
      <c r="L95">
        <v>1.02</v>
      </c>
      <c r="M95" t="s">
        <v>103</v>
      </c>
    </row>
    <row r="96" spans="1:13">
      <c r="A96" s="2">
        <v>53</v>
      </c>
      <c r="B96">
        <v>95</v>
      </c>
      <c r="C96">
        <v>5</v>
      </c>
      <c r="D96">
        <v>1</v>
      </c>
      <c r="E96">
        <v>1.02</v>
      </c>
      <c r="F96" t="s">
        <v>103</v>
      </c>
      <c r="H96" s="2">
        <v>53</v>
      </c>
      <c r="I96">
        <v>96</v>
      </c>
      <c r="J96">
        <v>4</v>
      </c>
      <c r="K96">
        <v>1</v>
      </c>
      <c r="L96">
        <v>1.528</v>
      </c>
      <c r="M96" t="s">
        <v>103</v>
      </c>
    </row>
    <row r="97" spans="1:13">
      <c r="A97" s="2">
        <v>53</v>
      </c>
      <c r="B97">
        <v>96</v>
      </c>
      <c r="C97">
        <v>4</v>
      </c>
      <c r="D97">
        <v>1</v>
      </c>
      <c r="E97">
        <v>1.528</v>
      </c>
      <c r="F97" t="s">
        <v>103</v>
      </c>
      <c r="H97" s="2">
        <v>53</v>
      </c>
      <c r="I97">
        <v>97</v>
      </c>
      <c r="J97">
        <v>5</v>
      </c>
      <c r="K97">
        <v>1</v>
      </c>
      <c r="L97">
        <v>1.175</v>
      </c>
      <c r="M97" t="s">
        <v>103</v>
      </c>
    </row>
    <row r="98" spans="1:13">
      <c r="A98" s="2">
        <v>53</v>
      </c>
      <c r="B98">
        <v>97</v>
      </c>
      <c r="C98">
        <v>5</v>
      </c>
      <c r="D98">
        <v>1</v>
      </c>
      <c r="E98">
        <v>1.175</v>
      </c>
      <c r="F98" t="s">
        <v>103</v>
      </c>
      <c r="H98" s="2">
        <v>53</v>
      </c>
      <c r="I98">
        <v>98</v>
      </c>
      <c r="J98">
        <v>6</v>
      </c>
      <c r="K98">
        <v>1</v>
      </c>
      <c r="L98">
        <v>1.3089999999999999</v>
      </c>
      <c r="M98" t="s">
        <v>103</v>
      </c>
    </row>
    <row r="99" spans="1:13">
      <c r="A99" s="2">
        <v>53</v>
      </c>
      <c r="B99">
        <v>98</v>
      </c>
      <c r="C99">
        <v>6</v>
      </c>
      <c r="D99">
        <v>1</v>
      </c>
      <c r="E99">
        <v>1.3089999999999999</v>
      </c>
      <c r="F99" t="s">
        <v>103</v>
      </c>
      <c r="H99" s="2">
        <v>53</v>
      </c>
      <c r="I99">
        <v>99</v>
      </c>
      <c r="J99">
        <v>8</v>
      </c>
      <c r="K99">
        <v>1</v>
      </c>
      <c r="L99">
        <v>0.629</v>
      </c>
      <c r="M99" t="s">
        <v>103</v>
      </c>
    </row>
    <row r="100" spans="1:13">
      <c r="A100" s="2">
        <v>53</v>
      </c>
      <c r="B100">
        <v>99</v>
      </c>
      <c r="C100">
        <v>8</v>
      </c>
      <c r="D100">
        <v>1</v>
      </c>
      <c r="E100">
        <v>0.629</v>
      </c>
      <c r="F100" t="s">
        <v>103</v>
      </c>
      <c r="H100" s="2">
        <v>53</v>
      </c>
      <c r="I100">
        <v>100</v>
      </c>
      <c r="J100">
        <v>7</v>
      </c>
      <c r="K100">
        <v>1</v>
      </c>
      <c r="L100">
        <v>0.872</v>
      </c>
      <c r="M100" t="s">
        <v>103</v>
      </c>
    </row>
    <row r="101" spans="1:13">
      <c r="A101" s="2">
        <v>53</v>
      </c>
      <c r="B101">
        <v>100</v>
      </c>
      <c r="C101">
        <v>7</v>
      </c>
      <c r="D101">
        <v>1</v>
      </c>
      <c r="E101">
        <v>0.872</v>
      </c>
      <c r="F101" t="s">
        <v>103</v>
      </c>
    </row>
    <row r="102" spans="1:13">
      <c r="A102" s="2">
        <v>53</v>
      </c>
      <c r="B102">
        <v>101</v>
      </c>
      <c r="C102">
        <v>3</v>
      </c>
      <c r="D102" t="s">
        <v>103</v>
      </c>
      <c r="E102" t="s">
        <v>103</v>
      </c>
      <c r="F102" t="s">
        <v>103</v>
      </c>
    </row>
    <row r="103" spans="1:13">
      <c r="A103" s="2">
        <v>53</v>
      </c>
      <c r="B103">
        <v>102</v>
      </c>
      <c r="C103">
        <v>7</v>
      </c>
      <c r="D103" t="s">
        <v>103</v>
      </c>
      <c r="E103" t="s">
        <v>103</v>
      </c>
      <c r="F103" t="s">
        <v>103</v>
      </c>
    </row>
    <row r="104" spans="1:13">
      <c r="A104" s="2">
        <v>53</v>
      </c>
      <c r="B104">
        <v>103</v>
      </c>
      <c r="C104">
        <v>3</v>
      </c>
      <c r="D104" t="s">
        <v>103</v>
      </c>
      <c r="E104" t="s">
        <v>103</v>
      </c>
      <c r="F104" t="s">
        <v>103</v>
      </c>
    </row>
    <row r="105" spans="1:13">
      <c r="A105" s="2">
        <v>53</v>
      </c>
      <c r="B105">
        <v>104</v>
      </c>
      <c r="C105">
        <v>1</v>
      </c>
      <c r="D105" t="s">
        <v>103</v>
      </c>
      <c r="E105" t="s">
        <v>103</v>
      </c>
      <c r="F105" t="s">
        <v>103</v>
      </c>
    </row>
    <row r="106" spans="1:13">
      <c r="A106" s="2">
        <v>53</v>
      </c>
      <c r="B106">
        <v>105</v>
      </c>
      <c r="C106">
        <v>6</v>
      </c>
      <c r="D106" t="s">
        <v>103</v>
      </c>
      <c r="E106" t="s">
        <v>103</v>
      </c>
      <c r="F106" t="s">
        <v>103</v>
      </c>
    </row>
    <row r="107" spans="1:13">
      <c r="A107" s="2">
        <v>53</v>
      </c>
      <c r="B107">
        <v>106</v>
      </c>
      <c r="C107">
        <v>7</v>
      </c>
      <c r="D107" t="s">
        <v>103</v>
      </c>
      <c r="E107" t="s">
        <v>103</v>
      </c>
      <c r="F107" t="s">
        <v>103</v>
      </c>
    </row>
    <row r="108" spans="1:13">
      <c r="A108" s="2">
        <v>53</v>
      </c>
      <c r="B108">
        <v>107</v>
      </c>
      <c r="C108">
        <v>4</v>
      </c>
      <c r="D108" t="s">
        <v>103</v>
      </c>
      <c r="E108" t="s">
        <v>103</v>
      </c>
      <c r="F108" t="s">
        <v>103</v>
      </c>
    </row>
    <row r="109" spans="1:13">
      <c r="A109" s="2">
        <v>53</v>
      </c>
      <c r="B109">
        <v>108</v>
      </c>
      <c r="C109">
        <v>5</v>
      </c>
      <c r="D109" t="s">
        <v>103</v>
      </c>
      <c r="E109" t="s">
        <v>103</v>
      </c>
      <c r="F109" t="s">
        <v>103</v>
      </c>
    </row>
    <row r="110" spans="1:13">
      <c r="A110" s="2">
        <v>53</v>
      </c>
      <c r="B110">
        <v>109</v>
      </c>
      <c r="C110">
        <v>1</v>
      </c>
      <c r="D110" t="s">
        <v>103</v>
      </c>
      <c r="E110" t="s">
        <v>103</v>
      </c>
      <c r="F110" t="s">
        <v>103</v>
      </c>
    </row>
    <row r="111" spans="1:13">
      <c r="A111" s="2">
        <v>53</v>
      </c>
      <c r="B111">
        <v>110</v>
      </c>
      <c r="C111">
        <v>3</v>
      </c>
      <c r="D111" t="s">
        <v>103</v>
      </c>
      <c r="E111" t="s">
        <v>103</v>
      </c>
      <c r="F111" t="s">
        <v>103</v>
      </c>
    </row>
    <row r="112" spans="1:13">
      <c r="A112" s="2">
        <v>53</v>
      </c>
      <c r="B112">
        <v>111</v>
      </c>
      <c r="C112">
        <v>1</v>
      </c>
      <c r="D112" t="s">
        <v>103</v>
      </c>
      <c r="E112" t="s">
        <v>103</v>
      </c>
      <c r="F112" t="s">
        <v>103</v>
      </c>
    </row>
    <row r="113" spans="1:6">
      <c r="A113" s="2">
        <v>53</v>
      </c>
      <c r="B113">
        <v>112</v>
      </c>
      <c r="C113">
        <v>6</v>
      </c>
      <c r="D113" t="s">
        <v>103</v>
      </c>
      <c r="E113" t="s">
        <v>103</v>
      </c>
      <c r="F113" t="s">
        <v>103</v>
      </c>
    </row>
    <row r="114" spans="1:6">
      <c r="A114" s="2">
        <v>53</v>
      </c>
      <c r="B114">
        <v>113</v>
      </c>
      <c r="C114">
        <v>4</v>
      </c>
      <c r="D114" t="s">
        <v>103</v>
      </c>
      <c r="E114" t="s">
        <v>103</v>
      </c>
      <c r="F114" t="s">
        <v>103</v>
      </c>
    </row>
    <row r="115" spans="1:6">
      <c r="A115" s="2">
        <v>53</v>
      </c>
      <c r="B115">
        <v>114</v>
      </c>
      <c r="C115">
        <v>1</v>
      </c>
      <c r="D115" t="s">
        <v>103</v>
      </c>
      <c r="E115" t="s">
        <v>103</v>
      </c>
      <c r="F115" t="s">
        <v>103</v>
      </c>
    </row>
    <row r="116" spans="1:6">
      <c r="A116" s="2">
        <v>53</v>
      </c>
      <c r="B116">
        <v>115</v>
      </c>
      <c r="C116">
        <v>7</v>
      </c>
      <c r="D116" t="s">
        <v>103</v>
      </c>
      <c r="E116" t="s">
        <v>103</v>
      </c>
      <c r="F116" t="s">
        <v>103</v>
      </c>
    </row>
    <row r="117" spans="1:6">
      <c r="A117" s="2">
        <v>53</v>
      </c>
      <c r="B117">
        <v>116</v>
      </c>
      <c r="C117">
        <v>1</v>
      </c>
      <c r="D117" t="s">
        <v>103</v>
      </c>
      <c r="E117" t="s">
        <v>103</v>
      </c>
      <c r="F117" t="s">
        <v>103</v>
      </c>
    </row>
    <row r="118" spans="1:6">
      <c r="A118" s="2">
        <v>53</v>
      </c>
      <c r="B118">
        <v>117</v>
      </c>
      <c r="C118">
        <v>8</v>
      </c>
      <c r="D118" t="s">
        <v>103</v>
      </c>
      <c r="E118" t="s">
        <v>103</v>
      </c>
      <c r="F118" t="s">
        <v>103</v>
      </c>
    </row>
    <row r="119" spans="1:6">
      <c r="A119" s="2">
        <v>53</v>
      </c>
      <c r="B119">
        <v>118</v>
      </c>
      <c r="C119">
        <v>6</v>
      </c>
      <c r="D119" t="s">
        <v>103</v>
      </c>
      <c r="E119" t="s">
        <v>103</v>
      </c>
      <c r="F119" t="s">
        <v>103</v>
      </c>
    </row>
    <row r="120" spans="1:6">
      <c r="A120" s="2">
        <v>53</v>
      </c>
      <c r="B120">
        <v>119</v>
      </c>
      <c r="C120">
        <v>8</v>
      </c>
      <c r="D120" t="s">
        <v>103</v>
      </c>
      <c r="E120" t="s">
        <v>103</v>
      </c>
      <c r="F120" t="s">
        <v>103</v>
      </c>
    </row>
    <row r="121" spans="1:6">
      <c r="A121" s="2">
        <v>53</v>
      </c>
      <c r="B121">
        <v>120</v>
      </c>
      <c r="C121">
        <v>5</v>
      </c>
      <c r="D121" t="s">
        <v>103</v>
      </c>
      <c r="E121" t="s">
        <v>103</v>
      </c>
      <c r="F121" t="s">
        <v>103</v>
      </c>
    </row>
    <row r="122" spans="1:6">
      <c r="A122" s="2">
        <v>53</v>
      </c>
      <c r="B122">
        <v>121</v>
      </c>
      <c r="C122">
        <v>1</v>
      </c>
      <c r="D122" t="s">
        <v>103</v>
      </c>
      <c r="E122" t="s">
        <v>103</v>
      </c>
      <c r="F122" t="s">
        <v>103</v>
      </c>
    </row>
    <row r="123" spans="1:6">
      <c r="A123" s="2">
        <v>53</v>
      </c>
      <c r="B123">
        <v>122</v>
      </c>
      <c r="C123">
        <v>2</v>
      </c>
      <c r="D123" t="s">
        <v>103</v>
      </c>
      <c r="E123" t="s">
        <v>103</v>
      </c>
      <c r="F123" t="s">
        <v>103</v>
      </c>
    </row>
    <row r="124" spans="1:6">
      <c r="A124" s="2">
        <v>53</v>
      </c>
      <c r="B124">
        <v>123</v>
      </c>
      <c r="C124">
        <v>6</v>
      </c>
      <c r="D124" t="s">
        <v>103</v>
      </c>
      <c r="E124" t="s">
        <v>103</v>
      </c>
      <c r="F124" t="s">
        <v>103</v>
      </c>
    </row>
    <row r="125" spans="1:6">
      <c r="A125" s="2">
        <v>53</v>
      </c>
      <c r="B125">
        <v>124</v>
      </c>
      <c r="C125">
        <v>5</v>
      </c>
      <c r="D125" t="s">
        <v>103</v>
      </c>
      <c r="E125" t="s">
        <v>103</v>
      </c>
      <c r="F125" t="s">
        <v>103</v>
      </c>
    </row>
    <row r="126" spans="1:6">
      <c r="A126" s="2">
        <v>53</v>
      </c>
      <c r="B126">
        <v>125</v>
      </c>
      <c r="C126">
        <v>2</v>
      </c>
      <c r="D126" t="s">
        <v>103</v>
      </c>
      <c r="E126" t="s">
        <v>103</v>
      </c>
      <c r="F126" t="s">
        <v>103</v>
      </c>
    </row>
    <row r="127" spans="1:6">
      <c r="A127" s="2">
        <v>53</v>
      </c>
      <c r="B127">
        <v>126</v>
      </c>
      <c r="C127">
        <v>3</v>
      </c>
      <c r="D127" t="s">
        <v>103</v>
      </c>
      <c r="E127" t="s">
        <v>103</v>
      </c>
      <c r="F127" t="s">
        <v>103</v>
      </c>
    </row>
    <row r="128" spans="1:6">
      <c r="A128" s="2">
        <v>53</v>
      </c>
      <c r="B128">
        <v>127</v>
      </c>
      <c r="C128">
        <v>4</v>
      </c>
      <c r="D128" t="s">
        <v>103</v>
      </c>
      <c r="E128" t="s">
        <v>103</v>
      </c>
      <c r="F128" t="s">
        <v>103</v>
      </c>
    </row>
    <row r="129" spans="1:6">
      <c r="A129" s="2">
        <v>53</v>
      </c>
      <c r="B129">
        <v>128</v>
      </c>
      <c r="C129">
        <v>5</v>
      </c>
      <c r="D129" t="s">
        <v>103</v>
      </c>
      <c r="E129" t="s">
        <v>103</v>
      </c>
      <c r="F129" t="s">
        <v>103</v>
      </c>
    </row>
    <row r="130" spans="1:6">
      <c r="A130" s="2">
        <v>53</v>
      </c>
      <c r="B130">
        <v>129</v>
      </c>
      <c r="C130">
        <v>2</v>
      </c>
      <c r="D130" t="s">
        <v>103</v>
      </c>
      <c r="E130" t="s">
        <v>103</v>
      </c>
      <c r="F130" t="s">
        <v>103</v>
      </c>
    </row>
    <row r="131" spans="1:6">
      <c r="A131" s="2">
        <v>53</v>
      </c>
      <c r="B131">
        <v>130</v>
      </c>
      <c r="C131">
        <v>4</v>
      </c>
      <c r="D131" t="s">
        <v>103</v>
      </c>
      <c r="E131" t="s">
        <v>103</v>
      </c>
      <c r="F131" t="s">
        <v>103</v>
      </c>
    </row>
    <row r="132" spans="1:6">
      <c r="A132" s="2">
        <v>53</v>
      </c>
      <c r="B132">
        <v>131</v>
      </c>
      <c r="C132">
        <v>7</v>
      </c>
      <c r="D132" t="s">
        <v>103</v>
      </c>
      <c r="E132" t="s">
        <v>103</v>
      </c>
      <c r="F132" t="s">
        <v>103</v>
      </c>
    </row>
    <row r="133" spans="1:6">
      <c r="A133" s="2">
        <v>53</v>
      </c>
      <c r="B133">
        <v>132</v>
      </c>
      <c r="C133">
        <v>6</v>
      </c>
      <c r="D133" t="s">
        <v>103</v>
      </c>
      <c r="E133" t="s">
        <v>103</v>
      </c>
      <c r="F133" t="s">
        <v>103</v>
      </c>
    </row>
    <row r="134" spans="1:6">
      <c r="A134" s="2">
        <v>53</v>
      </c>
      <c r="B134">
        <v>133</v>
      </c>
      <c r="C134">
        <v>2</v>
      </c>
      <c r="D134" t="s">
        <v>103</v>
      </c>
      <c r="E134" t="s">
        <v>103</v>
      </c>
      <c r="F134" t="s">
        <v>103</v>
      </c>
    </row>
    <row r="135" spans="1:6">
      <c r="A135" s="2">
        <v>53</v>
      </c>
      <c r="B135">
        <v>134</v>
      </c>
      <c r="C135">
        <v>5</v>
      </c>
      <c r="D135" t="s">
        <v>103</v>
      </c>
      <c r="E135" t="s">
        <v>103</v>
      </c>
      <c r="F135" t="s">
        <v>103</v>
      </c>
    </row>
    <row r="136" spans="1:6">
      <c r="A136" s="2">
        <v>53</v>
      </c>
      <c r="B136">
        <v>135</v>
      </c>
      <c r="C136">
        <v>2</v>
      </c>
      <c r="D136" t="s">
        <v>103</v>
      </c>
      <c r="E136" t="s">
        <v>103</v>
      </c>
      <c r="F136" t="s">
        <v>103</v>
      </c>
    </row>
    <row r="137" spans="1:6">
      <c r="A137" s="2">
        <v>53</v>
      </c>
      <c r="B137">
        <v>136</v>
      </c>
      <c r="C137">
        <v>6</v>
      </c>
      <c r="D137" t="s">
        <v>103</v>
      </c>
      <c r="E137" t="s">
        <v>103</v>
      </c>
      <c r="F137" t="s">
        <v>103</v>
      </c>
    </row>
    <row r="138" spans="1:6">
      <c r="A138" s="2">
        <v>53</v>
      </c>
      <c r="B138">
        <v>137</v>
      </c>
      <c r="C138">
        <v>4</v>
      </c>
      <c r="D138" t="s">
        <v>103</v>
      </c>
      <c r="E138" t="s">
        <v>103</v>
      </c>
      <c r="F138" t="s">
        <v>103</v>
      </c>
    </row>
    <row r="139" spans="1:6">
      <c r="A139" s="2">
        <v>53</v>
      </c>
      <c r="B139">
        <v>138</v>
      </c>
      <c r="C139">
        <v>8</v>
      </c>
      <c r="D139" t="s">
        <v>103</v>
      </c>
      <c r="E139" t="s">
        <v>103</v>
      </c>
      <c r="F139" t="s">
        <v>103</v>
      </c>
    </row>
    <row r="140" spans="1:6">
      <c r="A140" s="2">
        <v>53</v>
      </c>
      <c r="B140">
        <v>139</v>
      </c>
      <c r="C140">
        <v>7</v>
      </c>
      <c r="D140" t="s">
        <v>103</v>
      </c>
      <c r="E140" t="s">
        <v>103</v>
      </c>
      <c r="F140" t="s">
        <v>103</v>
      </c>
    </row>
    <row r="141" spans="1:6">
      <c r="A141" s="2">
        <v>53</v>
      </c>
      <c r="B141">
        <v>140</v>
      </c>
      <c r="C141">
        <v>3</v>
      </c>
      <c r="D141" t="s">
        <v>103</v>
      </c>
      <c r="E141" t="s">
        <v>103</v>
      </c>
      <c r="F141" t="s">
        <v>103</v>
      </c>
    </row>
    <row r="142" spans="1:6">
      <c r="A142" s="2">
        <v>53</v>
      </c>
      <c r="B142">
        <v>141</v>
      </c>
      <c r="C142">
        <v>8</v>
      </c>
      <c r="D142" t="s">
        <v>103</v>
      </c>
      <c r="E142" t="s">
        <v>103</v>
      </c>
      <c r="F142" t="s">
        <v>103</v>
      </c>
    </row>
    <row r="143" spans="1:6">
      <c r="A143" s="2">
        <v>53</v>
      </c>
      <c r="B143">
        <v>142</v>
      </c>
      <c r="C143">
        <v>3</v>
      </c>
      <c r="D143" t="s">
        <v>103</v>
      </c>
      <c r="E143" t="s">
        <v>103</v>
      </c>
      <c r="F143" t="s">
        <v>103</v>
      </c>
    </row>
    <row r="144" spans="1:6">
      <c r="A144" s="2">
        <v>53</v>
      </c>
      <c r="B144">
        <v>143</v>
      </c>
      <c r="C144">
        <v>7</v>
      </c>
      <c r="D144" t="s">
        <v>103</v>
      </c>
      <c r="E144" t="s">
        <v>103</v>
      </c>
      <c r="F144" t="s">
        <v>103</v>
      </c>
    </row>
    <row r="145" spans="1:6">
      <c r="A145" s="2">
        <v>53</v>
      </c>
      <c r="B145">
        <v>144</v>
      </c>
      <c r="C145">
        <v>4</v>
      </c>
      <c r="D145" t="s">
        <v>103</v>
      </c>
      <c r="E145" t="s">
        <v>103</v>
      </c>
      <c r="F145" t="s">
        <v>103</v>
      </c>
    </row>
    <row r="146" spans="1:6">
      <c r="A146" s="2">
        <v>53</v>
      </c>
      <c r="B146">
        <v>145</v>
      </c>
      <c r="C146">
        <v>5</v>
      </c>
      <c r="D146" t="s">
        <v>103</v>
      </c>
      <c r="E146" t="s">
        <v>103</v>
      </c>
      <c r="F146" t="s">
        <v>103</v>
      </c>
    </row>
    <row r="147" spans="1:6">
      <c r="A147" s="2">
        <v>53</v>
      </c>
      <c r="B147">
        <v>146</v>
      </c>
      <c r="C147">
        <v>6</v>
      </c>
      <c r="D147" t="s">
        <v>103</v>
      </c>
      <c r="E147" t="s">
        <v>103</v>
      </c>
      <c r="F147" t="s">
        <v>103</v>
      </c>
    </row>
    <row r="148" spans="1:6">
      <c r="A148" s="2">
        <v>53</v>
      </c>
      <c r="B148">
        <v>147</v>
      </c>
      <c r="C148">
        <v>8</v>
      </c>
      <c r="D148" t="s">
        <v>103</v>
      </c>
      <c r="E148" t="s">
        <v>103</v>
      </c>
      <c r="F148" t="s">
        <v>103</v>
      </c>
    </row>
    <row r="149" spans="1:6">
      <c r="A149" s="2">
        <v>53</v>
      </c>
      <c r="B149">
        <v>148</v>
      </c>
      <c r="C149">
        <v>7</v>
      </c>
      <c r="D149" t="s">
        <v>103</v>
      </c>
      <c r="E149" t="s">
        <v>103</v>
      </c>
      <c r="F149" t="s">
        <v>103</v>
      </c>
    </row>
    <row r="150" spans="1:6">
      <c r="A150" s="2">
        <v>53</v>
      </c>
      <c r="B150">
        <v>149</v>
      </c>
      <c r="C150">
        <v>2</v>
      </c>
      <c r="D150" t="s">
        <v>103</v>
      </c>
      <c r="E150" t="s">
        <v>103</v>
      </c>
      <c r="F150" t="s">
        <v>103</v>
      </c>
    </row>
    <row r="151" spans="1:6">
      <c r="A151" s="2">
        <v>53</v>
      </c>
      <c r="B151">
        <v>150</v>
      </c>
      <c r="C151">
        <v>8</v>
      </c>
      <c r="D151" t="s">
        <v>103</v>
      </c>
      <c r="E151" t="s">
        <v>103</v>
      </c>
      <c r="F151" t="s">
        <v>103</v>
      </c>
    </row>
    <row r="152" spans="1:6">
      <c r="A152" s="2">
        <v>53</v>
      </c>
      <c r="B152">
        <v>151</v>
      </c>
      <c r="C152">
        <v>8</v>
      </c>
      <c r="D152" t="s">
        <v>103</v>
      </c>
      <c r="E152" t="s">
        <v>103</v>
      </c>
      <c r="F152" t="s">
        <v>103</v>
      </c>
    </row>
    <row r="153" spans="1:6">
      <c r="A153" s="2">
        <v>53</v>
      </c>
      <c r="B153">
        <v>152</v>
      </c>
      <c r="C153">
        <v>5</v>
      </c>
      <c r="D153" t="s">
        <v>103</v>
      </c>
      <c r="E153" t="s">
        <v>103</v>
      </c>
      <c r="F153" t="s">
        <v>103</v>
      </c>
    </row>
    <row r="154" spans="1:6">
      <c r="A154" s="2">
        <v>53</v>
      </c>
      <c r="B154">
        <v>153</v>
      </c>
      <c r="C154">
        <v>7</v>
      </c>
      <c r="D154" t="s">
        <v>103</v>
      </c>
      <c r="E154" t="s">
        <v>103</v>
      </c>
      <c r="F154" t="s">
        <v>103</v>
      </c>
    </row>
    <row r="155" spans="1:6">
      <c r="A155" s="2">
        <v>53</v>
      </c>
      <c r="B155">
        <v>154</v>
      </c>
      <c r="C155">
        <v>3</v>
      </c>
      <c r="D155" t="s">
        <v>103</v>
      </c>
      <c r="E155" t="s">
        <v>103</v>
      </c>
      <c r="F155" t="s">
        <v>103</v>
      </c>
    </row>
    <row r="156" spans="1:6">
      <c r="A156" s="2">
        <v>53</v>
      </c>
      <c r="B156">
        <v>155</v>
      </c>
      <c r="C156">
        <v>5</v>
      </c>
      <c r="D156" t="s">
        <v>103</v>
      </c>
      <c r="E156" t="s">
        <v>103</v>
      </c>
      <c r="F156" t="s">
        <v>103</v>
      </c>
    </row>
    <row r="157" spans="1:6">
      <c r="A157" s="2">
        <v>53</v>
      </c>
      <c r="B157">
        <v>156</v>
      </c>
      <c r="C157">
        <v>4</v>
      </c>
      <c r="D157" t="s">
        <v>103</v>
      </c>
      <c r="E157" t="s">
        <v>103</v>
      </c>
      <c r="F157" t="s">
        <v>103</v>
      </c>
    </row>
    <row r="158" spans="1:6">
      <c r="A158" s="2">
        <v>53</v>
      </c>
      <c r="B158">
        <v>157</v>
      </c>
      <c r="C158">
        <v>7</v>
      </c>
      <c r="D158" t="s">
        <v>103</v>
      </c>
      <c r="E158" t="s">
        <v>103</v>
      </c>
      <c r="F158" t="s">
        <v>103</v>
      </c>
    </row>
    <row r="159" spans="1:6">
      <c r="A159" s="2">
        <v>53</v>
      </c>
      <c r="B159">
        <v>158</v>
      </c>
      <c r="C159">
        <v>1</v>
      </c>
      <c r="D159" t="s">
        <v>103</v>
      </c>
      <c r="E159" t="s">
        <v>103</v>
      </c>
      <c r="F159" t="s">
        <v>103</v>
      </c>
    </row>
    <row r="160" spans="1:6">
      <c r="A160" s="2">
        <v>53</v>
      </c>
      <c r="B160">
        <v>159</v>
      </c>
      <c r="C160">
        <v>5</v>
      </c>
      <c r="D160" t="s">
        <v>103</v>
      </c>
      <c r="E160" t="s">
        <v>103</v>
      </c>
      <c r="F160" t="s">
        <v>103</v>
      </c>
    </row>
    <row r="161" spans="1:6">
      <c r="A161" s="2">
        <v>53</v>
      </c>
      <c r="B161">
        <v>160</v>
      </c>
      <c r="C161">
        <v>4</v>
      </c>
      <c r="D161" t="s">
        <v>103</v>
      </c>
      <c r="E161" t="s">
        <v>103</v>
      </c>
      <c r="F161" t="s">
        <v>103</v>
      </c>
    </row>
    <row r="162" spans="1:6">
      <c r="A162" s="2">
        <v>53</v>
      </c>
      <c r="B162">
        <v>161</v>
      </c>
      <c r="C162">
        <v>3</v>
      </c>
      <c r="D162" t="s">
        <v>103</v>
      </c>
      <c r="E162" t="s">
        <v>103</v>
      </c>
      <c r="F162" t="s">
        <v>103</v>
      </c>
    </row>
    <row r="163" spans="1:6">
      <c r="A163" s="2">
        <v>53</v>
      </c>
      <c r="B163">
        <v>162</v>
      </c>
      <c r="C163">
        <v>1</v>
      </c>
      <c r="D163" t="s">
        <v>103</v>
      </c>
      <c r="E163" t="s">
        <v>103</v>
      </c>
      <c r="F163" t="s">
        <v>103</v>
      </c>
    </row>
    <row r="164" spans="1:6">
      <c r="A164" s="2">
        <v>53</v>
      </c>
      <c r="B164">
        <v>163</v>
      </c>
      <c r="C164">
        <v>2</v>
      </c>
      <c r="D164" t="s">
        <v>103</v>
      </c>
      <c r="E164" t="s">
        <v>103</v>
      </c>
      <c r="F164" t="s">
        <v>103</v>
      </c>
    </row>
    <row r="165" spans="1:6">
      <c r="A165" s="2">
        <v>53</v>
      </c>
      <c r="B165">
        <v>164</v>
      </c>
      <c r="C165">
        <v>3</v>
      </c>
      <c r="D165" t="s">
        <v>103</v>
      </c>
      <c r="E165" t="s">
        <v>103</v>
      </c>
      <c r="F165" t="s">
        <v>103</v>
      </c>
    </row>
    <row r="166" spans="1:6">
      <c r="A166" s="2">
        <v>53</v>
      </c>
      <c r="B166">
        <v>165</v>
      </c>
      <c r="C166">
        <v>1</v>
      </c>
      <c r="D166" t="s">
        <v>103</v>
      </c>
      <c r="E166" t="s">
        <v>103</v>
      </c>
      <c r="F166" t="s">
        <v>103</v>
      </c>
    </row>
    <row r="167" spans="1:6">
      <c r="A167" s="2">
        <v>53</v>
      </c>
      <c r="B167">
        <v>166</v>
      </c>
      <c r="C167">
        <v>4</v>
      </c>
      <c r="D167" t="s">
        <v>103</v>
      </c>
      <c r="E167" t="s">
        <v>103</v>
      </c>
      <c r="F167" t="s">
        <v>103</v>
      </c>
    </row>
    <row r="168" spans="1:6">
      <c r="A168" s="2">
        <v>53</v>
      </c>
      <c r="B168">
        <v>167</v>
      </c>
      <c r="C168">
        <v>1</v>
      </c>
      <c r="D168" t="s">
        <v>103</v>
      </c>
      <c r="E168" t="s">
        <v>103</v>
      </c>
      <c r="F168" t="s">
        <v>103</v>
      </c>
    </row>
    <row r="169" spans="1:6">
      <c r="A169" s="2">
        <v>53</v>
      </c>
      <c r="B169">
        <v>168</v>
      </c>
      <c r="C169">
        <v>2</v>
      </c>
      <c r="D169" t="s">
        <v>103</v>
      </c>
      <c r="E169" t="s">
        <v>103</v>
      </c>
      <c r="F169" t="s">
        <v>103</v>
      </c>
    </row>
    <row r="170" spans="1:6">
      <c r="A170" s="2">
        <v>53</v>
      </c>
      <c r="B170">
        <v>169</v>
      </c>
      <c r="C170">
        <v>6</v>
      </c>
      <c r="D170" t="s">
        <v>103</v>
      </c>
      <c r="E170" t="s">
        <v>103</v>
      </c>
      <c r="F170" t="s">
        <v>103</v>
      </c>
    </row>
    <row r="171" spans="1:6">
      <c r="A171" s="2">
        <v>53</v>
      </c>
      <c r="B171">
        <v>170</v>
      </c>
      <c r="C171">
        <v>7</v>
      </c>
      <c r="D171" t="s">
        <v>103</v>
      </c>
      <c r="E171" t="s">
        <v>103</v>
      </c>
      <c r="F171" t="s">
        <v>103</v>
      </c>
    </row>
    <row r="172" spans="1:6">
      <c r="A172" s="2">
        <v>53</v>
      </c>
      <c r="B172">
        <v>171</v>
      </c>
      <c r="C172">
        <v>5</v>
      </c>
      <c r="D172" t="s">
        <v>103</v>
      </c>
      <c r="E172" t="s">
        <v>103</v>
      </c>
      <c r="F172" t="s">
        <v>103</v>
      </c>
    </row>
    <row r="173" spans="1:6">
      <c r="A173" s="2">
        <v>53</v>
      </c>
      <c r="B173">
        <v>172</v>
      </c>
      <c r="C173">
        <v>6</v>
      </c>
      <c r="D173" t="s">
        <v>103</v>
      </c>
      <c r="E173" t="s">
        <v>103</v>
      </c>
      <c r="F173" t="s">
        <v>103</v>
      </c>
    </row>
    <row r="174" spans="1:6">
      <c r="A174" s="2">
        <v>53</v>
      </c>
      <c r="B174">
        <v>173</v>
      </c>
      <c r="C174">
        <v>7</v>
      </c>
      <c r="D174" t="s">
        <v>103</v>
      </c>
      <c r="E174" t="s">
        <v>103</v>
      </c>
      <c r="F174" t="s">
        <v>103</v>
      </c>
    </row>
    <row r="175" spans="1:6">
      <c r="A175" s="2">
        <v>53</v>
      </c>
      <c r="B175">
        <v>174</v>
      </c>
      <c r="C175">
        <v>3</v>
      </c>
      <c r="D175" t="s">
        <v>103</v>
      </c>
      <c r="E175" t="s">
        <v>103</v>
      </c>
      <c r="F175" t="s">
        <v>103</v>
      </c>
    </row>
    <row r="176" spans="1:6">
      <c r="A176" s="2">
        <v>53</v>
      </c>
      <c r="B176">
        <v>175</v>
      </c>
      <c r="C176">
        <v>4</v>
      </c>
      <c r="D176" t="s">
        <v>103</v>
      </c>
      <c r="E176" t="s">
        <v>103</v>
      </c>
      <c r="F176" t="s">
        <v>103</v>
      </c>
    </row>
    <row r="177" spans="1:6">
      <c r="A177" s="2">
        <v>53</v>
      </c>
      <c r="B177">
        <v>176</v>
      </c>
      <c r="C177">
        <v>6</v>
      </c>
      <c r="D177" t="s">
        <v>103</v>
      </c>
      <c r="E177" t="s">
        <v>103</v>
      </c>
      <c r="F177" t="s">
        <v>103</v>
      </c>
    </row>
    <row r="178" spans="1:6">
      <c r="A178" s="2">
        <v>53</v>
      </c>
      <c r="B178">
        <v>177</v>
      </c>
      <c r="C178">
        <v>2</v>
      </c>
      <c r="D178" t="s">
        <v>103</v>
      </c>
      <c r="E178" t="s">
        <v>103</v>
      </c>
      <c r="F178" t="s">
        <v>103</v>
      </c>
    </row>
    <row r="179" spans="1:6">
      <c r="A179" s="2">
        <v>53</v>
      </c>
      <c r="B179">
        <v>178</v>
      </c>
      <c r="C179">
        <v>3</v>
      </c>
      <c r="D179" t="s">
        <v>103</v>
      </c>
      <c r="E179" t="s">
        <v>103</v>
      </c>
      <c r="F179" t="s">
        <v>103</v>
      </c>
    </row>
    <row r="180" spans="1:6">
      <c r="A180" s="2">
        <v>53</v>
      </c>
      <c r="B180">
        <v>179</v>
      </c>
      <c r="C180">
        <v>2</v>
      </c>
      <c r="D180" t="s">
        <v>103</v>
      </c>
      <c r="E180" t="s">
        <v>103</v>
      </c>
      <c r="F180" t="s">
        <v>103</v>
      </c>
    </row>
    <row r="181" spans="1:6">
      <c r="A181" s="2">
        <v>53</v>
      </c>
      <c r="B181">
        <v>180</v>
      </c>
      <c r="C181">
        <v>6</v>
      </c>
      <c r="D181" t="s">
        <v>103</v>
      </c>
      <c r="E181" t="s">
        <v>103</v>
      </c>
      <c r="F181" t="s">
        <v>103</v>
      </c>
    </row>
    <row r="182" spans="1:6">
      <c r="A182" s="2">
        <v>53</v>
      </c>
      <c r="B182">
        <v>181</v>
      </c>
      <c r="C182">
        <v>8</v>
      </c>
      <c r="D182" t="s">
        <v>103</v>
      </c>
      <c r="E182" t="s">
        <v>103</v>
      </c>
      <c r="F182" t="s">
        <v>103</v>
      </c>
    </row>
    <row r="183" spans="1:6">
      <c r="A183" s="2">
        <v>53</v>
      </c>
      <c r="B183">
        <v>182</v>
      </c>
      <c r="C183">
        <v>2</v>
      </c>
      <c r="D183" t="s">
        <v>103</v>
      </c>
      <c r="E183" t="s">
        <v>103</v>
      </c>
      <c r="F183" t="s">
        <v>103</v>
      </c>
    </row>
    <row r="184" spans="1:6">
      <c r="A184" s="2">
        <v>53</v>
      </c>
      <c r="B184">
        <v>183</v>
      </c>
      <c r="C184">
        <v>8</v>
      </c>
      <c r="D184" t="s">
        <v>103</v>
      </c>
      <c r="E184" t="s">
        <v>103</v>
      </c>
      <c r="F184" t="s">
        <v>103</v>
      </c>
    </row>
    <row r="185" spans="1:6">
      <c r="A185" s="2">
        <v>53</v>
      </c>
      <c r="B185">
        <v>184</v>
      </c>
      <c r="C185">
        <v>4</v>
      </c>
      <c r="D185" t="s">
        <v>103</v>
      </c>
      <c r="E185" t="s">
        <v>103</v>
      </c>
      <c r="F185" t="s">
        <v>103</v>
      </c>
    </row>
    <row r="186" spans="1:6">
      <c r="A186" s="2">
        <v>53</v>
      </c>
      <c r="B186">
        <v>185</v>
      </c>
      <c r="C186">
        <v>1</v>
      </c>
      <c r="D186" t="s">
        <v>103</v>
      </c>
      <c r="E186" t="s">
        <v>103</v>
      </c>
      <c r="F186" t="s">
        <v>103</v>
      </c>
    </row>
    <row r="187" spans="1:6">
      <c r="A187" s="2">
        <v>53</v>
      </c>
      <c r="B187">
        <v>186</v>
      </c>
      <c r="C187">
        <v>7</v>
      </c>
      <c r="D187" t="s">
        <v>103</v>
      </c>
      <c r="E187" t="s">
        <v>103</v>
      </c>
      <c r="F187" t="s">
        <v>103</v>
      </c>
    </row>
    <row r="188" spans="1:6">
      <c r="A188" s="2">
        <v>53</v>
      </c>
      <c r="B188">
        <v>187</v>
      </c>
      <c r="C188">
        <v>6</v>
      </c>
      <c r="D188" t="s">
        <v>103</v>
      </c>
      <c r="E188" t="s">
        <v>103</v>
      </c>
      <c r="F188" t="s">
        <v>103</v>
      </c>
    </row>
    <row r="189" spans="1:6">
      <c r="A189" s="2">
        <v>53</v>
      </c>
      <c r="B189">
        <v>188</v>
      </c>
      <c r="C189">
        <v>4</v>
      </c>
      <c r="D189" t="s">
        <v>103</v>
      </c>
      <c r="E189" t="s">
        <v>103</v>
      </c>
      <c r="F189" t="s">
        <v>103</v>
      </c>
    </row>
    <row r="190" spans="1:6">
      <c r="A190" s="2">
        <v>53</v>
      </c>
      <c r="B190">
        <v>189</v>
      </c>
      <c r="C190">
        <v>3</v>
      </c>
      <c r="D190" t="s">
        <v>103</v>
      </c>
      <c r="E190" t="s">
        <v>103</v>
      </c>
      <c r="F190" t="s">
        <v>103</v>
      </c>
    </row>
    <row r="191" spans="1:6">
      <c r="A191" s="2">
        <v>53</v>
      </c>
      <c r="B191">
        <v>190</v>
      </c>
      <c r="C191">
        <v>8</v>
      </c>
      <c r="D191" t="s">
        <v>103</v>
      </c>
      <c r="E191" t="s">
        <v>103</v>
      </c>
      <c r="F191" t="s">
        <v>103</v>
      </c>
    </row>
    <row r="192" spans="1:6">
      <c r="A192" s="2">
        <v>53</v>
      </c>
      <c r="B192">
        <v>191</v>
      </c>
      <c r="C192">
        <v>5</v>
      </c>
      <c r="D192" t="s">
        <v>103</v>
      </c>
      <c r="E192" t="s">
        <v>103</v>
      </c>
      <c r="F192" t="s">
        <v>103</v>
      </c>
    </row>
    <row r="193" spans="1:6">
      <c r="A193" s="2">
        <v>53</v>
      </c>
      <c r="B193">
        <v>192</v>
      </c>
      <c r="C193">
        <v>2</v>
      </c>
      <c r="D193" t="s">
        <v>103</v>
      </c>
      <c r="E193" t="s">
        <v>103</v>
      </c>
      <c r="F193" t="s">
        <v>103</v>
      </c>
    </row>
    <row r="194" spans="1:6">
      <c r="A194" s="2">
        <v>53</v>
      </c>
      <c r="B194">
        <v>193</v>
      </c>
      <c r="C194">
        <v>8</v>
      </c>
      <c r="D194" t="s">
        <v>103</v>
      </c>
      <c r="E194" t="s">
        <v>103</v>
      </c>
      <c r="F194" t="s">
        <v>103</v>
      </c>
    </row>
    <row r="195" spans="1:6">
      <c r="A195" s="2">
        <v>53</v>
      </c>
      <c r="B195">
        <v>194</v>
      </c>
      <c r="C195">
        <v>6</v>
      </c>
      <c r="D195" t="s">
        <v>103</v>
      </c>
      <c r="E195" t="s">
        <v>103</v>
      </c>
      <c r="F195" t="s">
        <v>103</v>
      </c>
    </row>
    <row r="196" spans="1:6">
      <c r="A196" s="2">
        <v>53</v>
      </c>
      <c r="B196">
        <v>195</v>
      </c>
      <c r="C196">
        <v>8</v>
      </c>
      <c r="D196" t="s">
        <v>103</v>
      </c>
      <c r="E196" t="s">
        <v>103</v>
      </c>
      <c r="F196" t="s">
        <v>103</v>
      </c>
    </row>
    <row r="197" spans="1:6">
      <c r="A197" s="2">
        <v>53</v>
      </c>
      <c r="B197">
        <v>196</v>
      </c>
      <c r="C197">
        <v>7</v>
      </c>
      <c r="D197" t="s">
        <v>103</v>
      </c>
      <c r="E197" t="s">
        <v>103</v>
      </c>
      <c r="F197" t="s">
        <v>103</v>
      </c>
    </row>
    <row r="198" spans="1:6">
      <c r="A198" s="2">
        <v>53</v>
      </c>
      <c r="B198">
        <v>197</v>
      </c>
      <c r="C198">
        <v>5</v>
      </c>
      <c r="D198" t="s">
        <v>103</v>
      </c>
      <c r="E198" t="s">
        <v>103</v>
      </c>
      <c r="F198" t="s">
        <v>103</v>
      </c>
    </row>
    <row r="199" spans="1:6">
      <c r="A199" s="2">
        <v>53</v>
      </c>
      <c r="B199">
        <v>198</v>
      </c>
      <c r="C199">
        <v>7</v>
      </c>
      <c r="D199" t="s">
        <v>103</v>
      </c>
      <c r="E199" t="s">
        <v>103</v>
      </c>
      <c r="F199" t="s">
        <v>103</v>
      </c>
    </row>
    <row r="200" spans="1:6">
      <c r="A200" s="2">
        <v>53</v>
      </c>
      <c r="B200">
        <v>199</v>
      </c>
      <c r="C200">
        <v>1</v>
      </c>
      <c r="D200" t="s">
        <v>103</v>
      </c>
      <c r="E200" t="s">
        <v>103</v>
      </c>
      <c r="F200" t="s">
        <v>103</v>
      </c>
    </row>
    <row r="201" spans="1:6">
      <c r="A201" s="2">
        <v>53</v>
      </c>
      <c r="B201">
        <v>200</v>
      </c>
      <c r="C201">
        <v>6</v>
      </c>
      <c r="D201" t="s">
        <v>103</v>
      </c>
      <c r="E201" t="s">
        <v>103</v>
      </c>
      <c r="F201" t="s">
        <v>103</v>
      </c>
    </row>
    <row r="202" spans="1:6">
      <c r="A202" s="2">
        <v>53</v>
      </c>
      <c r="B202">
        <v>201</v>
      </c>
      <c r="C202">
        <v>1</v>
      </c>
      <c r="D202" t="s">
        <v>103</v>
      </c>
      <c r="E202" t="s">
        <v>103</v>
      </c>
      <c r="F202" t="s">
        <v>103</v>
      </c>
    </row>
    <row r="203" spans="1:6">
      <c r="A203" s="2">
        <v>53</v>
      </c>
      <c r="B203">
        <v>202</v>
      </c>
      <c r="C203">
        <v>4</v>
      </c>
      <c r="D203" t="s">
        <v>103</v>
      </c>
      <c r="E203" t="s">
        <v>103</v>
      </c>
      <c r="F203" t="s">
        <v>103</v>
      </c>
    </row>
    <row r="204" spans="1:6">
      <c r="A204" s="2">
        <v>53</v>
      </c>
      <c r="B204">
        <v>203</v>
      </c>
      <c r="C204">
        <v>3</v>
      </c>
      <c r="D204" t="s">
        <v>103</v>
      </c>
      <c r="E204" t="s">
        <v>103</v>
      </c>
      <c r="F204" t="s">
        <v>103</v>
      </c>
    </row>
    <row r="205" spans="1:6">
      <c r="A205" s="2">
        <v>53</v>
      </c>
      <c r="B205">
        <v>204</v>
      </c>
      <c r="C205">
        <v>2</v>
      </c>
      <c r="D205" t="s">
        <v>103</v>
      </c>
      <c r="E205" t="s">
        <v>103</v>
      </c>
      <c r="F205" t="s">
        <v>103</v>
      </c>
    </row>
    <row r="206" spans="1:6">
      <c r="A206" s="2">
        <v>53</v>
      </c>
      <c r="B206">
        <v>205</v>
      </c>
      <c r="C206">
        <v>1</v>
      </c>
      <c r="D206" t="s">
        <v>103</v>
      </c>
      <c r="E206" t="s">
        <v>103</v>
      </c>
      <c r="F206" t="s">
        <v>103</v>
      </c>
    </row>
    <row r="207" spans="1:6">
      <c r="A207" s="2">
        <v>53</v>
      </c>
      <c r="B207">
        <v>206</v>
      </c>
      <c r="C207">
        <v>7</v>
      </c>
      <c r="D207" t="s">
        <v>103</v>
      </c>
      <c r="E207" t="s">
        <v>103</v>
      </c>
      <c r="F207" t="s">
        <v>103</v>
      </c>
    </row>
    <row r="208" spans="1:6">
      <c r="A208" s="2">
        <v>53</v>
      </c>
      <c r="B208">
        <v>207</v>
      </c>
      <c r="C208">
        <v>8</v>
      </c>
      <c r="D208" t="s">
        <v>103</v>
      </c>
      <c r="E208" t="s">
        <v>103</v>
      </c>
      <c r="F208" t="s">
        <v>103</v>
      </c>
    </row>
    <row r="209" spans="1:6">
      <c r="A209" s="2">
        <v>53</v>
      </c>
      <c r="B209">
        <v>208</v>
      </c>
      <c r="C209">
        <v>2</v>
      </c>
      <c r="D209" t="s">
        <v>103</v>
      </c>
      <c r="E209" t="s">
        <v>103</v>
      </c>
      <c r="F209" t="s">
        <v>103</v>
      </c>
    </row>
    <row r="210" spans="1:6">
      <c r="A210" s="2">
        <v>53</v>
      </c>
      <c r="B210">
        <v>209</v>
      </c>
      <c r="C210">
        <v>5</v>
      </c>
      <c r="D210" t="s">
        <v>103</v>
      </c>
      <c r="E210" t="s">
        <v>103</v>
      </c>
      <c r="F210" t="s">
        <v>103</v>
      </c>
    </row>
    <row r="211" spans="1:6">
      <c r="A211" s="2">
        <v>53</v>
      </c>
      <c r="B211">
        <v>210</v>
      </c>
      <c r="C211">
        <v>8</v>
      </c>
      <c r="D211" t="s">
        <v>103</v>
      </c>
      <c r="E211" t="s">
        <v>103</v>
      </c>
      <c r="F211" t="s">
        <v>103</v>
      </c>
    </row>
    <row r="212" spans="1:6">
      <c r="A212" s="2">
        <v>53</v>
      </c>
      <c r="B212">
        <v>211</v>
      </c>
      <c r="C212">
        <v>5</v>
      </c>
      <c r="D212" t="s">
        <v>103</v>
      </c>
      <c r="E212" t="s">
        <v>103</v>
      </c>
      <c r="F212" t="s">
        <v>103</v>
      </c>
    </row>
    <row r="213" spans="1:6">
      <c r="A213" s="2">
        <v>53</v>
      </c>
      <c r="B213">
        <v>212</v>
      </c>
      <c r="C213">
        <v>3</v>
      </c>
      <c r="D213" t="s">
        <v>103</v>
      </c>
      <c r="E213" t="s">
        <v>103</v>
      </c>
      <c r="F213" t="s">
        <v>103</v>
      </c>
    </row>
    <row r="214" spans="1:6">
      <c r="A214" s="2">
        <v>53</v>
      </c>
      <c r="B214">
        <v>213</v>
      </c>
      <c r="C214">
        <v>7</v>
      </c>
      <c r="D214" t="s">
        <v>103</v>
      </c>
      <c r="E214" t="s">
        <v>103</v>
      </c>
      <c r="F214" t="s">
        <v>103</v>
      </c>
    </row>
    <row r="215" spans="1:6">
      <c r="A215" s="2">
        <v>53</v>
      </c>
      <c r="B215">
        <v>214</v>
      </c>
      <c r="C215">
        <v>6</v>
      </c>
      <c r="D215" t="s">
        <v>103</v>
      </c>
      <c r="E215" t="s">
        <v>103</v>
      </c>
      <c r="F215" t="s">
        <v>103</v>
      </c>
    </row>
    <row r="216" spans="1:6">
      <c r="A216" s="2">
        <v>53</v>
      </c>
      <c r="B216">
        <v>215</v>
      </c>
      <c r="C216">
        <v>3</v>
      </c>
      <c r="D216" t="s">
        <v>103</v>
      </c>
      <c r="E216" t="s">
        <v>103</v>
      </c>
      <c r="F216" t="s">
        <v>103</v>
      </c>
    </row>
    <row r="217" spans="1:6">
      <c r="A217" s="2">
        <v>53</v>
      </c>
      <c r="B217">
        <v>216</v>
      </c>
      <c r="C217">
        <v>8</v>
      </c>
      <c r="D217" t="s">
        <v>103</v>
      </c>
      <c r="E217" t="s">
        <v>103</v>
      </c>
      <c r="F217" t="s">
        <v>103</v>
      </c>
    </row>
    <row r="218" spans="1:6">
      <c r="A218" s="2">
        <v>53</v>
      </c>
      <c r="B218">
        <v>217</v>
      </c>
      <c r="C218">
        <v>1</v>
      </c>
      <c r="D218" t="s">
        <v>103</v>
      </c>
      <c r="E218" t="s">
        <v>103</v>
      </c>
      <c r="F218" t="s">
        <v>103</v>
      </c>
    </row>
    <row r="219" spans="1:6">
      <c r="A219" s="2">
        <v>53</v>
      </c>
      <c r="B219">
        <v>218</v>
      </c>
      <c r="C219">
        <v>6</v>
      </c>
      <c r="D219" t="s">
        <v>103</v>
      </c>
      <c r="E219" t="s">
        <v>103</v>
      </c>
      <c r="F219" t="s">
        <v>103</v>
      </c>
    </row>
    <row r="220" spans="1:6">
      <c r="A220" s="2">
        <v>53</v>
      </c>
      <c r="B220">
        <v>219</v>
      </c>
      <c r="C220">
        <v>2</v>
      </c>
      <c r="D220" t="s">
        <v>103</v>
      </c>
      <c r="E220" t="s">
        <v>103</v>
      </c>
      <c r="F220" t="s">
        <v>103</v>
      </c>
    </row>
    <row r="221" spans="1:6">
      <c r="A221" s="2">
        <v>53</v>
      </c>
      <c r="B221">
        <v>220</v>
      </c>
      <c r="C221">
        <v>1</v>
      </c>
      <c r="D221" t="s">
        <v>103</v>
      </c>
      <c r="E221" t="s">
        <v>103</v>
      </c>
      <c r="F221" t="s">
        <v>103</v>
      </c>
    </row>
    <row r="222" spans="1:6">
      <c r="A222" s="2">
        <v>53</v>
      </c>
      <c r="B222">
        <v>221</v>
      </c>
      <c r="C222">
        <v>6</v>
      </c>
      <c r="D222" t="s">
        <v>103</v>
      </c>
      <c r="E222" t="s">
        <v>103</v>
      </c>
      <c r="F222" t="s">
        <v>103</v>
      </c>
    </row>
    <row r="223" spans="1:6">
      <c r="A223" s="2">
        <v>53</v>
      </c>
      <c r="B223">
        <v>222</v>
      </c>
      <c r="C223">
        <v>3</v>
      </c>
      <c r="D223" t="s">
        <v>103</v>
      </c>
      <c r="E223" t="s">
        <v>103</v>
      </c>
      <c r="F223" t="s">
        <v>103</v>
      </c>
    </row>
    <row r="224" spans="1:6">
      <c r="A224" s="2">
        <v>53</v>
      </c>
      <c r="B224">
        <v>223</v>
      </c>
      <c r="C224">
        <v>8</v>
      </c>
      <c r="D224" t="s">
        <v>103</v>
      </c>
      <c r="E224" t="s">
        <v>103</v>
      </c>
      <c r="F224" t="s">
        <v>103</v>
      </c>
    </row>
    <row r="225" spans="1:6">
      <c r="A225" s="2">
        <v>53</v>
      </c>
      <c r="B225">
        <v>224</v>
      </c>
      <c r="C225">
        <v>3</v>
      </c>
      <c r="D225" t="s">
        <v>103</v>
      </c>
      <c r="E225" t="s">
        <v>103</v>
      </c>
      <c r="F225" t="s">
        <v>103</v>
      </c>
    </row>
    <row r="226" spans="1:6">
      <c r="A226" s="2">
        <v>53</v>
      </c>
      <c r="B226">
        <v>225</v>
      </c>
      <c r="C226">
        <v>6</v>
      </c>
      <c r="D226" t="s">
        <v>103</v>
      </c>
      <c r="E226" t="s">
        <v>103</v>
      </c>
      <c r="F226" t="s">
        <v>103</v>
      </c>
    </row>
    <row r="227" spans="1:6">
      <c r="A227" s="2">
        <v>53</v>
      </c>
      <c r="B227">
        <v>226</v>
      </c>
      <c r="C227">
        <v>8</v>
      </c>
      <c r="D227" t="s">
        <v>103</v>
      </c>
      <c r="E227" t="s">
        <v>103</v>
      </c>
      <c r="F227" t="s">
        <v>103</v>
      </c>
    </row>
    <row r="228" spans="1:6">
      <c r="A228" s="2">
        <v>53</v>
      </c>
      <c r="B228">
        <v>227</v>
      </c>
      <c r="C228">
        <v>7</v>
      </c>
      <c r="D228" t="s">
        <v>103</v>
      </c>
      <c r="E228" t="s">
        <v>103</v>
      </c>
      <c r="F228" t="s">
        <v>103</v>
      </c>
    </row>
    <row r="229" spans="1:6">
      <c r="A229" s="2">
        <v>53</v>
      </c>
      <c r="B229">
        <v>228</v>
      </c>
      <c r="C229">
        <v>6</v>
      </c>
      <c r="D229" t="s">
        <v>103</v>
      </c>
      <c r="E229" t="s">
        <v>103</v>
      </c>
      <c r="F229" t="s">
        <v>103</v>
      </c>
    </row>
    <row r="230" spans="1:6">
      <c r="A230" s="2">
        <v>53</v>
      </c>
      <c r="B230">
        <v>229</v>
      </c>
      <c r="C230">
        <v>4</v>
      </c>
      <c r="D230" t="s">
        <v>103</v>
      </c>
      <c r="E230" t="s">
        <v>103</v>
      </c>
      <c r="F230" t="s">
        <v>103</v>
      </c>
    </row>
    <row r="231" spans="1:6">
      <c r="A231" s="2">
        <v>53</v>
      </c>
      <c r="B231">
        <v>230</v>
      </c>
      <c r="C231">
        <v>2</v>
      </c>
      <c r="D231" t="s">
        <v>103</v>
      </c>
      <c r="E231" t="s">
        <v>103</v>
      </c>
      <c r="F231" t="s">
        <v>103</v>
      </c>
    </row>
    <row r="232" spans="1:6">
      <c r="A232" s="2">
        <v>53</v>
      </c>
      <c r="B232">
        <v>231</v>
      </c>
      <c r="C232">
        <v>5</v>
      </c>
      <c r="D232" t="s">
        <v>103</v>
      </c>
      <c r="E232" t="s">
        <v>103</v>
      </c>
      <c r="F232" t="s">
        <v>103</v>
      </c>
    </row>
    <row r="233" spans="1:6">
      <c r="A233" s="2">
        <v>53</v>
      </c>
      <c r="B233">
        <v>232</v>
      </c>
      <c r="C233">
        <v>2</v>
      </c>
      <c r="D233" t="s">
        <v>103</v>
      </c>
      <c r="E233" t="s">
        <v>103</v>
      </c>
      <c r="F233" t="s">
        <v>103</v>
      </c>
    </row>
    <row r="234" spans="1:6">
      <c r="A234" s="2">
        <v>53</v>
      </c>
      <c r="B234">
        <v>233</v>
      </c>
      <c r="C234">
        <v>4</v>
      </c>
      <c r="D234" t="s">
        <v>103</v>
      </c>
      <c r="E234" t="s">
        <v>103</v>
      </c>
      <c r="F234" t="s">
        <v>103</v>
      </c>
    </row>
    <row r="235" spans="1:6">
      <c r="A235" s="2">
        <v>53</v>
      </c>
      <c r="B235">
        <v>234</v>
      </c>
      <c r="C235">
        <v>7</v>
      </c>
      <c r="D235" t="s">
        <v>103</v>
      </c>
      <c r="E235" t="s">
        <v>103</v>
      </c>
      <c r="F235" t="s">
        <v>103</v>
      </c>
    </row>
    <row r="236" spans="1:6">
      <c r="A236" s="2">
        <v>53</v>
      </c>
      <c r="B236">
        <v>235</v>
      </c>
      <c r="C236">
        <v>8</v>
      </c>
      <c r="D236" t="s">
        <v>103</v>
      </c>
      <c r="E236" t="s">
        <v>103</v>
      </c>
      <c r="F236" t="s">
        <v>103</v>
      </c>
    </row>
    <row r="237" spans="1:6">
      <c r="A237" s="2">
        <v>53</v>
      </c>
      <c r="B237">
        <v>236</v>
      </c>
      <c r="C237">
        <v>4</v>
      </c>
      <c r="D237" t="s">
        <v>103</v>
      </c>
      <c r="E237" t="s">
        <v>103</v>
      </c>
      <c r="F237" t="s">
        <v>103</v>
      </c>
    </row>
    <row r="238" spans="1:6">
      <c r="A238" s="2">
        <v>53</v>
      </c>
      <c r="B238">
        <v>237</v>
      </c>
      <c r="C238">
        <v>5</v>
      </c>
      <c r="D238" t="s">
        <v>103</v>
      </c>
      <c r="E238" t="s">
        <v>103</v>
      </c>
      <c r="F238" t="s">
        <v>103</v>
      </c>
    </row>
    <row r="239" spans="1:6">
      <c r="A239" s="2">
        <v>53</v>
      </c>
      <c r="B239">
        <v>238</v>
      </c>
      <c r="C239">
        <v>1</v>
      </c>
      <c r="D239" t="s">
        <v>103</v>
      </c>
      <c r="E239" t="s">
        <v>103</v>
      </c>
      <c r="F239" t="s">
        <v>103</v>
      </c>
    </row>
    <row r="240" spans="1:6">
      <c r="A240" s="2">
        <v>53</v>
      </c>
      <c r="B240">
        <v>239</v>
      </c>
      <c r="C240">
        <v>4</v>
      </c>
      <c r="D240" t="s">
        <v>103</v>
      </c>
      <c r="E240" t="s">
        <v>103</v>
      </c>
      <c r="F240" t="s">
        <v>103</v>
      </c>
    </row>
    <row r="241" spans="1:6">
      <c r="A241" s="2">
        <v>53</v>
      </c>
      <c r="B241">
        <v>240</v>
      </c>
      <c r="C241">
        <v>5</v>
      </c>
      <c r="D241" t="s">
        <v>103</v>
      </c>
      <c r="E241" t="s">
        <v>103</v>
      </c>
      <c r="F241" t="s">
        <v>103</v>
      </c>
    </row>
    <row r="242" spans="1:6">
      <c r="A242" s="2">
        <v>53</v>
      </c>
      <c r="B242">
        <v>241</v>
      </c>
      <c r="C242">
        <v>4</v>
      </c>
      <c r="D242" t="s">
        <v>103</v>
      </c>
      <c r="E242" t="s">
        <v>103</v>
      </c>
      <c r="F242" t="s">
        <v>103</v>
      </c>
    </row>
    <row r="243" spans="1:6">
      <c r="A243" s="2">
        <v>53</v>
      </c>
      <c r="B243">
        <v>242</v>
      </c>
      <c r="C243">
        <v>3</v>
      </c>
      <c r="D243" t="s">
        <v>103</v>
      </c>
      <c r="E243" t="s">
        <v>103</v>
      </c>
      <c r="F243" t="s">
        <v>103</v>
      </c>
    </row>
    <row r="244" spans="1:6">
      <c r="A244" s="2">
        <v>53</v>
      </c>
      <c r="B244">
        <v>243</v>
      </c>
      <c r="C244">
        <v>2</v>
      </c>
      <c r="D244" t="s">
        <v>103</v>
      </c>
      <c r="E244" t="s">
        <v>103</v>
      </c>
      <c r="F244" t="s">
        <v>103</v>
      </c>
    </row>
    <row r="245" spans="1:6">
      <c r="A245" s="2">
        <v>53</v>
      </c>
      <c r="B245">
        <v>244</v>
      </c>
      <c r="C245">
        <v>5</v>
      </c>
      <c r="D245" t="s">
        <v>103</v>
      </c>
      <c r="E245" t="s">
        <v>103</v>
      </c>
      <c r="F245" t="s">
        <v>103</v>
      </c>
    </row>
    <row r="246" spans="1:6">
      <c r="A246" s="2">
        <v>53</v>
      </c>
      <c r="B246">
        <v>245</v>
      </c>
      <c r="C246">
        <v>7</v>
      </c>
      <c r="D246" t="s">
        <v>103</v>
      </c>
      <c r="E246" t="s">
        <v>103</v>
      </c>
      <c r="F246" t="s">
        <v>103</v>
      </c>
    </row>
    <row r="247" spans="1:6">
      <c r="A247" s="2">
        <v>53</v>
      </c>
      <c r="B247">
        <v>246</v>
      </c>
      <c r="C247">
        <v>6</v>
      </c>
      <c r="D247" t="s">
        <v>103</v>
      </c>
      <c r="E247" t="s">
        <v>103</v>
      </c>
      <c r="F247" t="s">
        <v>103</v>
      </c>
    </row>
    <row r="248" spans="1:6">
      <c r="A248" s="2">
        <v>53</v>
      </c>
      <c r="B248">
        <v>247</v>
      </c>
      <c r="C248">
        <v>7</v>
      </c>
      <c r="D248" t="s">
        <v>103</v>
      </c>
      <c r="E248" t="s">
        <v>103</v>
      </c>
      <c r="F248" t="s">
        <v>103</v>
      </c>
    </row>
    <row r="249" spans="1:6">
      <c r="A249" s="2">
        <v>53</v>
      </c>
      <c r="B249">
        <v>248</v>
      </c>
      <c r="C249">
        <v>6</v>
      </c>
      <c r="D249" t="s">
        <v>103</v>
      </c>
      <c r="E249" t="s">
        <v>103</v>
      </c>
      <c r="F249" t="s">
        <v>103</v>
      </c>
    </row>
    <row r="250" spans="1:6">
      <c r="A250" s="2">
        <v>53</v>
      </c>
      <c r="B250">
        <v>249</v>
      </c>
      <c r="C250">
        <v>7</v>
      </c>
      <c r="D250" t="s">
        <v>103</v>
      </c>
      <c r="E250" t="s">
        <v>103</v>
      </c>
      <c r="F250" t="s">
        <v>103</v>
      </c>
    </row>
    <row r="251" spans="1:6">
      <c r="A251" s="2">
        <v>53</v>
      </c>
      <c r="B251">
        <v>250</v>
      </c>
      <c r="C251">
        <v>1</v>
      </c>
      <c r="D251" t="s">
        <v>103</v>
      </c>
      <c r="E251" t="s">
        <v>103</v>
      </c>
      <c r="F251" t="s">
        <v>103</v>
      </c>
    </row>
    <row r="252" spans="1:6">
      <c r="A252" s="2">
        <v>53</v>
      </c>
      <c r="B252">
        <v>251</v>
      </c>
      <c r="C252">
        <v>4</v>
      </c>
      <c r="D252" t="s">
        <v>103</v>
      </c>
      <c r="E252" t="s">
        <v>103</v>
      </c>
      <c r="F252" t="s">
        <v>103</v>
      </c>
    </row>
    <row r="253" spans="1:6">
      <c r="A253" s="2">
        <v>53</v>
      </c>
      <c r="B253">
        <v>252</v>
      </c>
      <c r="C253">
        <v>6</v>
      </c>
      <c r="D253" t="s">
        <v>103</v>
      </c>
      <c r="E253" t="s">
        <v>103</v>
      </c>
      <c r="F253" t="s">
        <v>103</v>
      </c>
    </row>
    <row r="254" spans="1:6">
      <c r="A254" s="2">
        <v>53</v>
      </c>
      <c r="B254">
        <v>253</v>
      </c>
      <c r="C254">
        <v>3</v>
      </c>
      <c r="D254" t="s">
        <v>103</v>
      </c>
      <c r="E254" t="s">
        <v>103</v>
      </c>
      <c r="F254" t="s">
        <v>103</v>
      </c>
    </row>
    <row r="255" spans="1:6">
      <c r="A255" s="2">
        <v>53</v>
      </c>
      <c r="B255">
        <v>254</v>
      </c>
      <c r="C255">
        <v>1</v>
      </c>
      <c r="D255" t="s">
        <v>103</v>
      </c>
      <c r="E255" t="s">
        <v>103</v>
      </c>
      <c r="F255" t="s">
        <v>103</v>
      </c>
    </row>
    <row r="256" spans="1:6">
      <c r="A256" s="2">
        <v>53</v>
      </c>
      <c r="B256">
        <v>255</v>
      </c>
      <c r="C256">
        <v>2</v>
      </c>
      <c r="D256" t="s">
        <v>103</v>
      </c>
      <c r="E256" t="s">
        <v>103</v>
      </c>
      <c r="F256" t="s">
        <v>103</v>
      </c>
    </row>
    <row r="257" spans="1:6">
      <c r="A257" s="2">
        <v>53</v>
      </c>
      <c r="B257">
        <v>256</v>
      </c>
      <c r="C257">
        <v>1</v>
      </c>
      <c r="D257" t="s">
        <v>103</v>
      </c>
      <c r="E257" t="s">
        <v>103</v>
      </c>
      <c r="F257" t="s">
        <v>103</v>
      </c>
    </row>
    <row r="258" spans="1:6">
      <c r="A258" s="2">
        <v>53</v>
      </c>
      <c r="B258">
        <v>257</v>
      </c>
      <c r="C258">
        <v>6</v>
      </c>
      <c r="D258" t="s">
        <v>103</v>
      </c>
      <c r="E258" t="s">
        <v>103</v>
      </c>
      <c r="F258" t="s">
        <v>103</v>
      </c>
    </row>
    <row r="259" spans="1:6">
      <c r="A259" s="2">
        <v>53</v>
      </c>
      <c r="B259">
        <v>258</v>
      </c>
      <c r="C259">
        <v>7</v>
      </c>
      <c r="D259" t="s">
        <v>103</v>
      </c>
      <c r="E259" t="s">
        <v>103</v>
      </c>
      <c r="F259" t="s">
        <v>103</v>
      </c>
    </row>
    <row r="260" spans="1:6">
      <c r="A260" s="2">
        <v>53</v>
      </c>
      <c r="B260">
        <v>259</v>
      </c>
      <c r="C260">
        <v>6</v>
      </c>
      <c r="D260" t="s">
        <v>103</v>
      </c>
      <c r="E260" t="s">
        <v>103</v>
      </c>
      <c r="F260" t="s">
        <v>103</v>
      </c>
    </row>
    <row r="261" spans="1:6">
      <c r="A261" s="2">
        <v>53</v>
      </c>
      <c r="B261">
        <v>260</v>
      </c>
      <c r="C261">
        <v>7</v>
      </c>
      <c r="D261" t="s">
        <v>103</v>
      </c>
      <c r="E261" t="s">
        <v>103</v>
      </c>
      <c r="F261" t="s">
        <v>103</v>
      </c>
    </row>
    <row r="262" spans="1:6">
      <c r="A262" s="2">
        <v>53</v>
      </c>
      <c r="B262">
        <v>261</v>
      </c>
      <c r="C262">
        <v>4</v>
      </c>
      <c r="D262" t="s">
        <v>103</v>
      </c>
      <c r="E262" t="s">
        <v>103</v>
      </c>
      <c r="F262" t="s">
        <v>103</v>
      </c>
    </row>
    <row r="263" spans="1:6">
      <c r="A263" s="2">
        <v>53</v>
      </c>
      <c r="B263">
        <v>262</v>
      </c>
      <c r="C263">
        <v>2</v>
      </c>
      <c r="D263" t="s">
        <v>103</v>
      </c>
      <c r="E263" t="s">
        <v>103</v>
      </c>
      <c r="F263" t="s">
        <v>103</v>
      </c>
    </row>
    <row r="264" spans="1:6">
      <c r="A264" s="2">
        <v>53</v>
      </c>
      <c r="B264">
        <v>263</v>
      </c>
      <c r="C264">
        <v>3</v>
      </c>
      <c r="D264" t="s">
        <v>103</v>
      </c>
      <c r="E264" t="s">
        <v>103</v>
      </c>
      <c r="F264" t="s">
        <v>103</v>
      </c>
    </row>
    <row r="265" spans="1:6">
      <c r="A265" s="2">
        <v>53</v>
      </c>
      <c r="B265">
        <v>264</v>
      </c>
      <c r="C265">
        <v>1</v>
      </c>
      <c r="D265" t="s">
        <v>103</v>
      </c>
      <c r="E265" t="s">
        <v>103</v>
      </c>
      <c r="F265" t="s">
        <v>103</v>
      </c>
    </row>
    <row r="266" spans="1:6">
      <c r="A266" s="2">
        <v>53</v>
      </c>
      <c r="B266">
        <v>265</v>
      </c>
      <c r="C266">
        <v>5</v>
      </c>
      <c r="D266" t="s">
        <v>103</v>
      </c>
      <c r="E266" t="s">
        <v>103</v>
      </c>
      <c r="F266" t="s">
        <v>103</v>
      </c>
    </row>
    <row r="267" spans="1:6">
      <c r="A267" s="2">
        <v>53</v>
      </c>
      <c r="B267">
        <v>266</v>
      </c>
      <c r="C267">
        <v>4</v>
      </c>
      <c r="D267" t="s">
        <v>103</v>
      </c>
      <c r="E267" t="s">
        <v>103</v>
      </c>
      <c r="F267" t="s">
        <v>103</v>
      </c>
    </row>
    <row r="268" spans="1:6">
      <c r="A268" s="2">
        <v>53</v>
      </c>
      <c r="B268">
        <v>267</v>
      </c>
      <c r="C268">
        <v>6</v>
      </c>
      <c r="D268" t="s">
        <v>103</v>
      </c>
      <c r="E268" t="s">
        <v>103</v>
      </c>
      <c r="F268" t="s">
        <v>103</v>
      </c>
    </row>
    <row r="269" spans="1:6">
      <c r="A269" s="2">
        <v>53</v>
      </c>
      <c r="B269">
        <v>268</v>
      </c>
      <c r="C269">
        <v>8</v>
      </c>
      <c r="D269" t="s">
        <v>103</v>
      </c>
      <c r="E269" t="s">
        <v>103</v>
      </c>
      <c r="F269" t="s">
        <v>103</v>
      </c>
    </row>
    <row r="270" spans="1:6">
      <c r="A270" s="2">
        <v>53</v>
      </c>
      <c r="B270">
        <v>269</v>
      </c>
      <c r="C270">
        <v>1</v>
      </c>
      <c r="D270" t="s">
        <v>103</v>
      </c>
      <c r="E270" t="s">
        <v>103</v>
      </c>
      <c r="F270" t="s">
        <v>103</v>
      </c>
    </row>
    <row r="271" spans="1:6">
      <c r="A271" s="2">
        <v>53</v>
      </c>
      <c r="B271">
        <v>270</v>
      </c>
      <c r="C271">
        <v>5</v>
      </c>
      <c r="D271" t="s">
        <v>103</v>
      </c>
      <c r="E271" t="s">
        <v>103</v>
      </c>
      <c r="F271" t="s">
        <v>103</v>
      </c>
    </row>
    <row r="272" spans="1:6">
      <c r="A272" s="2">
        <v>53</v>
      </c>
      <c r="B272">
        <v>271</v>
      </c>
      <c r="C272">
        <v>7</v>
      </c>
      <c r="D272" t="s">
        <v>103</v>
      </c>
      <c r="E272" t="s">
        <v>103</v>
      </c>
      <c r="F272" t="s">
        <v>103</v>
      </c>
    </row>
    <row r="273" spans="1:6">
      <c r="A273" s="2">
        <v>53</v>
      </c>
      <c r="B273">
        <v>272</v>
      </c>
      <c r="C273">
        <v>8</v>
      </c>
      <c r="D273" t="s">
        <v>103</v>
      </c>
      <c r="E273" t="s">
        <v>103</v>
      </c>
      <c r="F273" t="s">
        <v>103</v>
      </c>
    </row>
    <row r="274" spans="1:6">
      <c r="A274" s="2">
        <v>53</v>
      </c>
      <c r="B274">
        <v>273</v>
      </c>
      <c r="C274">
        <v>3</v>
      </c>
      <c r="D274" t="s">
        <v>103</v>
      </c>
      <c r="E274" t="s">
        <v>103</v>
      </c>
      <c r="F274" t="s">
        <v>103</v>
      </c>
    </row>
    <row r="275" spans="1:6">
      <c r="A275" s="2">
        <v>53</v>
      </c>
      <c r="B275">
        <v>274</v>
      </c>
      <c r="C275">
        <v>7</v>
      </c>
      <c r="D275" t="s">
        <v>103</v>
      </c>
      <c r="E275" t="s">
        <v>103</v>
      </c>
      <c r="F275" t="s">
        <v>103</v>
      </c>
    </row>
    <row r="276" spans="1:6">
      <c r="A276" s="2">
        <v>53</v>
      </c>
      <c r="B276">
        <v>275</v>
      </c>
      <c r="C276">
        <v>8</v>
      </c>
      <c r="D276" t="s">
        <v>103</v>
      </c>
      <c r="E276" t="s">
        <v>103</v>
      </c>
      <c r="F276" t="s">
        <v>103</v>
      </c>
    </row>
    <row r="277" spans="1:6">
      <c r="A277" s="2">
        <v>53</v>
      </c>
      <c r="B277">
        <v>276</v>
      </c>
      <c r="C277">
        <v>5</v>
      </c>
      <c r="D277" t="s">
        <v>103</v>
      </c>
      <c r="E277" t="s">
        <v>103</v>
      </c>
      <c r="F277" t="s">
        <v>103</v>
      </c>
    </row>
    <row r="278" spans="1:6">
      <c r="A278" s="2">
        <v>53</v>
      </c>
      <c r="B278">
        <v>277</v>
      </c>
      <c r="C278">
        <v>8</v>
      </c>
      <c r="D278" t="s">
        <v>103</v>
      </c>
      <c r="E278" t="s">
        <v>103</v>
      </c>
      <c r="F278" t="s">
        <v>103</v>
      </c>
    </row>
    <row r="279" spans="1:6">
      <c r="A279" s="2">
        <v>53</v>
      </c>
      <c r="B279">
        <v>278</v>
      </c>
      <c r="C279">
        <v>5</v>
      </c>
      <c r="D279" t="s">
        <v>103</v>
      </c>
      <c r="E279" t="s">
        <v>103</v>
      </c>
      <c r="F279" t="s">
        <v>103</v>
      </c>
    </row>
    <row r="280" spans="1:6">
      <c r="A280" s="2">
        <v>53</v>
      </c>
      <c r="B280">
        <v>279</v>
      </c>
      <c r="C280">
        <v>4</v>
      </c>
      <c r="D280" t="s">
        <v>103</v>
      </c>
      <c r="E280" t="s">
        <v>103</v>
      </c>
      <c r="F280" t="s">
        <v>103</v>
      </c>
    </row>
    <row r="281" spans="1:6">
      <c r="A281" s="2">
        <v>53</v>
      </c>
      <c r="B281">
        <v>280</v>
      </c>
      <c r="C281">
        <v>7</v>
      </c>
      <c r="D281" t="s">
        <v>103</v>
      </c>
      <c r="E281" t="s">
        <v>103</v>
      </c>
      <c r="F281" t="s">
        <v>103</v>
      </c>
    </row>
    <row r="282" spans="1:6">
      <c r="A282" s="2">
        <v>53</v>
      </c>
      <c r="B282">
        <v>281</v>
      </c>
      <c r="C282">
        <v>8</v>
      </c>
      <c r="D282" t="s">
        <v>103</v>
      </c>
      <c r="E282" t="s">
        <v>103</v>
      </c>
      <c r="F282" t="s">
        <v>103</v>
      </c>
    </row>
    <row r="283" spans="1:6">
      <c r="A283" s="2">
        <v>53</v>
      </c>
      <c r="B283">
        <v>282</v>
      </c>
      <c r="C283">
        <v>1</v>
      </c>
      <c r="D283" t="s">
        <v>103</v>
      </c>
      <c r="E283" t="s">
        <v>103</v>
      </c>
      <c r="F283" t="s">
        <v>103</v>
      </c>
    </row>
    <row r="284" spans="1:6">
      <c r="A284" s="2">
        <v>53</v>
      </c>
      <c r="B284">
        <v>283</v>
      </c>
      <c r="C284">
        <v>3</v>
      </c>
      <c r="D284" t="s">
        <v>103</v>
      </c>
      <c r="E284" t="s">
        <v>103</v>
      </c>
      <c r="F284" t="s">
        <v>103</v>
      </c>
    </row>
    <row r="285" spans="1:6">
      <c r="A285" s="2">
        <v>53</v>
      </c>
      <c r="B285">
        <v>284</v>
      </c>
      <c r="C285">
        <v>6</v>
      </c>
      <c r="D285" t="s">
        <v>103</v>
      </c>
      <c r="E285" t="s">
        <v>103</v>
      </c>
      <c r="F285" t="s">
        <v>103</v>
      </c>
    </row>
    <row r="286" spans="1:6">
      <c r="A286" s="2">
        <v>53</v>
      </c>
      <c r="B286">
        <v>285</v>
      </c>
      <c r="C286">
        <v>7</v>
      </c>
      <c r="D286" t="s">
        <v>103</v>
      </c>
      <c r="E286" t="s">
        <v>103</v>
      </c>
      <c r="F286" t="s">
        <v>103</v>
      </c>
    </row>
    <row r="287" spans="1:6">
      <c r="A287" s="2">
        <v>53</v>
      </c>
      <c r="B287">
        <v>286</v>
      </c>
      <c r="C287">
        <v>5</v>
      </c>
      <c r="D287" t="s">
        <v>103</v>
      </c>
      <c r="E287" t="s">
        <v>103</v>
      </c>
      <c r="F287" t="s">
        <v>103</v>
      </c>
    </row>
    <row r="288" spans="1:6">
      <c r="A288" s="2">
        <v>53</v>
      </c>
      <c r="B288">
        <v>287</v>
      </c>
      <c r="C288">
        <v>4</v>
      </c>
      <c r="D288" t="s">
        <v>103</v>
      </c>
      <c r="E288" t="s">
        <v>103</v>
      </c>
      <c r="F288" t="s">
        <v>103</v>
      </c>
    </row>
    <row r="289" spans="1:6">
      <c r="A289" s="2">
        <v>53</v>
      </c>
      <c r="B289">
        <v>288</v>
      </c>
      <c r="C289">
        <v>1</v>
      </c>
      <c r="D289" t="s">
        <v>103</v>
      </c>
      <c r="E289" t="s">
        <v>103</v>
      </c>
      <c r="F289" t="s">
        <v>103</v>
      </c>
    </row>
    <row r="290" spans="1:6">
      <c r="A290" s="2">
        <v>53</v>
      </c>
      <c r="B290">
        <v>289</v>
      </c>
      <c r="C290">
        <v>5</v>
      </c>
      <c r="D290" t="s">
        <v>103</v>
      </c>
      <c r="E290" t="s">
        <v>103</v>
      </c>
      <c r="F290" t="s">
        <v>103</v>
      </c>
    </row>
    <row r="291" spans="1:6">
      <c r="A291" s="2">
        <v>53</v>
      </c>
      <c r="B291">
        <v>290</v>
      </c>
      <c r="C291">
        <v>2</v>
      </c>
      <c r="D291" t="s">
        <v>103</v>
      </c>
      <c r="E291" t="s">
        <v>103</v>
      </c>
      <c r="F291" t="s">
        <v>103</v>
      </c>
    </row>
    <row r="292" spans="1:6">
      <c r="A292" s="2">
        <v>53</v>
      </c>
      <c r="B292">
        <v>291</v>
      </c>
      <c r="C292">
        <v>3</v>
      </c>
      <c r="D292" t="s">
        <v>103</v>
      </c>
      <c r="E292" t="s">
        <v>103</v>
      </c>
      <c r="F292" t="s">
        <v>103</v>
      </c>
    </row>
    <row r="293" spans="1:6">
      <c r="A293" s="2">
        <v>53</v>
      </c>
      <c r="B293">
        <v>292</v>
      </c>
      <c r="C293">
        <v>2</v>
      </c>
      <c r="D293" t="s">
        <v>103</v>
      </c>
      <c r="E293" t="s">
        <v>103</v>
      </c>
      <c r="F293" t="s">
        <v>103</v>
      </c>
    </row>
    <row r="294" spans="1:6">
      <c r="A294" s="2">
        <v>53</v>
      </c>
      <c r="B294">
        <v>293</v>
      </c>
      <c r="C294">
        <v>6</v>
      </c>
      <c r="D294" t="s">
        <v>103</v>
      </c>
      <c r="E294" t="s">
        <v>103</v>
      </c>
      <c r="F294" t="s">
        <v>103</v>
      </c>
    </row>
    <row r="295" spans="1:6">
      <c r="A295" s="2">
        <v>53</v>
      </c>
      <c r="B295">
        <v>294</v>
      </c>
      <c r="C295">
        <v>2</v>
      </c>
      <c r="D295" t="s">
        <v>103</v>
      </c>
      <c r="E295" t="s">
        <v>103</v>
      </c>
      <c r="F295" t="s">
        <v>103</v>
      </c>
    </row>
    <row r="296" spans="1:6">
      <c r="A296" s="2">
        <v>53</v>
      </c>
      <c r="B296">
        <v>295</v>
      </c>
      <c r="C296">
        <v>8</v>
      </c>
      <c r="D296" t="s">
        <v>103</v>
      </c>
      <c r="E296" t="s">
        <v>103</v>
      </c>
      <c r="F296" t="s">
        <v>103</v>
      </c>
    </row>
    <row r="297" spans="1:6">
      <c r="A297" s="2">
        <v>53</v>
      </c>
      <c r="B297">
        <v>296</v>
      </c>
      <c r="C297">
        <v>6</v>
      </c>
      <c r="D297" t="s">
        <v>103</v>
      </c>
      <c r="E297" t="s">
        <v>103</v>
      </c>
      <c r="F297" t="s">
        <v>103</v>
      </c>
    </row>
    <row r="298" spans="1:6">
      <c r="A298" s="2">
        <v>53</v>
      </c>
      <c r="B298">
        <v>297</v>
      </c>
      <c r="C298">
        <v>4</v>
      </c>
      <c r="D298" t="s">
        <v>103</v>
      </c>
      <c r="E298" t="s">
        <v>103</v>
      </c>
      <c r="F298" t="s">
        <v>103</v>
      </c>
    </row>
    <row r="299" spans="1:6">
      <c r="A299" s="2">
        <v>53</v>
      </c>
      <c r="B299">
        <v>298</v>
      </c>
      <c r="C299">
        <v>3</v>
      </c>
      <c r="D299" t="s">
        <v>103</v>
      </c>
      <c r="E299" t="s">
        <v>103</v>
      </c>
      <c r="F299" t="s">
        <v>103</v>
      </c>
    </row>
    <row r="300" spans="1:6">
      <c r="A300" s="2">
        <v>53</v>
      </c>
      <c r="B300">
        <v>299</v>
      </c>
      <c r="C300">
        <v>2</v>
      </c>
      <c r="D300" t="s">
        <v>103</v>
      </c>
      <c r="E300" t="s">
        <v>103</v>
      </c>
      <c r="F300" t="s">
        <v>103</v>
      </c>
    </row>
    <row r="301" spans="1:6">
      <c r="A301" s="2">
        <v>53</v>
      </c>
      <c r="B301">
        <v>300</v>
      </c>
      <c r="C301">
        <v>7</v>
      </c>
      <c r="D301" t="s">
        <v>103</v>
      </c>
      <c r="E301" t="s">
        <v>103</v>
      </c>
      <c r="F301" t="s">
        <v>103</v>
      </c>
    </row>
    <row r="303" spans="1:6">
      <c r="A303" s="2" t="s">
        <v>10</v>
      </c>
      <c r="B303" t="s">
        <v>11</v>
      </c>
      <c r="C303" t="s">
        <v>12</v>
      </c>
      <c r="D303" s="50" t="s">
        <v>7</v>
      </c>
    </row>
    <row r="304" spans="1:6">
      <c r="A304" s="2" t="s">
        <v>12</v>
      </c>
      <c r="B304" t="s">
        <v>11</v>
      </c>
      <c r="C304" t="s">
        <v>10</v>
      </c>
      <c r="D304" s="50" t="s">
        <v>8</v>
      </c>
    </row>
    <row r="305" spans="1:4">
      <c r="A305" s="2" t="s">
        <v>10</v>
      </c>
      <c r="B305" t="s">
        <v>13</v>
      </c>
      <c r="C305" t="s">
        <v>12</v>
      </c>
      <c r="D305" s="50" t="s">
        <v>7</v>
      </c>
    </row>
    <row r="306" spans="1:4">
      <c r="A306" s="2" t="s">
        <v>12</v>
      </c>
      <c r="B306" t="s">
        <v>13</v>
      </c>
      <c r="C306" t="s">
        <v>10</v>
      </c>
      <c r="D306" s="50" t="s">
        <v>8</v>
      </c>
    </row>
    <row r="307" spans="1:4">
      <c r="A307" s="2" t="s">
        <v>14</v>
      </c>
      <c r="B307" t="s">
        <v>11</v>
      </c>
      <c r="C307" t="s">
        <v>12</v>
      </c>
      <c r="D307" s="50" t="s">
        <v>7</v>
      </c>
    </row>
    <row r="308" spans="1:4">
      <c r="A308" s="2" t="s">
        <v>12</v>
      </c>
      <c r="B308" t="s">
        <v>11</v>
      </c>
      <c r="C308" t="s">
        <v>14</v>
      </c>
      <c r="D308" s="50" t="s">
        <v>7</v>
      </c>
    </row>
    <row r="309" spans="1:4">
      <c r="A309" s="2" t="s">
        <v>14</v>
      </c>
      <c r="B309" t="s">
        <v>13</v>
      </c>
      <c r="C309" t="s">
        <v>12</v>
      </c>
      <c r="D309" s="50" t="s">
        <v>8</v>
      </c>
    </row>
    <row r="310" spans="1:4">
      <c r="A310" s="2" t="s">
        <v>12</v>
      </c>
      <c r="B310" t="s">
        <v>13</v>
      </c>
      <c r="C310" t="s">
        <v>14</v>
      </c>
      <c r="D310" s="50" t="s">
        <v>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Z999"/>
  <sheetViews>
    <sheetView topLeftCell="AL1" workbookViewId="0">
      <selection activeCell="AR10" sqref="AR10:AR16"/>
    </sheetView>
  </sheetViews>
  <sheetFormatPr baseColWidth="10" defaultColWidth="14.5" defaultRowHeight="15" customHeight="1"/>
  <cols>
    <col min="1" max="1" width="11" customWidth="1"/>
    <col min="2" max="3" width="21" customWidth="1"/>
    <col min="4" max="4" width="26" customWidth="1"/>
    <col min="5" max="5" width="22.5" customWidth="1"/>
    <col min="6" max="6" width="19.6640625" customWidth="1"/>
    <col min="7" max="7" width="21.83203125" customWidth="1"/>
    <col min="8" max="8" width="24.33203125" customWidth="1"/>
    <col min="9" max="9" width="23.1640625" customWidth="1"/>
    <col min="10" max="10" width="16.6640625" customWidth="1"/>
    <col min="11" max="11" width="15.5" customWidth="1"/>
    <col min="12" max="12" width="20.83203125" customWidth="1"/>
    <col min="13" max="13" width="19.33203125" customWidth="1"/>
    <col min="14" max="14" width="23.1640625" customWidth="1"/>
    <col min="15" max="15" width="20.33203125" customWidth="1"/>
    <col min="16" max="16" width="22.6640625" customWidth="1"/>
    <col min="17" max="17" width="22.83203125" customWidth="1"/>
    <col min="18" max="18" width="23.33203125" customWidth="1"/>
    <col min="19" max="19" width="22.33203125" customWidth="1"/>
    <col min="20" max="20" width="21.1640625" customWidth="1"/>
    <col min="21" max="21" width="19.33203125" customWidth="1"/>
    <col min="22" max="22" width="22.83203125" customWidth="1"/>
    <col min="23" max="23" width="21.83203125" customWidth="1"/>
    <col min="24" max="24" width="20" customWidth="1"/>
    <col min="25" max="25" width="21.1640625" customWidth="1"/>
    <col min="26" max="26" width="22.1640625" customWidth="1"/>
    <col min="27" max="27" width="19.6640625" customWidth="1"/>
    <col min="28" max="28" width="20.33203125" customWidth="1"/>
    <col min="29" max="29" width="21.1640625" customWidth="1"/>
    <col min="30" max="30" width="20.6640625" customWidth="1"/>
    <col min="31" max="31" width="20.5" customWidth="1"/>
    <col min="32" max="32" width="24.83203125" customWidth="1"/>
    <col min="33" max="33" width="22.5" customWidth="1"/>
    <col min="34" max="34" width="22.6640625" customWidth="1"/>
    <col min="35" max="35" width="23.1640625" customWidth="1"/>
    <col min="36" max="36" width="22.5" customWidth="1"/>
    <col min="37" max="37" width="22" customWidth="1"/>
    <col min="38" max="38" width="21.33203125" customWidth="1"/>
    <col min="39" max="39" width="19.6640625" customWidth="1"/>
    <col min="40" max="40" width="21.5" customWidth="1"/>
    <col min="41" max="41" width="19.83203125" customWidth="1"/>
    <col min="42" max="42" width="21.5" customWidth="1"/>
    <col min="43" max="43" width="21" customWidth="1"/>
    <col min="44" max="46" width="21.5" customWidth="1"/>
    <col min="47" max="47" width="21.33203125" customWidth="1"/>
    <col min="48" max="49" width="21.5" customWidth="1"/>
    <col min="50" max="50" width="21" customWidth="1"/>
    <col min="51" max="51" width="20.1640625" customWidth="1"/>
    <col min="52" max="52" width="21.33203125" customWidth="1"/>
    <col min="53" max="56" width="10.5" customWidth="1"/>
  </cols>
  <sheetData>
    <row r="1" spans="1:52" ht="14.25" customHeight="1">
      <c r="A1" s="7" t="s">
        <v>17</v>
      </c>
      <c r="B1" s="8" t="s">
        <v>18</v>
      </c>
      <c r="C1" s="8" t="s">
        <v>19</v>
      </c>
      <c r="D1" s="8" t="s">
        <v>20</v>
      </c>
      <c r="E1" s="7" t="s">
        <v>21</v>
      </c>
      <c r="F1" s="8" t="s">
        <v>22</v>
      </c>
      <c r="G1" s="8" t="s">
        <v>23</v>
      </c>
      <c r="H1" s="8" t="s">
        <v>24</v>
      </c>
      <c r="I1" s="7" t="s">
        <v>25</v>
      </c>
      <c r="J1" s="8" t="s">
        <v>26</v>
      </c>
      <c r="K1" s="8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8" t="s">
        <v>33</v>
      </c>
      <c r="R1" s="7" t="s">
        <v>34</v>
      </c>
      <c r="S1" s="7" t="s">
        <v>35</v>
      </c>
      <c r="T1" s="7" t="s">
        <v>36</v>
      </c>
      <c r="U1" s="7" t="s">
        <v>37</v>
      </c>
      <c r="V1" s="7" t="s">
        <v>38</v>
      </c>
      <c r="W1" s="7" t="s">
        <v>39</v>
      </c>
      <c r="X1" s="7" t="s">
        <v>40</v>
      </c>
      <c r="Y1" s="7" t="s">
        <v>41</v>
      </c>
      <c r="Z1" s="8" t="s">
        <v>42</v>
      </c>
      <c r="AA1" s="8" t="s">
        <v>43</v>
      </c>
      <c r="AB1" s="8" t="s">
        <v>44</v>
      </c>
      <c r="AC1" s="8" t="s">
        <v>45</v>
      </c>
      <c r="AD1" s="8" t="s">
        <v>46</v>
      </c>
      <c r="AE1" s="8" t="s">
        <v>47</v>
      </c>
      <c r="AF1" s="9" t="s">
        <v>48</v>
      </c>
      <c r="AG1" s="9" t="s">
        <v>49</v>
      </c>
      <c r="AH1" s="9" t="s">
        <v>50</v>
      </c>
      <c r="AI1" s="7" t="s">
        <v>51</v>
      </c>
      <c r="AJ1" s="8" t="s">
        <v>52</v>
      </c>
      <c r="AK1" s="8" t="s">
        <v>53</v>
      </c>
      <c r="AL1" s="8" t="s">
        <v>54</v>
      </c>
      <c r="AM1" s="7" t="s">
        <v>55</v>
      </c>
      <c r="AN1" s="7" t="s">
        <v>56</v>
      </c>
      <c r="AO1" s="7" t="s">
        <v>57</v>
      </c>
      <c r="AP1" s="7" t="s">
        <v>58</v>
      </c>
      <c r="AQ1" s="8" t="s">
        <v>59</v>
      </c>
      <c r="AR1" s="8" t="s">
        <v>60</v>
      </c>
      <c r="AS1" s="8" t="s">
        <v>61</v>
      </c>
      <c r="AT1" s="8" t="s">
        <v>62</v>
      </c>
      <c r="AU1" s="8" t="s">
        <v>63</v>
      </c>
      <c r="AV1" s="7" t="s">
        <v>64</v>
      </c>
      <c r="AW1" s="8" t="s">
        <v>65</v>
      </c>
      <c r="AX1" s="8" t="s">
        <v>66</v>
      </c>
      <c r="AY1" s="8" t="s">
        <v>67</v>
      </c>
      <c r="AZ1" s="8" t="s">
        <v>68</v>
      </c>
    </row>
    <row r="2" spans="1:52" ht="14.25" customHeight="1">
      <c r="A2" s="2">
        <v>1</v>
      </c>
      <c r="B2" s="2">
        <v>5.5254777070063701E-3</v>
      </c>
      <c r="C2" s="2">
        <v>3.175839188E-2</v>
      </c>
      <c r="D2" s="2">
        <v>1.1640127388535017E-2</v>
      </c>
      <c r="E2" s="2">
        <v>3.8074272590000002E-3</v>
      </c>
      <c r="F2" s="2">
        <v>8.982115677E-3</v>
      </c>
      <c r="G2" s="2">
        <v>5.548638132E-2</v>
      </c>
      <c r="H2" s="2">
        <v>2.6636676880000001E-2</v>
      </c>
      <c r="I2" s="2">
        <v>0.15759757999999999</v>
      </c>
      <c r="J2" s="2">
        <v>2.738549618E-3</v>
      </c>
      <c r="K2" s="2">
        <v>3.6619448699999999E-3</v>
      </c>
      <c r="L2" s="2">
        <v>8.2423664119999993E-3</v>
      </c>
      <c r="M2" s="2">
        <v>0.2162063615</v>
      </c>
      <c r="N2" s="2">
        <v>1.0515222479999999E-2</v>
      </c>
      <c r="O2" s="2">
        <v>5.1303501950000002E-3</v>
      </c>
      <c r="P2" s="2">
        <v>3.043130367E-2</v>
      </c>
      <c r="Q2" s="2">
        <v>7.4147150659999994E-2</v>
      </c>
      <c r="R2" s="2">
        <v>1.388867339E-2</v>
      </c>
      <c r="S2" s="2">
        <v>2.8793774319999998E-3</v>
      </c>
      <c r="T2" s="2">
        <v>1.6521822360000001E-2</v>
      </c>
      <c r="U2" s="2">
        <v>1.514165391E-3</v>
      </c>
      <c r="V2" s="2">
        <v>1.8479703359999999E-2</v>
      </c>
      <c r="W2" s="2">
        <v>2.718579235E-3</v>
      </c>
      <c r="X2" s="2">
        <v>5.3218188909999999E-2</v>
      </c>
      <c r="Y2" s="2">
        <v>0.18491998439999999</v>
      </c>
      <c r="Z2" s="2">
        <v>3.4024809160000002E-2</v>
      </c>
      <c r="AA2" s="2">
        <v>7.636612022E-3</v>
      </c>
      <c r="AB2" s="2">
        <v>0.17151167319999999</v>
      </c>
      <c r="AC2" s="2">
        <v>1.3491412959999999E-2</v>
      </c>
      <c r="AD2" s="2">
        <v>1.8204441040000001E-3</v>
      </c>
      <c r="AE2" s="2">
        <v>2.5830739299999999E-2</v>
      </c>
      <c r="AF2" s="2">
        <v>7.6945244956772192E-3</v>
      </c>
      <c r="AG2" s="2">
        <v>9.5063694267515826E-3</v>
      </c>
      <c r="AH2" s="2">
        <v>4.0847860538827264E-3</v>
      </c>
      <c r="AI2" s="2">
        <v>6.7721518987341736E-3</v>
      </c>
      <c r="AJ2" s="2">
        <v>5.2977707006369383E-2</v>
      </c>
      <c r="AK2" s="2">
        <v>3.7300955414012716E-3</v>
      </c>
      <c r="AL2" s="2">
        <v>1.2261146496815268E-3</v>
      </c>
      <c r="AM2" s="2">
        <v>2.5000000000000061E-3</v>
      </c>
      <c r="AN2" s="2">
        <v>2.1815286624203875E-3</v>
      </c>
      <c r="AO2" s="2">
        <v>6.0886075949367062E-2</v>
      </c>
      <c r="AP2" s="2">
        <v>2.6544585987261136E-2</v>
      </c>
      <c r="AQ2" s="2">
        <v>1.0978605388272578E-2</v>
      </c>
      <c r="AR2" s="2">
        <v>0.15313795853269532</v>
      </c>
      <c r="AS2" s="2">
        <v>4.2133173843700134E-2</v>
      </c>
      <c r="AT2" s="2">
        <v>1.8640699523052469E-3</v>
      </c>
      <c r="AU2" s="2">
        <v>1.1894904458598725E-2</v>
      </c>
      <c r="AV2" s="2">
        <v>1.4666136724960292E-3</v>
      </c>
      <c r="AW2" s="2">
        <v>7.4128367670364464E-3</v>
      </c>
      <c r="AX2" s="2">
        <v>8.6208267090619965E-3</v>
      </c>
      <c r="AY2" s="2">
        <v>4.486883942766294E-2</v>
      </c>
      <c r="AZ2" s="2">
        <v>3.0546751188589545E-3</v>
      </c>
    </row>
    <row r="3" spans="1:52" ht="14.25" customHeight="1">
      <c r="A3" s="2">
        <v>2</v>
      </c>
      <c r="B3" s="2">
        <v>0.17463375796178343</v>
      </c>
      <c r="C3" s="2">
        <v>0.1767701015</v>
      </c>
      <c r="D3" s="2">
        <v>0.28211783439490445</v>
      </c>
      <c r="E3" s="2">
        <v>0.19924387439999999</v>
      </c>
      <c r="F3" s="2">
        <v>0.183228691</v>
      </c>
      <c r="G3" s="2">
        <v>0.23723735409999999</v>
      </c>
      <c r="H3" s="2">
        <v>0.19919410409999999</v>
      </c>
      <c r="I3" s="2">
        <v>0.16771467600000001</v>
      </c>
      <c r="J3" s="2">
        <v>0.19400572520000001</v>
      </c>
      <c r="K3" s="2">
        <v>0.22859303219999999</v>
      </c>
      <c r="L3" s="2">
        <v>0.13836450380000001</v>
      </c>
      <c r="M3" s="2">
        <v>0.23568657870000001</v>
      </c>
      <c r="N3" s="2">
        <v>0.13690866509999999</v>
      </c>
      <c r="O3" s="2">
        <v>0.16650000000000001</v>
      </c>
      <c r="P3" s="2">
        <v>0.20073575330000001</v>
      </c>
      <c r="Q3" s="2">
        <v>0.18543520690000001</v>
      </c>
      <c r="R3" s="2">
        <v>0.15800038790000001</v>
      </c>
      <c r="S3" s="2">
        <v>0.27708171209999999</v>
      </c>
      <c r="T3" s="2">
        <v>0.1422186064</v>
      </c>
      <c r="U3" s="2">
        <v>0.23002871359999999</v>
      </c>
      <c r="V3" s="2">
        <v>0.1903298205</v>
      </c>
      <c r="W3" s="2">
        <v>0.1814539422</v>
      </c>
      <c r="X3" s="2">
        <v>0.14286690090000001</v>
      </c>
      <c r="Y3" s="2">
        <v>0.25475605000000001</v>
      </c>
      <c r="Z3" s="2">
        <v>0.1903912214</v>
      </c>
      <c r="AA3" s="2">
        <v>0.186371975</v>
      </c>
      <c r="AB3" s="2">
        <v>0.1164610895</v>
      </c>
      <c r="AC3" s="2">
        <v>0.19222677599999999</v>
      </c>
      <c r="AD3" s="2">
        <v>0.1764452527</v>
      </c>
      <c r="AE3" s="2">
        <v>0.18439883269999999</v>
      </c>
      <c r="AF3" s="2">
        <v>0.47974063400576367</v>
      </c>
      <c r="AG3" s="2">
        <v>0.16428343949044583</v>
      </c>
      <c r="AH3" s="2">
        <v>0.2244492868462758</v>
      </c>
      <c r="AI3" s="2">
        <v>0.22322784810126584</v>
      </c>
      <c r="AJ3" s="2">
        <v>0.15616242038216557</v>
      </c>
      <c r="AK3" s="2">
        <v>4.6723726114649686E-2</v>
      </c>
      <c r="AL3" s="2">
        <v>0.19039808917197451</v>
      </c>
      <c r="AM3" s="2">
        <v>0.24613057324840767</v>
      </c>
      <c r="AN3" s="2">
        <v>0.24581210191082808</v>
      </c>
      <c r="AO3" s="2">
        <v>9.5063291139240474E-2</v>
      </c>
      <c r="AP3" s="2">
        <v>0.16412420382165605</v>
      </c>
      <c r="AQ3" s="2">
        <v>0.23348256735340736</v>
      </c>
      <c r="AR3" s="2">
        <v>0.35983652312599679</v>
      </c>
      <c r="AS3" s="2">
        <v>9.3807814992025493E-2</v>
      </c>
      <c r="AT3" s="2">
        <v>0.20790540540540547</v>
      </c>
      <c r="AU3" s="2">
        <v>0.20106687898089171</v>
      </c>
      <c r="AV3" s="2">
        <v>0.19105325914149443</v>
      </c>
      <c r="AW3" s="2">
        <v>0.25345087163232966</v>
      </c>
      <c r="AX3" s="2">
        <v>0.1495588235294118</v>
      </c>
      <c r="AY3" s="2">
        <v>0.17650635930047695</v>
      </c>
      <c r="AZ3" s="2">
        <v>0.19132725832012676</v>
      </c>
    </row>
    <row r="4" spans="1:52" ht="14.25" customHeight="1">
      <c r="A4" s="2">
        <v>3</v>
      </c>
      <c r="B4" s="2">
        <v>0.17749999999999996</v>
      </c>
      <c r="C4" s="2">
        <v>0.16665300550000001</v>
      </c>
      <c r="D4" s="2">
        <v>0.28211783439490445</v>
      </c>
      <c r="E4" s="2">
        <v>0.18573698320000001</v>
      </c>
      <c r="F4" s="2">
        <v>0.20555745810000001</v>
      </c>
      <c r="G4" s="2">
        <v>0.1395330739</v>
      </c>
      <c r="H4" s="2">
        <v>0.18375765699999999</v>
      </c>
      <c r="I4" s="2">
        <v>0.20326502730000001</v>
      </c>
      <c r="J4" s="2">
        <v>0.18205152669999999</v>
      </c>
      <c r="K4" s="2">
        <v>0.2014414242</v>
      </c>
      <c r="L4" s="2">
        <v>0.23702099239999999</v>
      </c>
      <c r="M4" s="2">
        <v>0.23296353759999999</v>
      </c>
      <c r="N4" s="2">
        <v>0.21566744730000001</v>
      </c>
      <c r="O4" s="2">
        <v>0.22575291829999999</v>
      </c>
      <c r="P4" s="2">
        <v>0.15619242780000001</v>
      </c>
      <c r="Q4" s="2">
        <v>0.16056401249999999</v>
      </c>
      <c r="R4" s="2">
        <v>0.19821761060000001</v>
      </c>
      <c r="S4" s="2">
        <v>0.20459143969999999</v>
      </c>
      <c r="T4" s="2">
        <v>0.1598602603</v>
      </c>
      <c r="U4" s="2">
        <v>0.21652182240000001</v>
      </c>
      <c r="V4" s="2">
        <v>0.1533743169</v>
      </c>
      <c r="W4" s="2">
        <v>0.1881986729</v>
      </c>
      <c r="X4" s="2">
        <v>0.18530249800000001</v>
      </c>
      <c r="Y4" s="2">
        <v>0.23550546450000001</v>
      </c>
      <c r="Z4" s="2">
        <v>0.12952099240000001</v>
      </c>
      <c r="AA4" s="2">
        <v>0.176254879</v>
      </c>
      <c r="AB4" s="2">
        <v>0.20513035020000001</v>
      </c>
      <c r="AC4" s="2">
        <v>0.15681693990000001</v>
      </c>
      <c r="AD4" s="2">
        <v>0.18375</v>
      </c>
      <c r="AE4" s="2">
        <v>0.1603054475</v>
      </c>
      <c r="AF4" s="2">
        <v>0.31893371757925071</v>
      </c>
      <c r="AG4" s="2">
        <v>0.16428343949044583</v>
      </c>
      <c r="AH4" s="2">
        <v>0.15883914421553086</v>
      </c>
      <c r="AI4" s="2">
        <v>0.19474683544303797</v>
      </c>
      <c r="AJ4" s="2">
        <v>0.15616242038216557</v>
      </c>
      <c r="AK4" s="2">
        <v>3.8124999999999999E-2</v>
      </c>
      <c r="AL4" s="2">
        <v>0.20759554140127384</v>
      </c>
      <c r="AM4" s="2">
        <v>0.20886942675159237</v>
      </c>
      <c r="AN4" s="2">
        <v>0.20855095541401275</v>
      </c>
      <c r="AO4" s="2">
        <v>0.18050632911392403</v>
      </c>
      <c r="AP4" s="2">
        <v>0.21285031847133756</v>
      </c>
      <c r="AQ4" s="2">
        <v>0.21636687797147386</v>
      </c>
      <c r="AR4" s="2">
        <v>0.17036283891547041</v>
      </c>
      <c r="AS4" s="2">
        <v>0.22945374800637955</v>
      </c>
      <c r="AT4" s="2">
        <v>0.22579093799682032</v>
      </c>
      <c r="AU4" s="2">
        <v>0.20106687898089173</v>
      </c>
      <c r="AV4" s="2">
        <v>0.18962241653418122</v>
      </c>
      <c r="AW4" s="2">
        <v>0.21280110935023769</v>
      </c>
      <c r="AX4" s="2">
        <v>0.17960651828298888</v>
      </c>
      <c r="AY4" s="2">
        <v>0.1822297297297297</v>
      </c>
      <c r="AZ4" s="2">
        <v>0.26620839936608559</v>
      </c>
    </row>
    <row r="5" spans="1:52" ht="14.25" customHeight="1">
      <c r="A5" s="2">
        <v>4</v>
      </c>
      <c r="B5" s="2">
        <v>9.3662420382165601E-2</v>
      </c>
      <c r="C5" s="2">
        <v>6.3725605000000005E-2</v>
      </c>
      <c r="D5" s="2">
        <v>8.6066878980891715E-2</v>
      </c>
      <c r="E5" s="2">
        <v>9.2358346090000001E-2</v>
      </c>
      <c r="F5" s="2">
        <v>0.1021328006</v>
      </c>
      <c r="G5" s="2">
        <v>9.0809338520000005E-2</v>
      </c>
      <c r="H5" s="2">
        <v>9.4665007659999995E-2</v>
      </c>
      <c r="I5" s="2">
        <v>7.2679547230000002E-2</v>
      </c>
      <c r="J5" s="2">
        <v>0.11450572520000001</v>
      </c>
      <c r="K5" s="2">
        <v>9.5660413479999998E-2</v>
      </c>
      <c r="L5" s="2">
        <v>8.6620229009999994E-2</v>
      </c>
      <c r="M5" s="2">
        <v>9.4561675720000002E-2</v>
      </c>
      <c r="N5" s="2">
        <v>5.9344262299999999E-2</v>
      </c>
      <c r="O5" s="2">
        <v>8.3223735409999999E-2</v>
      </c>
      <c r="P5" s="2">
        <v>8.6286104609999997E-2</v>
      </c>
      <c r="Q5" s="2">
        <v>6.1875487899999998E-2</v>
      </c>
      <c r="R5" s="2">
        <v>7.4307602789999996E-2</v>
      </c>
      <c r="S5" s="2">
        <v>0.1197042802</v>
      </c>
      <c r="T5" s="2">
        <v>8.0202909650000001E-2</v>
      </c>
      <c r="U5" s="2">
        <v>0.1113418836</v>
      </c>
      <c r="V5" s="2">
        <v>9.0156128020000004E-2</v>
      </c>
      <c r="W5" s="2">
        <v>8.3801717410000004E-2</v>
      </c>
      <c r="X5" s="2">
        <v>3.7261904759999999E-2</v>
      </c>
      <c r="Y5" s="2">
        <v>0.1048790008</v>
      </c>
      <c r="Z5" s="2">
        <v>6.8192748090000005E-2</v>
      </c>
      <c r="AA5" s="2">
        <v>7.4264246680000007E-2</v>
      </c>
      <c r="AB5" s="2">
        <v>8.1470817119999997E-2</v>
      </c>
      <c r="AC5" s="2">
        <v>9.5042935209999999E-2</v>
      </c>
      <c r="AD5" s="2">
        <v>8.7008039819999994E-2</v>
      </c>
      <c r="AE5" s="2">
        <v>7.0305447470000004E-2</v>
      </c>
      <c r="AF5" s="2">
        <v>0.20092219020172913</v>
      </c>
      <c r="AG5" s="2">
        <v>6.1600318471337574E-2</v>
      </c>
      <c r="AH5" s="2">
        <v>9.4423534072900148E-2</v>
      </c>
      <c r="AI5" s="2">
        <v>9.8765822784810123E-2</v>
      </c>
      <c r="AJ5" s="2">
        <v>6.5159235668789783E-2</v>
      </c>
      <c r="AK5" s="2">
        <v>2.1052945859872607E-2</v>
      </c>
      <c r="AL5" s="2">
        <v>9.7531847133757968E-2</v>
      </c>
      <c r="AM5" s="2">
        <v>0.13649681528662425</v>
      </c>
      <c r="AN5" s="2">
        <v>0.12593152866242041</v>
      </c>
      <c r="AO5" s="2">
        <v>3.3259493670886063E-2</v>
      </c>
      <c r="AP5" s="2">
        <v>6.2874203821656038E-2</v>
      </c>
      <c r="AQ5" s="2">
        <v>8.8266640253565773E-2</v>
      </c>
      <c r="AR5" s="2">
        <v>0.147091307814992</v>
      </c>
      <c r="AS5" s="2">
        <v>6.4076953748006371E-2</v>
      </c>
      <c r="AT5" s="2">
        <v>0.10229133545310017</v>
      </c>
      <c r="AU5" s="2">
        <v>0.11844745222929937</v>
      </c>
      <c r="AV5" s="2">
        <v>0.11047893481717012</v>
      </c>
      <c r="AW5" s="2">
        <v>0.1231933438985737</v>
      </c>
      <c r="AX5" s="2">
        <v>7.3277027027027014E-2</v>
      </c>
      <c r="AY5" s="2">
        <v>4.4636327503974553E-2</v>
      </c>
      <c r="AZ5" s="2">
        <v>8.654714738510301E-2</v>
      </c>
    </row>
    <row r="6" spans="1:52" ht="14.25" customHeight="1">
      <c r="A6" s="2">
        <v>5</v>
      </c>
      <c r="B6" s="2">
        <v>8.4633757961783435E-2</v>
      </c>
      <c r="C6" s="2">
        <v>6.6588602649999995E-2</v>
      </c>
      <c r="D6" s="2">
        <v>0.16961783439490444</v>
      </c>
      <c r="E6" s="2">
        <v>8.0093797859999996E-2</v>
      </c>
      <c r="F6" s="2">
        <v>7.2184170470000003E-2</v>
      </c>
      <c r="G6" s="2">
        <v>4.0357976650000002E-2</v>
      </c>
      <c r="H6" s="2">
        <v>5.046324655E-2</v>
      </c>
      <c r="I6" s="2">
        <v>0.1022872756</v>
      </c>
      <c r="J6" s="2">
        <v>8.1935114500000003E-2</v>
      </c>
      <c r="K6" s="2">
        <v>0.101914242</v>
      </c>
      <c r="L6" s="2">
        <v>9.5477099240000002E-2</v>
      </c>
      <c r="M6" s="2">
        <v>0.1257176106</v>
      </c>
      <c r="N6" s="2">
        <v>9.81264637E-2</v>
      </c>
      <c r="O6" s="2">
        <v>0.1127626459</v>
      </c>
      <c r="P6" s="2">
        <v>5.7533177210000001E-2</v>
      </c>
      <c r="Q6" s="2">
        <v>5.9305230289999997E-2</v>
      </c>
      <c r="R6" s="2">
        <v>9.4934057409999995E-2</v>
      </c>
      <c r="S6" s="2">
        <v>8.8817120619999995E-2</v>
      </c>
      <c r="T6" s="2">
        <v>8.1609877489999996E-2</v>
      </c>
      <c r="U6" s="2">
        <v>9.8250382849999998E-2</v>
      </c>
      <c r="V6" s="2">
        <v>7.9182279470000005E-2</v>
      </c>
      <c r="W6" s="2">
        <v>0.11583333329999999</v>
      </c>
      <c r="X6" s="2">
        <v>8.1725214680000005E-2</v>
      </c>
      <c r="Y6" s="2">
        <v>0.12239071040000001</v>
      </c>
      <c r="Z6" s="2">
        <v>5.9152671759999997E-2</v>
      </c>
      <c r="AA6" s="2">
        <v>8.8134270099999995E-2</v>
      </c>
      <c r="AB6" s="2">
        <v>0.11435992220000001</v>
      </c>
      <c r="AC6" s="2">
        <v>8.7261904759999995E-2</v>
      </c>
      <c r="AD6" s="2">
        <v>0.10834226650000001</v>
      </c>
      <c r="AE6" s="2">
        <v>6.6225680930000003E-2</v>
      </c>
      <c r="AF6" s="2">
        <v>0.13530259365994238</v>
      </c>
      <c r="AG6" s="2">
        <v>8.88296178343949E-2</v>
      </c>
      <c r="AH6" s="2">
        <v>9.7062202852614896E-2</v>
      </c>
      <c r="AI6" s="2">
        <v>9.3924050632911385E-2</v>
      </c>
      <c r="AJ6" s="2">
        <v>5.4697452229299351E-2</v>
      </c>
      <c r="AK6" s="2">
        <v>2.6068869426751594E-2</v>
      </c>
      <c r="AL6" s="2">
        <v>9.7961783439490441E-2</v>
      </c>
      <c r="AM6" s="2">
        <v>0.11600318471337578</v>
      </c>
      <c r="AN6" s="2">
        <v>0.11589968152866241</v>
      </c>
      <c r="AO6" s="2">
        <v>0.11386075949367087</v>
      </c>
      <c r="AP6" s="2">
        <v>9.5835987261146505E-2</v>
      </c>
      <c r="AQ6" s="2">
        <v>0.12913034865293183</v>
      </c>
      <c r="AR6" s="2">
        <v>6.1469298245614007E-2</v>
      </c>
      <c r="AS6" s="2">
        <v>0.10764154704944177</v>
      </c>
      <c r="AT6" s="2">
        <v>0.12175079491255962</v>
      </c>
      <c r="AU6" s="2">
        <v>6.5421974522292994E-2</v>
      </c>
      <c r="AV6" s="2">
        <v>0.10203696343402227</v>
      </c>
      <c r="AW6" s="2">
        <v>6.9243264659270998E-2</v>
      </c>
      <c r="AX6" s="2">
        <v>0.11062201907790142</v>
      </c>
      <c r="AY6" s="2">
        <v>6.5812798092209843E-2</v>
      </c>
      <c r="AZ6" s="2">
        <v>0.12213351822503961</v>
      </c>
    </row>
    <row r="7" spans="1:52" ht="14.25" customHeight="1">
      <c r="A7" s="2">
        <v>6</v>
      </c>
      <c r="B7" s="2">
        <v>0.17277070063694266</v>
      </c>
      <c r="C7" s="2">
        <v>9.8555815769999999E-2</v>
      </c>
      <c r="D7" s="2">
        <v>0.17993630573248406</v>
      </c>
      <c r="E7" s="2">
        <v>0.1686447167</v>
      </c>
      <c r="F7" s="2">
        <v>0.16533485540000001</v>
      </c>
      <c r="G7" s="2">
        <v>7.5680933850000007E-2</v>
      </c>
      <c r="H7" s="2">
        <v>0.1184915773</v>
      </c>
      <c r="I7" s="2">
        <v>1.7369242779999999E-2</v>
      </c>
      <c r="J7" s="2">
        <v>0.19370229010000001</v>
      </c>
      <c r="K7" s="2">
        <v>0.19391271060000001</v>
      </c>
      <c r="L7" s="2">
        <v>0.17385496180000001</v>
      </c>
      <c r="M7" s="2">
        <v>4.0729247479999999E-3</v>
      </c>
      <c r="N7" s="2">
        <v>0.1469555035</v>
      </c>
      <c r="O7" s="2">
        <v>0.19085603109999999</v>
      </c>
      <c r="P7" s="2">
        <v>0.11338797809999999</v>
      </c>
      <c r="Q7" s="2">
        <v>4.7033567530000001E-2</v>
      </c>
      <c r="R7" s="2">
        <v>0.15535298680000001</v>
      </c>
      <c r="S7" s="2">
        <v>0.2056420233</v>
      </c>
      <c r="T7" s="2">
        <v>0.14529096480000001</v>
      </c>
      <c r="U7" s="2">
        <v>0.2080781011</v>
      </c>
      <c r="V7" s="2">
        <v>0.15085870409999999</v>
      </c>
      <c r="W7" s="2">
        <v>0.1969164715</v>
      </c>
      <c r="X7" s="2">
        <v>6.5768930520000005E-2</v>
      </c>
      <c r="Y7" s="2">
        <v>4.2349726779999999E-2</v>
      </c>
      <c r="Z7" s="2">
        <v>9.332061069E-2</v>
      </c>
      <c r="AA7" s="2">
        <v>0.15476190479999999</v>
      </c>
      <c r="AB7" s="2">
        <v>2.4319066149999999E-2</v>
      </c>
      <c r="AC7" s="2">
        <v>0.16881342699999999</v>
      </c>
      <c r="AD7" s="2">
        <v>0.19352986220000001</v>
      </c>
      <c r="AE7" s="2">
        <v>0.1107003891</v>
      </c>
      <c r="AF7" s="2">
        <v>0.32853025936599423</v>
      </c>
      <c r="AG7" s="2">
        <v>0.14092356687898089</v>
      </c>
      <c r="AH7" s="2">
        <v>0.18740095087163233</v>
      </c>
      <c r="AI7" s="2">
        <v>0.18591772151898733</v>
      </c>
      <c r="AJ7" s="2">
        <v>6.6878980891719744E-2</v>
      </c>
      <c r="AK7" s="2">
        <v>4.3391719745222927E-2</v>
      </c>
      <c r="AL7" s="2">
        <v>0.19426751592356689</v>
      </c>
      <c r="AM7" s="2">
        <v>0.25</v>
      </c>
      <c r="AN7" s="2">
        <v>0.23964968152866242</v>
      </c>
      <c r="AO7" s="2">
        <v>8.6234177215189875E-2</v>
      </c>
      <c r="AP7" s="2">
        <v>0.1321656050955414</v>
      </c>
      <c r="AQ7" s="2">
        <v>0.20641838351822503</v>
      </c>
      <c r="AR7" s="2">
        <v>5.5422647527910686E-2</v>
      </c>
      <c r="AS7" s="2">
        <v>0.129585326953748</v>
      </c>
      <c r="AT7" s="2">
        <v>0.22217806041335453</v>
      </c>
      <c r="AU7" s="2">
        <v>0.17197452229299362</v>
      </c>
      <c r="AV7" s="2">
        <v>0.21104928457869634</v>
      </c>
      <c r="AW7" s="2">
        <v>0.18502377179080823</v>
      </c>
      <c r="AX7" s="2">
        <v>0.17527821939586646</v>
      </c>
      <c r="AY7" s="2">
        <v>6.5580286168521462E-2</v>
      </c>
      <c r="AZ7" s="2">
        <v>0.20562599049128369</v>
      </c>
    </row>
    <row r="8" spans="1:52" ht="14.25" customHeight="1"/>
    <row r="9" spans="1:52" ht="14.25" customHeight="1"/>
    <row r="10" spans="1:52" ht="14.25" customHeight="1">
      <c r="AR10" s="2">
        <v>0.20382165605095542</v>
      </c>
    </row>
    <row r="11" spans="1:52" ht="14.25" customHeight="1">
      <c r="AR11" s="2">
        <v>0.1529777070063694</v>
      </c>
    </row>
    <row r="12" spans="1:52" ht="14.25" customHeight="1">
      <c r="AR12" s="2">
        <v>0.35934713375796179</v>
      </c>
    </row>
    <row r="13" spans="1:52" ht="14.25" customHeight="1">
      <c r="AR13" s="2">
        <v>0.17017515923566875</v>
      </c>
    </row>
    <row r="14" spans="1:52" ht="14.25" customHeight="1">
      <c r="AR14" s="2">
        <v>0.14631369426751592</v>
      </c>
    </row>
    <row r="15" spans="1:52" ht="14.25" customHeight="1">
      <c r="AR15" s="2">
        <v>6.3192675159235656E-2</v>
      </c>
    </row>
    <row r="16" spans="1:52" ht="14.25" customHeight="1">
      <c r="AR16" s="2">
        <v>5.6528662420382167E-2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000"/>
  <sheetViews>
    <sheetView topLeftCell="B18" workbookViewId="0"/>
  </sheetViews>
  <sheetFormatPr baseColWidth="10" defaultColWidth="14.5" defaultRowHeight="15" customHeight="1"/>
  <cols>
    <col min="1" max="1" width="7.5" customWidth="1"/>
    <col min="2" max="2" width="6.1640625" customWidth="1"/>
    <col min="3" max="3" width="7.5" customWidth="1"/>
    <col min="4" max="4" width="2.1640625" customWidth="1"/>
    <col min="5" max="5" width="5.5" customWidth="1"/>
    <col min="6" max="26" width="8.6640625" customWidth="1"/>
  </cols>
  <sheetData>
    <row r="1" spans="1:2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>
        <v>30</v>
      </c>
      <c r="I1" s="2">
        <v>251</v>
      </c>
      <c r="J1" s="2">
        <v>3</v>
      </c>
      <c r="K1" s="2">
        <v>0</v>
      </c>
      <c r="L1" s="2">
        <v>0.93700000000000006</v>
      </c>
      <c r="M1" s="2">
        <v>1</v>
      </c>
    </row>
    <row r="2" spans="1:22" ht="14.25" customHeight="1">
      <c r="A2" s="2">
        <v>30</v>
      </c>
      <c r="B2" s="2">
        <v>1</v>
      </c>
      <c r="C2" s="2">
        <v>6</v>
      </c>
      <c r="E2" s="2">
        <v>2.0019999999999998</v>
      </c>
      <c r="H2" s="2">
        <v>30</v>
      </c>
      <c r="I2" s="2">
        <v>252</v>
      </c>
      <c r="J2" s="2">
        <v>6</v>
      </c>
      <c r="K2" s="2">
        <v>1</v>
      </c>
      <c r="L2" s="2">
        <v>0.78900000000000003</v>
      </c>
      <c r="M2" s="2">
        <v>2</v>
      </c>
    </row>
    <row r="3" spans="1:22" ht="14.25" customHeight="1">
      <c r="A3" s="2">
        <v>30</v>
      </c>
      <c r="B3" s="2">
        <v>2</v>
      </c>
      <c r="C3" s="2">
        <v>5</v>
      </c>
      <c r="E3" s="2">
        <v>2.0009999999999999</v>
      </c>
      <c r="H3" s="2">
        <v>30</v>
      </c>
      <c r="I3" s="2">
        <v>253</v>
      </c>
      <c r="J3" s="2">
        <v>5</v>
      </c>
      <c r="K3" s="2">
        <v>1</v>
      </c>
      <c r="L3" s="2">
        <v>0.79100000000000004</v>
      </c>
      <c r="M3" s="2">
        <v>2</v>
      </c>
    </row>
    <row r="4" spans="1:22" ht="14.25" customHeight="1">
      <c r="A4" s="2">
        <v>30</v>
      </c>
      <c r="B4" s="2">
        <v>3</v>
      </c>
      <c r="C4" s="2">
        <v>1</v>
      </c>
      <c r="E4" s="2">
        <v>2</v>
      </c>
      <c r="H4" s="2">
        <v>30</v>
      </c>
      <c r="I4" s="2">
        <v>254</v>
      </c>
      <c r="J4" s="2">
        <v>8</v>
      </c>
      <c r="K4" s="2">
        <v>1</v>
      </c>
      <c r="L4" s="2">
        <v>0.97899999999999998</v>
      </c>
      <c r="M4" s="2">
        <v>1</v>
      </c>
      <c r="O4" s="2" t="s">
        <v>6</v>
      </c>
    </row>
    <row r="5" spans="1:22" ht="14.25" customHeight="1">
      <c r="A5" s="2">
        <v>30</v>
      </c>
      <c r="B5" s="2">
        <v>4</v>
      </c>
      <c r="C5" s="2">
        <v>4</v>
      </c>
      <c r="E5" s="2">
        <v>2</v>
      </c>
      <c r="H5" s="2">
        <v>30</v>
      </c>
      <c r="I5" s="2">
        <v>255</v>
      </c>
      <c r="J5" s="2">
        <v>4</v>
      </c>
      <c r="K5" s="2">
        <v>1</v>
      </c>
      <c r="L5" s="2">
        <v>0.85299999999999998</v>
      </c>
      <c r="M5" s="2">
        <v>1</v>
      </c>
      <c r="O5" s="2">
        <v>1</v>
      </c>
      <c r="P5" s="2">
        <v>2</v>
      </c>
      <c r="Q5" s="2">
        <v>3</v>
      </c>
      <c r="R5" s="2">
        <v>4</v>
      </c>
      <c r="S5" s="2">
        <v>5</v>
      </c>
      <c r="T5" s="2">
        <v>6</v>
      </c>
      <c r="U5" s="2">
        <v>7</v>
      </c>
      <c r="V5" s="2">
        <v>8</v>
      </c>
    </row>
    <row r="6" spans="1:22" ht="14.25" customHeight="1">
      <c r="A6" s="2">
        <v>30</v>
      </c>
      <c r="B6" s="2">
        <v>5</v>
      </c>
      <c r="C6" s="2">
        <v>8</v>
      </c>
      <c r="E6" s="2">
        <v>2</v>
      </c>
      <c r="H6" s="2">
        <v>30</v>
      </c>
      <c r="I6" s="2">
        <v>256</v>
      </c>
      <c r="J6" s="2">
        <v>7</v>
      </c>
      <c r="K6" s="2">
        <v>1</v>
      </c>
      <c r="L6" s="2">
        <v>1.1559999999999999</v>
      </c>
      <c r="M6" s="2">
        <v>1</v>
      </c>
      <c r="N6" s="2">
        <v>1</v>
      </c>
      <c r="O6" s="2">
        <v>0.95</v>
      </c>
      <c r="P6" s="2">
        <v>0.05</v>
      </c>
      <c r="Q6" s="2">
        <v>0.95</v>
      </c>
      <c r="R6" s="2">
        <v>0.05</v>
      </c>
      <c r="S6" s="2">
        <v>0.95</v>
      </c>
      <c r="T6" s="2">
        <v>0.95</v>
      </c>
      <c r="U6" s="2">
        <v>0.05</v>
      </c>
      <c r="V6" s="2">
        <v>0.05</v>
      </c>
    </row>
    <row r="7" spans="1:22" ht="14.25" customHeight="1">
      <c r="A7" s="2">
        <v>30</v>
      </c>
      <c r="B7" s="2">
        <v>6</v>
      </c>
      <c r="C7" s="2">
        <v>2</v>
      </c>
      <c r="D7" s="2">
        <v>0</v>
      </c>
      <c r="E7" s="2">
        <v>1.667</v>
      </c>
      <c r="F7" s="2">
        <v>2</v>
      </c>
      <c r="H7" s="2">
        <v>30</v>
      </c>
      <c r="I7" s="2">
        <v>257</v>
      </c>
      <c r="J7" s="2">
        <v>2</v>
      </c>
      <c r="K7" s="2">
        <v>0</v>
      </c>
      <c r="L7" s="2">
        <v>0.77</v>
      </c>
      <c r="M7" s="2">
        <v>1</v>
      </c>
      <c r="N7" s="2">
        <v>2</v>
      </c>
      <c r="O7" s="2">
        <v>0.95</v>
      </c>
      <c r="P7" s="2">
        <v>0.95</v>
      </c>
      <c r="Q7" s="2">
        <v>0.05</v>
      </c>
      <c r="R7" s="2">
        <v>0.05</v>
      </c>
      <c r="S7" s="2">
        <v>0.95</v>
      </c>
      <c r="T7" s="2">
        <v>0.95</v>
      </c>
      <c r="U7" s="2">
        <v>0.05</v>
      </c>
      <c r="V7" s="2">
        <v>0.05</v>
      </c>
    </row>
    <row r="8" spans="1:22" ht="14.25" customHeight="1">
      <c r="A8" s="2">
        <v>30</v>
      </c>
      <c r="B8" s="2">
        <v>7</v>
      </c>
      <c r="C8" s="2">
        <v>6</v>
      </c>
      <c r="E8" s="2">
        <v>2</v>
      </c>
      <c r="H8" s="2">
        <v>30</v>
      </c>
      <c r="I8" s="2">
        <v>258</v>
      </c>
      <c r="J8" s="2">
        <v>3</v>
      </c>
      <c r="K8" s="2">
        <v>0</v>
      </c>
      <c r="L8" s="2">
        <v>1.0940000000000001</v>
      </c>
      <c r="M8" s="2">
        <v>2</v>
      </c>
      <c r="N8" s="2">
        <v>3</v>
      </c>
      <c r="O8" s="2">
        <v>0.95</v>
      </c>
      <c r="P8" s="2">
        <v>0.05</v>
      </c>
      <c r="Q8" s="2">
        <v>0.95</v>
      </c>
      <c r="R8" s="2">
        <v>0.05</v>
      </c>
      <c r="S8" s="2">
        <v>0.95</v>
      </c>
      <c r="T8" s="2">
        <v>0.05</v>
      </c>
      <c r="U8" s="2">
        <v>0.95</v>
      </c>
      <c r="V8" s="2">
        <v>0.05</v>
      </c>
    </row>
    <row r="9" spans="1:22" ht="14.25" customHeight="1">
      <c r="A9" s="2">
        <v>30</v>
      </c>
      <c r="B9" s="2">
        <v>8</v>
      </c>
      <c r="C9" s="2">
        <v>2</v>
      </c>
      <c r="D9" s="2">
        <v>0</v>
      </c>
      <c r="E9" s="2">
        <v>1.331</v>
      </c>
      <c r="F9" s="2">
        <v>2</v>
      </c>
      <c r="H9" s="2">
        <v>30</v>
      </c>
      <c r="I9" s="2">
        <v>259</v>
      </c>
      <c r="J9" s="2">
        <v>1</v>
      </c>
      <c r="K9" s="2">
        <v>1</v>
      </c>
      <c r="L9" s="2">
        <v>1.1479999999999999</v>
      </c>
      <c r="M9" s="2">
        <v>2</v>
      </c>
      <c r="N9" s="2">
        <v>4</v>
      </c>
      <c r="O9" s="2">
        <v>0.5</v>
      </c>
      <c r="P9" s="2">
        <v>0.5</v>
      </c>
      <c r="Q9" s="2">
        <v>0.5</v>
      </c>
      <c r="R9" s="2">
        <v>0.5</v>
      </c>
      <c r="S9" s="2">
        <v>0.95</v>
      </c>
      <c r="T9" s="2">
        <v>0.95</v>
      </c>
      <c r="U9" s="2">
        <v>0.05</v>
      </c>
      <c r="V9" s="2">
        <v>0.05</v>
      </c>
    </row>
    <row r="10" spans="1:22" ht="14.25" customHeight="1">
      <c r="A10" s="2">
        <v>30</v>
      </c>
      <c r="B10" s="2">
        <v>9</v>
      </c>
      <c r="C10" s="2">
        <v>1</v>
      </c>
      <c r="D10" s="2">
        <v>1</v>
      </c>
      <c r="E10" s="2">
        <v>0.72799999999999998</v>
      </c>
      <c r="F10" s="2">
        <v>2</v>
      </c>
      <c r="H10" s="2">
        <v>30</v>
      </c>
      <c r="I10" s="2">
        <v>260</v>
      </c>
      <c r="J10" s="2">
        <v>3</v>
      </c>
      <c r="K10" s="2">
        <v>1</v>
      </c>
      <c r="L10" s="2">
        <v>1.345</v>
      </c>
      <c r="M10" s="2">
        <v>2</v>
      </c>
      <c r="N10" s="2">
        <v>5</v>
      </c>
      <c r="O10" s="2">
        <v>0.95</v>
      </c>
      <c r="P10" s="2">
        <v>0.05</v>
      </c>
      <c r="Q10" s="2">
        <v>0.95</v>
      </c>
      <c r="R10" s="2">
        <v>0.05</v>
      </c>
      <c r="S10" s="2">
        <v>0.5</v>
      </c>
      <c r="T10" s="2">
        <v>0.5</v>
      </c>
      <c r="U10" s="2">
        <v>0.5</v>
      </c>
      <c r="V10" s="2">
        <v>0.5</v>
      </c>
    </row>
    <row r="11" spans="1:22" ht="14.25" customHeight="1">
      <c r="A11" s="2">
        <v>30</v>
      </c>
      <c r="B11" s="2">
        <v>10</v>
      </c>
      <c r="C11" s="2">
        <v>3</v>
      </c>
      <c r="D11" s="2">
        <v>1</v>
      </c>
      <c r="E11" s="2">
        <v>0.88300000000000001</v>
      </c>
      <c r="F11" s="2">
        <v>2</v>
      </c>
      <c r="H11" s="2">
        <v>30</v>
      </c>
      <c r="I11" s="2">
        <v>261</v>
      </c>
      <c r="J11" s="2">
        <v>4</v>
      </c>
      <c r="K11" s="2">
        <v>1</v>
      </c>
      <c r="L11" s="2">
        <v>0.95499999999999996</v>
      </c>
      <c r="M11" s="2">
        <v>1</v>
      </c>
      <c r="N11" s="2">
        <v>6</v>
      </c>
      <c r="O11" s="2">
        <v>0.5</v>
      </c>
      <c r="P11" s="2">
        <v>0.5</v>
      </c>
      <c r="Q11" s="2">
        <v>0.5</v>
      </c>
      <c r="R11" s="2">
        <v>0.5</v>
      </c>
      <c r="S11" s="2">
        <v>0.5</v>
      </c>
      <c r="T11" s="2">
        <v>0.5</v>
      </c>
      <c r="U11" s="2">
        <v>0.5</v>
      </c>
      <c r="V11" s="2">
        <v>0.5</v>
      </c>
    </row>
    <row r="12" spans="1:22" ht="14.25" customHeight="1">
      <c r="A12" s="2">
        <v>30</v>
      </c>
      <c r="B12" s="2">
        <v>11</v>
      </c>
      <c r="C12" s="2">
        <v>7</v>
      </c>
      <c r="D12" s="2">
        <v>1</v>
      </c>
      <c r="E12" s="2">
        <v>1.544</v>
      </c>
      <c r="F12" s="2">
        <v>1</v>
      </c>
      <c r="H12" s="2">
        <v>30</v>
      </c>
      <c r="I12" s="2">
        <v>262</v>
      </c>
      <c r="J12" s="2">
        <v>1</v>
      </c>
      <c r="K12" s="2">
        <v>1</v>
      </c>
      <c r="L12" s="2">
        <v>1.135</v>
      </c>
      <c r="M12" s="2">
        <v>1</v>
      </c>
    </row>
    <row r="13" spans="1:22" ht="14.25" customHeight="1">
      <c r="A13" s="2">
        <v>30</v>
      </c>
      <c r="B13" s="2">
        <v>12</v>
      </c>
      <c r="C13" s="2">
        <v>8</v>
      </c>
      <c r="D13" s="2">
        <v>1</v>
      </c>
      <c r="E13" s="2">
        <v>1.1020000000000001</v>
      </c>
      <c r="F13" s="2">
        <v>1</v>
      </c>
      <c r="H13" s="2">
        <v>30</v>
      </c>
      <c r="I13" s="2">
        <v>263</v>
      </c>
      <c r="J13" s="2">
        <v>2</v>
      </c>
      <c r="K13" s="2">
        <v>1</v>
      </c>
      <c r="L13" s="2">
        <v>1.38</v>
      </c>
      <c r="M13" s="2">
        <v>2</v>
      </c>
    </row>
    <row r="14" spans="1:22" ht="14.25" customHeight="1">
      <c r="A14" s="2">
        <v>30</v>
      </c>
      <c r="B14" s="2">
        <v>13</v>
      </c>
      <c r="C14" s="2">
        <v>1</v>
      </c>
      <c r="D14" s="2">
        <v>1</v>
      </c>
      <c r="E14" s="2">
        <v>0.80800000000000005</v>
      </c>
      <c r="F14" s="2">
        <v>2</v>
      </c>
      <c r="H14" s="2">
        <v>30</v>
      </c>
      <c r="I14" s="2">
        <v>264</v>
      </c>
      <c r="J14" s="2">
        <v>5</v>
      </c>
      <c r="K14" s="2">
        <v>1</v>
      </c>
      <c r="L14" s="2">
        <v>1.167</v>
      </c>
      <c r="M14" s="2">
        <v>1</v>
      </c>
      <c r="O14" s="2" t="s">
        <v>7</v>
      </c>
      <c r="P14" s="2" t="s">
        <v>8</v>
      </c>
      <c r="Q14" s="2" t="s">
        <v>7</v>
      </c>
      <c r="R14" s="2" t="s">
        <v>8</v>
      </c>
      <c r="S14" s="2" t="s">
        <v>7</v>
      </c>
      <c r="T14" s="2" t="s">
        <v>7</v>
      </c>
      <c r="U14" s="2" t="s">
        <v>8</v>
      </c>
      <c r="V14" s="2" t="s">
        <v>8</v>
      </c>
    </row>
    <row r="15" spans="1:22" ht="14.25" customHeight="1">
      <c r="A15" s="2">
        <v>30</v>
      </c>
      <c r="B15" s="2">
        <v>14</v>
      </c>
      <c r="C15" s="2">
        <v>2</v>
      </c>
      <c r="D15" s="2">
        <v>0</v>
      </c>
      <c r="E15" s="2">
        <v>1.5149999999999999</v>
      </c>
      <c r="F15" s="2">
        <v>2</v>
      </c>
      <c r="H15" s="2">
        <v>30</v>
      </c>
      <c r="I15" s="2">
        <v>265</v>
      </c>
      <c r="J15" s="2">
        <v>7</v>
      </c>
      <c r="K15" s="2">
        <v>1</v>
      </c>
      <c r="L15" s="2">
        <v>1.379</v>
      </c>
      <c r="M15" s="2">
        <v>1</v>
      </c>
      <c r="O15" s="2" t="s">
        <v>9</v>
      </c>
    </row>
    <row r="16" spans="1:22" ht="14.25" customHeight="1">
      <c r="A16" s="2">
        <v>30</v>
      </c>
      <c r="B16" s="2">
        <v>15</v>
      </c>
      <c r="C16" s="2">
        <v>7</v>
      </c>
      <c r="D16" s="2">
        <v>1</v>
      </c>
      <c r="E16" s="2">
        <v>1.2809999999999999</v>
      </c>
      <c r="F16" s="2">
        <v>1</v>
      </c>
      <c r="H16" s="2">
        <v>30</v>
      </c>
      <c r="I16" s="2">
        <v>266</v>
      </c>
      <c r="J16" s="2">
        <v>2</v>
      </c>
      <c r="K16" s="2">
        <v>1</v>
      </c>
      <c r="L16" s="2">
        <v>1.206</v>
      </c>
      <c r="M16" s="2">
        <v>2</v>
      </c>
      <c r="O16" s="2">
        <v>1</v>
      </c>
      <c r="P16" s="2">
        <v>2</v>
      </c>
      <c r="Q16" s="2">
        <v>3</v>
      </c>
      <c r="R16" s="2">
        <v>4</v>
      </c>
      <c r="S16" s="2">
        <v>5</v>
      </c>
      <c r="T16" s="2">
        <v>6</v>
      </c>
      <c r="U16" s="2">
        <v>7</v>
      </c>
      <c r="V16" s="2">
        <v>8</v>
      </c>
    </row>
    <row r="17" spans="1:22" ht="14.25" customHeight="1">
      <c r="A17" s="2">
        <v>30</v>
      </c>
      <c r="B17" s="2">
        <v>16</v>
      </c>
      <c r="C17" s="2">
        <v>5</v>
      </c>
      <c r="D17" s="2">
        <v>1</v>
      </c>
      <c r="E17" s="2">
        <v>0.69499999999999995</v>
      </c>
      <c r="F17" s="2">
        <v>2</v>
      </c>
      <c r="H17" s="2">
        <v>30</v>
      </c>
      <c r="I17" s="2">
        <v>267</v>
      </c>
      <c r="J17" s="2">
        <v>6</v>
      </c>
      <c r="K17" s="2">
        <v>1</v>
      </c>
      <c r="L17" s="2">
        <v>1.224</v>
      </c>
      <c r="M17" s="2">
        <v>2</v>
      </c>
      <c r="N17" s="2">
        <v>1</v>
      </c>
      <c r="O17" s="2">
        <f t="shared" ref="O17:O22" si="0">(O6*COUNTIF($J$1:$J$100,O$16) - COUNTIFS($J$1:$J$100,O$16,$K$1:$K$100,"=1"))^2</f>
        <v>0.12250000000000037</v>
      </c>
      <c r="P17" s="2">
        <f t="shared" ref="P17:P22" si="1">(P6*COUNTIF($J$1:$J$100,P$16) - COUNTIFS($J$1:$J$100,P$16,$K$1:$K$100,"=0"))^2</f>
        <v>2.8899999999999997</v>
      </c>
      <c r="Q17" s="2">
        <f t="shared" ref="Q17:Q22" si="2">(Q6*COUNTIF($J$1:$J$100,Q$16) - COUNTIFS($J$1:$J$100,Q$16,$K$1:$K$100,"=1"))^2</f>
        <v>7.2899999999999965</v>
      </c>
      <c r="R17" s="2">
        <f t="shared" ref="R17:R22" si="3">(R6*COUNTIF($J$1:$J$100,R$16) - COUNTIFS($J$1:$J$100,R$16,$K$1:$K$100,"=0"))^2</f>
        <v>0.42249999999999988</v>
      </c>
      <c r="S17" s="2">
        <f t="shared" ref="S17:T17" si="4">(S6*COUNTIF($J$1:$J$100,S$16) - COUNTIFS($J$1:$J$100,S$16,$K$1:$K$100,"=1"))^2</f>
        <v>2.8899999999999975</v>
      </c>
      <c r="T17" s="2">
        <f t="shared" si="4"/>
        <v>0.48999999999999899</v>
      </c>
      <c r="U17" s="2">
        <f t="shared" ref="U17:V17" si="5">(U6*COUNTIF($J$1:$J$100,U$16) - COUNTIFS($J$1:$J$100,U$16,$K$1:$K$100,"=0"))^2</f>
        <v>9.0000000000000024E-2</v>
      </c>
      <c r="V17" s="2">
        <f t="shared" si="5"/>
        <v>9.0000000000000024E-2</v>
      </c>
    </row>
    <row r="18" spans="1:22" ht="14.25" customHeight="1">
      <c r="A18" s="2">
        <v>30</v>
      </c>
      <c r="B18" s="2">
        <v>17</v>
      </c>
      <c r="C18" s="2">
        <v>1</v>
      </c>
      <c r="D18" s="2">
        <v>1</v>
      </c>
      <c r="E18" s="2">
        <v>1.359</v>
      </c>
      <c r="F18" s="2">
        <v>2</v>
      </c>
      <c r="H18" s="2">
        <v>30</v>
      </c>
      <c r="I18" s="2">
        <v>268</v>
      </c>
      <c r="J18" s="2">
        <v>5</v>
      </c>
      <c r="K18" s="2">
        <v>0</v>
      </c>
      <c r="L18" s="2">
        <v>1.881</v>
      </c>
      <c r="M18" s="2">
        <v>1</v>
      </c>
      <c r="N18" s="2">
        <v>2</v>
      </c>
      <c r="O18" s="2">
        <f t="shared" si="0"/>
        <v>0.12250000000000037</v>
      </c>
      <c r="P18" s="2">
        <f t="shared" si="1"/>
        <v>13.689999999999994</v>
      </c>
      <c r="Q18" s="2">
        <f t="shared" si="2"/>
        <v>7.2900000000000009</v>
      </c>
      <c r="R18" s="2">
        <f t="shared" si="3"/>
        <v>0.42249999999999988</v>
      </c>
      <c r="S18" s="2">
        <f t="shared" ref="S18:T18" si="6">(S7*COUNTIF($J$1:$J$100,S$16) - COUNTIFS($J$1:$J$100,S$16,$K$1:$K$100,"=1"))^2</f>
        <v>2.8899999999999975</v>
      </c>
      <c r="T18" s="2">
        <f t="shared" si="6"/>
        <v>0.48999999999999899</v>
      </c>
      <c r="U18" s="2">
        <f t="shared" ref="U18:V18" si="7">(U7*COUNTIF($J$1:$J$100,U$16) - COUNTIFS($J$1:$J$100,U$16,$K$1:$K$100,"=0"))^2</f>
        <v>9.0000000000000024E-2</v>
      </c>
      <c r="V18" s="2">
        <f t="shared" si="7"/>
        <v>9.0000000000000024E-2</v>
      </c>
    </row>
    <row r="19" spans="1:22" ht="14.25" customHeight="1">
      <c r="A19" s="2">
        <v>30</v>
      </c>
      <c r="B19" s="2">
        <v>18</v>
      </c>
      <c r="C19" s="2">
        <v>6</v>
      </c>
      <c r="D19" s="2">
        <v>0</v>
      </c>
      <c r="E19" s="2">
        <v>1.8660000000000001</v>
      </c>
      <c r="F19" s="2">
        <v>1</v>
      </c>
      <c r="H19" s="2">
        <v>30</v>
      </c>
      <c r="I19" s="2">
        <v>269</v>
      </c>
      <c r="J19" s="2">
        <v>4</v>
      </c>
      <c r="K19" s="2">
        <v>1</v>
      </c>
      <c r="L19" s="2">
        <v>1.591</v>
      </c>
      <c r="M19" s="2">
        <v>1</v>
      </c>
      <c r="N19" s="2">
        <v>3</v>
      </c>
      <c r="O19" s="2">
        <f t="shared" si="0"/>
        <v>0.12250000000000037</v>
      </c>
      <c r="P19" s="2">
        <f t="shared" si="1"/>
        <v>2.8899999999999997</v>
      </c>
      <c r="Q19" s="2">
        <f t="shared" si="2"/>
        <v>7.2899999999999965</v>
      </c>
      <c r="R19" s="2">
        <f t="shared" si="3"/>
        <v>0.42249999999999988</v>
      </c>
      <c r="S19" s="2">
        <f t="shared" ref="S19:T19" si="8">(S8*COUNTIF($J$1:$J$100,S$16) - COUNTIFS($J$1:$J$100,S$16,$K$1:$K$100,"=1"))^2</f>
        <v>2.8899999999999975</v>
      </c>
      <c r="T19" s="2">
        <f t="shared" si="8"/>
        <v>22.090000000000003</v>
      </c>
      <c r="U19" s="2">
        <f t="shared" ref="U19:V19" si="9">(U8*COUNTIF($J$1:$J$100,U$16) - COUNTIFS($J$1:$J$100,U$16,$K$1:$K$100,"=0"))^2</f>
        <v>32.489999999999995</v>
      </c>
      <c r="V19" s="2">
        <f t="shared" si="9"/>
        <v>9.0000000000000024E-2</v>
      </c>
    </row>
    <row r="20" spans="1:22" ht="14.25" customHeight="1">
      <c r="A20" s="2">
        <v>30</v>
      </c>
      <c r="B20" s="2">
        <v>19</v>
      </c>
      <c r="C20" s="2">
        <v>2</v>
      </c>
      <c r="D20" s="2">
        <v>0</v>
      </c>
      <c r="E20" s="2">
        <v>0.93300000000000005</v>
      </c>
      <c r="F20" s="2">
        <v>2</v>
      </c>
      <c r="H20" s="2">
        <v>30</v>
      </c>
      <c r="I20" s="2">
        <v>270</v>
      </c>
      <c r="J20" s="2">
        <v>8</v>
      </c>
      <c r="K20" s="2">
        <v>1</v>
      </c>
      <c r="L20" s="2">
        <v>0.86599999999999999</v>
      </c>
      <c r="M20" s="2">
        <v>2</v>
      </c>
      <c r="N20" s="2">
        <v>4</v>
      </c>
      <c r="O20" s="2">
        <f t="shared" si="0"/>
        <v>12.25</v>
      </c>
      <c r="P20" s="2">
        <f t="shared" si="1"/>
        <v>1</v>
      </c>
      <c r="Q20" s="2">
        <f t="shared" si="2"/>
        <v>0</v>
      </c>
      <c r="R20" s="2">
        <f t="shared" si="3"/>
        <v>6.25</v>
      </c>
      <c r="S20" s="2">
        <f t="shared" ref="S20:T20" si="10">(S9*COUNTIF($J$1:$J$100,S$16) - COUNTIFS($J$1:$J$100,S$16,$K$1:$K$100,"=1"))^2</f>
        <v>2.8899999999999975</v>
      </c>
      <c r="T20" s="2">
        <f t="shared" si="10"/>
        <v>0.48999999999999899</v>
      </c>
      <c r="U20" s="2">
        <f t="shared" ref="U20:V20" si="11">(U9*COUNTIF($J$1:$J$100,U$16) - COUNTIFS($J$1:$J$100,U$16,$K$1:$K$100,"=0"))^2</f>
        <v>9.0000000000000024E-2</v>
      </c>
      <c r="V20" s="2">
        <f t="shared" si="11"/>
        <v>9.0000000000000024E-2</v>
      </c>
    </row>
    <row r="21" spans="1:22" ht="14.25" customHeight="1">
      <c r="A21" s="2">
        <v>30</v>
      </c>
      <c r="B21" s="2">
        <v>20</v>
      </c>
      <c r="C21" s="2">
        <v>5</v>
      </c>
      <c r="D21" s="2">
        <v>1</v>
      </c>
      <c r="E21" s="2">
        <v>0.60799999999999998</v>
      </c>
      <c r="F21" s="2">
        <v>2</v>
      </c>
      <c r="H21" s="2">
        <v>30</v>
      </c>
      <c r="I21" s="2">
        <v>271</v>
      </c>
      <c r="J21" s="2">
        <v>2</v>
      </c>
      <c r="K21" s="2">
        <v>0</v>
      </c>
      <c r="L21" s="2">
        <v>1.21</v>
      </c>
      <c r="M21" s="2">
        <v>1</v>
      </c>
      <c r="N21" s="2">
        <v>5</v>
      </c>
      <c r="O21" s="2">
        <f t="shared" si="0"/>
        <v>0.12250000000000037</v>
      </c>
      <c r="P21" s="2">
        <f t="shared" si="1"/>
        <v>2.8899999999999997</v>
      </c>
      <c r="Q21" s="2">
        <f t="shared" si="2"/>
        <v>7.2899999999999965</v>
      </c>
      <c r="R21" s="2">
        <f t="shared" si="3"/>
        <v>0.42249999999999988</v>
      </c>
      <c r="S21" s="2">
        <f t="shared" ref="S21:T21" si="12">(S10*COUNTIF($J$1:$J$100,S$16) - COUNTIFS($J$1:$J$100,S$16,$K$1:$K$100,"=1"))^2</f>
        <v>1</v>
      </c>
      <c r="T21" s="2">
        <f t="shared" si="12"/>
        <v>4</v>
      </c>
      <c r="U21" s="2">
        <f t="shared" ref="U21:V21" si="13">(U10*COUNTIF($J$1:$J$100,U$16) - COUNTIFS($J$1:$J$100,U$16,$K$1:$K$100,"=0"))^2</f>
        <v>9</v>
      </c>
      <c r="V21" s="2">
        <f t="shared" si="13"/>
        <v>9</v>
      </c>
    </row>
    <row r="22" spans="1:22" ht="14.25" customHeight="1">
      <c r="A22" s="2">
        <v>30</v>
      </c>
      <c r="B22" s="2">
        <v>21</v>
      </c>
      <c r="C22" s="2">
        <v>1</v>
      </c>
      <c r="D22" s="2">
        <v>1</v>
      </c>
      <c r="E22" s="2">
        <v>0.83399999999999996</v>
      </c>
      <c r="F22" s="2">
        <v>2</v>
      </c>
      <c r="H22" s="2">
        <v>30</v>
      </c>
      <c r="I22" s="2">
        <v>272</v>
      </c>
      <c r="J22" s="2">
        <v>1</v>
      </c>
      <c r="K22" s="2">
        <v>1</v>
      </c>
      <c r="L22" s="2">
        <v>1.796</v>
      </c>
      <c r="M22" s="2">
        <v>2</v>
      </c>
      <c r="N22" s="2">
        <v>6</v>
      </c>
      <c r="O22" s="2">
        <f t="shared" si="0"/>
        <v>12.25</v>
      </c>
      <c r="P22" s="2">
        <f t="shared" si="1"/>
        <v>1</v>
      </c>
      <c r="Q22" s="2">
        <f t="shared" si="2"/>
        <v>0</v>
      </c>
      <c r="R22" s="2">
        <f t="shared" si="3"/>
        <v>6.25</v>
      </c>
      <c r="S22" s="2">
        <f t="shared" ref="S22:T22" si="14">(S11*COUNTIF($J$1:$J$100,S$16) - COUNTIFS($J$1:$J$100,S$16,$K$1:$K$100,"=1"))^2</f>
        <v>1</v>
      </c>
      <c r="T22" s="2">
        <f t="shared" si="14"/>
        <v>4</v>
      </c>
      <c r="U22" s="2">
        <f t="shared" ref="U22:V22" si="15">(U11*COUNTIF($J$1:$J$100,U$16) - COUNTIFS($J$1:$J$100,U$16,$K$1:$K$100,"=0"))^2</f>
        <v>9</v>
      </c>
      <c r="V22" s="2">
        <f t="shared" si="15"/>
        <v>9</v>
      </c>
    </row>
    <row r="23" spans="1:22" ht="14.25" customHeight="1">
      <c r="A23" s="2">
        <v>30</v>
      </c>
      <c r="B23" s="2">
        <v>22</v>
      </c>
      <c r="C23" s="2">
        <v>6</v>
      </c>
      <c r="D23" s="2">
        <v>1</v>
      </c>
      <c r="E23" s="2">
        <v>1.619</v>
      </c>
      <c r="F23" s="2">
        <v>2</v>
      </c>
      <c r="H23" s="2">
        <v>30</v>
      </c>
      <c r="I23" s="2">
        <v>273</v>
      </c>
      <c r="J23" s="2">
        <v>4</v>
      </c>
      <c r="K23" s="2">
        <v>1</v>
      </c>
      <c r="L23" s="2">
        <v>1.23</v>
      </c>
      <c r="M23" s="2">
        <v>1</v>
      </c>
    </row>
    <row r="24" spans="1:22" ht="14.25" customHeight="1">
      <c r="A24" s="2">
        <v>30</v>
      </c>
      <c r="B24" s="2">
        <v>23</v>
      </c>
      <c r="C24" s="2">
        <v>8</v>
      </c>
      <c r="D24" s="2">
        <v>1</v>
      </c>
      <c r="E24" s="2">
        <v>0.51900000000000002</v>
      </c>
      <c r="F24" s="2">
        <v>1</v>
      </c>
      <c r="H24" s="2">
        <v>30</v>
      </c>
      <c r="I24" s="2">
        <v>274</v>
      </c>
      <c r="J24" s="2">
        <v>6</v>
      </c>
      <c r="K24" s="2">
        <v>1</v>
      </c>
      <c r="L24" s="2">
        <v>1.528</v>
      </c>
      <c r="M24" s="2">
        <v>2</v>
      </c>
    </row>
    <row r="25" spans="1:22" ht="14.25" customHeight="1">
      <c r="A25" s="2">
        <v>30</v>
      </c>
      <c r="B25" s="2">
        <v>24</v>
      </c>
      <c r="C25" s="2">
        <v>5</v>
      </c>
      <c r="D25" s="2">
        <v>1</v>
      </c>
      <c r="E25" s="2">
        <v>0.73299999999999998</v>
      </c>
      <c r="F25" s="2">
        <v>2</v>
      </c>
      <c r="H25" s="2">
        <v>30</v>
      </c>
      <c r="I25" s="2">
        <v>275</v>
      </c>
      <c r="J25" s="2">
        <v>7</v>
      </c>
      <c r="K25" s="2">
        <v>1</v>
      </c>
      <c r="L25" s="2">
        <v>1.1970000000000001</v>
      </c>
      <c r="M25" s="2">
        <v>2</v>
      </c>
      <c r="O25" s="2">
        <v>1</v>
      </c>
      <c r="P25" s="2">
        <v>2</v>
      </c>
      <c r="Q25" s="2">
        <v>3</v>
      </c>
      <c r="R25" s="2">
        <v>4</v>
      </c>
      <c r="S25" s="2">
        <v>5</v>
      </c>
      <c r="T25" s="2">
        <v>6</v>
      </c>
      <c r="U25" s="2">
        <v>7</v>
      </c>
      <c r="V25" s="2">
        <v>8</v>
      </c>
    </row>
    <row r="26" spans="1:22" ht="14.25" customHeight="1">
      <c r="A26" s="2">
        <v>30</v>
      </c>
      <c r="B26" s="2">
        <v>25</v>
      </c>
      <c r="C26" s="2">
        <v>3</v>
      </c>
      <c r="D26" s="2">
        <v>0</v>
      </c>
      <c r="E26" s="2">
        <v>0.97</v>
      </c>
      <c r="F26" s="2">
        <v>1</v>
      </c>
      <c r="H26" s="2">
        <v>30</v>
      </c>
      <c r="I26" s="2">
        <v>276</v>
      </c>
      <c r="J26" s="2">
        <v>5</v>
      </c>
      <c r="L26" s="2">
        <v>2</v>
      </c>
      <c r="O26" s="2">
        <f t="shared" ref="O26:V26" si="16">COUNTIF($J$1:$J$100,O$16)^2</f>
        <v>49</v>
      </c>
      <c r="P26" s="2">
        <f t="shared" si="16"/>
        <v>36</v>
      </c>
      <c r="Q26" s="2">
        <f t="shared" si="16"/>
        <v>36</v>
      </c>
      <c r="R26" s="2">
        <f t="shared" si="16"/>
        <v>49</v>
      </c>
      <c r="S26" s="2">
        <f t="shared" si="16"/>
        <v>36</v>
      </c>
      <c r="T26" s="2">
        <f t="shared" si="16"/>
        <v>36</v>
      </c>
      <c r="U26" s="2">
        <f t="shared" si="16"/>
        <v>36</v>
      </c>
      <c r="V26" s="2">
        <f t="shared" si="16"/>
        <v>36</v>
      </c>
    </row>
    <row r="27" spans="1:22" ht="14.25" customHeight="1">
      <c r="A27" s="2">
        <v>30</v>
      </c>
      <c r="B27" s="2">
        <v>26</v>
      </c>
      <c r="C27" s="2">
        <v>1</v>
      </c>
      <c r="D27" s="2">
        <v>1</v>
      </c>
      <c r="E27" s="2">
        <v>0.96299999999999997</v>
      </c>
      <c r="F27" s="2">
        <v>2</v>
      </c>
      <c r="H27" s="2">
        <v>30</v>
      </c>
      <c r="I27" s="2">
        <v>277</v>
      </c>
      <c r="J27" s="2">
        <v>6</v>
      </c>
      <c r="K27" s="2">
        <v>0</v>
      </c>
      <c r="L27" s="2">
        <v>1.226</v>
      </c>
      <c r="M27" s="2">
        <v>1</v>
      </c>
    </row>
    <row r="28" spans="1:22" ht="14.25" customHeight="1">
      <c r="A28" s="2">
        <v>30</v>
      </c>
      <c r="B28" s="2">
        <v>27</v>
      </c>
      <c r="C28" s="2">
        <v>6</v>
      </c>
      <c r="D28" s="2">
        <v>1</v>
      </c>
      <c r="E28" s="2">
        <v>0.871</v>
      </c>
      <c r="F28" s="2">
        <v>2</v>
      </c>
      <c r="H28" s="2">
        <v>30</v>
      </c>
      <c r="I28" s="2">
        <v>278</v>
      </c>
      <c r="J28" s="2">
        <v>7</v>
      </c>
      <c r="K28" s="2">
        <v>1</v>
      </c>
      <c r="L28" s="2">
        <v>1.2190000000000001</v>
      </c>
      <c r="M28" s="2">
        <v>1</v>
      </c>
    </row>
    <row r="29" spans="1:22" ht="14.25" customHeight="1">
      <c r="A29" s="2">
        <v>30</v>
      </c>
      <c r="B29" s="2">
        <v>28</v>
      </c>
      <c r="C29" s="2">
        <v>2</v>
      </c>
      <c r="D29" s="2">
        <v>0</v>
      </c>
      <c r="E29" s="2">
        <v>0.84099999999999997</v>
      </c>
      <c r="F29" s="2">
        <v>2</v>
      </c>
      <c r="H29" s="2">
        <v>30</v>
      </c>
      <c r="I29" s="2">
        <v>279</v>
      </c>
      <c r="J29" s="2">
        <v>8</v>
      </c>
      <c r="K29" s="2">
        <v>1</v>
      </c>
      <c r="L29" s="2">
        <v>1.708</v>
      </c>
      <c r="M29" s="2">
        <v>2</v>
      </c>
    </row>
    <row r="30" spans="1:22" ht="14.25" customHeight="1">
      <c r="A30" s="2">
        <v>30</v>
      </c>
      <c r="B30" s="2">
        <v>29</v>
      </c>
      <c r="C30" s="2">
        <v>3</v>
      </c>
      <c r="D30" s="2">
        <v>0</v>
      </c>
      <c r="E30" s="2">
        <v>0.80800000000000005</v>
      </c>
      <c r="F30" s="2">
        <v>1</v>
      </c>
      <c r="H30" s="2">
        <v>30</v>
      </c>
      <c r="I30" s="2">
        <v>280</v>
      </c>
      <c r="J30" s="2">
        <v>5</v>
      </c>
      <c r="K30" s="2">
        <v>1</v>
      </c>
      <c r="L30" s="2">
        <v>1.0660000000000001</v>
      </c>
      <c r="M30" s="2">
        <v>1</v>
      </c>
    </row>
    <row r="31" spans="1:22" ht="14.25" customHeight="1">
      <c r="A31" s="2">
        <v>30</v>
      </c>
      <c r="B31" s="2">
        <v>30</v>
      </c>
      <c r="C31" s="2">
        <v>2</v>
      </c>
      <c r="D31" s="2">
        <v>0</v>
      </c>
      <c r="E31" s="2">
        <v>0.84199999999999997</v>
      </c>
      <c r="F31" s="2">
        <v>2</v>
      </c>
      <c r="H31" s="2">
        <v>30</v>
      </c>
      <c r="I31" s="2">
        <v>281</v>
      </c>
      <c r="J31" s="2">
        <v>3</v>
      </c>
      <c r="K31" s="2">
        <v>1</v>
      </c>
      <c r="L31" s="2">
        <v>1.7609999999999999</v>
      </c>
      <c r="M31" s="2">
        <v>2</v>
      </c>
      <c r="N31" s="2">
        <v>1</v>
      </c>
      <c r="O31" s="2">
        <f t="shared" ref="O31:O36" si="17">SUM(O17:V17)/(SUM($O$26:$V$26))</f>
        <v>4.549363057324838E-2</v>
      </c>
    </row>
    <row r="32" spans="1:22" ht="14.25" customHeight="1">
      <c r="A32" s="2">
        <v>30</v>
      </c>
      <c r="B32" s="2">
        <v>31</v>
      </c>
      <c r="C32" s="2">
        <v>1</v>
      </c>
      <c r="D32" s="2">
        <v>1</v>
      </c>
      <c r="E32" s="2">
        <v>0.93899999999999995</v>
      </c>
      <c r="F32" s="2">
        <v>2</v>
      </c>
      <c r="H32" s="2">
        <v>30</v>
      </c>
      <c r="I32" s="2">
        <v>282</v>
      </c>
      <c r="J32" s="2">
        <v>7</v>
      </c>
      <c r="K32" s="2">
        <v>1</v>
      </c>
      <c r="L32" s="2">
        <v>1.157</v>
      </c>
      <c r="M32" s="2">
        <v>2</v>
      </c>
      <c r="N32" s="2">
        <v>2</v>
      </c>
      <c r="O32" s="2">
        <f t="shared" si="17"/>
        <v>7.9888535031847105E-2</v>
      </c>
    </row>
    <row r="33" spans="1:15" ht="14.25" customHeight="1">
      <c r="A33" s="2">
        <v>30</v>
      </c>
      <c r="B33" s="2">
        <v>32</v>
      </c>
      <c r="C33" s="2">
        <v>3</v>
      </c>
      <c r="D33" s="2">
        <v>0</v>
      </c>
      <c r="E33" s="2">
        <v>0.73799999999999999</v>
      </c>
      <c r="F33" s="2">
        <v>1</v>
      </c>
      <c r="H33" s="2">
        <v>30</v>
      </c>
      <c r="I33" s="2">
        <v>283</v>
      </c>
      <c r="J33" s="2">
        <v>1</v>
      </c>
      <c r="K33" s="2">
        <v>1</v>
      </c>
      <c r="L33" s="2">
        <v>1.4330000000000001</v>
      </c>
      <c r="M33" s="2">
        <v>2</v>
      </c>
      <c r="N33" s="2">
        <v>3</v>
      </c>
      <c r="O33" s="2">
        <f t="shared" si="17"/>
        <v>0.21746815286624202</v>
      </c>
    </row>
    <row r="34" spans="1:15" ht="14.25" customHeight="1">
      <c r="A34" s="2">
        <v>30</v>
      </c>
      <c r="B34" s="2">
        <v>33</v>
      </c>
      <c r="C34" s="2">
        <v>6</v>
      </c>
      <c r="D34" s="2">
        <v>1</v>
      </c>
      <c r="E34" s="2">
        <v>1.1080000000000001</v>
      </c>
      <c r="F34" s="2">
        <v>2</v>
      </c>
      <c r="H34" s="2">
        <v>30</v>
      </c>
      <c r="I34" s="2">
        <v>284</v>
      </c>
      <c r="J34" s="2">
        <v>3</v>
      </c>
      <c r="L34" s="2">
        <v>2</v>
      </c>
      <c r="N34" s="2">
        <v>4</v>
      </c>
      <c r="O34" s="2">
        <f t="shared" si="17"/>
        <v>7.3439490445859859E-2</v>
      </c>
    </row>
    <row r="35" spans="1:15" ht="14.25" customHeight="1">
      <c r="A35" s="2">
        <v>30</v>
      </c>
      <c r="B35" s="2">
        <v>34</v>
      </c>
      <c r="C35" s="2">
        <v>7</v>
      </c>
      <c r="D35" s="2">
        <v>1</v>
      </c>
      <c r="E35" s="2">
        <v>0.72299999999999998</v>
      </c>
      <c r="F35" s="2">
        <v>1</v>
      </c>
      <c r="H35" s="2">
        <v>30</v>
      </c>
      <c r="I35" s="2">
        <v>285</v>
      </c>
      <c r="J35" s="2">
        <v>1</v>
      </c>
      <c r="K35" s="2">
        <v>1</v>
      </c>
      <c r="L35" s="2">
        <v>1.1160000000000001</v>
      </c>
      <c r="M35" s="2">
        <v>1</v>
      </c>
      <c r="N35" s="2">
        <v>5</v>
      </c>
      <c r="O35" s="2">
        <f t="shared" si="17"/>
        <v>0.10740445859872609</v>
      </c>
    </row>
    <row r="36" spans="1:15" ht="14.25" customHeight="1">
      <c r="A36" s="2">
        <v>30</v>
      </c>
      <c r="B36" s="2">
        <v>35</v>
      </c>
      <c r="C36" s="2">
        <v>4</v>
      </c>
      <c r="D36" s="2">
        <v>1</v>
      </c>
      <c r="E36" s="2">
        <v>0.76200000000000001</v>
      </c>
      <c r="F36" s="2">
        <v>1</v>
      </c>
      <c r="H36" s="2">
        <v>30</v>
      </c>
      <c r="I36" s="2">
        <v>286</v>
      </c>
      <c r="J36" s="2">
        <v>4</v>
      </c>
      <c r="K36" s="2">
        <v>0</v>
      </c>
      <c r="L36" s="2">
        <v>0.95499999999999996</v>
      </c>
      <c r="M36" s="2">
        <v>1</v>
      </c>
      <c r="N36" s="2">
        <v>6</v>
      </c>
      <c r="O36" s="2">
        <f t="shared" si="17"/>
        <v>0.13535031847133758</v>
      </c>
    </row>
    <row r="37" spans="1:15" ht="14.25" customHeight="1">
      <c r="A37" s="2">
        <v>30</v>
      </c>
      <c r="B37" s="2">
        <v>36</v>
      </c>
      <c r="C37" s="2">
        <v>3</v>
      </c>
      <c r="D37" s="2">
        <v>0</v>
      </c>
      <c r="E37" s="2">
        <v>1.139</v>
      </c>
      <c r="F37" s="2">
        <v>1</v>
      </c>
      <c r="H37" s="2">
        <v>30</v>
      </c>
      <c r="I37" s="2">
        <v>287</v>
      </c>
      <c r="J37" s="2">
        <v>7</v>
      </c>
      <c r="K37" s="2">
        <v>1</v>
      </c>
      <c r="L37" s="2">
        <v>0.71</v>
      </c>
      <c r="M37" s="2">
        <v>1</v>
      </c>
    </row>
    <row r="38" spans="1:15" ht="14.25" customHeight="1">
      <c r="A38" s="2">
        <v>30</v>
      </c>
      <c r="B38" s="2">
        <v>37</v>
      </c>
      <c r="C38" s="2">
        <v>7</v>
      </c>
      <c r="D38" s="2">
        <v>1</v>
      </c>
      <c r="E38" s="2">
        <v>0.752</v>
      </c>
      <c r="F38" s="2">
        <v>1</v>
      </c>
      <c r="H38" s="2">
        <v>30</v>
      </c>
      <c r="I38" s="2">
        <v>288</v>
      </c>
      <c r="J38" s="2">
        <v>2</v>
      </c>
      <c r="K38" s="2">
        <v>1</v>
      </c>
      <c r="L38" s="2">
        <v>1.1639999999999999</v>
      </c>
      <c r="M38" s="2">
        <v>2</v>
      </c>
    </row>
    <row r="39" spans="1:15" ht="14.25" customHeight="1">
      <c r="A39" s="2">
        <v>30</v>
      </c>
      <c r="B39" s="2">
        <v>38</v>
      </c>
      <c r="C39" s="2">
        <v>3</v>
      </c>
      <c r="D39" s="2">
        <v>0</v>
      </c>
      <c r="E39" s="2">
        <v>1.0069999999999999</v>
      </c>
      <c r="F39" s="2">
        <v>1</v>
      </c>
      <c r="H39" s="2">
        <v>30</v>
      </c>
      <c r="I39" s="2">
        <v>289</v>
      </c>
      <c r="J39" s="2">
        <v>6</v>
      </c>
      <c r="K39" s="2">
        <v>1</v>
      </c>
      <c r="L39" s="2">
        <v>0.96799999999999997</v>
      </c>
      <c r="M39" s="2">
        <v>1</v>
      </c>
    </row>
    <row r="40" spans="1:15" ht="14.25" customHeight="1">
      <c r="A40" s="2">
        <v>30</v>
      </c>
      <c r="B40" s="2">
        <v>39</v>
      </c>
      <c r="C40" s="2">
        <v>8</v>
      </c>
      <c r="D40" s="2">
        <v>1</v>
      </c>
      <c r="E40" s="2">
        <v>1.2410000000000001</v>
      </c>
      <c r="F40" s="2">
        <v>1</v>
      </c>
      <c r="H40" s="2">
        <v>30</v>
      </c>
      <c r="I40" s="2">
        <v>290</v>
      </c>
      <c r="J40" s="2">
        <v>1</v>
      </c>
      <c r="K40" s="2">
        <v>1</v>
      </c>
      <c r="L40" s="2">
        <v>0.93899999999999995</v>
      </c>
      <c r="M40" s="2">
        <v>1</v>
      </c>
    </row>
    <row r="41" spans="1:15" ht="14.25" customHeight="1">
      <c r="A41" s="2">
        <v>30</v>
      </c>
      <c r="B41" s="2">
        <v>40</v>
      </c>
      <c r="C41" s="2">
        <v>4</v>
      </c>
      <c r="D41" s="2">
        <v>1</v>
      </c>
      <c r="E41" s="2">
        <v>1.335</v>
      </c>
      <c r="F41" s="2">
        <v>1</v>
      </c>
      <c r="H41" s="2">
        <v>30</v>
      </c>
      <c r="I41" s="2">
        <v>291</v>
      </c>
      <c r="J41" s="2">
        <v>4</v>
      </c>
      <c r="K41" s="2">
        <v>1</v>
      </c>
      <c r="L41" s="2">
        <v>0.88800000000000001</v>
      </c>
      <c r="M41" s="2">
        <v>1</v>
      </c>
    </row>
    <row r="42" spans="1:15" ht="14.25" customHeight="1">
      <c r="A42" s="2">
        <v>30</v>
      </c>
      <c r="B42" s="2">
        <v>41</v>
      </c>
      <c r="C42" s="2">
        <v>7</v>
      </c>
      <c r="D42" s="2">
        <v>0</v>
      </c>
      <c r="E42" s="2">
        <v>1.405</v>
      </c>
      <c r="F42" s="2">
        <v>2</v>
      </c>
      <c r="H42" s="2">
        <v>30</v>
      </c>
      <c r="I42" s="2">
        <v>292</v>
      </c>
      <c r="J42" s="2">
        <v>3</v>
      </c>
      <c r="K42" s="2">
        <v>1</v>
      </c>
      <c r="L42" s="2">
        <v>1.359</v>
      </c>
      <c r="M42" s="2">
        <v>1</v>
      </c>
    </row>
    <row r="43" spans="1:15" ht="14.25" customHeight="1">
      <c r="A43" s="2">
        <v>30</v>
      </c>
      <c r="B43" s="2">
        <v>42</v>
      </c>
      <c r="C43" s="2">
        <v>8</v>
      </c>
      <c r="D43" s="2">
        <v>1</v>
      </c>
      <c r="E43" s="2">
        <v>0.73399999999999999</v>
      </c>
      <c r="F43" s="2">
        <v>1</v>
      </c>
      <c r="H43" s="2">
        <v>30</v>
      </c>
      <c r="I43" s="2">
        <v>293</v>
      </c>
      <c r="J43" s="2">
        <v>5</v>
      </c>
      <c r="K43" s="2">
        <v>1</v>
      </c>
      <c r="L43" s="2">
        <v>0.78600000000000003</v>
      </c>
      <c r="M43" s="2">
        <v>1</v>
      </c>
    </row>
    <row r="44" spans="1:15" ht="14.25" customHeight="1">
      <c r="A44" s="2">
        <v>30</v>
      </c>
      <c r="B44" s="2">
        <v>43</v>
      </c>
      <c r="C44" s="2">
        <v>4</v>
      </c>
      <c r="D44" s="2">
        <v>1</v>
      </c>
      <c r="E44" s="2">
        <v>0.80300000000000005</v>
      </c>
      <c r="F44" s="2">
        <v>1</v>
      </c>
      <c r="H44" s="2">
        <v>30</v>
      </c>
      <c r="I44" s="2">
        <v>294</v>
      </c>
      <c r="J44" s="2">
        <v>8</v>
      </c>
      <c r="K44" s="2">
        <v>1</v>
      </c>
      <c r="L44" s="2">
        <v>0.78200000000000003</v>
      </c>
      <c r="M44" s="2">
        <v>1</v>
      </c>
    </row>
    <row r="45" spans="1:15" ht="14.25" customHeight="1">
      <c r="A45" s="2">
        <v>30</v>
      </c>
      <c r="B45" s="2">
        <v>44</v>
      </c>
      <c r="C45" s="2">
        <v>7</v>
      </c>
      <c r="D45" s="2">
        <v>1</v>
      </c>
      <c r="E45" s="2">
        <v>0.752</v>
      </c>
      <c r="F45" s="2">
        <v>1</v>
      </c>
      <c r="H45" s="2">
        <v>30</v>
      </c>
      <c r="I45" s="2">
        <v>295</v>
      </c>
      <c r="J45" s="2">
        <v>6</v>
      </c>
      <c r="K45" s="2">
        <v>1</v>
      </c>
      <c r="L45" s="2">
        <v>1.2729999999999999</v>
      </c>
      <c r="M45" s="2">
        <v>1</v>
      </c>
    </row>
    <row r="46" spans="1:15" ht="14.25" customHeight="1">
      <c r="A46" s="2">
        <v>30</v>
      </c>
      <c r="B46" s="2">
        <v>45</v>
      </c>
      <c r="C46" s="2">
        <v>4</v>
      </c>
      <c r="D46" s="2">
        <v>1</v>
      </c>
      <c r="E46" s="2">
        <v>0.67300000000000004</v>
      </c>
      <c r="F46" s="2">
        <v>1</v>
      </c>
      <c r="H46" s="2">
        <v>30</v>
      </c>
      <c r="I46" s="2">
        <v>296</v>
      </c>
      <c r="J46" s="2">
        <v>8</v>
      </c>
      <c r="K46" s="2">
        <v>1</v>
      </c>
      <c r="L46" s="2">
        <v>1.329</v>
      </c>
      <c r="M46" s="2">
        <v>2</v>
      </c>
    </row>
    <row r="47" spans="1:15" ht="14.25" customHeight="1">
      <c r="A47" s="2">
        <v>30</v>
      </c>
      <c r="B47" s="2">
        <v>46</v>
      </c>
      <c r="C47" s="2">
        <v>5</v>
      </c>
      <c r="D47" s="2">
        <v>1</v>
      </c>
      <c r="E47" s="2">
        <v>0.74</v>
      </c>
      <c r="F47" s="2">
        <v>2</v>
      </c>
      <c r="H47" s="2">
        <v>30</v>
      </c>
      <c r="I47" s="2">
        <v>297</v>
      </c>
      <c r="J47" s="2">
        <v>1</v>
      </c>
      <c r="K47" s="2">
        <v>1</v>
      </c>
      <c r="L47" s="2">
        <v>1.198</v>
      </c>
      <c r="M47" s="2">
        <v>1</v>
      </c>
    </row>
    <row r="48" spans="1:15" ht="14.25" customHeight="1">
      <c r="A48" s="2">
        <v>30</v>
      </c>
      <c r="B48" s="2">
        <v>47</v>
      </c>
      <c r="C48" s="2">
        <v>4</v>
      </c>
      <c r="D48" s="2">
        <v>1</v>
      </c>
      <c r="E48" s="2">
        <v>0.55900000000000005</v>
      </c>
      <c r="F48" s="2">
        <v>1</v>
      </c>
      <c r="H48" s="2">
        <v>30</v>
      </c>
      <c r="I48" s="2">
        <v>298</v>
      </c>
      <c r="J48" s="2">
        <v>2</v>
      </c>
      <c r="K48" s="2">
        <v>1</v>
      </c>
      <c r="L48" s="2">
        <v>1.032</v>
      </c>
      <c r="M48" s="2">
        <v>2</v>
      </c>
    </row>
    <row r="49" spans="1:13" ht="14.25" customHeight="1">
      <c r="A49" s="2">
        <v>30</v>
      </c>
      <c r="B49" s="2">
        <v>48</v>
      </c>
      <c r="C49" s="2">
        <v>5</v>
      </c>
      <c r="D49" s="2">
        <v>1</v>
      </c>
      <c r="E49" s="2">
        <v>0.55700000000000005</v>
      </c>
      <c r="F49" s="2">
        <v>2</v>
      </c>
      <c r="H49" s="2">
        <v>30</v>
      </c>
      <c r="I49" s="2">
        <v>299</v>
      </c>
      <c r="J49" s="2">
        <v>8</v>
      </c>
      <c r="K49" s="2">
        <v>1</v>
      </c>
      <c r="L49" s="2">
        <v>0.72099999999999997</v>
      </c>
      <c r="M49" s="2">
        <v>1</v>
      </c>
    </row>
    <row r="50" spans="1:13" ht="14.25" customHeight="1">
      <c r="A50" s="2">
        <v>30</v>
      </c>
      <c r="B50" s="2">
        <v>49</v>
      </c>
      <c r="C50" s="2">
        <v>8</v>
      </c>
      <c r="D50" s="2">
        <v>1</v>
      </c>
      <c r="E50" s="2">
        <v>0.61499999999999999</v>
      </c>
      <c r="F50" s="2">
        <v>1</v>
      </c>
      <c r="H50" s="2">
        <v>30</v>
      </c>
      <c r="I50" s="2">
        <v>300</v>
      </c>
      <c r="J50" s="2">
        <v>4</v>
      </c>
      <c r="K50" s="2">
        <v>1</v>
      </c>
      <c r="L50" s="2">
        <v>0.95899999999999996</v>
      </c>
      <c r="M50" s="2">
        <v>1</v>
      </c>
    </row>
    <row r="51" spans="1:13" ht="14.25" customHeight="1">
      <c r="A51" s="2">
        <v>30</v>
      </c>
      <c r="B51" s="2">
        <v>50</v>
      </c>
      <c r="C51" s="2">
        <v>4</v>
      </c>
      <c r="D51" s="2">
        <v>1</v>
      </c>
      <c r="E51" s="2">
        <v>0.624</v>
      </c>
      <c r="F51" s="2">
        <v>1</v>
      </c>
    </row>
    <row r="52" spans="1:13" ht="14.25" customHeight="1">
      <c r="A52" s="2">
        <v>30</v>
      </c>
      <c r="B52" s="2">
        <v>51</v>
      </c>
      <c r="C52" s="2">
        <v>8</v>
      </c>
      <c r="D52" s="2">
        <v>1</v>
      </c>
      <c r="E52" s="2">
        <v>1.2869999999999999</v>
      </c>
      <c r="F52" s="2">
        <v>2</v>
      </c>
    </row>
    <row r="53" spans="1:13" ht="14.25" customHeight="1">
      <c r="A53" s="2">
        <v>30</v>
      </c>
      <c r="B53" s="2">
        <v>52</v>
      </c>
      <c r="C53" s="2">
        <v>2</v>
      </c>
      <c r="D53" s="2">
        <v>1</v>
      </c>
      <c r="E53" s="2">
        <v>0.61299999999999999</v>
      </c>
      <c r="F53" s="2">
        <v>2</v>
      </c>
    </row>
    <row r="54" spans="1:13" ht="14.25" customHeight="1">
      <c r="A54" s="2">
        <v>30</v>
      </c>
      <c r="B54" s="2">
        <v>53</v>
      </c>
      <c r="C54" s="2">
        <v>3</v>
      </c>
      <c r="D54" s="2">
        <v>1</v>
      </c>
      <c r="E54" s="2">
        <v>0.90600000000000003</v>
      </c>
      <c r="F54" s="2">
        <v>2</v>
      </c>
    </row>
    <row r="55" spans="1:13" ht="14.25" customHeight="1">
      <c r="A55" s="2">
        <v>30</v>
      </c>
      <c r="B55" s="2">
        <v>54</v>
      </c>
      <c r="C55" s="2">
        <v>6</v>
      </c>
      <c r="D55" s="2">
        <v>1</v>
      </c>
      <c r="E55" s="2">
        <v>0.53300000000000003</v>
      </c>
      <c r="F55" s="2">
        <v>1</v>
      </c>
    </row>
    <row r="56" spans="1:13" ht="14.25" customHeight="1">
      <c r="A56" s="2">
        <v>30</v>
      </c>
      <c r="B56" s="2">
        <v>55</v>
      </c>
      <c r="C56" s="2">
        <v>1</v>
      </c>
      <c r="D56" s="2">
        <v>1</v>
      </c>
      <c r="E56" s="2">
        <v>0.59599999999999997</v>
      </c>
      <c r="F56" s="2">
        <v>1</v>
      </c>
    </row>
    <row r="57" spans="1:13" ht="14.25" customHeight="1">
      <c r="A57" s="2">
        <v>30</v>
      </c>
      <c r="B57" s="2">
        <v>56</v>
      </c>
      <c r="C57" s="2">
        <v>5</v>
      </c>
      <c r="D57" s="2">
        <v>0</v>
      </c>
      <c r="E57" s="2">
        <v>1.46</v>
      </c>
      <c r="F57" s="2">
        <v>2</v>
      </c>
    </row>
    <row r="58" spans="1:13" ht="14.25" customHeight="1">
      <c r="A58" s="2">
        <v>30</v>
      </c>
      <c r="B58" s="2">
        <v>57</v>
      </c>
      <c r="C58" s="2">
        <v>6</v>
      </c>
      <c r="D58" s="2">
        <v>1</v>
      </c>
      <c r="E58" s="2">
        <v>1.278</v>
      </c>
      <c r="F58" s="2">
        <v>2</v>
      </c>
    </row>
    <row r="59" spans="1:13" ht="14.25" customHeight="1">
      <c r="A59" s="2">
        <v>30</v>
      </c>
      <c r="B59" s="2">
        <v>58</v>
      </c>
      <c r="C59" s="2">
        <v>7</v>
      </c>
      <c r="D59" s="2">
        <v>0</v>
      </c>
      <c r="E59" s="2">
        <v>0.64300000000000002</v>
      </c>
      <c r="F59" s="2">
        <v>2</v>
      </c>
    </row>
    <row r="60" spans="1:13" ht="14.25" customHeight="1">
      <c r="A60" s="2">
        <v>30</v>
      </c>
      <c r="B60" s="2">
        <v>59</v>
      </c>
      <c r="C60" s="2">
        <v>1</v>
      </c>
      <c r="D60" s="2">
        <v>0</v>
      </c>
      <c r="E60" s="2">
        <v>0.90800000000000003</v>
      </c>
      <c r="F60" s="2">
        <v>1</v>
      </c>
    </row>
    <row r="61" spans="1:13" ht="14.25" customHeight="1">
      <c r="A61" s="2">
        <v>30</v>
      </c>
      <c r="B61" s="2">
        <v>60</v>
      </c>
      <c r="C61" s="2">
        <v>8</v>
      </c>
      <c r="D61" s="2">
        <v>0</v>
      </c>
      <c r="E61" s="2">
        <v>0.754</v>
      </c>
      <c r="F61" s="2">
        <v>1</v>
      </c>
    </row>
    <row r="62" spans="1:13" ht="14.25" customHeight="1">
      <c r="A62" s="2">
        <v>30</v>
      </c>
      <c r="B62" s="2">
        <v>61</v>
      </c>
      <c r="C62" s="2">
        <v>2</v>
      </c>
      <c r="D62" s="2">
        <v>1</v>
      </c>
      <c r="E62" s="2">
        <v>0.75900000000000001</v>
      </c>
      <c r="F62" s="2">
        <v>1</v>
      </c>
    </row>
    <row r="63" spans="1:13" ht="14.25" customHeight="1">
      <c r="A63" s="2">
        <v>30</v>
      </c>
      <c r="B63" s="2">
        <v>62</v>
      </c>
      <c r="C63" s="2">
        <v>4</v>
      </c>
      <c r="D63" s="2">
        <v>1</v>
      </c>
      <c r="E63" s="2">
        <v>0.73599999999999999</v>
      </c>
      <c r="F63" s="2">
        <v>1</v>
      </c>
    </row>
    <row r="64" spans="1:13" ht="14.25" customHeight="1">
      <c r="A64" s="2">
        <v>30</v>
      </c>
      <c r="B64" s="2">
        <v>63</v>
      </c>
      <c r="C64" s="2">
        <v>5</v>
      </c>
      <c r="D64" s="2">
        <v>1</v>
      </c>
      <c r="E64" s="2">
        <v>1.0629999999999999</v>
      </c>
      <c r="F64" s="2">
        <v>2</v>
      </c>
    </row>
    <row r="65" spans="1:6" ht="14.25" customHeight="1">
      <c r="A65" s="2">
        <v>30</v>
      </c>
      <c r="B65" s="2">
        <v>64</v>
      </c>
      <c r="C65" s="2">
        <v>6</v>
      </c>
      <c r="D65" s="2">
        <v>0</v>
      </c>
      <c r="E65" s="2">
        <v>1.1990000000000001</v>
      </c>
      <c r="F65" s="2">
        <v>2</v>
      </c>
    </row>
    <row r="66" spans="1:6" ht="14.25" customHeight="1">
      <c r="A66" s="2">
        <v>30</v>
      </c>
      <c r="B66" s="2">
        <v>65</v>
      </c>
      <c r="C66" s="2">
        <v>4</v>
      </c>
      <c r="D66" s="2">
        <v>1</v>
      </c>
      <c r="E66" s="2">
        <v>0.85599999999999998</v>
      </c>
      <c r="F66" s="2">
        <v>1</v>
      </c>
    </row>
    <row r="67" spans="1:6" ht="14.25" customHeight="1">
      <c r="A67" s="2">
        <v>30</v>
      </c>
      <c r="B67" s="2">
        <v>66</v>
      </c>
      <c r="C67" s="2">
        <v>2</v>
      </c>
      <c r="D67" s="2">
        <v>1</v>
      </c>
      <c r="E67" s="2">
        <v>0.86399999999999999</v>
      </c>
      <c r="F67" s="2">
        <v>2</v>
      </c>
    </row>
    <row r="68" spans="1:6" ht="14.25" customHeight="1">
      <c r="A68" s="2">
        <v>30</v>
      </c>
      <c r="B68" s="2">
        <v>67</v>
      </c>
      <c r="C68" s="2">
        <v>6</v>
      </c>
      <c r="D68" s="2">
        <v>0</v>
      </c>
      <c r="E68" s="2">
        <v>0.73599999999999999</v>
      </c>
      <c r="F68" s="2">
        <v>1</v>
      </c>
    </row>
    <row r="69" spans="1:6" ht="14.25" customHeight="1">
      <c r="A69" s="2">
        <v>30</v>
      </c>
      <c r="B69" s="2">
        <v>68</v>
      </c>
      <c r="C69" s="2">
        <v>7</v>
      </c>
      <c r="D69" s="2">
        <v>1</v>
      </c>
      <c r="E69" s="2">
        <v>1.357</v>
      </c>
      <c r="F69" s="2">
        <v>2</v>
      </c>
    </row>
    <row r="70" spans="1:6" ht="14.25" customHeight="1">
      <c r="A70" s="2">
        <v>30</v>
      </c>
      <c r="B70" s="2">
        <v>69</v>
      </c>
      <c r="C70" s="2">
        <v>1</v>
      </c>
      <c r="D70" s="2">
        <v>0</v>
      </c>
      <c r="E70" s="2">
        <v>1.0660000000000001</v>
      </c>
      <c r="F70" s="2">
        <v>2</v>
      </c>
    </row>
    <row r="71" spans="1:6" ht="14.25" customHeight="1">
      <c r="A71" s="2">
        <v>30</v>
      </c>
      <c r="B71" s="2">
        <v>70</v>
      </c>
      <c r="C71" s="2">
        <v>4</v>
      </c>
      <c r="D71" s="2">
        <v>1</v>
      </c>
      <c r="E71" s="2">
        <v>1.274</v>
      </c>
      <c r="F71" s="2">
        <v>2</v>
      </c>
    </row>
    <row r="72" spans="1:6" ht="14.25" customHeight="1">
      <c r="A72" s="2">
        <v>30</v>
      </c>
      <c r="B72" s="2">
        <v>71</v>
      </c>
      <c r="C72" s="2">
        <v>7</v>
      </c>
      <c r="D72" s="2">
        <v>1</v>
      </c>
      <c r="E72" s="2">
        <v>1.5209999999999999</v>
      </c>
      <c r="F72" s="2">
        <v>2</v>
      </c>
    </row>
    <row r="73" spans="1:6" ht="14.25" customHeight="1">
      <c r="A73" s="2">
        <v>30</v>
      </c>
      <c r="B73" s="2">
        <v>72</v>
      </c>
      <c r="C73" s="2">
        <v>2</v>
      </c>
      <c r="D73" s="2">
        <v>0</v>
      </c>
      <c r="E73" s="2">
        <v>0.98099999999999998</v>
      </c>
      <c r="F73" s="2">
        <v>1</v>
      </c>
    </row>
    <row r="74" spans="1:6" ht="14.25" customHeight="1">
      <c r="A74" s="2">
        <v>30</v>
      </c>
      <c r="B74" s="2">
        <v>73</v>
      </c>
      <c r="C74" s="2">
        <v>4</v>
      </c>
      <c r="D74" s="2">
        <v>1</v>
      </c>
      <c r="E74" s="2">
        <v>0.72899999999999998</v>
      </c>
      <c r="F74" s="2">
        <v>1</v>
      </c>
    </row>
    <row r="75" spans="1:6" ht="14.25" customHeight="1">
      <c r="A75" s="2">
        <v>30</v>
      </c>
      <c r="B75" s="2">
        <v>74</v>
      </c>
      <c r="C75" s="2">
        <v>1</v>
      </c>
      <c r="D75" s="2">
        <v>1</v>
      </c>
      <c r="E75" s="2">
        <v>1.35</v>
      </c>
      <c r="F75" s="2">
        <v>2</v>
      </c>
    </row>
    <row r="76" spans="1:6" ht="14.25" customHeight="1">
      <c r="A76" s="2">
        <v>30</v>
      </c>
      <c r="B76" s="2">
        <v>75</v>
      </c>
      <c r="C76" s="2">
        <v>7</v>
      </c>
      <c r="D76" s="2">
        <v>0</v>
      </c>
      <c r="E76" s="2">
        <v>0.995</v>
      </c>
      <c r="F76" s="2">
        <v>1</v>
      </c>
    </row>
    <row r="77" spans="1:6" ht="14.25" customHeight="1">
      <c r="A77" s="2">
        <v>30</v>
      </c>
      <c r="B77" s="2">
        <v>76</v>
      </c>
      <c r="C77" s="2">
        <v>6</v>
      </c>
      <c r="D77" s="2">
        <v>0</v>
      </c>
      <c r="E77" s="2">
        <v>1.3640000000000001</v>
      </c>
      <c r="F77" s="2">
        <v>1</v>
      </c>
    </row>
    <row r="78" spans="1:6" ht="14.25" customHeight="1">
      <c r="A78" s="2">
        <v>30</v>
      </c>
      <c r="B78" s="2">
        <v>77</v>
      </c>
      <c r="C78" s="2">
        <v>1</v>
      </c>
      <c r="D78" s="2">
        <v>1</v>
      </c>
      <c r="E78" s="2">
        <v>1.2250000000000001</v>
      </c>
      <c r="F78" s="2">
        <v>2</v>
      </c>
    </row>
    <row r="79" spans="1:6" ht="14.25" customHeight="1">
      <c r="A79" s="2">
        <v>30</v>
      </c>
      <c r="B79" s="2">
        <v>78</v>
      </c>
      <c r="C79" s="2">
        <v>8</v>
      </c>
      <c r="D79" s="2">
        <v>0</v>
      </c>
      <c r="E79" s="2">
        <v>0.89</v>
      </c>
      <c r="F79" s="2">
        <v>2</v>
      </c>
    </row>
    <row r="80" spans="1:6" ht="14.25" customHeight="1">
      <c r="A80" s="2">
        <v>30</v>
      </c>
      <c r="B80" s="2">
        <v>79</v>
      </c>
      <c r="C80" s="2">
        <v>3</v>
      </c>
      <c r="D80" s="2">
        <v>0</v>
      </c>
      <c r="E80" s="2">
        <v>0.96199999999999997</v>
      </c>
      <c r="F80" s="2">
        <v>1</v>
      </c>
    </row>
    <row r="81" spans="1:6" ht="14.25" customHeight="1">
      <c r="A81" s="2">
        <v>30</v>
      </c>
      <c r="B81" s="2">
        <v>80</v>
      </c>
      <c r="C81" s="2">
        <v>1</v>
      </c>
      <c r="D81" s="2">
        <v>1</v>
      </c>
      <c r="E81" s="2">
        <v>0.64400000000000002</v>
      </c>
      <c r="F81" s="2">
        <v>1</v>
      </c>
    </row>
    <row r="82" spans="1:6" ht="14.25" customHeight="1">
      <c r="A82" s="2">
        <v>30</v>
      </c>
      <c r="B82" s="2">
        <v>81</v>
      </c>
      <c r="C82" s="2">
        <v>7</v>
      </c>
      <c r="D82" s="2">
        <v>0</v>
      </c>
      <c r="E82" s="2">
        <v>0.98899999999999999</v>
      </c>
      <c r="F82" s="2">
        <v>1</v>
      </c>
    </row>
    <row r="83" spans="1:6" ht="14.25" customHeight="1">
      <c r="A83" s="2">
        <v>30</v>
      </c>
      <c r="B83" s="2">
        <v>82</v>
      </c>
      <c r="C83" s="2">
        <v>8</v>
      </c>
      <c r="D83" s="2">
        <v>1</v>
      </c>
      <c r="E83" s="2">
        <v>1.1200000000000001</v>
      </c>
      <c r="F83" s="2">
        <v>2</v>
      </c>
    </row>
    <row r="84" spans="1:6" ht="14.25" customHeight="1">
      <c r="A84" s="2">
        <v>30</v>
      </c>
      <c r="B84" s="2">
        <v>83</v>
      </c>
      <c r="C84" s="2">
        <v>6</v>
      </c>
      <c r="D84" s="2">
        <v>1</v>
      </c>
      <c r="E84" s="2">
        <v>1.3320000000000001</v>
      </c>
      <c r="F84" s="2">
        <v>2</v>
      </c>
    </row>
    <row r="85" spans="1:6" ht="14.25" customHeight="1">
      <c r="A85" s="2">
        <v>30</v>
      </c>
      <c r="B85" s="2">
        <v>84</v>
      </c>
      <c r="C85" s="2">
        <v>4</v>
      </c>
      <c r="D85" s="2">
        <v>1</v>
      </c>
      <c r="E85" s="2">
        <v>1.212</v>
      </c>
      <c r="F85" s="2">
        <v>1</v>
      </c>
    </row>
    <row r="86" spans="1:6" ht="14.25" customHeight="1">
      <c r="A86" s="2">
        <v>30</v>
      </c>
      <c r="B86" s="2">
        <v>85</v>
      </c>
      <c r="C86" s="2">
        <v>5</v>
      </c>
      <c r="D86" s="2">
        <v>1</v>
      </c>
      <c r="E86" s="2">
        <v>1.093</v>
      </c>
      <c r="F86" s="2">
        <v>1</v>
      </c>
    </row>
    <row r="87" spans="1:6" ht="14.25" customHeight="1">
      <c r="A87" s="2">
        <v>30</v>
      </c>
      <c r="B87" s="2">
        <v>86</v>
      </c>
      <c r="C87" s="2">
        <v>7</v>
      </c>
      <c r="D87" s="2">
        <v>0</v>
      </c>
      <c r="E87" s="2">
        <v>0.68500000000000005</v>
      </c>
      <c r="F87" s="2">
        <v>1</v>
      </c>
    </row>
    <row r="88" spans="1:6" ht="14.25" customHeight="1">
      <c r="A88" s="2">
        <v>30</v>
      </c>
      <c r="B88" s="2">
        <v>87</v>
      </c>
      <c r="C88" s="2">
        <v>5</v>
      </c>
      <c r="D88" s="2">
        <v>1</v>
      </c>
      <c r="E88" s="2">
        <v>0.61</v>
      </c>
      <c r="F88" s="2">
        <v>1</v>
      </c>
    </row>
    <row r="89" spans="1:6" ht="14.25" customHeight="1">
      <c r="A89" s="2">
        <v>30</v>
      </c>
      <c r="B89" s="2">
        <v>88</v>
      </c>
      <c r="C89" s="2">
        <v>3</v>
      </c>
      <c r="D89" s="2">
        <v>1</v>
      </c>
      <c r="E89" s="2">
        <v>1.123</v>
      </c>
      <c r="F89" s="2">
        <v>2</v>
      </c>
    </row>
    <row r="90" spans="1:6" ht="14.25" customHeight="1">
      <c r="A90" s="2">
        <v>30</v>
      </c>
      <c r="B90" s="2">
        <v>89</v>
      </c>
      <c r="C90" s="2">
        <v>5</v>
      </c>
      <c r="D90" s="2">
        <v>1</v>
      </c>
      <c r="E90" s="2">
        <v>0.69799999999999995</v>
      </c>
      <c r="F90" s="2">
        <v>1</v>
      </c>
    </row>
    <row r="91" spans="1:6" ht="14.25" customHeight="1">
      <c r="A91" s="2">
        <v>30</v>
      </c>
      <c r="B91" s="2">
        <v>90</v>
      </c>
      <c r="C91" s="2">
        <v>3</v>
      </c>
      <c r="D91" s="2">
        <v>1</v>
      </c>
      <c r="E91" s="2">
        <v>0.69</v>
      </c>
      <c r="F91" s="2">
        <v>1</v>
      </c>
    </row>
    <row r="92" spans="1:6" ht="14.25" customHeight="1">
      <c r="A92" s="2">
        <v>30</v>
      </c>
      <c r="B92" s="2">
        <v>91</v>
      </c>
      <c r="C92" s="2">
        <v>4</v>
      </c>
      <c r="D92" s="2">
        <v>0</v>
      </c>
      <c r="E92" s="2">
        <v>0.873</v>
      </c>
      <c r="F92" s="2">
        <v>2</v>
      </c>
    </row>
    <row r="93" spans="1:6" ht="14.25" customHeight="1">
      <c r="A93" s="2">
        <v>30</v>
      </c>
      <c r="B93" s="2">
        <v>92</v>
      </c>
      <c r="C93" s="2">
        <v>1</v>
      </c>
      <c r="D93" s="2">
        <v>1</v>
      </c>
      <c r="E93" s="2">
        <v>0.55000000000000004</v>
      </c>
      <c r="F93" s="2">
        <v>1</v>
      </c>
    </row>
    <row r="94" spans="1:6" ht="14.25" customHeight="1">
      <c r="A94" s="2">
        <v>30</v>
      </c>
      <c r="B94" s="2">
        <v>93</v>
      </c>
      <c r="C94" s="2">
        <v>3</v>
      </c>
      <c r="D94" s="2">
        <v>0</v>
      </c>
      <c r="E94" s="2">
        <v>1.165</v>
      </c>
      <c r="F94" s="2">
        <v>2</v>
      </c>
    </row>
    <row r="95" spans="1:6" ht="14.25" customHeight="1">
      <c r="A95" s="2">
        <v>30</v>
      </c>
      <c r="B95" s="2">
        <v>94</v>
      </c>
      <c r="C95" s="2">
        <v>2</v>
      </c>
      <c r="D95" s="2">
        <v>1</v>
      </c>
      <c r="E95" s="2">
        <v>1.071</v>
      </c>
      <c r="F95" s="2">
        <v>1</v>
      </c>
    </row>
    <row r="96" spans="1:6" ht="14.25" customHeight="1">
      <c r="A96" s="2">
        <v>30</v>
      </c>
      <c r="B96" s="2">
        <v>95</v>
      </c>
      <c r="C96" s="2">
        <v>3</v>
      </c>
      <c r="D96" s="2">
        <v>1</v>
      </c>
      <c r="E96" s="2">
        <v>1.0569999999999999</v>
      </c>
      <c r="F96" s="2">
        <v>1</v>
      </c>
    </row>
    <row r="97" spans="1:6" ht="14.25" customHeight="1">
      <c r="A97" s="2">
        <v>30</v>
      </c>
      <c r="B97" s="2">
        <v>96</v>
      </c>
      <c r="C97" s="2">
        <v>2</v>
      </c>
      <c r="D97" s="2">
        <v>1</v>
      </c>
      <c r="E97" s="2">
        <v>1.151</v>
      </c>
      <c r="F97" s="2">
        <v>2</v>
      </c>
    </row>
    <row r="98" spans="1:6" ht="14.25" customHeight="1">
      <c r="A98" s="2">
        <v>30</v>
      </c>
      <c r="B98" s="2">
        <v>97</v>
      </c>
      <c r="C98" s="2">
        <v>8</v>
      </c>
      <c r="D98" s="2">
        <v>1</v>
      </c>
      <c r="E98" s="2">
        <v>0.81100000000000005</v>
      </c>
      <c r="F98" s="2">
        <v>1</v>
      </c>
    </row>
    <row r="99" spans="1:6" ht="14.25" customHeight="1">
      <c r="A99" s="2">
        <v>30</v>
      </c>
      <c r="B99" s="2">
        <v>98</v>
      </c>
      <c r="C99" s="2">
        <v>5</v>
      </c>
      <c r="D99" s="2">
        <v>1</v>
      </c>
      <c r="E99" s="2">
        <v>1.38</v>
      </c>
      <c r="F99" s="2">
        <v>2</v>
      </c>
    </row>
    <row r="100" spans="1:6" ht="14.25" customHeight="1">
      <c r="A100" s="2">
        <v>30</v>
      </c>
      <c r="B100" s="2">
        <v>99</v>
      </c>
      <c r="C100" s="2">
        <v>8</v>
      </c>
      <c r="D100" s="2">
        <v>1</v>
      </c>
      <c r="E100" s="2">
        <v>1.1200000000000001</v>
      </c>
      <c r="F100" s="2">
        <v>1</v>
      </c>
    </row>
    <row r="101" spans="1:6" ht="14.25" customHeight="1">
      <c r="A101" s="2">
        <v>30</v>
      </c>
      <c r="B101" s="2">
        <v>100</v>
      </c>
      <c r="C101" s="2">
        <v>4</v>
      </c>
      <c r="D101" s="2">
        <v>1</v>
      </c>
      <c r="E101" s="2">
        <v>0.81399999999999995</v>
      </c>
      <c r="F101" s="2">
        <v>1</v>
      </c>
    </row>
    <row r="102" spans="1:6" ht="14.25" customHeight="1">
      <c r="A102" s="2">
        <v>30</v>
      </c>
      <c r="B102" s="2">
        <v>101</v>
      </c>
      <c r="C102" s="2">
        <v>5</v>
      </c>
      <c r="D102" s="2">
        <v>1</v>
      </c>
      <c r="E102" s="2">
        <v>1.5980000000000001</v>
      </c>
      <c r="F102" s="2">
        <v>2</v>
      </c>
    </row>
    <row r="103" spans="1:6" ht="14.25" customHeight="1">
      <c r="A103" s="2">
        <v>30</v>
      </c>
      <c r="B103" s="2">
        <v>102</v>
      </c>
      <c r="C103" s="2">
        <v>4</v>
      </c>
      <c r="D103" s="2">
        <v>1</v>
      </c>
      <c r="E103" s="2">
        <v>0.98399999999999999</v>
      </c>
      <c r="F103" s="2">
        <v>2</v>
      </c>
    </row>
    <row r="104" spans="1:6" ht="14.25" customHeight="1">
      <c r="A104" s="2">
        <v>30</v>
      </c>
      <c r="B104" s="2">
        <v>103</v>
      </c>
      <c r="C104" s="2">
        <v>1</v>
      </c>
      <c r="D104" s="2">
        <v>1</v>
      </c>
      <c r="E104" s="2">
        <v>1.083</v>
      </c>
      <c r="F104" s="2">
        <v>2</v>
      </c>
    </row>
    <row r="105" spans="1:6" ht="14.25" customHeight="1">
      <c r="A105" s="2">
        <v>30</v>
      </c>
      <c r="B105" s="2">
        <v>104</v>
      </c>
      <c r="C105" s="2">
        <v>5</v>
      </c>
      <c r="D105" s="2">
        <v>1</v>
      </c>
      <c r="E105" s="2">
        <v>0.77100000000000002</v>
      </c>
      <c r="F105" s="2">
        <v>1</v>
      </c>
    </row>
    <row r="106" spans="1:6" ht="14.25" customHeight="1">
      <c r="A106" s="2">
        <v>30</v>
      </c>
      <c r="B106" s="2">
        <v>105</v>
      </c>
      <c r="C106" s="2">
        <v>4</v>
      </c>
      <c r="D106" s="2">
        <v>1</v>
      </c>
      <c r="E106" s="2">
        <v>0.77300000000000002</v>
      </c>
      <c r="F106" s="2">
        <v>1</v>
      </c>
    </row>
    <row r="107" spans="1:6" ht="14.25" customHeight="1">
      <c r="A107" s="2">
        <v>30</v>
      </c>
      <c r="B107" s="2">
        <v>106</v>
      </c>
      <c r="C107" s="2">
        <v>1</v>
      </c>
      <c r="D107" s="2">
        <v>1</v>
      </c>
      <c r="E107" s="2">
        <v>1.1910000000000001</v>
      </c>
      <c r="F107" s="2">
        <v>1</v>
      </c>
    </row>
    <row r="108" spans="1:6" ht="14.25" customHeight="1">
      <c r="A108" s="2">
        <v>30</v>
      </c>
      <c r="B108" s="2">
        <v>107</v>
      </c>
      <c r="C108" s="2">
        <v>6</v>
      </c>
      <c r="D108" s="2">
        <v>1</v>
      </c>
      <c r="E108" s="2">
        <v>1.236</v>
      </c>
      <c r="F108" s="2">
        <v>2</v>
      </c>
    </row>
    <row r="109" spans="1:6" ht="14.25" customHeight="1">
      <c r="A109" s="2">
        <v>30</v>
      </c>
      <c r="B109" s="2">
        <v>108</v>
      </c>
      <c r="C109" s="2">
        <v>3</v>
      </c>
      <c r="D109" s="2">
        <v>1</v>
      </c>
      <c r="E109" s="2">
        <v>0.89100000000000001</v>
      </c>
      <c r="F109" s="2">
        <v>1</v>
      </c>
    </row>
    <row r="110" spans="1:6" ht="14.25" customHeight="1">
      <c r="A110" s="2">
        <v>30</v>
      </c>
      <c r="B110" s="2">
        <v>109</v>
      </c>
      <c r="C110" s="2">
        <v>6</v>
      </c>
      <c r="D110" s="2">
        <v>1</v>
      </c>
      <c r="E110" s="2">
        <v>0.85</v>
      </c>
      <c r="F110" s="2">
        <v>2</v>
      </c>
    </row>
    <row r="111" spans="1:6" ht="14.25" customHeight="1">
      <c r="A111" s="2">
        <v>30</v>
      </c>
      <c r="B111" s="2">
        <v>110</v>
      </c>
      <c r="C111" s="2">
        <v>4</v>
      </c>
      <c r="D111" s="2">
        <v>1</v>
      </c>
      <c r="E111" s="2">
        <v>0.78800000000000003</v>
      </c>
      <c r="F111" s="2">
        <v>2</v>
      </c>
    </row>
    <row r="112" spans="1:6" ht="14.25" customHeight="1">
      <c r="A112" s="2">
        <v>30</v>
      </c>
      <c r="B112" s="2">
        <v>111</v>
      </c>
      <c r="C112" s="2">
        <v>8</v>
      </c>
      <c r="D112" s="2">
        <v>1</v>
      </c>
      <c r="E112" s="2">
        <v>0.64300000000000002</v>
      </c>
      <c r="F112" s="2">
        <v>1</v>
      </c>
    </row>
    <row r="113" spans="1:6" ht="14.25" customHeight="1">
      <c r="A113" s="2">
        <v>30</v>
      </c>
      <c r="B113" s="2">
        <v>112</v>
      </c>
      <c r="C113" s="2">
        <v>2</v>
      </c>
      <c r="D113" s="2">
        <v>1</v>
      </c>
      <c r="E113" s="2">
        <v>0.70899999999999996</v>
      </c>
      <c r="F113" s="2">
        <v>1</v>
      </c>
    </row>
    <row r="114" spans="1:6" ht="14.25" customHeight="1">
      <c r="A114" s="2">
        <v>30</v>
      </c>
      <c r="B114" s="2">
        <v>113</v>
      </c>
      <c r="C114" s="2">
        <v>3</v>
      </c>
      <c r="D114" s="2">
        <v>1</v>
      </c>
      <c r="E114" s="2">
        <v>1.169</v>
      </c>
      <c r="F114" s="2">
        <v>2</v>
      </c>
    </row>
    <row r="115" spans="1:6" ht="14.25" customHeight="1">
      <c r="A115" s="2">
        <v>30</v>
      </c>
      <c r="B115" s="2">
        <v>114</v>
      </c>
      <c r="C115" s="2">
        <v>7</v>
      </c>
      <c r="D115" s="2">
        <v>0</v>
      </c>
      <c r="E115" s="2">
        <v>0.88600000000000001</v>
      </c>
      <c r="F115" s="2">
        <v>2</v>
      </c>
    </row>
    <row r="116" spans="1:6" ht="14.25" customHeight="1">
      <c r="A116" s="2">
        <v>30</v>
      </c>
      <c r="B116" s="2">
        <v>115</v>
      </c>
      <c r="C116" s="2">
        <v>1</v>
      </c>
      <c r="D116" s="2">
        <v>1</v>
      </c>
      <c r="E116" s="2">
        <v>0.92500000000000004</v>
      </c>
      <c r="F116" s="2">
        <v>1</v>
      </c>
    </row>
    <row r="117" spans="1:6" ht="14.25" customHeight="1">
      <c r="A117" s="2">
        <v>30</v>
      </c>
      <c r="B117" s="2">
        <v>116</v>
      </c>
      <c r="C117" s="2">
        <v>6</v>
      </c>
      <c r="D117" s="2">
        <v>0</v>
      </c>
      <c r="E117" s="2">
        <v>1.4410000000000001</v>
      </c>
      <c r="F117" s="2">
        <v>1</v>
      </c>
    </row>
    <row r="118" spans="1:6" ht="14.25" customHeight="1">
      <c r="A118" s="2">
        <v>30</v>
      </c>
      <c r="B118" s="2">
        <v>117</v>
      </c>
      <c r="C118" s="2">
        <v>4</v>
      </c>
      <c r="D118" s="2">
        <v>1</v>
      </c>
      <c r="E118" s="2">
        <v>1.395</v>
      </c>
      <c r="F118" s="2">
        <v>2</v>
      </c>
    </row>
    <row r="119" spans="1:6" ht="14.25" customHeight="1">
      <c r="A119" s="2">
        <v>30</v>
      </c>
      <c r="B119" s="2">
        <v>118</v>
      </c>
      <c r="C119" s="2">
        <v>8</v>
      </c>
      <c r="D119" s="2">
        <v>1</v>
      </c>
      <c r="E119" s="2">
        <v>0.98</v>
      </c>
      <c r="F119" s="2">
        <v>2</v>
      </c>
    </row>
    <row r="120" spans="1:6" ht="14.25" customHeight="1">
      <c r="A120" s="2">
        <v>30</v>
      </c>
      <c r="B120" s="2">
        <v>119</v>
      </c>
      <c r="C120" s="2">
        <v>7</v>
      </c>
      <c r="D120" s="2">
        <v>0</v>
      </c>
      <c r="E120" s="2">
        <v>0.86399999999999999</v>
      </c>
      <c r="F120" s="2">
        <v>2</v>
      </c>
    </row>
    <row r="121" spans="1:6" ht="14.25" customHeight="1">
      <c r="A121" s="2">
        <v>30</v>
      </c>
      <c r="B121" s="2">
        <v>120</v>
      </c>
      <c r="C121" s="2">
        <v>4</v>
      </c>
      <c r="D121" s="2">
        <v>1</v>
      </c>
      <c r="E121" s="2">
        <v>1.367</v>
      </c>
      <c r="F121" s="2">
        <v>2</v>
      </c>
    </row>
    <row r="122" spans="1:6" ht="14.25" customHeight="1">
      <c r="A122" s="2">
        <v>30</v>
      </c>
      <c r="B122" s="2">
        <v>121</v>
      </c>
      <c r="C122" s="2">
        <v>8</v>
      </c>
      <c r="D122" s="2">
        <v>1</v>
      </c>
      <c r="E122" s="2">
        <v>1.1779999999999999</v>
      </c>
      <c r="F122" s="2">
        <v>2</v>
      </c>
    </row>
    <row r="123" spans="1:6" ht="14.25" customHeight="1">
      <c r="A123" s="2">
        <v>30</v>
      </c>
      <c r="B123" s="2">
        <v>122</v>
      </c>
      <c r="C123" s="2">
        <v>2</v>
      </c>
      <c r="D123" s="2">
        <v>1</v>
      </c>
      <c r="E123" s="2">
        <v>1.23</v>
      </c>
      <c r="F123" s="2">
        <v>2</v>
      </c>
    </row>
    <row r="124" spans="1:6" ht="14.25" customHeight="1">
      <c r="A124" s="2">
        <v>30</v>
      </c>
      <c r="B124" s="2">
        <v>123</v>
      </c>
      <c r="C124" s="2">
        <v>6</v>
      </c>
      <c r="D124" s="2">
        <v>1</v>
      </c>
      <c r="E124" s="2">
        <v>0.7</v>
      </c>
      <c r="F124" s="2">
        <v>1</v>
      </c>
    </row>
    <row r="125" spans="1:6" ht="14.25" customHeight="1">
      <c r="A125" s="2">
        <v>30</v>
      </c>
      <c r="B125" s="2">
        <v>124</v>
      </c>
      <c r="C125" s="2">
        <v>7</v>
      </c>
      <c r="D125" s="2">
        <v>1</v>
      </c>
      <c r="E125" s="2">
        <v>0.88500000000000001</v>
      </c>
      <c r="F125" s="2">
        <v>2</v>
      </c>
    </row>
    <row r="126" spans="1:6" ht="14.25" customHeight="1">
      <c r="A126" s="2">
        <v>30</v>
      </c>
      <c r="B126" s="2">
        <v>125</v>
      </c>
      <c r="C126" s="2">
        <v>1</v>
      </c>
      <c r="D126" s="2">
        <v>0</v>
      </c>
      <c r="E126" s="2">
        <v>0.73399999999999999</v>
      </c>
      <c r="F126" s="2">
        <v>1</v>
      </c>
    </row>
    <row r="127" spans="1:6" ht="14.25" customHeight="1">
      <c r="A127" s="2">
        <v>30</v>
      </c>
      <c r="B127" s="2">
        <v>126</v>
      </c>
      <c r="C127" s="2">
        <v>8</v>
      </c>
      <c r="D127" s="2">
        <v>1</v>
      </c>
      <c r="E127" s="2">
        <v>1.01</v>
      </c>
      <c r="F127" s="2">
        <v>2</v>
      </c>
    </row>
    <row r="128" spans="1:6" ht="14.25" customHeight="1">
      <c r="A128" s="2">
        <v>30</v>
      </c>
      <c r="B128" s="2">
        <v>127</v>
      </c>
      <c r="C128" s="2">
        <v>7</v>
      </c>
      <c r="D128" s="2">
        <v>0</v>
      </c>
      <c r="E128" s="2">
        <v>1.2430000000000001</v>
      </c>
      <c r="F128" s="2">
        <v>1</v>
      </c>
    </row>
    <row r="129" spans="1:6" ht="14.25" customHeight="1">
      <c r="A129" s="2">
        <v>30</v>
      </c>
      <c r="B129" s="2">
        <v>128</v>
      </c>
      <c r="C129" s="2">
        <v>3</v>
      </c>
      <c r="D129" s="2">
        <v>1</v>
      </c>
      <c r="E129" s="2">
        <v>1.1240000000000001</v>
      </c>
      <c r="F129" s="2">
        <v>1</v>
      </c>
    </row>
    <row r="130" spans="1:6" ht="14.25" customHeight="1">
      <c r="A130" s="2">
        <v>30</v>
      </c>
      <c r="B130" s="2">
        <v>129</v>
      </c>
      <c r="C130" s="2">
        <v>5</v>
      </c>
      <c r="D130" s="2">
        <v>1</v>
      </c>
      <c r="E130" s="2">
        <v>0.872</v>
      </c>
      <c r="F130" s="2">
        <v>2</v>
      </c>
    </row>
    <row r="131" spans="1:6" ht="14.25" customHeight="1">
      <c r="A131" s="2">
        <v>30</v>
      </c>
      <c r="B131" s="2">
        <v>130</v>
      </c>
      <c r="C131" s="2">
        <v>1</v>
      </c>
      <c r="D131" s="2">
        <v>1</v>
      </c>
      <c r="E131" s="2">
        <v>0.77</v>
      </c>
      <c r="F131" s="2">
        <v>1</v>
      </c>
    </row>
    <row r="132" spans="1:6" ht="14.25" customHeight="1">
      <c r="A132" s="2">
        <v>30</v>
      </c>
      <c r="B132" s="2">
        <v>131</v>
      </c>
      <c r="C132" s="2">
        <v>8</v>
      </c>
      <c r="D132" s="2">
        <v>1</v>
      </c>
      <c r="E132" s="2">
        <v>0.97199999999999998</v>
      </c>
      <c r="F132" s="2">
        <v>2</v>
      </c>
    </row>
    <row r="133" spans="1:6" ht="14.25" customHeight="1">
      <c r="A133" s="2">
        <v>30</v>
      </c>
      <c r="B133" s="2">
        <v>132</v>
      </c>
      <c r="C133" s="2">
        <v>3</v>
      </c>
      <c r="D133" s="2">
        <v>1</v>
      </c>
      <c r="E133" s="2">
        <v>1.105</v>
      </c>
      <c r="F133" s="2">
        <v>2</v>
      </c>
    </row>
    <row r="134" spans="1:6" ht="14.25" customHeight="1">
      <c r="A134" s="2">
        <v>30</v>
      </c>
      <c r="B134" s="2">
        <v>133</v>
      </c>
      <c r="C134" s="2">
        <v>2</v>
      </c>
      <c r="D134" s="2">
        <v>0</v>
      </c>
      <c r="E134" s="2">
        <v>0.95</v>
      </c>
      <c r="F134" s="2">
        <v>1</v>
      </c>
    </row>
    <row r="135" spans="1:6" ht="14.25" customHeight="1">
      <c r="A135" s="2">
        <v>30</v>
      </c>
      <c r="B135" s="2">
        <v>134</v>
      </c>
      <c r="C135" s="2">
        <v>1</v>
      </c>
      <c r="D135" s="2">
        <v>1</v>
      </c>
      <c r="E135" s="2">
        <v>0.78600000000000003</v>
      </c>
      <c r="F135" s="2">
        <v>1</v>
      </c>
    </row>
    <row r="136" spans="1:6" ht="14.25" customHeight="1">
      <c r="A136" s="2">
        <v>30</v>
      </c>
      <c r="B136" s="2">
        <v>135</v>
      </c>
      <c r="C136" s="2">
        <v>6</v>
      </c>
      <c r="D136" s="2">
        <v>1</v>
      </c>
      <c r="E136" s="2">
        <v>1.1419999999999999</v>
      </c>
      <c r="F136" s="2">
        <v>1</v>
      </c>
    </row>
    <row r="137" spans="1:6" ht="14.25" customHeight="1">
      <c r="A137" s="2">
        <v>30</v>
      </c>
      <c r="B137" s="2">
        <v>136</v>
      </c>
      <c r="C137" s="2">
        <v>1</v>
      </c>
      <c r="D137" s="2">
        <v>1</v>
      </c>
      <c r="E137" s="2">
        <v>1.37</v>
      </c>
      <c r="F137" s="2">
        <v>2</v>
      </c>
    </row>
    <row r="138" spans="1:6" ht="14.25" customHeight="1">
      <c r="A138" s="2">
        <v>30</v>
      </c>
      <c r="B138" s="2">
        <v>137</v>
      </c>
      <c r="C138" s="2">
        <v>5</v>
      </c>
      <c r="D138" s="2">
        <v>1</v>
      </c>
      <c r="E138" s="2">
        <v>0.90900000000000003</v>
      </c>
      <c r="F138" s="2">
        <v>1</v>
      </c>
    </row>
    <row r="139" spans="1:6" ht="14.25" customHeight="1">
      <c r="A139" s="2">
        <v>30</v>
      </c>
      <c r="B139" s="2">
        <v>138</v>
      </c>
      <c r="C139" s="2">
        <v>8</v>
      </c>
      <c r="D139" s="2">
        <v>1</v>
      </c>
      <c r="E139" s="2">
        <v>1.28</v>
      </c>
      <c r="F139" s="2">
        <v>2</v>
      </c>
    </row>
    <row r="140" spans="1:6" ht="14.25" customHeight="1">
      <c r="A140" s="2">
        <v>30</v>
      </c>
      <c r="B140" s="2">
        <v>139</v>
      </c>
      <c r="C140" s="2">
        <v>2</v>
      </c>
      <c r="D140" s="2">
        <v>1</v>
      </c>
      <c r="E140" s="2">
        <v>0.79500000000000004</v>
      </c>
      <c r="F140" s="2">
        <v>1</v>
      </c>
    </row>
    <row r="141" spans="1:6" ht="14.25" customHeight="1">
      <c r="A141" s="2">
        <v>30</v>
      </c>
      <c r="B141" s="2">
        <v>140</v>
      </c>
      <c r="C141" s="2">
        <v>7</v>
      </c>
      <c r="D141" s="2">
        <v>1</v>
      </c>
      <c r="E141" s="2">
        <v>0.58799999999999997</v>
      </c>
      <c r="F141" s="2">
        <v>1</v>
      </c>
    </row>
    <row r="142" spans="1:6" ht="14.25" customHeight="1">
      <c r="A142" s="2">
        <v>30</v>
      </c>
      <c r="B142" s="2">
        <v>141</v>
      </c>
      <c r="C142" s="2">
        <v>6</v>
      </c>
      <c r="D142" s="2">
        <v>1</v>
      </c>
      <c r="E142" s="2">
        <v>0.68200000000000005</v>
      </c>
      <c r="F142" s="2">
        <v>1</v>
      </c>
    </row>
    <row r="143" spans="1:6" ht="14.25" customHeight="1">
      <c r="A143" s="2">
        <v>30</v>
      </c>
      <c r="B143" s="2">
        <v>142</v>
      </c>
      <c r="C143" s="2">
        <v>4</v>
      </c>
      <c r="D143" s="2">
        <v>1</v>
      </c>
      <c r="E143" s="2">
        <v>0.57299999999999995</v>
      </c>
      <c r="F143" s="2">
        <v>1</v>
      </c>
    </row>
    <row r="144" spans="1:6" ht="14.25" customHeight="1">
      <c r="A144" s="2">
        <v>30</v>
      </c>
      <c r="B144" s="2">
        <v>143</v>
      </c>
      <c r="C144" s="2">
        <v>5</v>
      </c>
      <c r="D144" s="2">
        <v>1</v>
      </c>
      <c r="E144" s="2">
        <v>1.155</v>
      </c>
      <c r="F144" s="2">
        <v>1</v>
      </c>
    </row>
    <row r="145" spans="1:6" ht="14.25" customHeight="1">
      <c r="A145" s="2">
        <v>30</v>
      </c>
      <c r="B145" s="2">
        <v>144</v>
      </c>
      <c r="C145" s="2">
        <v>3</v>
      </c>
      <c r="D145" s="2">
        <v>1</v>
      </c>
      <c r="E145" s="2">
        <v>0.73399999999999999</v>
      </c>
      <c r="F145" s="2">
        <v>1</v>
      </c>
    </row>
    <row r="146" spans="1:6" ht="14.25" customHeight="1">
      <c r="A146" s="2">
        <v>30</v>
      </c>
      <c r="B146" s="2">
        <v>145</v>
      </c>
      <c r="C146" s="2">
        <v>2</v>
      </c>
      <c r="D146" s="2">
        <v>1</v>
      </c>
      <c r="E146" s="2">
        <v>1.0349999999999999</v>
      </c>
      <c r="F146" s="2">
        <v>1</v>
      </c>
    </row>
    <row r="147" spans="1:6" ht="14.25" customHeight="1">
      <c r="A147" s="2">
        <v>30</v>
      </c>
      <c r="B147" s="2">
        <v>146</v>
      </c>
      <c r="C147" s="2">
        <v>5</v>
      </c>
      <c r="D147" s="2">
        <v>1</v>
      </c>
      <c r="E147" s="2">
        <v>1.1419999999999999</v>
      </c>
      <c r="F147" s="2">
        <v>2</v>
      </c>
    </row>
    <row r="148" spans="1:6" ht="14.25" customHeight="1">
      <c r="A148" s="2">
        <v>30</v>
      </c>
      <c r="B148" s="2">
        <v>147</v>
      </c>
      <c r="C148" s="2">
        <v>4</v>
      </c>
      <c r="D148" s="2">
        <v>1</v>
      </c>
      <c r="E148" s="2">
        <v>1.3620000000000001</v>
      </c>
      <c r="F148" s="2">
        <v>1</v>
      </c>
    </row>
    <row r="149" spans="1:6" ht="14.25" customHeight="1">
      <c r="A149" s="2">
        <v>30</v>
      </c>
      <c r="B149" s="2">
        <v>148</v>
      </c>
      <c r="C149" s="2">
        <v>7</v>
      </c>
      <c r="D149" s="2">
        <v>1</v>
      </c>
      <c r="E149" s="2">
        <v>0.81299999999999994</v>
      </c>
      <c r="F149" s="2">
        <v>2</v>
      </c>
    </row>
    <row r="150" spans="1:6" ht="14.25" customHeight="1">
      <c r="A150" s="2">
        <v>30</v>
      </c>
      <c r="B150" s="2">
        <v>149</v>
      </c>
      <c r="C150" s="2">
        <v>2</v>
      </c>
      <c r="D150" s="2">
        <v>1</v>
      </c>
      <c r="E150" s="2">
        <v>1.2150000000000001</v>
      </c>
      <c r="F150" s="2">
        <v>1</v>
      </c>
    </row>
    <row r="151" spans="1:6" ht="14.25" customHeight="1">
      <c r="A151" s="2">
        <v>30</v>
      </c>
      <c r="B151" s="2">
        <v>150</v>
      </c>
      <c r="C151" s="2">
        <v>3</v>
      </c>
      <c r="D151" s="2">
        <v>1</v>
      </c>
      <c r="E151" s="2">
        <v>1.0489999999999999</v>
      </c>
      <c r="F151" s="2">
        <v>1</v>
      </c>
    </row>
    <row r="152" spans="1:6" ht="14.25" customHeight="1">
      <c r="A152" s="2">
        <v>30</v>
      </c>
      <c r="B152" s="2">
        <v>151</v>
      </c>
      <c r="C152" s="2">
        <v>1</v>
      </c>
      <c r="D152" s="2">
        <v>0</v>
      </c>
      <c r="E152" s="2">
        <v>1.462</v>
      </c>
      <c r="F152" s="2">
        <v>1</v>
      </c>
    </row>
    <row r="153" spans="1:6" ht="14.25" customHeight="1">
      <c r="A153" s="2">
        <v>30</v>
      </c>
      <c r="B153" s="2">
        <v>152</v>
      </c>
      <c r="C153" s="2">
        <v>8</v>
      </c>
      <c r="D153" s="2">
        <v>1</v>
      </c>
      <c r="E153" s="2">
        <v>0.80700000000000005</v>
      </c>
      <c r="F153" s="2">
        <v>2</v>
      </c>
    </row>
    <row r="154" spans="1:6" ht="14.25" customHeight="1">
      <c r="A154" s="2">
        <v>30</v>
      </c>
      <c r="B154" s="2">
        <v>153</v>
      </c>
      <c r="C154" s="2">
        <v>7</v>
      </c>
      <c r="D154" s="2">
        <v>1</v>
      </c>
      <c r="E154" s="2">
        <v>0.82399999999999995</v>
      </c>
      <c r="F154" s="2">
        <v>2</v>
      </c>
    </row>
    <row r="155" spans="1:6" ht="14.25" customHeight="1">
      <c r="A155" s="2">
        <v>30</v>
      </c>
      <c r="B155" s="2">
        <v>154</v>
      </c>
      <c r="C155" s="2">
        <v>4</v>
      </c>
      <c r="D155" s="2">
        <v>1</v>
      </c>
      <c r="E155" s="2">
        <v>1.145</v>
      </c>
      <c r="F155" s="2">
        <v>1</v>
      </c>
    </row>
    <row r="156" spans="1:6" ht="14.25" customHeight="1">
      <c r="A156" s="2">
        <v>30</v>
      </c>
      <c r="B156" s="2">
        <v>155</v>
      </c>
      <c r="C156" s="2">
        <v>1</v>
      </c>
      <c r="D156" s="2">
        <v>1</v>
      </c>
      <c r="E156" s="2">
        <v>0.89500000000000002</v>
      </c>
      <c r="F156" s="2">
        <v>1</v>
      </c>
    </row>
    <row r="157" spans="1:6" ht="14.25" customHeight="1">
      <c r="A157" s="2">
        <v>30</v>
      </c>
      <c r="B157" s="2">
        <v>156</v>
      </c>
      <c r="C157" s="2">
        <v>8</v>
      </c>
      <c r="D157" s="2">
        <v>0</v>
      </c>
      <c r="E157" s="2">
        <v>1.3320000000000001</v>
      </c>
      <c r="F157" s="2">
        <v>2</v>
      </c>
    </row>
    <row r="158" spans="1:6" ht="14.25" customHeight="1">
      <c r="A158" s="2">
        <v>30</v>
      </c>
      <c r="B158" s="2">
        <v>157</v>
      </c>
      <c r="C158" s="2">
        <v>4</v>
      </c>
      <c r="D158" s="2">
        <v>0</v>
      </c>
      <c r="E158" s="2">
        <v>1.0980000000000001</v>
      </c>
      <c r="F158" s="2">
        <v>1</v>
      </c>
    </row>
    <row r="159" spans="1:6" ht="14.25" customHeight="1">
      <c r="A159" s="2">
        <v>30</v>
      </c>
      <c r="B159" s="2">
        <v>158</v>
      </c>
      <c r="C159" s="2">
        <v>7</v>
      </c>
      <c r="E159" s="2">
        <v>2.0009999999999999</v>
      </c>
    </row>
    <row r="160" spans="1:6" ht="14.25" customHeight="1">
      <c r="A160" s="2">
        <v>30</v>
      </c>
      <c r="B160" s="2">
        <v>159</v>
      </c>
      <c r="C160" s="2">
        <v>2</v>
      </c>
      <c r="D160" s="2">
        <v>1</v>
      </c>
      <c r="E160" s="2">
        <v>0.60299999999999998</v>
      </c>
      <c r="F160" s="2">
        <v>2</v>
      </c>
    </row>
    <row r="161" spans="1:6" ht="14.25" customHeight="1">
      <c r="A161" s="2">
        <v>30</v>
      </c>
      <c r="B161" s="2">
        <v>160</v>
      </c>
      <c r="C161" s="2">
        <v>4</v>
      </c>
      <c r="D161" s="2">
        <v>1</v>
      </c>
      <c r="E161" s="2">
        <v>0.66900000000000004</v>
      </c>
      <c r="F161" s="2">
        <v>2</v>
      </c>
    </row>
    <row r="162" spans="1:6" ht="14.25" customHeight="1">
      <c r="A162" s="2">
        <v>30</v>
      </c>
      <c r="B162" s="2">
        <v>161</v>
      </c>
      <c r="C162" s="2">
        <v>1</v>
      </c>
      <c r="D162" s="2">
        <v>1</v>
      </c>
      <c r="E162" s="2">
        <v>0.7</v>
      </c>
      <c r="F162" s="2">
        <v>1</v>
      </c>
    </row>
    <row r="163" spans="1:6" ht="14.25" customHeight="1">
      <c r="A163" s="2">
        <v>30</v>
      </c>
      <c r="B163" s="2">
        <v>162</v>
      </c>
      <c r="C163" s="2">
        <v>4</v>
      </c>
      <c r="D163" s="2">
        <v>1</v>
      </c>
      <c r="E163" s="2">
        <v>0.83299999999999996</v>
      </c>
      <c r="F163" s="2">
        <v>1</v>
      </c>
    </row>
    <row r="164" spans="1:6" ht="14.25" customHeight="1">
      <c r="A164" s="2">
        <v>30</v>
      </c>
      <c r="B164" s="2">
        <v>163</v>
      </c>
      <c r="C164" s="2">
        <v>7</v>
      </c>
      <c r="D164" s="2">
        <v>1</v>
      </c>
      <c r="E164" s="2">
        <v>0.93799999999999994</v>
      </c>
      <c r="F164" s="2">
        <v>2</v>
      </c>
    </row>
    <row r="165" spans="1:6" ht="14.25" customHeight="1">
      <c r="A165" s="2">
        <v>30</v>
      </c>
      <c r="B165" s="2">
        <v>164</v>
      </c>
      <c r="C165" s="2">
        <v>3</v>
      </c>
      <c r="D165" s="2">
        <v>0</v>
      </c>
      <c r="E165" s="2">
        <v>1.0169999999999999</v>
      </c>
      <c r="F165" s="2">
        <v>2</v>
      </c>
    </row>
    <row r="166" spans="1:6" ht="14.25" customHeight="1">
      <c r="A166" s="2">
        <v>30</v>
      </c>
      <c r="B166" s="2">
        <v>165</v>
      </c>
      <c r="C166" s="2">
        <v>8</v>
      </c>
      <c r="D166" s="2">
        <v>1</v>
      </c>
      <c r="E166" s="2">
        <v>0.63200000000000001</v>
      </c>
      <c r="F166" s="2">
        <v>1</v>
      </c>
    </row>
    <row r="167" spans="1:6" ht="14.25" customHeight="1">
      <c r="A167" s="2">
        <v>30</v>
      </c>
      <c r="B167" s="2">
        <v>166</v>
      </c>
      <c r="C167" s="2">
        <v>5</v>
      </c>
      <c r="D167" s="2">
        <v>1</v>
      </c>
      <c r="E167" s="2">
        <v>1.554</v>
      </c>
      <c r="F167" s="2">
        <v>2</v>
      </c>
    </row>
    <row r="168" spans="1:6" ht="14.25" customHeight="1">
      <c r="A168" s="2">
        <v>30</v>
      </c>
      <c r="B168" s="2">
        <v>167</v>
      </c>
      <c r="C168" s="2">
        <v>3</v>
      </c>
      <c r="D168" s="2">
        <v>1</v>
      </c>
      <c r="E168" s="2">
        <v>0.79</v>
      </c>
      <c r="F168" s="2">
        <v>2</v>
      </c>
    </row>
    <row r="169" spans="1:6" ht="14.25" customHeight="1">
      <c r="A169" s="2">
        <v>30</v>
      </c>
      <c r="B169" s="2">
        <v>168</v>
      </c>
      <c r="C169" s="2">
        <v>6</v>
      </c>
      <c r="D169" s="2">
        <v>0</v>
      </c>
      <c r="E169" s="2">
        <v>1.0649999999999999</v>
      </c>
      <c r="F169" s="2">
        <v>1</v>
      </c>
    </row>
    <row r="170" spans="1:6" ht="14.25" customHeight="1">
      <c r="A170" s="2">
        <v>30</v>
      </c>
      <c r="B170" s="2">
        <v>169</v>
      </c>
      <c r="C170" s="2">
        <v>2</v>
      </c>
      <c r="D170" s="2">
        <v>1</v>
      </c>
      <c r="E170" s="2">
        <v>1.1619999999999999</v>
      </c>
      <c r="F170" s="2">
        <v>1</v>
      </c>
    </row>
    <row r="171" spans="1:6" ht="14.25" customHeight="1">
      <c r="A171" s="2">
        <v>30</v>
      </c>
      <c r="B171" s="2">
        <v>170</v>
      </c>
      <c r="C171" s="2">
        <v>5</v>
      </c>
      <c r="D171" s="2">
        <v>1</v>
      </c>
      <c r="E171" s="2">
        <v>1.341</v>
      </c>
      <c r="F171" s="2">
        <v>2</v>
      </c>
    </row>
    <row r="172" spans="1:6" ht="14.25" customHeight="1">
      <c r="A172" s="2">
        <v>30</v>
      </c>
      <c r="B172" s="2">
        <v>171</v>
      </c>
      <c r="C172" s="2">
        <v>8</v>
      </c>
      <c r="D172" s="2">
        <v>1</v>
      </c>
      <c r="E172" s="2">
        <v>1.3779999999999999</v>
      </c>
      <c r="F172" s="2">
        <v>2</v>
      </c>
    </row>
    <row r="173" spans="1:6" ht="14.25" customHeight="1">
      <c r="A173" s="2">
        <v>30</v>
      </c>
      <c r="B173" s="2">
        <v>172</v>
      </c>
      <c r="C173" s="2">
        <v>3</v>
      </c>
      <c r="D173" s="2">
        <v>0</v>
      </c>
      <c r="E173" s="2">
        <v>1.589</v>
      </c>
      <c r="F173" s="2">
        <v>1</v>
      </c>
    </row>
    <row r="174" spans="1:6" ht="14.25" customHeight="1">
      <c r="A174" s="2">
        <v>30</v>
      </c>
      <c r="B174" s="2">
        <v>173</v>
      </c>
      <c r="C174" s="2">
        <v>6</v>
      </c>
      <c r="D174" s="2">
        <v>1</v>
      </c>
      <c r="E174" s="2">
        <v>0.84</v>
      </c>
      <c r="F174" s="2">
        <v>1</v>
      </c>
    </row>
    <row r="175" spans="1:6" ht="14.25" customHeight="1">
      <c r="A175" s="2">
        <v>30</v>
      </c>
      <c r="B175" s="2">
        <v>174</v>
      </c>
      <c r="C175" s="2">
        <v>5</v>
      </c>
      <c r="D175" s="2">
        <v>0</v>
      </c>
      <c r="E175" s="2">
        <v>1.417</v>
      </c>
      <c r="F175" s="2">
        <v>1</v>
      </c>
    </row>
    <row r="176" spans="1:6" ht="14.25" customHeight="1">
      <c r="A176" s="2">
        <v>30</v>
      </c>
      <c r="B176" s="2">
        <v>175</v>
      </c>
      <c r="C176" s="2">
        <v>1</v>
      </c>
      <c r="D176" s="2">
        <v>1</v>
      </c>
      <c r="E176" s="2">
        <v>1.673</v>
      </c>
      <c r="F176" s="2">
        <v>2</v>
      </c>
    </row>
    <row r="177" spans="1:6" ht="14.25" customHeight="1">
      <c r="A177" s="2">
        <v>30</v>
      </c>
      <c r="B177" s="2">
        <v>176</v>
      </c>
      <c r="C177" s="2">
        <v>8</v>
      </c>
      <c r="D177" s="2">
        <v>1</v>
      </c>
      <c r="E177" s="2">
        <v>1.137</v>
      </c>
      <c r="F177" s="2">
        <v>2</v>
      </c>
    </row>
    <row r="178" spans="1:6" ht="14.25" customHeight="1">
      <c r="A178" s="2">
        <v>30</v>
      </c>
      <c r="B178" s="2">
        <v>177</v>
      </c>
      <c r="C178" s="2">
        <v>1</v>
      </c>
      <c r="D178" s="2">
        <v>0</v>
      </c>
      <c r="E178" s="2">
        <v>0.96599999999999997</v>
      </c>
      <c r="F178" s="2">
        <v>1</v>
      </c>
    </row>
    <row r="179" spans="1:6" ht="14.25" customHeight="1">
      <c r="A179" s="2">
        <v>30</v>
      </c>
      <c r="B179" s="2">
        <v>178</v>
      </c>
      <c r="C179" s="2">
        <v>7</v>
      </c>
      <c r="D179" s="2">
        <v>1</v>
      </c>
      <c r="E179" s="2">
        <v>0.98599999999999999</v>
      </c>
      <c r="F179" s="2">
        <v>1</v>
      </c>
    </row>
    <row r="180" spans="1:6" ht="14.25" customHeight="1">
      <c r="A180" s="2">
        <v>30</v>
      </c>
      <c r="B180" s="2">
        <v>179</v>
      </c>
      <c r="C180" s="2">
        <v>4</v>
      </c>
      <c r="D180" s="2">
        <v>1</v>
      </c>
      <c r="E180" s="2">
        <v>0.93200000000000005</v>
      </c>
      <c r="F180" s="2">
        <v>2</v>
      </c>
    </row>
    <row r="181" spans="1:6" ht="14.25" customHeight="1">
      <c r="A181" s="2">
        <v>30</v>
      </c>
      <c r="B181" s="2">
        <v>180</v>
      </c>
      <c r="C181" s="2">
        <v>8</v>
      </c>
      <c r="D181" s="2">
        <v>1</v>
      </c>
      <c r="E181" s="2">
        <v>0.85899999999999999</v>
      </c>
      <c r="F181" s="2">
        <v>1</v>
      </c>
    </row>
    <row r="182" spans="1:6" ht="14.25" customHeight="1">
      <c r="A182" s="2">
        <v>30</v>
      </c>
      <c r="B182" s="2">
        <v>181</v>
      </c>
      <c r="C182" s="2">
        <v>2</v>
      </c>
      <c r="D182" s="2">
        <v>1</v>
      </c>
      <c r="E182" s="2">
        <v>1.05</v>
      </c>
      <c r="F182" s="2">
        <v>2</v>
      </c>
    </row>
    <row r="183" spans="1:6" ht="14.25" customHeight="1">
      <c r="A183" s="2">
        <v>30</v>
      </c>
      <c r="B183" s="2">
        <v>182</v>
      </c>
      <c r="C183" s="2">
        <v>5</v>
      </c>
      <c r="D183" s="2">
        <v>1</v>
      </c>
      <c r="E183" s="2">
        <v>1.0740000000000001</v>
      </c>
      <c r="F183" s="2">
        <v>2</v>
      </c>
    </row>
    <row r="184" spans="1:6" ht="14.25" customHeight="1">
      <c r="A184" s="2">
        <v>30</v>
      </c>
      <c r="B184" s="2">
        <v>183</v>
      </c>
      <c r="C184" s="2">
        <v>2</v>
      </c>
      <c r="D184" s="2">
        <v>0</v>
      </c>
      <c r="E184" s="2">
        <v>0.73</v>
      </c>
      <c r="F184" s="2">
        <v>1</v>
      </c>
    </row>
    <row r="185" spans="1:6" ht="14.25" customHeight="1">
      <c r="A185" s="2">
        <v>30</v>
      </c>
      <c r="B185" s="2">
        <v>184</v>
      </c>
      <c r="C185" s="2">
        <v>6</v>
      </c>
      <c r="D185" s="2">
        <v>1</v>
      </c>
      <c r="E185" s="2">
        <v>0.73399999999999999</v>
      </c>
      <c r="F185" s="2">
        <v>1</v>
      </c>
    </row>
    <row r="186" spans="1:6" ht="14.25" customHeight="1">
      <c r="A186" s="2">
        <v>30</v>
      </c>
      <c r="B186" s="2">
        <v>185</v>
      </c>
      <c r="C186" s="2">
        <v>2</v>
      </c>
      <c r="D186" s="2">
        <v>1</v>
      </c>
      <c r="E186" s="2">
        <v>0.66700000000000004</v>
      </c>
      <c r="F186" s="2">
        <v>1</v>
      </c>
    </row>
    <row r="187" spans="1:6" ht="14.25" customHeight="1">
      <c r="A187" s="2">
        <v>30</v>
      </c>
      <c r="B187" s="2">
        <v>186</v>
      </c>
      <c r="C187" s="2">
        <v>3</v>
      </c>
      <c r="D187" s="2">
        <v>0</v>
      </c>
      <c r="E187" s="2">
        <v>0.67400000000000004</v>
      </c>
      <c r="F187" s="2">
        <v>1</v>
      </c>
    </row>
    <row r="188" spans="1:6" ht="14.25" customHeight="1">
      <c r="A188" s="2">
        <v>30</v>
      </c>
      <c r="B188" s="2">
        <v>187</v>
      </c>
      <c r="C188" s="2">
        <v>2</v>
      </c>
      <c r="D188" s="2">
        <v>1</v>
      </c>
      <c r="E188" s="2">
        <v>1.29</v>
      </c>
      <c r="F188" s="2">
        <v>1</v>
      </c>
    </row>
    <row r="189" spans="1:6" ht="14.25" customHeight="1">
      <c r="A189" s="2">
        <v>30</v>
      </c>
      <c r="B189" s="2">
        <v>188</v>
      </c>
      <c r="C189" s="2">
        <v>3</v>
      </c>
      <c r="D189" s="2">
        <v>1</v>
      </c>
      <c r="E189" s="2">
        <v>1.04</v>
      </c>
      <c r="F189" s="2">
        <v>2</v>
      </c>
    </row>
    <row r="190" spans="1:6" ht="14.25" customHeight="1">
      <c r="A190" s="2">
        <v>30</v>
      </c>
      <c r="B190" s="2">
        <v>189</v>
      </c>
      <c r="C190" s="2">
        <v>7</v>
      </c>
      <c r="D190" s="2">
        <v>1</v>
      </c>
      <c r="E190" s="2">
        <v>1.121</v>
      </c>
      <c r="F190" s="2">
        <v>1</v>
      </c>
    </row>
    <row r="191" spans="1:6" ht="14.25" customHeight="1">
      <c r="A191" s="2">
        <v>30</v>
      </c>
      <c r="B191" s="2">
        <v>190</v>
      </c>
      <c r="C191" s="2">
        <v>5</v>
      </c>
      <c r="D191" s="2">
        <v>1</v>
      </c>
      <c r="E191" s="2">
        <v>1.246</v>
      </c>
      <c r="F191" s="2">
        <v>1</v>
      </c>
    </row>
    <row r="192" spans="1:6" ht="14.25" customHeight="1">
      <c r="A192" s="2">
        <v>30</v>
      </c>
      <c r="B192" s="2">
        <v>191</v>
      </c>
      <c r="C192" s="2">
        <v>4</v>
      </c>
      <c r="D192" s="2">
        <v>0</v>
      </c>
      <c r="E192" s="2">
        <v>0.98299999999999998</v>
      </c>
      <c r="F192" s="2">
        <v>2</v>
      </c>
    </row>
    <row r="193" spans="1:6" ht="14.25" customHeight="1">
      <c r="A193" s="2">
        <v>30</v>
      </c>
      <c r="B193" s="2">
        <v>192</v>
      </c>
      <c r="C193" s="2">
        <v>1</v>
      </c>
      <c r="D193" s="2">
        <v>1</v>
      </c>
      <c r="E193" s="2">
        <v>0.84099999999999997</v>
      </c>
      <c r="F193" s="2">
        <v>1</v>
      </c>
    </row>
    <row r="194" spans="1:6" ht="14.25" customHeight="1">
      <c r="A194" s="2">
        <v>30</v>
      </c>
      <c r="B194" s="2">
        <v>193</v>
      </c>
      <c r="C194" s="2">
        <v>6</v>
      </c>
      <c r="D194" s="2">
        <v>1</v>
      </c>
      <c r="E194" s="2">
        <v>1.1779999999999999</v>
      </c>
      <c r="F194" s="2">
        <v>1</v>
      </c>
    </row>
    <row r="195" spans="1:6" ht="14.25" customHeight="1">
      <c r="A195" s="2">
        <v>30</v>
      </c>
      <c r="B195" s="2">
        <v>194</v>
      </c>
      <c r="C195" s="2">
        <v>4</v>
      </c>
      <c r="D195" s="2">
        <v>1</v>
      </c>
      <c r="E195" s="2">
        <v>0.95799999999999996</v>
      </c>
      <c r="F195" s="2">
        <v>1</v>
      </c>
    </row>
    <row r="196" spans="1:6" ht="14.25" customHeight="1">
      <c r="A196" s="2">
        <v>30</v>
      </c>
      <c r="B196" s="2">
        <v>195</v>
      </c>
      <c r="C196" s="2">
        <v>6</v>
      </c>
      <c r="D196" s="2">
        <v>1</v>
      </c>
      <c r="E196" s="2">
        <v>1.641</v>
      </c>
      <c r="F196" s="2">
        <v>1</v>
      </c>
    </row>
    <row r="197" spans="1:6" ht="14.25" customHeight="1">
      <c r="A197" s="2">
        <v>30</v>
      </c>
      <c r="B197" s="2">
        <v>196</v>
      </c>
      <c r="C197" s="2">
        <v>1</v>
      </c>
      <c r="D197" s="2">
        <v>1</v>
      </c>
      <c r="E197" s="2">
        <v>1.387</v>
      </c>
      <c r="F197" s="2">
        <v>2</v>
      </c>
    </row>
    <row r="198" spans="1:6" ht="14.25" customHeight="1">
      <c r="A198" s="2">
        <v>30</v>
      </c>
      <c r="B198" s="2">
        <v>197</v>
      </c>
      <c r="C198" s="2">
        <v>7</v>
      </c>
      <c r="D198" s="2">
        <v>1</v>
      </c>
      <c r="E198" s="2">
        <v>1.149</v>
      </c>
      <c r="F198" s="2">
        <v>1</v>
      </c>
    </row>
    <row r="199" spans="1:6" ht="14.25" customHeight="1">
      <c r="A199" s="2">
        <v>30</v>
      </c>
      <c r="B199" s="2">
        <v>198</v>
      </c>
      <c r="C199" s="2">
        <v>3</v>
      </c>
      <c r="D199" s="2">
        <v>1</v>
      </c>
      <c r="E199" s="2">
        <v>0.81</v>
      </c>
      <c r="F199" s="2">
        <v>2</v>
      </c>
    </row>
    <row r="200" spans="1:6" ht="14.25" customHeight="1">
      <c r="A200" s="2">
        <v>30</v>
      </c>
      <c r="B200" s="2">
        <v>199</v>
      </c>
      <c r="C200" s="2">
        <v>5</v>
      </c>
      <c r="D200" s="2">
        <v>1</v>
      </c>
      <c r="E200" s="2">
        <v>0.91500000000000004</v>
      </c>
      <c r="F200" s="2">
        <v>1</v>
      </c>
    </row>
    <row r="201" spans="1:6" ht="14.25" customHeight="1">
      <c r="A201" s="2">
        <v>30</v>
      </c>
      <c r="B201" s="2">
        <v>200</v>
      </c>
      <c r="C201" s="2">
        <v>6</v>
      </c>
      <c r="D201" s="2">
        <v>1</v>
      </c>
      <c r="E201" s="2">
        <v>1.3540000000000001</v>
      </c>
      <c r="F201" s="2">
        <v>1</v>
      </c>
    </row>
    <row r="202" spans="1:6" ht="14.25" customHeight="1">
      <c r="A202" s="2">
        <v>30</v>
      </c>
      <c r="B202" s="2">
        <v>201</v>
      </c>
      <c r="C202" s="2">
        <v>2</v>
      </c>
      <c r="D202" s="2">
        <v>1</v>
      </c>
      <c r="E202" s="2">
        <v>1.627</v>
      </c>
      <c r="F202" s="2">
        <v>2</v>
      </c>
    </row>
    <row r="203" spans="1:6" ht="14.25" customHeight="1">
      <c r="A203" s="2">
        <v>30</v>
      </c>
      <c r="B203" s="2">
        <v>202</v>
      </c>
      <c r="C203" s="2">
        <v>8</v>
      </c>
      <c r="D203" s="2">
        <v>1</v>
      </c>
      <c r="E203" s="2">
        <v>0.64400000000000002</v>
      </c>
      <c r="F203" s="2">
        <v>2</v>
      </c>
    </row>
    <row r="204" spans="1:6" ht="14.25" customHeight="1">
      <c r="A204" s="2">
        <v>30</v>
      </c>
      <c r="B204" s="2">
        <v>203</v>
      </c>
      <c r="C204" s="2">
        <v>6</v>
      </c>
      <c r="D204" s="2">
        <v>0</v>
      </c>
      <c r="E204" s="2">
        <v>1.149</v>
      </c>
      <c r="F204" s="2">
        <v>1</v>
      </c>
    </row>
    <row r="205" spans="1:6" ht="14.25" customHeight="1">
      <c r="A205" s="2">
        <v>30</v>
      </c>
      <c r="B205" s="2">
        <v>204</v>
      </c>
      <c r="C205" s="2">
        <v>2</v>
      </c>
      <c r="D205" s="2">
        <v>1</v>
      </c>
      <c r="E205" s="2">
        <v>0.99299999999999999</v>
      </c>
      <c r="F205" s="2">
        <v>1</v>
      </c>
    </row>
    <row r="206" spans="1:6" ht="14.25" customHeight="1">
      <c r="A206" s="2">
        <v>30</v>
      </c>
      <c r="B206" s="2">
        <v>205</v>
      </c>
      <c r="C206" s="2">
        <v>7</v>
      </c>
      <c r="D206" s="2">
        <v>1</v>
      </c>
      <c r="E206" s="2">
        <v>0.82</v>
      </c>
      <c r="F206" s="2">
        <v>1</v>
      </c>
    </row>
    <row r="207" spans="1:6" ht="14.25" customHeight="1">
      <c r="A207" s="2">
        <v>30</v>
      </c>
      <c r="B207" s="2">
        <v>206</v>
      </c>
      <c r="C207" s="2">
        <v>3</v>
      </c>
      <c r="D207" s="2">
        <v>0</v>
      </c>
      <c r="E207" s="2">
        <v>1.31</v>
      </c>
      <c r="F207" s="2">
        <v>2</v>
      </c>
    </row>
    <row r="208" spans="1:6" ht="14.25" customHeight="1">
      <c r="A208" s="2">
        <v>30</v>
      </c>
      <c r="B208" s="2">
        <v>207</v>
      </c>
      <c r="C208" s="2">
        <v>7</v>
      </c>
      <c r="D208" s="2">
        <v>1</v>
      </c>
      <c r="E208" s="2">
        <v>1.458</v>
      </c>
      <c r="F208" s="2">
        <v>2</v>
      </c>
    </row>
    <row r="209" spans="1:6" ht="14.25" customHeight="1">
      <c r="A209" s="2">
        <v>30</v>
      </c>
      <c r="B209" s="2">
        <v>208</v>
      </c>
      <c r="C209" s="2">
        <v>3</v>
      </c>
      <c r="D209" s="2">
        <v>0</v>
      </c>
      <c r="E209" s="2">
        <v>1.9470000000000001</v>
      </c>
      <c r="F209" s="2">
        <v>2</v>
      </c>
    </row>
    <row r="210" spans="1:6" ht="14.25" customHeight="1">
      <c r="A210" s="2">
        <v>30</v>
      </c>
      <c r="B210" s="2">
        <v>209</v>
      </c>
      <c r="C210" s="2">
        <v>8</v>
      </c>
      <c r="D210" s="2">
        <v>1</v>
      </c>
      <c r="E210" s="2">
        <v>1.5029999999999999</v>
      </c>
      <c r="F210" s="2">
        <v>2</v>
      </c>
    </row>
    <row r="211" spans="1:6" ht="14.25" customHeight="1">
      <c r="A211" s="2">
        <v>30</v>
      </c>
      <c r="B211" s="2">
        <v>210</v>
      </c>
      <c r="C211" s="2">
        <v>7</v>
      </c>
      <c r="D211" s="2">
        <v>1</v>
      </c>
      <c r="E211" s="2">
        <v>1.196</v>
      </c>
      <c r="F211" s="2">
        <v>2</v>
      </c>
    </row>
    <row r="212" spans="1:6" ht="14.25" customHeight="1">
      <c r="A212" s="2">
        <v>30</v>
      </c>
      <c r="B212" s="2">
        <v>211</v>
      </c>
      <c r="C212" s="2">
        <v>4</v>
      </c>
      <c r="D212" s="2">
        <v>1</v>
      </c>
      <c r="E212" s="2">
        <v>0.71799999999999997</v>
      </c>
      <c r="F212" s="2">
        <v>1</v>
      </c>
    </row>
    <row r="213" spans="1:6" ht="14.25" customHeight="1">
      <c r="A213" s="2">
        <v>30</v>
      </c>
      <c r="B213" s="2">
        <v>212</v>
      </c>
      <c r="C213" s="2">
        <v>5</v>
      </c>
      <c r="D213" s="2">
        <v>1</v>
      </c>
      <c r="E213" s="2">
        <v>0.92300000000000004</v>
      </c>
      <c r="F213" s="2">
        <v>1</v>
      </c>
    </row>
    <row r="214" spans="1:6" ht="14.25" customHeight="1">
      <c r="A214" s="2">
        <v>30</v>
      </c>
      <c r="B214" s="2">
        <v>213</v>
      </c>
      <c r="C214" s="2">
        <v>1</v>
      </c>
      <c r="D214" s="2">
        <v>1</v>
      </c>
      <c r="E214" s="2">
        <v>1.232</v>
      </c>
      <c r="F214" s="2">
        <v>2</v>
      </c>
    </row>
    <row r="215" spans="1:6" ht="14.25" customHeight="1">
      <c r="A215" s="2">
        <v>30</v>
      </c>
      <c r="B215" s="2">
        <v>214</v>
      </c>
      <c r="C215" s="2">
        <v>5</v>
      </c>
      <c r="D215" s="2">
        <v>1</v>
      </c>
      <c r="E215" s="2">
        <v>1.0189999999999999</v>
      </c>
      <c r="F215" s="2">
        <v>1</v>
      </c>
    </row>
    <row r="216" spans="1:6" ht="14.25" customHeight="1">
      <c r="A216" s="2">
        <v>30</v>
      </c>
      <c r="B216" s="2">
        <v>215</v>
      </c>
      <c r="C216" s="2">
        <v>4</v>
      </c>
      <c r="D216" s="2">
        <v>1</v>
      </c>
      <c r="E216" s="2">
        <v>1.724</v>
      </c>
      <c r="F216" s="2">
        <v>1</v>
      </c>
    </row>
    <row r="217" spans="1:6" ht="14.25" customHeight="1">
      <c r="A217" s="2">
        <v>30</v>
      </c>
      <c r="B217" s="2">
        <v>216</v>
      </c>
      <c r="C217" s="2">
        <v>2</v>
      </c>
      <c r="D217" s="2">
        <v>1</v>
      </c>
      <c r="E217" s="2">
        <v>1.2170000000000001</v>
      </c>
      <c r="F217" s="2">
        <v>2</v>
      </c>
    </row>
    <row r="218" spans="1:6" ht="14.25" customHeight="1">
      <c r="A218" s="2">
        <v>30</v>
      </c>
      <c r="B218" s="2">
        <v>217</v>
      </c>
      <c r="C218" s="2">
        <v>6</v>
      </c>
      <c r="D218" s="2">
        <v>1</v>
      </c>
      <c r="E218" s="2">
        <v>1.4750000000000001</v>
      </c>
      <c r="F218" s="2">
        <v>2</v>
      </c>
    </row>
    <row r="219" spans="1:6" ht="14.25" customHeight="1">
      <c r="A219" s="2">
        <v>30</v>
      </c>
      <c r="B219" s="2">
        <v>218</v>
      </c>
      <c r="C219" s="2">
        <v>1</v>
      </c>
      <c r="D219" s="2">
        <v>0</v>
      </c>
      <c r="E219" s="2">
        <v>0.85</v>
      </c>
      <c r="F219" s="2">
        <v>1</v>
      </c>
    </row>
    <row r="220" spans="1:6" ht="14.25" customHeight="1">
      <c r="A220" s="2">
        <v>30</v>
      </c>
      <c r="B220" s="2">
        <v>219</v>
      </c>
      <c r="C220" s="2">
        <v>3</v>
      </c>
      <c r="D220" s="2">
        <v>0</v>
      </c>
      <c r="E220" s="2">
        <v>1.1539999999999999</v>
      </c>
      <c r="F220" s="2">
        <v>2</v>
      </c>
    </row>
    <row r="221" spans="1:6" ht="14.25" customHeight="1">
      <c r="A221" s="2">
        <v>30</v>
      </c>
      <c r="B221" s="2">
        <v>220</v>
      </c>
      <c r="C221" s="2">
        <v>5</v>
      </c>
      <c r="D221" s="2">
        <v>1</v>
      </c>
      <c r="E221" s="2">
        <v>1.23</v>
      </c>
      <c r="F221" s="2">
        <v>2</v>
      </c>
    </row>
    <row r="222" spans="1:6" ht="14.25" customHeight="1">
      <c r="A222" s="2">
        <v>30</v>
      </c>
      <c r="B222" s="2">
        <v>221</v>
      </c>
      <c r="C222" s="2">
        <v>6</v>
      </c>
      <c r="D222" s="2">
        <v>1</v>
      </c>
      <c r="E222" s="2">
        <v>1.159</v>
      </c>
      <c r="F222" s="2">
        <v>2</v>
      </c>
    </row>
    <row r="223" spans="1:6" ht="14.25" customHeight="1">
      <c r="A223" s="2">
        <v>30</v>
      </c>
      <c r="B223" s="2">
        <v>222</v>
      </c>
      <c r="C223" s="2">
        <v>8</v>
      </c>
      <c r="D223" s="2">
        <v>1</v>
      </c>
      <c r="E223" s="2">
        <v>1.339</v>
      </c>
      <c r="F223" s="2">
        <v>2</v>
      </c>
    </row>
    <row r="224" spans="1:6" ht="14.25" customHeight="1">
      <c r="A224" s="2">
        <v>30</v>
      </c>
      <c r="B224" s="2">
        <v>223</v>
      </c>
      <c r="C224" s="2">
        <v>6</v>
      </c>
      <c r="D224" s="2">
        <v>1</v>
      </c>
      <c r="E224" s="2">
        <v>0.71</v>
      </c>
      <c r="F224" s="2">
        <v>1</v>
      </c>
    </row>
    <row r="225" spans="1:6" ht="14.25" customHeight="1">
      <c r="A225" s="2">
        <v>30</v>
      </c>
      <c r="B225" s="2">
        <v>224</v>
      </c>
      <c r="C225" s="2">
        <v>5</v>
      </c>
      <c r="D225" s="2">
        <v>0</v>
      </c>
      <c r="E225" s="2">
        <v>1.325</v>
      </c>
      <c r="F225" s="2">
        <v>1</v>
      </c>
    </row>
    <row r="226" spans="1:6" ht="14.25" customHeight="1">
      <c r="A226" s="2">
        <v>30</v>
      </c>
      <c r="B226" s="2">
        <v>225</v>
      </c>
      <c r="C226" s="2">
        <v>4</v>
      </c>
      <c r="D226" s="2">
        <v>1</v>
      </c>
      <c r="E226" s="2">
        <v>1.379</v>
      </c>
      <c r="F226" s="2">
        <v>2</v>
      </c>
    </row>
    <row r="227" spans="1:6" ht="14.25" customHeight="1">
      <c r="A227" s="2">
        <v>30</v>
      </c>
      <c r="B227" s="2">
        <v>226</v>
      </c>
      <c r="C227" s="2">
        <v>1</v>
      </c>
      <c r="D227" s="2">
        <v>1</v>
      </c>
      <c r="E227" s="2">
        <v>0.83799999999999997</v>
      </c>
      <c r="F227" s="2">
        <v>2</v>
      </c>
    </row>
    <row r="228" spans="1:6" ht="14.25" customHeight="1">
      <c r="A228" s="2">
        <v>30</v>
      </c>
      <c r="B228" s="2">
        <v>227</v>
      </c>
      <c r="C228" s="2">
        <v>8</v>
      </c>
      <c r="D228" s="2">
        <v>0</v>
      </c>
      <c r="E228" s="2">
        <v>1.054</v>
      </c>
      <c r="F228" s="2">
        <v>1</v>
      </c>
    </row>
    <row r="229" spans="1:6" ht="14.25" customHeight="1">
      <c r="A229" s="2">
        <v>30</v>
      </c>
      <c r="B229" s="2">
        <v>228</v>
      </c>
      <c r="C229" s="2">
        <v>2</v>
      </c>
      <c r="D229" s="2">
        <v>1</v>
      </c>
      <c r="E229" s="2">
        <v>1.246</v>
      </c>
      <c r="F229" s="2">
        <v>1</v>
      </c>
    </row>
    <row r="230" spans="1:6" ht="14.25" customHeight="1">
      <c r="A230" s="2">
        <v>30</v>
      </c>
      <c r="B230" s="2">
        <v>229</v>
      </c>
      <c r="C230" s="2">
        <v>4</v>
      </c>
      <c r="D230" s="2">
        <v>1</v>
      </c>
      <c r="E230" s="2">
        <v>1.4870000000000001</v>
      </c>
      <c r="F230" s="2">
        <v>2</v>
      </c>
    </row>
    <row r="231" spans="1:6" ht="14.25" customHeight="1">
      <c r="A231" s="2">
        <v>30</v>
      </c>
      <c r="B231" s="2">
        <v>230</v>
      </c>
      <c r="C231" s="2">
        <v>7</v>
      </c>
      <c r="D231" s="2">
        <v>1</v>
      </c>
      <c r="E231" s="2">
        <v>1.087</v>
      </c>
      <c r="F231" s="2">
        <v>1</v>
      </c>
    </row>
    <row r="232" spans="1:6" ht="14.25" customHeight="1">
      <c r="A232" s="2">
        <v>30</v>
      </c>
      <c r="B232" s="2">
        <v>231</v>
      </c>
      <c r="C232" s="2">
        <v>6</v>
      </c>
      <c r="D232" s="2">
        <v>1</v>
      </c>
      <c r="E232" s="2">
        <v>1.2430000000000001</v>
      </c>
      <c r="F232" s="2">
        <v>2</v>
      </c>
    </row>
    <row r="233" spans="1:6" ht="14.25" customHeight="1">
      <c r="A233" s="2">
        <v>30</v>
      </c>
      <c r="B233" s="2">
        <v>232</v>
      </c>
      <c r="C233" s="2">
        <v>7</v>
      </c>
      <c r="D233" s="2">
        <v>1</v>
      </c>
      <c r="E233" s="2">
        <v>1.0209999999999999</v>
      </c>
      <c r="F233" s="2">
        <v>2</v>
      </c>
    </row>
    <row r="234" spans="1:6" ht="14.25" customHeight="1">
      <c r="A234" s="2">
        <v>30</v>
      </c>
      <c r="B234" s="2">
        <v>233</v>
      </c>
      <c r="C234" s="2">
        <v>1</v>
      </c>
      <c r="D234" s="2">
        <v>0</v>
      </c>
      <c r="E234" s="2">
        <v>0.79800000000000004</v>
      </c>
      <c r="F234" s="2">
        <v>1</v>
      </c>
    </row>
    <row r="235" spans="1:6" ht="14.25" customHeight="1">
      <c r="A235" s="2">
        <v>30</v>
      </c>
      <c r="B235" s="2">
        <v>234</v>
      </c>
      <c r="C235" s="2">
        <v>3</v>
      </c>
      <c r="D235" s="2">
        <v>1</v>
      </c>
      <c r="E235" s="2">
        <v>0.72799999999999998</v>
      </c>
      <c r="F235" s="2">
        <v>1</v>
      </c>
    </row>
    <row r="236" spans="1:6" ht="14.25" customHeight="1">
      <c r="A236" s="2">
        <v>30</v>
      </c>
      <c r="B236" s="2">
        <v>235</v>
      </c>
      <c r="C236" s="2">
        <v>8</v>
      </c>
      <c r="D236" s="2">
        <v>1</v>
      </c>
      <c r="E236" s="2">
        <v>1.2370000000000001</v>
      </c>
      <c r="F236" s="2">
        <v>1</v>
      </c>
    </row>
    <row r="237" spans="1:6" ht="14.25" customHeight="1">
      <c r="A237" s="2">
        <v>30</v>
      </c>
      <c r="B237" s="2">
        <v>236</v>
      </c>
      <c r="C237" s="2">
        <v>3</v>
      </c>
      <c r="D237" s="2">
        <v>0</v>
      </c>
      <c r="E237" s="2">
        <v>0.89400000000000002</v>
      </c>
      <c r="F237" s="2">
        <v>1</v>
      </c>
    </row>
    <row r="238" spans="1:6" ht="14.25" customHeight="1">
      <c r="A238" s="2">
        <v>30</v>
      </c>
      <c r="B238" s="2">
        <v>237</v>
      </c>
      <c r="C238" s="2">
        <v>1</v>
      </c>
      <c r="D238" s="2">
        <v>1</v>
      </c>
      <c r="E238" s="2">
        <v>1.1240000000000001</v>
      </c>
      <c r="F238" s="2">
        <v>1</v>
      </c>
    </row>
    <row r="239" spans="1:6" ht="14.25" customHeight="1">
      <c r="A239" s="2">
        <v>30</v>
      </c>
      <c r="B239" s="2">
        <v>238</v>
      </c>
      <c r="C239" s="2">
        <v>5</v>
      </c>
      <c r="D239" s="2">
        <v>1</v>
      </c>
      <c r="E239" s="2">
        <v>1.3540000000000001</v>
      </c>
      <c r="F239" s="2">
        <v>2</v>
      </c>
    </row>
    <row r="240" spans="1:6" ht="14.25" customHeight="1">
      <c r="A240" s="2">
        <v>30</v>
      </c>
      <c r="B240" s="2">
        <v>239</v>
      </c>
      <c r="C240" s="2">
        <v>8</v>
      </c>
      <c r="D240" s="2">
        <v>1</v>
      </c>
      <c r="E240" s="2">
        <v>1.3979999999999999</v>
      </c>
      <c r="F240" s="2">
        <v>1</v>
      </c>
    </row>
    <row r="241" spans="1:6" ht="14.25" customHeight="1">
      <c r="A241" s="2">
        <v>30</v>
      </c>
      <c r="B241" s="2">
        <v>240</v>
      </c>
      <c r="C241" s="2">
        <v>4</v>
      </c>
      <c r="D241" s="2">
        <v>1</v>
      </c>
      <c r="E241" s="2">
        <v>1.1759999999999999</v>
      </c>
      <c r="F241" s="2">
        <v>1</v>
      </c>
    </row>
    <row r="242" spans="1:6" ht="14.25" customHeight="1">
      <c r="A242" s="2">
        <v>30</v>
      </c>
      <c r="B242" s="2">
        <v>241</v>
      </c>
      <c r="C242" s="2">
        <v>2</v>
      </c>
      <c r="D242" s="2">
        <v>1</v>
      </c>
      <c r="E242" s="2">
        <v>1.2110000000000001</v>
      </c>
      <c r="F242" s="2">
        <v>1</v>
      </c>
    </row>
    <row r="243" spans="1:6" ht="14.25" customHeight="1">
      <c r="A243" s="2">
        <v>30</v>
      </c>
      <c r="B243" s="2">
        <v>242</v>
      </c>
      <c r="C243" s="2">
        <v>7</v>
      </c>
      <c r="E243" s="2">
        <v>2</v>
      </c>
    </row>
    <row r="244" spans="1:6" ht="14.25" customHeight="1">
      <c r="A244" s="2">
        <v>30</v>
      </c>
      <c r="B244" s="2">
        <v>243</v>
      </c>
      <c r="C244" s="2">
        <v>4</v>
      </c>
      <c r="D244" s="2">
        <v>1</v>
      </c>
      <c r="E244" s="2">
        <v>1.524</v>
      </c>
      <c r="F244" s="2">
        <v>1</v>
      </c>
    </row>
    <row r="245" spans="1:6" ht="14.25" customHeight="1">
      <c r="A245" s="2">
        <v>30</v>
      </c>
      <c r="B245" s="2">
        <v>244</v>
      </c>
      <c r="C245" s="2">
        <v>1</v>
      </c>
      <c r="D245" s="2">
        <v>1</v>
      </c>
      <c r="E245" s="2">
        <v>1.181</v>
      </c>
      <c r="F245" s="2">
        <v>1</v>
      </c>
    </row>
    <row r="246" spans="1:6" ht="14.25" customHeight="1">
      <c r="A246" s="2">
        <v>30</v>
      </c>
      <c r="B246" s="2">
        <v>245</v>
      </c>
      <c r="C246" s="2">
        <v>4</v>
      </c>
      <c r="D246" s="2">
        <v>1</v>
      </c>
      <c r="E246" s="2">
        <v>1.1279999999999999</v>
      </c>
      <c r="F246" s="2">
        <v>1</v>
      </c>
    </row>
    <row r="247" spans="1:6" ht="14.25" customHeight="1">
      <c r="A247" s="2">
        <v>30</v>
      </c>
      <c r="B247" s="2">
        <v>246</v>
      </c>
      <c r="C247" s="2">
        <v>1</v>
      </c>
      <c r="D247" s="2">
        <v>1</v>
      </c>
      <c r="E247" s="2">
        <v>0.91500000000000004</v>
      </c>
      <c r="F247" s="2">
        <v>2</v>
      </c>
    </row>
    <row r="248" spans="1:6" ht="14.25" customHeight="1">
      <c r="A248" s="2">
        <v>30</v>
      </c>
      <c r="B248" s="2">
        <v>247</v>
      </c>
      <c r="C248" s="2">
        <v>6</v>
      </c>
      <c r="D248" s="2">
        <v>1</v>
      </c>
      <c r="E248" s="2">
        <v>1.5629999999999999</v>
      </c>
      <c r="F248" s="2">
        <v>1</v>
      </c>
    </row>
    <row r="249" spans="1:6" ht="14.25" customHeight="1">
      <c r="A249" s="2">
        <v>30</v>
      </c>
      <c r="B249" s="2">
        <v>248</v>
      </c>
      <c r="C249" s="2">
        <v>2</v>
      </c>
      <c r="D249" s="2">
        <v>1</v>
      </c>
      <c r="E249" s="2">
        <v>1.109</v>
      </c>
      <c r="F249" s="2">
        <v>2</v>
      </c>
    </row>
    <row r="250" spans="1:6" ht="14.25" customHeight="1">
      <c r="A250" s="2">
        <v>30</v>
      </c>
      <c r="B250" s="2">
        <v>249</v>
      </c>
      <c r="C250" s="2">
        <v>3</v>
      </c>
      <c r="D250" s="2">
        <v>1</v>
      </c>
      <c r="E250" s="2">
        <v>1.5229999999999999</v>
      </c>
      <c r="F250" s="2">
        <v>1</v>
      </c>
    </row>
    <row r="251" spans="1:6" ht="14.25" customHeight="1">
      <c r="A251" s="2">
        <v>30</v>
      </c>
      <c r="B251" s="2">
        <v>250</v>
      </c>
      <c r="C251" s="2">
        <v>5</v>
      </c>
      <c r="D251" s="2">
        <v>1</v>
      </c>
      <c r="E251" s="2">
        <v>0.96</v>
      </c>
      <c r="F251" s="2">
        <v>1</v>
      </c>
    </row>
    <row r="252" spans="1:6" ht="14.25" customHeight="1">
      <c r="A252" s="2">
        <v>30</v>
      </c>
      <c r="B252" s="2">
        <v>251</v>
      </c>
      <c r="C252" s="2">
        <v>3</v>
      </c>
      <c r="D252" s="2">
        <v>0</v>
      </c>
      <c r="E252" s="2">
        <v>0.93700000000000006</v>
      </c>
      <c r="F252" s="2">
        <v>1</v>
      </c>
    </row>
    <row r="253" spans="1:6" ht="14.25" customHeight="1">
      <c r="A253" s="2">
        <v>30</v>
      </c>
      <c r="B253" s="2">
        <v>252</v>
      </c>
      <c r="C253" s="2">
        <v>6</v>
      </c>
      <c r="D253" s="2">
        <v>1</v>
      </c>
      <c r="E253" s="2">
        <v>0.78900000000000003</v>
      </c>
      <c r="F253" s="2">
        <v>2</v>
      </c>
    </row>
    <row r="254" spans="1:6" ht="14.25" customHeight="1">
      <c r="A254" s="2">
        <v>30</v>
      </c>
      <c r="B254" s="2">
        <v>253</v>
      </c>
      <c r="C254" s="2">
        <v>5</v>
      </c>
      <c r="D254" s="2">
        <v>1</v>
      </c>
      <c r="E254" s="2">
        <v>0.79100000000000004</v>
      </c>
      <c r="F254" s="2">
        <v>2</v>
      </c>
    </row>
    <row r="255" spans="1:6" ht="14.25" customHeight="1">
      <c r="A255" s="2">
        <v>30</v>
      </c>
      <c r="B255" s="2">
        <v>254</v>
      </c>
      <c r="C255" s="2">
        <v>8</v>
      </c>
      <c r="D255" s="2">
        <v>1</v>
      </c>
      <c r="E255" s="2">
        <v>0.97899999999999998</v>
      </c>
      <c r="F255" s="2">
        <v>1</v>
      </c>
    </row>
    <row r="256" spans="1:6" ht="14.25" customHeight="1">
      <c r="A256" s="2">
        <v>30</v>
      </c>
      <c r="B256" s="2">
        <v>255</v>
      </c>
      <c r="C256" s="2">
        <v>4</v>
      </c>
      <c r="D256" s="2">
        <v>1</v>
      </c>
      <c r="E256" s="2">
        <v>0.85299999999999998</v>
      </c>
      <c r="F256" s="2">
        <v>1</v>
      </c>
    </row>
    <row r="257" spans="1:6" ht="14.25" customHeight="1">
      <c r="A257" s="2">
        <v>30</v>
      </c>
      <c r="B257" s="2">
        <v>256</v>
      </c>
      <c r="C257" s="2">
        <v>7</v>
      </c>
      <c r="D257" s="2">
        <v>1</v>
      </c>
      <c r="E257" s="2">
        <v>1.1559999999999999</v>
      </c>
      <c r="F257" s="2">
        <v>1</v>
      </c>
    </row>
    <row r="258" spans="1:6" ht="14.25" customHeight="1">
      <c r="A258" s="2">
        <v>30</v>
      </c>
      <c r="B258" s="2">
        <v>257</v>
      </c>
      <c r="C258" s="2">
        <v>2</v>
      </c>
      <c r="D258" s="2">
        <v>0</v>
      </c>
      <c r="E258" s="2">
        <v>0.77</v>
      </c>
      <c r="F258" s="2">
        <v>1</v>
      </c>
    </row>
    <row r="259" spans="1:6" ht="14.25" customHeight="1">
      <c r="A259" s="2">
        <v>30</v>
      </c>
      <c r="B259" s="2">
        <v>258</v>
      </c>
      <c r="C259" s="2">
        <v>3</v>
      </c>
      <c r="D259" s="2">
        <v>0</v>
      </c>
      <c r="E259" s="2">
        <v>1.0940000000000001</v>
      </c>
      <c r="F259" s="2">
        <v>2</v>
      </c>
    </row>
    <row r="260" spans="1:6" ht="14.25" customHeight="1">
      <c r="A260" s="2">
        <v>30</v>
      </c>
      <c r="B260" s="2">
        <v>259</v>
      </c>
      <c r="C260" s="2">
        <v>1</v>
      </c>
      <c r="D260" s="2">
        <v>1</v>
      </c>
      <c r="E260" s="2">
        <v>1.1479999999999999</v>
      </c>
      <c r="F260" s="2">
        <v>2</v>
      </c>
    </row>
    <row r="261" spans="1:6" ht="14.25" customHeight="1">
      <c r="A261" s="2">
        <v>30</v>
      </c>
      <c r="B261" s="2">
        <v>260</v>
      </c>
      <c r="C261" s="2">
        <v>3</v>
      </c>
      <c r="D261" s="2">
        <v>1</v>
      </c>
      <c r="E261" s="2">
        <v>1.345</v>
      </c>
      <c r="F261" s="2">
        <v>2</v>
      </c>
    </row>
    <row r="262" spans="1:6" ht="14.25" customHeight="1">
      <c r="A262" s="2">
        <v>30</v>
      </c>
      <c r="B262" s="2">
        <v>261</v>
      </c>
      <c r="C262" s="2">
        <v>4</v>
      </c>
      <c r="D262" s="2">
        <v>1</v>
      </c>
      <c r="E262" s="2">
        <v>0.95499999999999996</v>
      </c>
      <c r="F262" s="2">
        <v>1</v>
      </c>
    </row>
    <row r="263" spans="1:6" ht="14.25" customHeight="1">
      <c r="A263" s="2">
        <v>30</v>
      </c>
      <c r="B263" s="2">
        <v>262</v>
      </c>
      <c r="C263" s="2">
        <v>1</v>
      </c>
      <c r="D263" s="2">
        <v>1</v>
      </c>
      <c r="E263" s="2">
        <v>1.135</v>
      </c>
      <c r="F263" s="2">
        <v>1</v>
      </c>
    </row>
    <row r="264" spans="1:6" ht="14.25" customHeight="1">
      <c r="A264" s="2">
        <v>30</v>
      </c>
      <c r="B264" s="2">
        <v>263</v>
      </c>
      <c r="C264" s="2">
        <v>2</v>
      </c>
      <c r="D264" s="2">
        <v>1</v>
      </c>
      <c r="E264" s="2">
        <v>1.38</v>
      </c>
      <c r="F264" s="2">
        <v>2</v>
      </c>
    </row>
    <row r="265" spans="1:6" ht="14.25" customHeight="1">
      <c r="A265" s="2">
        <v>30</v>
      </c>
      <c r="B265" s="2">
        <v>264</v>
      </c>
      <c r="C265" s="2">
        <v>5</v>
      </c>
      <c r="D265" s="2">
        <v>1</v>
      </c>
      <c r="E265" s="2">
        <v>1.167</v>
      </c>
      <c r="F265" s="2">
        <v>1</v>
      </c>
    </row>
    <row r="266" spans="1:6" ht="14.25" customHeight="1">
      <c r="A266" s="2">
        <v>30</v>
      </c>
      <c r="B266" s="2">
        <v>265</v>
      </c>
      <c r="C266" s="2">
        <v>7</v>
      </c>
      <c r="D266" s="2">
        <v>1</v>
      </c>
      <c r="E266" s="2">
        <v>1.379</v>
      </c>
      <c r="F266" s="2">
        <v>1</v>
      </c>
    </row>
    <row r="267" spans="1:6" ht="14.25" customHeight="1">
      <c r="A267" s="2">
        <v>30</v>
      </c>
      <c r="B267" s="2">
        <v>266</v>
      </c>
      <c r="C267" s="2">
        <v>2</v>
      </c>
      <c r="D267" s="2">
        <v>1</v>
      </c>
      <c r="E267" s="2">
        <v>1.206</v>
      </c>
      <c r="F267" s="2">
        <v>2</v>
      </c>
    </row>
    <row r="268" spans="1:6" ht="14.25" customHeight="1">
      <c r="A268" s="2">
        <v>30</v>
      </c>
      <c r="B268" s="2">
        <v>267</v>
      </c>
      <c r="C268" s="2">
        <v>6</v>
      </c>
      <c r="D268" s="2">
        <v>1</v>
      </c>
      <c r="E268" s="2">
        <v>1.224</v>
      </c>
      <c r="F268" s="2">
        <v>2</v>
      </c>
    </row>
    <row r="269" spans="1:6" ht="14.25" customHeight="1">
      <c r="A269" s="2">
        <v>30</v>
      </c>
      <c r="B269" s="2">
        <v>268</v>
      </c>
      <c r="C269" s="2">
        <v>5</v>
      </c>
      <c r="D269" s="2">
        <v>0</v>
      </c>
      <c r="E269" s="2">
        <v>1.881</v>
      </c>
      <c r="F269" s="2">
        <v>1</v>
      </c>
    </row>
    <row r="270" spans="1:6" ht="14.25" customHeight="1">
      <c r="A270" s="2">
        <v>30</v>
      </c>
      <c r="B270" s="2">
        <v>269</v>
      </c>
      <c r="C270" s="2">
        <v>4</v>
      </c>
      <c r="D270" s="2">
        <v>1</v>
      </c>
      <c r="E270" s="2">
        <v>1.591</v>
      </c>
      <c r="F270" s="2">
        <v>1</v>
      </c>
    </row>
    <row r="271" spans="1:6" ht="14.25" customHeight="1">
      <c r="A271" s="2">
        <v>30</v>
      </c>
      <c r="B271" s="2">
        <v>270</v>
      </c>
      <c r="C271" s="2">
        <v>8</v>
      </c>
      <c r="D271" s="2">
        <v>1</v>
      </c>
      <c r="E271" s="2">
        <v>0.86599999999999999</v>
      </c>
      <c r="F271" s="2">
        <v>2</v>
      </c>
    </row>
    <row r="272" spans="1:6" ht="14.25" customHeight="1">
      <c r="A272" s="2">
        <v>30</v>
      </c>
      <c r="B272" s="2">
        <v>271</v>
      </c>
      <c r="C272" s="2">
        <v>2</v>
      </c>
      <c r="D272" s="2">
        <v>0</v>
      </c>
      <c r="E272" s="2">
        <v>1.21</v>
      </c>
      <c r="F272" s="2">
        <v>1</v>
      </c>
    </row>
    <row r="273" spans="1:6" ht="14.25" customHeight="1">
      <c r="A273" s="2">
        <v>30</v>
      </c>
      <c r="B273" s="2">
        <v>272</v>
      </c>
      <c r="C273" s="2">
        <v>1</v>
      </c>
      <c r="D273" s="2">
        <v>1</v>
      </c>
      <c r="E273" s="2">
        <v>1.796</v>
      </c>
      <c r="F273" s="2">
        <v>2</v>
      </c>
    </row>
    <row r="274" spans="1:6" ht="14.25" customHeight="1">
      <c r="A274" s="2">
        <v>30</v>
      </c>
      <c r="B274" s="2">
        <v>273</v>
      </c>
      <c r="C274" s="2">
        <v>4</v>
      </c>
      <c r="D274" s="2">
        <v>1</v>
      </c>
      <c r="E274" s="2">
        <v>1.23</v>
      </c>
      <c r="F274" s="2">
        <v>1</v>
      </c>
    </row>
    <row r="275" spans="1:6" ht="14.25" customHeight="1">
      <c r="A275" s="2">
        <v>30</v>
      </c>
      <c r="B275" s="2">
        <v>274</v>
      </c>
      <c r="C275" s="2">
        <v>6</v>
      </c>
      <c r="D275" s="2">
        <v>1</v>
      </c>
      <c r="E275" s="2">
        <v>1.528</v>
      </c>
      <c r="F275" s="2">
        <v>2</v>
      </c>
    </row>
    <row r="276" spans="1:6" ht="14.25" customHeight="1">
      <c r="A276" s="2">
        <v>30</v>
      </c>
      <c r="B276" s="2">
        <v>275</v>
      </c>
      <c r="C276" s="2">
        <v>7</v>
      </c>
      <c r="D276" s="2">
        <v>1</v>
      </c>
      <c r="E276" s="2">
        <v>1.1970000000000001</v>
      </c>
      <c r="F276" s="2">
        <v>2</v>
      </c>
    </row>
    <row r="277" spans="1:6" ht="14.25" customHeight="1">
      <c r="A277" s="2">
        <v>30</v>
      </c>
      <c r="B277" s="2">
        <v>276</v>
      </c>
      <c r="C277" s="2">
        <v>5</v>
      </c>
      <c r="E277" s="2">
        <v>2</v>
      </c>
    </row>
    <row r="278" spans="1:6" ht="14.25" customHeight="1">
      <c r="A278" s="2">
        <v>30</v>
      </c>
      <c r="B278" s="2">
        <v>277</v>
      </c>
      <c r="C278" s="2">
        <v>6</v>
      </c>
      <c r="D278" s="2">
        <v>0</v>
      </c>
      <c r="E278" s="2">
        <v>1.226</v>
      </c>
      <c r="F278" s="2">
        <v>1</v>
      </c>
    </row>
    <row r="279" spans="1:6" ht="14.25" customHeight="1">
      <c r="A279" s="2">
        <v>30</v>
      </c>
      <c r="B279" s="2">
        <v>278</v>
      </c>
      <c r="C279" s="2">
        <v>7</v>
      </c>
      <c r="D279" s="2">
        <v>1</v>
      </c>
      <c r="E279" s="2">
        <v>1.2190000000000001</v>
      </c>
      <c r="F279" s="2">
        <v>1</v>
      </c>
    </row>
    <row r="280" spans="1:6" ht="14.25" customHeight="1">
      <c r="A280" s="2">
        <v>30</v>
      </c>
      <c r="B280" s="2">
        <v>279</v>
      </c>
      <c r="C280" s="2">
        <v>8</v>
      </c>
      <c r="D280" s="2">
        <v>1</v>
      </c>
      <c r="E280" s="2">
        <v>1.708</v>
      </c>
      <c r="F280" s="2">
        <v>2</v>
      </c>
    </row>
    <row r="281" spans="1:6" ht="14.25" customHeight="1">
      <c r="A281" s="2">
        <v>30</v>
      </c>
      <c r="B281" s="2">
        <v>280</v>
      </c>
      <c r="C281" s="2">
        <v>5</v>
      </c>
      <c r="D281" s="2">
        <v>1</v>
      </c>
      <c r="E281" s="2">
        <v>1.0660000000000001</v>
      </c>
      <c r="F281" s="2">
        <v>1</v>
      </c>
    </row>
    <row r="282" spans="1:6" ht="14.25" customHeight="1">
      <c r="A282" s="2">
        <v>30</v>
      </c>
      <c r="B282" s="2">
        <v>281</v>
      </c>
      <c r="C282" s="2">
        <v>3</v>
      </c>
      <c r="D282" s="2">
        <v>1</v>
      </c>
      <c r="E282" s="2">
        <v>1.7609999999999999</v>
      </c>
      <c r="F282" s="2">
        <v>2</v>
      </c>
    </row>
    <row r="283" spans="1:6" ht="14.25" customHeight="1">
      <c r="A283" s="2">
        <v>30</v>
      </c>
      <c r="B283" s="2">
        <v>282</v>
      </c>
      <c r="C283" s="2">
        <v>7</v>
      </c>
      <c r="D283" s="2">
        <v>1</v>
      </c>
      <c r="E283" s="2">
        <v>1.157</v>
      </c>
      <c r="F283" s="2">
        <v>2</v>
      </c>
    </row>
    <row r="284" spans="1:6" ht="14.25" customHeight="1">
      <c r="A284" s="2">
        <v>30</v>
      </c>
      <c r="B284" s="2">
        <v>283</v>
      </c>
      <c r="C284" s="2">
        <v>1</v>
      </c>
      <c r="D284" s="2">
        <v>1</v>
      </c>
      <c r="E284" s="2">
        <v>1.4330000000000001</v>
      </c>
      <c r="F284" s="2">
        <v>2</v>
      </c>
    </row>
    <row r="285" spans="1:6" ht="14.25" customHeight="1">
      <c r="A285" s="2">
        <v>30</v>
      </c>
      <c r="B285" s="2">
        <v>284</v>
      </c>
      <c r="C285" s="2">
        <v>3</v>
      </c>
      <c r="E285" s="2">
        <v>2</v>
      </c>
    </row>
    <row r="286" spans="1:6" ht="14.25" customHeight="1">
      <c r="A286" s="2">
        <v>30</v>
      </c>
      <c r="B286" s="2">
        <v>285</v>
      </c>
      <c r="C286" s="2">
        <v>1</v>
      </c>
      <c r="D286" s="2">
        <v>1</v>
      </c>
      <c r="E286" s="2">
        <v>1.1160000000000001</v>
      </c>
      <c r="F286" s="2">
        <v>1</v>
      </c>
    </row>
    <row r="287" spans="1:6" ht="14.25" customHeight="1">
      <c r="A287" s="2">
        <v>30</v>
      </c>
      <c r="B287" s="2">
        <v>286</v>
      </c>
      <c r="C287" s="2">
        <v>4</v>
      </c>
      <c r="D287" s="2">
        <v>0</v>
      </c>
      <c r="E287" s="2">
        <v>0.95499999999999996</v>
      </c>
      <c r="F287" s="2">
        <v>1</v>
      </c>
    </row>
    <row r="288" spans="1:6" ht="14.25" customHeight="1">
      <c r="A288" s="2">
        <v>30</v>
      </c>
      <c r="B288" s="2">
        <v>287</v>
      </c>
      <c r="C288" s="2">
        <v>7</v>
      </c>
      <c r="D288" s="2">
        <v>1</v>
      </c>
      <c r="E288" s="2">
        <v>0.71</v>
      </c>
      <c r="F288" s="2">
        <v>1</v>
      </c>
    </row>
    <row r="289" spans="1:6" ht="14.25" customHeight="1">
      <c r="A289" s="2">
        <v>30</v>
      </c>
      <c r="B289" s="2">
        <v>288</v>
      </c>
      <c r="C289" s="2">
        <v>2</v>
      </c>
      <c r="D289" s="2">
        <v>1</v>
      </c>
      <c r="E289" s="2">
        <v>1.1639999999999999</v>
      </c>
      <c r="F289" s="2">
        <v>2</v>
      </c>
    </row>
    <row r="290" spans="1:6" ht="14.25" customHeight="1">
      <c r="A290" s="2">
        <v>30</v>
      </c>
      <c r="B290" s="2">
        <v>289</v>
      </c>
      <c r="C290" s="2">
        <v>6</v>
      </c>
      <c r="D290" s="2">
        <v>1</v>
      </c>
      <c r="E290" s="2">
        <v>0.96799999999999997</v>
      </c>
      <c r="F290" s="2">
        <v>1</v>
      </c>
    </row>
    <row r="291" spans="1:6" ht="14.25" customHeight="1">
      <c r="A291" s="2">
        <v>30</v>
      </c>
      <c r="B291" s="2">
        <v>290</v>
      </c>
      <c r="C291" s="2">
        <v>1</v>
      </c>
      <c r="D291" s="2">
        <v>1</v>
      </c>
      <c r="E291" s="2">
        <v>0.93899999999999995</v>
      </c>
      <c r="F291" s="2">
        <v>1</v>
      </c>
    </row>
    <row r="292" spans="1:6" ht="14.25" customHeight="1">
      <c r="A292" s="2">
        <v>30</v>
      </c>
      <c r="B292" s="2">
        <v>291</v>
      </c>
      <c r="C292" s="2">
        <v>4</v>
      </c>
      <c r="D292" s="2">
        <v>1</v>
      </c>
      <c r="E292" s="2">
        <v>0.88800000000000001</v>
      </c>
      <c r="F292" s="2">
        <v>1</v>
      </c>
    </row>
    <row r="293" spans="1:6" ht="14.25" customHeight="1">
      <c r="A293" s="2">
        <v>30</v>
      </c>
      <c r="B293" s="2">
        <v>292</v>
      </c>
      <c r="C293" s="2">
        <v>3</v>
      </c>
      <c r="D293" s="2">
        <v>1</v>
      </c>
      <c r="E293" s="2">
        <v>1.359</v>
      </c>
      <c r="F293" s="2">
        <v>1</v>
      </c>
    </row>
    <row r="294" spans="1:6" ht="14.25" customHeight="1">
      <c r="A294" s="2">
        <v>30</v>
      </c>
      <c r="B294" s="2">
        <v>293</v>
      </c>
      <c r="C294" s="2">
        <v>5</v>
      </c>
      <c r="D294" s="2">
        <v>1</v>
      </c>
      <c r="E294" s="2">
        <v>0.78600000000000003</v>
      </c>
      <c r="F294" s="2">
        <v>1</v>
      </c>
    </row>
    <row r="295" spans="1:6" ht="14.25" customHeight="1">
      <c r="A295" s="2">
        <v>30</v>
      </c>
      <c r="B295" s="2">
        <v>294</v>
      </c>
      <c r="C295" s="2">
        <v>8</v>
      </c>
      <c r="D295" s="2">
        <v>1</v>
      </c>
      <c r="E295" s="2">
        <v>0.78200000000000003</v>
      </c>
      <c r="F295" s="2">
        <v>1</v>
      </c>
    </row>
    <row r="296" spans="1:6" ht="14.25" customHeight="1">
      <c r="A296" s="2">
        <v>30</v>
      </c>
      <c r="B296" s="2">
        <v>295</v>
      </c>
      <c r="C296" s="2">
        <v>6</v>
      </c>
      <c r="D296" s="2">
        <v>1</v>
      </c>
      <c r="E296" s="2">
        <v>1.2729999999999999</v>
      </c>
      <c r="F296" s="2">
        <v>1</v>
      </c>
    </row>
    <row r="297" spans="1:6" ht="14.25" customHeight="1">
      <c r="A297" s="2">
        <v>30</v>
      </c>
      <c r="B297" s="2">
        <v>296</v>
      </c>
      <c r="C297" s="2">
        <v>8</v>
      </c>
      <c r="D297" s="2">
        <v>1</v>
      </c>
      <c r="E297" s="2">
        <v>1.329</v>
      </c>
      <c r="F297" s="2">
        <v>2</v>
      </c>
    </row>
    <row r="298" spans="1:6" ht="14.25" customHeight="1">
      <c r="A298" s="2">
        <v>30</v>
      </c>
      <c r="B298" s="2">
        <v>297</v>
      </c>
      <c r="C298" s="2">
        <v>1</v>
      </c>
      <c r="D298" s="2">
        <v>1</v>
      </c>
      <c r="E298" s="2">
        <v>1.198</v>
      </c>
      <c r="F298" s="2">
        <v>1</v>
      </c>
    </row>
    <row r="299" spans="1:6" ht="14.25" customHeight="1">
      <c r="A299" s="2">
        <v>30</v>
      </c>
      <c r="B299" s="2">
        <v>298</v>
      </c>
      <c r="C299" s="2">
        <v>2</v>
      </c>
      <c r="D299" s="2">
        <v>1</v>
      </c>
      <c r="E299" s="2">
        <v>1.032</v>
      </c>
      <c r="F299" s="2">
        <v>2</v>
      </c>
    </row>
    <row r="300" spans="1:6" ht="14.25" customHeight="1">
      <c r="A300" s="2">
        <v>30</v>
      </c>
      <c r="B300" s="2">
        <v>299</v>
      </c>
      <c r="C300" s="2">
        <v>8</v>
      </c>
      <c r="D300" s="2">
        <v>1</v>
      </c>
      <c r="E300" s="2">
        <v>0.72099999999999997</v>
      </c>
      <c r="F300" s="2">
        <v>1</v>
      </c>
    </row>
    <row r="301" spans="1:6" ht="14.25" customHeight="1">
      <c r="A301" s="2">
        <v>30</v>
      </c>
      <c r="B301" s="2">
        <v>300</v>
      </c>
      <c r="C301" s="2">
        <v>4</v>
      </c>
      <c r="D301" s="2">
        <v>1</v>
      </c>
      <c r="E301" s="2">
        <v>0.95899999999999996</v>
      </c>
      <c r="F301" s="2">
        <v>1</v>
      </c>
    </row>
    <row r="302" spans="1:6" ht="14.25" customHeight="1"/>
    <row r="303" spans="1:6" ht="14.25" customHeight="1">
      <c r="A303" s="2" t="s">
        <v>10</v>
      </c>
      <c r="B303" s="2" t="s">
        <v>11</v>
      </c>
      <c r="C303" s="2" t="s">
        <v>12</v>
      </c>
      <c r="D303" s="2" t="s">
        <v>7</v>
      </c>
    </row>
    <row r="304" spans="1:6" ht="14.25" customHeight="1">
      <c r="A304" s="2" t="s">
        <v>12</v>
      </c>
      <c r="B304" s="2" t="s">
        <v>11</v>
      </c>
      <c r="C304" s="2" t="s">
        <v>10</v>
      </c>
      <c r="D304" s="2" t="s">
        <v>8</v>
      </c>
    </row>
    <row r="305" spans="1:4" ht="14.25" customHeight="1">
      <c r="A305" s="2" t="s">
        <v>10</v>
      </c>
      <c r="B305" s="2" t="s">
        <v>13</v>
      </c>
      <c r="C305" s="2" t="s">
        <v>12</v>
      </c>
      <c r="D305" s="2" t="s">
        <v>7</v>
      </c>
    </row>
    <row r="306" spans="1:4" ht="14.25" customHeight="1">
      <c r="A306" s="2" t="s">
        <v>12</v>
      </c>
      <c r="B306" s="2" t="s">
        <v>13</v>
      </c>
      <c r="C306" s="2" t="s">
        <v>10</v>
      </c>
      <c r="D306" s="2" t="s">
        <v>8</v>
      </c>
    </row>
    <row r="307" spans="1:4" ht="14.25" customHeight="1">
      <c r="A307" s="2" t="s">
        <v>14</v>
      </c>
      <c r="B307" s="2" t="s">
        <v>11</v>
      </c>
      <c r="C307" s="2" t="s">
        <v>12</v>
      </c>
      <c r="D307" s="2" t="s">
        <v>7</v>
      </c>
    </row>
    <row r="308" spans="1:4" ht="14.25" customHeight="1">
      <c r="A308" s="2" t="s">
        <v>12</v>
      </c>
      <c r="B308" s="2" t="s">
        <v>11</v>
      </c>
      <c r="C308" s="2" t="s">
        <v>14</v>
      </c>
      <c r="D308" s="2" t="s">
        <v>7</v>
      </c>
    </row>
    <row r="309" spans="1:4" ht="14.25" customHeight="1">
      <c r="A309" s="2" t="s">
        <v>14</v>
      </c>
      <c r="B309" s="2" t="s">
        <v>13</v>
      </c>
      <c r="C309" s="2" t="s">
        <v>12</v>
      </c>
      <c r="D309" s="2" t="s">
        <v>8</v>
      </c>
    </row>
    <row r="310" spans="1:4" ht="14.25" customHeight="1">
      <c r="A310" s="2" t="s">
        <v>12</v>
      </c>
      <c r="B310" s="2" t="s">
        <v>13</v>
      </c>
      <c r="C310" s="2" t="s">
        <v>14</v>
      </c>
      <c r="D310" s="2" t="s">
        <v>8</v>
      </c>
    </row>
    <row r="311" spans="1:4" ht="14.25" customHeight="1"/>
    <row r="312" spans="1:4" ht="14.25" customHeight="1"/>
    <row r="313" spans="1:4" ht="14.25" customHeight="1"/>
    <row r="314" spans="1:4" ht="14.25" customHeight="1"/>
    <row r="315" spans="1:4" ht="14.25" customHeight="1"/>
    <row r="316" spans="1:4" ht="14.25" customHeight="1"/>
    <row r="317" spans="1:4" ht="14.25" customHeight="1"/>
    <row r="318" spans="1:4" ht="14.25" customHeight="1"/>
    <row r="319" spans="1:4" ht="14.25" customHeight="1"/>
    <row r="320" spans="1: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J319"/>
  <sheetViews>
    <sheetView tabSelected="1" workbookViewId="0">
      <pane ySplit="1" topLeftCell="A281" activePane="bottomLeft" state="frozen"/>
      <selection pane="bottomLeft" activeCell="I314" sqref="I314:I319"/>
    </sheetView>
  </sheetViews>
  <sheetFormatPr baseColWidth="10" defaultColWidth="14.5" defaultRowHeight="15" customHeight="1"/>
  <cols>
    <col min="1" max="1" width="23.6640625" customWidth="1"/>
    <col min="2" max="2" width="9.83203125" customWidth="1"/>
    <col min="7" max="8" width="15.5" customWidth="1"/>
  </cols>
  <sheetData>
    <row r="1" spans="1:10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</row>
    <row r="2" spans="1:10">
      <c r="A2" s="2" t="s">
        <v>19</v>
      </c>
      <c r="B2" s="2">
        <v>1</v>
      </c>
      <c r="C2" s="2">
        <v>0.1145063694</v>
      </c>
      <c r="D2" s="2">
        <v>0.1043152866</v>
      </c>
      <c r="E2" s="2">
        <v>7.3105095539999998E-2</v>
      </c>
      <c r="F2" s="2">
        <v>2.087579618E-2</v>
      </c>
      <c r="G2" s="2">
        <v>5.431528662E-2</v>
      </c>
      <c r="H2" s="2">
        <v>4.5716560509999997E-2</v>
      </c>
      <c r="I2" s="2">
        <v>8.8976810409999996E-2</v>
      </c>
      <c r="J2" s="2">
        <v>3.175839188E-2</v>
      </c>
    </row>
    <row r="3" spans="1:10">
      <c r="A3" s="2" t="s">
        <v>19</v>
      </c>
      <c r="B3" s="2">
        <v>2</v>
      </c>
      <c r="C3" s="2">
        <v>0.1248248408</v>
      </c>
      <c r="D3" s="2">
        <v>0.21781847130000001</v>
      </c>
      <c r="E3" s="2">
        <v>0.11781847130000001</v>
      </c>
      <c r="F3" s="2">
        <v>0.1343789809</v>
      </c>
      <c r="G3" s="2">
        <v>0.20221337580000001</v>
      </c>
      <c r="H3" s="2">
        <v>0.1936146497</v>
      </c>
      <c r="I3" s="2">
        <v>0.15224776239999999</v>
      </c>
      <c r="J3" s="2">
        <v>0.1767701015</v>
      </c>
    </row>
    <row r="4" spans="1:10">
      <c r="A4" s="2" t="s">
        <v>19</v>
      </c>
      <c r="B4" s="2">
        <v>3</v>
      </c>
      <c r="C4" s="2">
        <v>0.1832961783</v>
      </c>
      <c r="D4" s="2">
        <v>0.1731050955</v>
      </c>
      <c r="E4" s="2">
        <v>0.2106847134</v>
      </c>
      <c r="F4" s="2">
        <v>0.22724522289999999</v>
      </c>
      <c r="G4" s="2">
        <v>0.19189490449999999</v>
      </c>
      <c r="H4" s="2">
        <v>0.1832961783</v>
      </c>
      <c r="I4" s="2">
        <v>0.15927786820000001</v>
      </c>
      <c r="J4" s="2">
        <v>0.16665300550000001</v>
      </c>
    </row>
    <row r="5" spans="1:10">
      <c r="A5" s="2" t="s">
        <v>19</v>
      </c>
      <c r="B5" s="2">
        <v>4</v>
      </c>
      <c r="C5" s="2">
        <v>2.529458599E-2</v>
      </c>
      <c r="D5" s="2">
        <v>0.1001353503</v>
      </c>
      <c r="E5" s="2">
        <v>5.6504777069999998E-2</v>
      </c>
      <c r="F5" s="2">
        <v>4.1536624199999997E-2</v>
      </c>
      <c r="G5" s="2">
        <v>4.8224522290000002E-2</v>
      </c>
      <c r="H5" s="2">
        <v>0.1170143312</v>
      </c>
      <c r="I5" s="2">
        <v>5.0463791700000003E-2</v>
      </c>
      <c r="J5" s="2">
        <v>6.3725605000000005E-2</v>
      </c>
    </row>
    <row r="6" spans="1:10">
      <c r="A6" s="2" t="s">
        <v>19</v>
      </c>
      <c r="B6" s="2">
        <v>5</v>
      </c>
      <c r="C6" s="2">
        <v>0.13220541399999999</v>
      </c>
      <c r="D6" s="2">
        <v>5.0358280249999998E-2</v>
      </c>
      <c r="E6" s="2">
        <v>8.507165605E-2</v>
      </c>
      <c r="F6" s="2">
        <v>0.12742834389999999</v>
      </c>
      <c r="G6" s="2">
        <v>0.10640923569999999</v>
      </c>
      <c r="H6" s="2">
        <v>5.7683121019999999E-2</v>
      </c>
      <c r="I6" s="2">
        <v>7.0449552479999997E-2</v>
      </c>
      <c r="J6" s="2">
        <v>6.6588602649999995E-2</v>
      </c>
    </row>
    <row r="7" spans="1:10">
      <c r="A7" s="2" t="s">
        <v>19</v>
      </c>
      <c r="B7" s="2">
        <v>6</v>
      </c>
      <c r="C7" s="2">
        <v>4.2993630569999997E-2</v>
      </c>
      <c r="D7" s="2">
        <v>4.6178343949999999E-2</v>
      </c>
      <c r="E7" s="2">
        <v>6.847133758E-2</v>
      </c>
      <c r="F7" s="2">
        <v>0.14808917199999999</v>
      </c>
      <c r="G7" s="2">
        <v>0.1003184713</v>
      </c>
      <c r="H7" s="2">
        <v>0.12898089169999999</v>
      </c>
      <c r="I7" s="2">
        <v>3.1936533769999997E-2</v>
      </c>
      <c r="J7" s="2">
        <v>9.8555815769999999E-2</v>
      </c>
    </row>
    <row r="8" spans="1:10">
      <c r="A8" s="2" t="s">
        <v>21</v>
      </c>
      <c r="B8" s="2">
        <v>1</v>
      </c>
      <c r="C8" s="3">
        <v>5.7173566879999999E-2</v>
      </c>
      <c r="D8" s="3">
        <v>2.181617647E-2</v>
      </c>
      <c r="E8" s="3">
        <v>4.9442675160000001E-3</v>
      </c>
      <c r="I8" s="2">
        <v>2.612261146E-2</v>
      </c>
      <c r="J8" s="2">
        <v>3.8074272590000002E-3</v>
      </c>
    </row>
    <row r="9" spans="1:10">
      <c r="A9" s="2" t="s">
        <v>21</v>
      </c>
      <c r="B9" s="2">
        <v>2</v>
      </c>
      <c r="C9" s="3">
        <v>8.5549363059999994E-2</v>
      </c>
      <c r="D9" s="3">
        <v>0.15919852940000001</v>
      </c>
      <c r="E9" s="3">
        <v>0.2626194268</v>
      </c>
      <c r="I9" s="2">
        <v>0.1146894904</v>
      </c>
      <c r="J9" s="2">
        <v>0.19924387439999999</v>
      </c>
    </row>
    <row r="10" spans="1:10">
      <c r="A10" s="2" t="s">
        <v>21</v>
      </c>
      <c r="B10" s="2">
        <v>3</v>
      </c>
      <c r="C10" s="3">
        <v>0.26640923570000002</v>
      </c>
      <c r="D10" s="3">
        <v>0.14622794119999999</v>
      </c>
      <c r="E10" s="3">
        <v>0.2485748408</v>
      </c>
      <c r="I10" s="2">
        <v>0.19809713379999999</v>
      </c>
      <c r="J10" s="2">
        <v>0.18573698320000001</v>
      </c>
    </row>
    <row r="11" spans="1:10">
      <c r="A11" s="2" t="s">
        <v>21</v>
      </c>
      <c r="B11" s="2">
        <v>4</v>
      </c>
      <c r="C11" s="3">
        <v>2.2428343949999999E-2</v>
      </c>
      <c r="D11" s="3">
        <v>9.6250000000000002E-2</v>
      </c>
      <c r="E11" s="3">
        <v>0.1103264331</v>
      </c>
      <c r="I11" s="2">
        <v>4.3925159239999997E-2</v>
      </c>
      <c r="J11" s="2">
        <v>9.2358346090000001E-2</v>
      </c>
    </row>
    <row r="12" spans="1:10">
      <c r="A12" s="2" t="s">
        <v>21</v>
      </c>
      <c r="B12" s="2">
        <v>5</v>
      </c>
      <c r="C12" s="3">
        <v>0.1637261146</v>
      </c>
      <c r="D12" s="3">
        <v>6.0860294119999998E-2</v>
      </c>
      <c r="E12" s="3">
        <v>0.12869426749999999</v>
      </c>
      <c r="I12" s="2">
        <v>9.6847133759999995E-2</v>
      </c>
      <c r="J12" s="2">
        <v>8.0093797859999996E-2</v>
      </c>
    </row>
    <row r="13" spans="1:10">
      <c r="A13" s="2" t="s">
        <v>21</v>
      </c>
      <c r="B13" s="2">
        <v>6</v>
      </c>
      <c r="C13" s="3">
        <v>0.12898089169999999</v>
      </c>
      <c r="D13" s="3">
        <v>0.13529411760000001</v>
      </c>
      <c r="E13" s="3">
        <v>0.23407643310000001</v>
      </c>
      <c r="I13" s="2">
        <v>0.1146496815</v>
      </c>
      <c r="J13" s="2">
        <v>0.1686447167</v>
      </c>
    </row>
    <row r="14" spans="1:10">
      <c r="A14" s="2" t="s">
        <v>22</v>
      </c>
      <c r="B14" s="2">
        <v>1</v>
      </c>
      <c r="C14" s="3">
        <v>5.5886075950000003E-2</v>
      </c>
      <c r="D14" s="3">
        <v>3.120253165E-2</v>
      </c>
      <c r="E14" s="3">
        <v>3.6038011699999997E-2</v>
      </c>
      <c r="F14" s="3">
        <v>4.6202531650000002E-3</v>
      </c>
      <c r="I14" s="2">
        <v>2.930379747E-2</v>
      </c>
      <c r="J14" s="2">
        <v>8.982115677E-3</v>
      </c>
    </row>
    <row r="15" spans="1:10">
      <c r="A15" s="2" t="s">
        <v>22</v>
      </c>
      <c r="B15" s="2">
        <v>2</v>
      </c>
      <c r="C15" s="3">
        <v>0.1003164557</v>
      </c>
      <c r="D15" s="3">
        <v>0.1439873418</v>
      </c>
      <c r="E15" s="3">
        <v>0.17182748540000001</v>
      </c>
      <c r="F15" s="3">
        <v>0.2199367089</v>
      </c>
      <c r="I15" s="2">
        <v>0.1079113924</v>
      </c>
      <c r="J15" s="2">
        <v>0.183228691</v>
      </c>
    </row>
    <row r="16" spans="1:10">
      <c r="A16" s="2" t="s">
        <v>22</v>
      </c>
      <c r="B16" s="2">
        <v>3</v>
      </c>
      <c r="C16" s="3">
        <v>0.1242405063</v>
      </c>
      <c r="D16" s="3">
        <v>0.1679113924</v>
      </c>
      <c r="E16" s="3">
        <v>0.22288011699999999</v>
      </c>
      <c r="F16" s="3">
        <v>0.2096835443</v>
      </c>
      <c r="I16" s="2">
        <v>0.131835443</v>
      </c>
      <c r="J16" s="2">
        <v>0.20555745810000001</v>
      </c>
    </row>
    <row r="17" spans="1:10">
      <c r="A17" s="2" t="s">
        <v>22</v>
      </c>
      <c r="B17" s="2">
        <v>4</v>
      </c>
      <c r="C17" s="3">
        <v>8.5316455700000002E-2</v>
      </c>
      <c r="D17" s="3">
        <v>8.3417721520000002E-2</v>
      </c>
      <c r="E17" s="3">
        <v>9.1301169589999995E-2</v>
      </c>
      <c r="F17" s="3">
        <v>0.13848101269999999</v>
      </c>
      <c r="I17" s="2">
        <v>7.0126582280000002E-2</v>
      </c>
      <c r="J17" s="2">
        <v>0.1021328006</v>
      </c>
    </row>
    <row r="18" spans="1:10">
      <c r="A18" s="2" t="s">
        <v>22</v>
      </c>
      <c r="B18" s="2">
        <v>5</v>
      </c>
      <c r="C18" s="3">
        <v>0.1003164557</v>
      </c>
      <c r="D18" s="3">
        <v>5.8544303800000003E-2</v>
      </c>
      <c r="E18" s="3">
        <v>7.4853801169999998E-2</v>
      </c>
      <c r="F18" s="3">
        <v>0.1003164557</v>
      </c>
      <c r="I18" s="2">
        <v>6.5189873420000002E-2</v>
      </c>
      <c r="J18" s="2">
        <v>7.2184170470000003E-2</v>
      </c>
    </row>
    <row r="19" spans="1:10">
      <c r="A19" s="2" t="s">
        <v>22</v>
      </c>
      <c r="B19" s="2">
        <v>6</v>
      </c>
      <c r="C19" s="3">
        <v>0.12974683540000001</v>
      </c>
      <c r="D19" s="3">
        <v>0.1107594937</v>
      </c>
      <c r="E19" s="3">
        <v>0.13011695910000001</v>
      </c>
      <c r="F19" s="3">
        <v>0.23417721520000001</v>
      </c>
      <c r="I19" s="2">
        <v>0.1060126582</v>
      </c>
      <c r="J19" s="2">
        <v>0.16533485540000001</v>
      </c>
    </row>
    <row r="20" spans="1:10">
      <c r="A20" s="2" t="s">
        <v>23</v>
      </c>
      <c r="B20" s="2">
        <v>1</v>
      </c>
      <c r="C20" s="3">
        <v>0.1619506369</v>
      </c>
      <c r="D20" s="3">
        <v>0.1043073248</v>
      </c>
      <c r="E20" s="3">
        <v>0.1001671975</v>
      </c>
      <c r="F20" s="3">
        <v>8.7746815290000002E-2</v>
      </c>
      <c r="G20" s="3">
        <v>5.781050955E-2</v>
      </c>
      <c r="H20" s="3">
        <v>0.117683121</v>
      </c>
      <c r="I20" s="3">
        <v>0.11800159239999999</v>
      </c>
      <c r="J20" s="3">
        <v>5.548638132E-2</v>
      </c>
    </row>
    <row r="21" spans="1:10">
      <c r="A21" s="2" t="s">
        <v>23</v>
      </c>
      <c r="B21" s="2">
        <v>2</v>
      </c>
      <c r="C21" s="3">
        <v>4.7014331210000003E-2</v>
      </c>
      <c r="D21" s="3">
        <v>0.13841560510000001</v>
      </c>
      <c r="E21" s="3">
        <v>0.13427547770000001</v>
      </c>
      <c r="F21" s="3">
        <v>0.23650477710000001</v>
      </c>
      <c r="G21" s="3">
        <v>0.20083598729999999</v>
      </c>
      <c r="H21" s="3">
        <v>0.30656847129999998</v>
      </c>
      <c r="I21" s="3">
        <v>7.758757962E-2</v>
      </c>
      <c r="J21" s="3">
        <v>0.23723735409999999</v>
      </c>
    </row>
    <row r="22" spans="1:10">
      <c r="A22" s="2" t="s">
        <v>23</v>
      </c>
      <c r="B22" s="2">
        <v>3</v>
      </c>
      <c r="C22" s="3">
        <v>0.29953025480000001</v>
      </c>
      <c r="D22" s="3">
        <v>0.20749203820000001</v>
      </c>
      <c r="E22" s="3">
        <v>0.13456210190000001</v>
      </c>
      <c r="F22" s="3">
        <v>5.3351910830000002E-2</v>
      </c>
      <c r="G22" s="3">
        <v>0.16099522290000001</v>
      </c>
      <c r="H22" s="3">
        <v>0.1864729299</v>
      </c>
      <c r="I22" s="3">
        <v>0.238383758</v>
      </c>
      <c r="J22" s="3">
        <v>0.1395330739</v>
      </c>
    </row>
    <row r="23" spans="1:10">
      <c r="A23" s="2" t="s">
        <v>23</v>
      </c>
      <c r="B23" s="2">
        <v>4</v>
      </c>
      <c r="C23" s="3">
        <v>5.942675159E-2</v>
      </c>
      <c r="D23" s="3">
        <v>5.1783439489999999E-2</v>
      </c>
      <c r="E23" s="3">
        <v>9.0636942679999999E-2</v>
      </c>
      <c r="F23" s="3">
        <v>0.16834394899999999</v>
      </c>
      <c r="G23" s="3">
        <v>9.7643312100000004E-2</v>
      </c>
      <c r="H23" s="3">
        <v>0.1415923567</v>
      </c>
      <c r="I23" s="3">
        <v>4.0477707010000002E-2</v>
      </c>
      <c r="J23" s="3">
        <v>9.0809338520000005E-2</v>
      </c>
    </row>
    <row r="24" spans="1:10">
      <c r="A24" s="2" t="s">
        <v>23</v>
      </c>
      <c r="B24" s="2">
        <v>5</v>
      </c>
      <c r="C24" s="3">
        <v>0.2410589172</v>
      </c>
      <c r="D24" s="3">
        <v>0.1146257962</v>
      </c>
      <c r="E24" s="3">
        <v>5.8893312099999998E-2</v>
      </c>
      <c r="F24" s="3">
        <v>2.9275477710000001E-2</v>
      </c>
      <c r="G24" s="3">
        <v>5.0931528660000003E-2</v>
      </c>
      <c r="H24" s="3">
        <v>7.6409235670000006E-2</v>
      </c>
      <c r="I24" s="3">
        <v>0.1627149682</v>
      </c>
      <c r="J24" s="3">
        <v>4.0357976650000002E-2</v>
      </c>
    </row>
    <row r="25" spans="1:10">
      <c r="A25" s="2" t="s">
        <v>23</v>
      </c>
      <c r="B25" s="2">
        <v>6</v>
      </c>
      <c r="C25" s="3">
        <v>0.13853503180000001</v>
      </c>
      <c r="D25" s="3">
        <v>6.2101910830000003E-2</v>
      </c>
      <c r="E25" s="3">
        <v>4.9363057320000001E-2</v>
      </c>
      <c r="F25" s="3">
        <v>0.10987261149999999</v>
      </c>
      <c r="G25" s="3">
        <v>9.0764331209999993E-2</v>
      </c>
      <c r="H25" s="3">
        <v>0.1003184713</v>
      </c>
      <c r="I25" s="3">
        <v>8.5191082799999998E-2</v>
      </c>
      <c r="J25" s="3">
        <v>7.5680933850000007E-2</v>
      </c>
    </row>
    <row r="26" spans="1:10">
      <c r="A26" s="2" t="s">
        <v>24</v>
      </c>
      <c r="B26" s="2">
        <v>1</v>
      </c>
      <c r="C26" s="3">
        <v>0.13457006369999999</v>
      </c>
      <c r="D26" s="3">
        <v>0.1575</v>
      </c>
      <c r="E26" s="3">
        <v>0.13552547770000001</v>
      </c>
      <c r="F26" s="3">
        <v>0.1317038217</v>
      </c>
      <c r="G26" s="3">
        <v>4.0352941179999997E-2</v>
      </c>
      <c r="H26" s="3">
        <v>2.2468152870000001E-2</v>
      </c>
      <c r="I26" s="3">
        <v>0.1062261146</v>
      </c>
      <c r="J26" s="3">
        <v>2.6636676880000001E-2</v>
      </c>
    </row>
    <row r="27" spans="1:10">
      <c r="A27" s="2" t="s">
        <v>24</v>
      </c>
      <c r="B27" s="2">
        <v>2</v>
      </c>
      <c r="C27" s="3">
        <v>5.603503185E-2</v>
      </c>
      <c r="D27" s="3">
        <v>0.33692675160000002</v>
      </c>
      <c r="E27" s="3">
        <v>0.27482484080000003</v>
      </c>
      <c r="F27" s="3">
        <v>8.1831210190000003E-2</v>
      </c>
      <c r="G27" s="3">
        <v>0.16900000000000001</v>
      </c>
      <c r="H27" s="3">
        <v>0.242022293</v>
      </c>
      <c r="I27" s="3">
        <v>0.15667197450000001</v>
      </c>
      <c r="J27" s="3">
        <v>0.19919410409999999</v>
      </c>
    </row>
    <row r="28" spans="1:10">
      <c r="A28" s="2" t="s">
        <v>24</v>
      </c>
      <c r="B28" s="2">
        <v>3</v>
      </c>
      <c r="C28" s="3">
        <v>0.229156051</v>
      </c>
      <c r="D28" s="3">
        <v>0.16609872610000001</v>
      </c>
      <c r="E28" s="3">
        <v>0.14412420379999999</v>
      </c>
      <c r="F28" s="3">
        <v>0.29507961780000003</v>
      </c>
      <c r="G28" s="3">
        <v>0.19123529410000001</v>
      </c>
      <c r="H28" s="3">
        <v>0.18584394900000001</v>
      </c>
      <c r="I28" s="3">
        <v>0.15781847130000001</v>
      </c>
      <c r="J28" s="3">
        <v>0.18375765699999999</v>
      </c>
    </row>
    <row r="29" spans="1:10">
      <c r="A29" s="2" t="s">
        <v>24</v>
      </c>
      <c r="B29" s="2">
        <v>4</v>
      </c>
      <c r="C29" s="3">
        <v>6.6377388539999999E-2</v>
      </c>
      <c r="D29" s="3">
        <v>0.1590525478</v>
      </c>
      <c r="E29" s="3">
        <v>9.9816878979999996E-2</v>
      </c>
      <c r="F29" s="3">
        <v>5.6823248409999999E-2</v>
      </c>
      <c r="G29" s="3">
        <v>9.3602941179999996E-2</v>
      </c>
      <c r="H29" s="3">
        <v>0.1128742038</v>
      </c>
      <c r="I29" s="3">
        <v>7.2906050959999996E-2</v>
      </c>
      <c r="J29" s="3">
        <v>9.4665007659999995E-2</v>
      </c>
    </row>
    <row r="30" spans="1:10">
      <c r="A30" s="2" t="s">
        <v>24</v>
      </c>
      <c r="B30" s="2">
        <v>5</v>
      </c>
      <c r="C30" s="3">
        <v>0.14940286620000001</v>
      </c>
      <c r="D30" s="3">
        <v>6.054936306E-2</v>
      </c>
      <c r="E30" s="3">
        <v>0.10736464969999999</v>
      </c>
      <c r="F30" s="3">
        <v>0.14653662419999999</v>
      </c>
      <c r="G30" s="3">
        <v>5.5573529410000003E-2</v>
      </c>
      <c r="H30" s="3">
        <v>5.4498407640000003E-2</v>
      </c>
      <c r="I30" s="3">
        <v>6.5167197450000006E-2</v>
      </c>
      <c r="J30" s="3">
        <v>5.046324655E-2</v>
      </c>
    </row>
    <row r="31" spans="1:10">
      <c r="A31" s="2" t="s">
        <v>24</v>
      </c>
      <c r="B31" s="2">
        <v>6</v>
      </c>
      <c r="C31" s="3">
        <v>8.1210191079999994E-2</v>
      </c>
      <c r="D31" s="3">
        <v>6.2101910830000003E-2</v>
      </c>
      <c r="E31" s="3">
        <v>7.1656050959999995E-2</v>
      </c>
      <c r="F31" s="3">
        <v>7.1656050959999995E-2</v>
      </c>
      <c r="G31" s="3">
        <v>0.10882352939999999</v>
      </c>
      <c r="H31" s="3">
        <v>0.14490445860000001</v>
      </c>
      <c r="I31" s="3">
        <v>3.184713376E-2</v>
      </c>
      <c r="J31" s="3">
        <v>0.1184915773</v>
      </c>
    </row>
    <row r="32" spans="1:10">
      <c r="A32" s="2" t="s">
        <v>25</v>
      </c>
      <c r="B32" s="2">
        <v>1</v>
      </c>
      <c r="C32" s="3">
        <v>0.29539808919999999</v>
      </c>
      <c r="D32" s="3">
        <v>0.16418789810000001</v>
      </c>
      <c r="E32" s="3">
        <v>0.19189490449999999</v>
      </c>
      <c r="F32" s="3">
        <v>0.1657802548</v>
      </c>
      <c r="G32" s="3">
        <v>0.1495030581</v>
      </c>
      <c r="H32" s="3">
        <v>0.1880732484</v>
      </c>
      <c r="I32" s="3">
        <v>0.19714968150000001</v>
      </c>
      <c r="J32" s="3">
        <v>0.15759757999999999</v>
      </c>
    </row>
    <row r="33" spans="1:10">
      <c r="A33" s="2" t="s">
        <v>25</v>
      </c>
      <c r="B33" s="2">
        <v>2</v>
      </c>
      <c r="C33" s="3">
        <v>0.16813694270000001</v>
      </c>
      <c r="D33" s="3">
        <v>0.2432961783</v>
      </c>
      <c r="E33" s="3">
        <v>0.2366082803</v>
      </c>
      <c r="F33" s="3">
        <v>0.17609872609999999</v>
      </c>
      <c r="G33" s="3">
        <v>0.12638379199999999</v>
      </c>
      <c r="H33" s="3">
        <v>0.23278662419999999</v>
      </c>
      <c r="I33" s="3">
        <v>0.17307324839999999</v>
      </c>
      <c r="J33" s="3">
        <v>0.16771467600000001</v>
      </c>
    </row>
    <row r="34" spans="1:10">
      <c r="A34" s="2" t="s">
        <v>25</v>
      </c>
      <c r="B34" s="2">
        <v>3</v>
      </c>
      <c r="C34" s="3">
        <v>0.32979299359999997</v>
      </c>
      <c r="D34" s="3">
        <v>0.23297770700000001</v>
      </c>
      <c r="E34" s="3">
        <v>0.2262898089</v>
      </c>
      <c r="F34" s="3">
        <v>0.20017515920000001</v>
      </c>
      <c r="G34" s="3">
        <v>0.2073012232</v>
      </c>
      <c r="H34" s="3">
        <v>0.22246815289999999</v>
      </c>
      <c r="I34" s="3">
        <v>0.24874203819999999</v>
      </c>
      <c r="J34" s="3">
        <v>0.20326502730000001</v>
      </c>
    </row>
    <row r="35" spans="1:10">
      <c r="A35" s="2" t="s">
        <v>25</v>
      </c>
      <c r="B35" s="2">
        <v>4</v>
      </c>
      <c r="C35" s="3">
        <v>0.1237579618</v>
      </c>
      <c r="D35" s="3">
        <v>8.8089171970000005E-2</v>
      </c>
      <c r="E35" s="3">
        <v>8.2356687900000003E-2</v>
      </c>
      <c r="F35" s="3">
        <v>7.9171974519999994E-2</v>
      </c>
      <c r="G35" s="3">
        <v>5.1659021409999999E-2</v>
      </c>
      <c r="H35" s="3">
        <v>0.11675159240000001</v>
      </c>
      <c r="I35" s="3">
        <v>7.3280254779999998E-2</v>
      </c>
      <c r="J35" s="3">
        <v>7.2679547230000002E-2</v>
      </c>
    </row>
    <row r="36" spans="1:10">
      <c r="A36" s="2" t="s">
        <v>25</v>
      </c>
      <c r="B36" s="2">
        <v>5</v>
      </c>
      <c r="C36" s="3">
        <v>0.23692675160000001</v>
      </c>
      <c r="D36" s="3">
        <v>0.15730891720000001</v>
      </c>
      <c r="E36" s="3">
        <v>0.13342356690000001</v>
      </c>
      <c r="F36" s="3">
        <v>0.10730891720000001</v>
      </c>
      <c r="G36" s="3">
        <v>0.1307186544</v>
      </c>
      <c r="H36" s="3">
        <v>9.520700637E-2</v>
      </c>
      <c r="I36" s="3">
        <v>0.16447452230000001</v>
      </c>
      <c r="J36" s="3">
        <v>0.1022872756</v>
      </c>
    </row>
    <row r="37" spans="1:10">
      <c r="A37" s="2" t="s">
        <v>25</v>
      </c>
      <c r="B37" s="2">
        <v>6</v>
      </c>
      <c r="C37" s="3">
        <v>6.5286624200000004E-2</v>
      </c>
      <c r="D37" s="3">
        <v>8.1210191079999994E-2</v>
      </c>
      <c r="E37" s="3">
        <v>2.3885350319999998E-2</v>
      </c>
      <c r="F37" s="3">
        <v>2.0700636939999999E-2</v>
      </c>
      <c r="G37" s="3">
        <v>3.2874617740000001E-2</v>
      </c>
      <c r="H37" s="3">
        <v>2.3885350319999998E-2</v>
      </c>
      <c r="I37" s="3">
        <v>4.0605095539999997E-2</v>
      </c>
      <c r="J37" s="3">
        <v>1.7369242779999999E-2</v>
      </c>
    </row>
    <row r="38" spans="1:10">
      <c r="A38" s="2" t="s">
        <v>26</v>
      </c>
      <c r="B38" s="2">
        <v>1</v>
      </c>
      <c r="C38" s="3">
        <v>0.15176751590000001</v>
      </c>
      <c r="D38" s="3">
        <v>3.6480891719999999E-2</v>
      </c>
      <c r="E38" s="3">
        <v>1.352339181E-2</v>
      </c>
      <c r="F38" s="3">
        <v>3.359872611E-3</v>
      </c>
      <c r="I38" s="3">
        <v>5.192675159E-2</v>
      </c>
      <c r="J38" s="3">
        <v>2.738549618E-3</v>
      </c>
    </row>
    <row r="39" spans="1:10">
      <c r="A39" s="2" t="s">
        <v>26</v>
      </c>
      <c r="B39" s="2">
        <v>2</v>
      </c>
      <c r="C39" s="3">
        <v>0.19648089169999999</v>
      </c>
      <c r="D39" s="3">
        <v>0.25316878980000002</v>
      </c>
      <c r="E39" s="3">
        <v>0.1808918129</v>
      </c>
      <c r="F39" s="3">
        <v>0.22004777070000001</v>
      </c>
      <c r="I39" s="3">
        <v>0.18262738849999999</v>
      </c>
      <c r="J39" s="3">
        <v>0.19400572520000001</v>
      </c>
    </row>
    <row r="40" spans="1:10">
      <c r="A40" s="2" t="s">
        <v>26</v>
      </c>
      <c r="B40" s="2">
        <v>3</v>
      </c>
      <c r="C40" s="3">
        <v>0.1718312102</v>
      </c>
      <c r="D40" s="3">
        <v>0.280111465</v>
      </c>
      <c r="E40" s="3">
        <v>0.1635233918</v>
      </c>
      <c r="F40" s="3">
        <v>0.24699044589999999</v>
      </c>
      <c r="I40" s="3">
        <v>0.1837738854</v>
      </c>
      <c r="J40" s="3">
        <v>0.18205152669999999</v>
      </c>
    </row>
    <row r="41" spans="1:10">
      <c r="A41" s="2" t="s">
        <v>26</v>
      </c>
      <c r="B41" s="2">
        <v>4</v>
      </c>
      <c r="C41" s="3">
        <v>0.1151035032</v>
      </c>
      <c r="D41" s="3">
        <v>0.1077786624</v>
      </c>
      <c r="E41" s="3">
        <v>0.11415935670000001</v>
      </c>
      <c r="F41" s="3">
        <v>0.12625</v>
      </c>
      <c r="I41" s="3">
        <v>6.9243630570000006E-2</v>
      </c>
      <c r="J41" s="3">
        <v>0.11450572520000001</v>
      </c>
    </row>
    <row r="42" spans="1:10">
      <c r="A42" s="2" t="s">
        <v>26</v>
      </c>
      <c r="B42" s="2">
        <v>5</v>
      </c>
      <c r="C42" s="3">
        <v>6.054936306E-2</v>
      </c>
      <c r="D42" s="3">
        <v>0.10863853499999999</v>
      </c>
      <c r="E42" s="3">
        <v>5.8720760230000002E-2</v>
      </c>
      <c r="F42" s="3">
        <v>0.12710987260000001</v>
      </c>
      <c r="I42" s="3">
        <v>4.2396496819999997E-2</v>
      </c>
      <c r="J42" s="3">
        <v>8.1935114500000003E-2</v>
      </c>
    </row>
    <row r="43" spans="1:10">
      <c r="A43" s="2" t="s">
        <v>26</v>
      </c>
      <c r="B43" s="2">
        <v>6</v>
      </c>
      <c r="C43" s="3">
        <v>2.3885350319999998E-2</v>
      </c>
      <c r="D43" s="3">
        <v>0.17993630569999999</v>
      </c>
      <c r="E43" s="3">
        <v>0.15935672510000001</v>
      </c>
      <c r="F43" s="3">
        <v>0.25</v>
      </c>
      <c r="I43" s="3">
        <v>5.9713375800000003E-2</v>
      </c>
      <c r="J43" s="3">
        <v>0.19370229010000001</v>
      </c>
    </row>
    <row r="44" spans="1:10">
      <c r="A44" s="2" t="s">
        <v>27</v>
      </c>
      <c r="B44" s="2">
        <v>1</v>
      </c>
      <c r="C44" s="3">
        <v>0.19380573249999999</v>
      </c>
      <c r="D44" s="3">
        <v>6.0047770700000003E-2</v>
      </c>
      <c r="E44" s="3">
        <v>3.574159021E-2</v>
      </c>
      <c r="F44" s="3">
        <v>9.4108280249999999E-3</v>
      </c>
      <c r="G44" s="3">
        <v>1.3875E-2</v>
      </c>
      <c r="H44" s="3">
        <v>5.5891719750000004E-3</v>
      </c>
      <c r="I44" s="2">
        <v>8.1544585990000001E-2</v>
      </c>
      <c r="J44" s="2">
        <v>3.6619448699999999E-3</v>
      </c>
    </row>
    <row r="45" spans="1:10">
      <c r="A45" s="2" t="s">
        <v>27</v>
      </c>
      <c r="B45" s="2">
        <v>2</v>
      </c>
      <c r="C45" s="3">
        <v>6.9410828029999996E-2</v>
      </c>
      <c r="D45" s="3">
        <v>0.2050796178</v>
      </c>
      <c r="E45" s="3">
        <v>0.20803516820000001</v>
      </c>
      <c r="F45" s="3">
        <v>0.22323248409999999</v>
      </c>
      <c r="G45" s="3">
        <v>0.28625735289999998</v>
      </c>
      <c r="H45" s="3">
        <v>0.219410828</v>
      </c>
      <c r="I45" s="2">
        <v>9.1863057319999997E-2</v>
      </c>
      <c r="J45" s="2">
        <v>0.22859303219999999</v>
      </c>
    </row>
    <row r="46" spans="1:10">
      <c r="A46" s="2" t="s">
        <v>27</v>
      </c>
      <c r="B46" s="2">
        <v>3</v>
      </c>
      <c r="C46" s="3">
        <v>0.40017515920000002</v>
      </c>
      <c r="D46" s="3">
        <v>6.0047770700000003E-2</v>
      </c>
      <c r="E46" s="3">
        <v>0.2696865443</v>
      </c>
      <c r="F46" s="3">
        <v>0.14699044589999999</v>
      </c>
      <c r="G46" s="3">
        <v>0.2018161765</v>
      </c>
      <c r="H46" s="3">
        <v>0.2119585987</v>
      </c>
      <c r="I46" s="2">
        <v>0.18472929939999999</v>
      </c>
      <c r="J46" s="2">
        <v>0.2014414242</v>
      </c>
    </row>
    <row r="47" spans="1:10">
      <c r="A47" s="2" t="s">
        <v>27</v>
      </c>
      <c r="B47" s="2">
        <v>4</v>
      </c>
      <c r="C47" s="3">
        <v>8.3574840760000005E-2</v>
      </c>
      <c r="D47" s="3">
        <v>9.7906050960000005E-2</v>
      </c>
      <c r="E47" s="3">
        <v>7.0259938839999994E-2</v>
      </c>
      <c r="F47" s="3">
        <v>9.5039808919999996E-2</v>
      </c>
      <c r="G47" s="3">
        <v>0.12066176469999999</v>
      </c>
      <c r="H47" s="3">
        <v>9.1218152869999999E-2</v>
      </c>
      <c r="I47" s="2">
        <v>4.5358280250000001E-2</v>
      </c>
      <c r="J47" s="2">
        <v>9.5660413479999998E-2</v>
      </c>
    </row>
    <row r="48" spans="1:10">
      <c r="A48" s="2" t="s">
        <v>27</v>
      </c>
      <c r="B48" s="2">
        <v>5</v>
      </c>
      <c r="C48" s="3">
        <v>0.22010350319999999</v>
      </c>
      <c r="D48" s="3">
        <v>4.335191083E-2</v>
      </c>
      <c r="E48" s="3">
        <v>9.0099388380000006E-2</v>
      </c>
      <c r="F48" s="3">
        <v>8.1568471340000004E-2</v>
      </c>
      <c r="G48" s="3">
        <v>8.733088235E-2</v>
      </c>
      <c r="H48" s="3">
        <v>0.129339172</v>
      </c>
      <c r="I48" s="2">
        <v>8.6345541400000003E-2</v>
      </c>
      <c r="J48" s="2">
        <v>0.101914242</v>
      </c>
    </row>
    <row r="49" spans="1:10">
      <c r="A49" s="2" t="s">
        <v>27</v>
      </c>
      <c r="B49" s="2">
        <v>6</v>
      </c>
      <c r="C49" s="3">
        <v>0.10987261149999999</v>
      </c>
      <c r="D49" s="3">
        <v>8.1210191079999994E-2</v>
      </c>
      <c r="E49" s="3">
        <v>0.12461773700000001</v>
      </c>
      <c r="F49" s="3">
        <v>0.16719745220000001</v>
      </c>
      <c r="G49" s="3">
        <v>0.19411764710000001</v>
      </c>
      <c r="H49" s="3">
        <v>0.21496815289999999</v>
      </c>
      <c r="I49" s="2">
        <v>5.0159235670000003E-2</v>
      </c>
      <c r="J49" s="2">
        <v>0.19391271060000001</v>
      </c>
    </row>
    <row r="50" spans="1:10">
      <c r="A50" s="2" t="s">
        <v>28</v>
      </c>
      <c r="B50" s="2">
        <v>1</v>
      </c>
      <c r="C50" s="3">
        <v>0.28743630570000001</v>
      </c>
      <c r="D50" s="3">
        <v>8.4251592360000002E-2</v>
      </c>
      <c r="E50" s="3">
        <v>8.1703821659999995E-2</v>
      </c>
      <c r="F50" s="3">
        <v>6.4506369430000002E-2</v>
      </c>
      <c r="G50" s="3">
        <v>1.410818713E-2</v>
      </c>
      <c r="H50" s="3">
        <v>6.2261146499999996E-3</v>
      </c>
      <c r="I50" s="3">
        <v>0.13329617830000001</v>
      </c>
      <c r="J50" s="3">
        <v>8.2423664119999993E-3</v>
      </c>
    </row>
    <row r="51" spans="1:10">
      <c r="A51" s="2" t="s">
        <v>28</v>
      </c>
      <c r="B51" s="2">
        <v>2</v>
      </c>
      <c r="C51" s="3">
        <v>0.43533439489999998</v>
      </c>
      <c r="D51" s="3">
        <v>0.16335987260000001</v>
      </c>
      <c r="E51" s="3">
        <v>0.1608121019</v>
      </c>
      <c r="F51" s="3">
        <v>0.2467993631</v>
      </c>
      <c r="G51" s="3">
        <v>0.1498976608</v>
      </c>
      <c r="H51" s="3">
        <v>0.1541242038</v>
      </c>
      <c r="I51" s="3">
        <v>0.2467993631</v>
      </c>
      <c r="J51" s="3">
        <v>0.13836450380000001</v>
      </c>
    </row>
    <row r="52" spans="1:10">
      <c r="A52" s="2" t="s">
        <v>28</v>
      </c>
      <c r="B52" s="2">
        <v>3</v>
      </c>
      <c r="C52" s="3">
        <v>6.5445859870000003E-3</v>
      </c>
      <c r="D52" s="3">
        <v>0.204633758</v>
      </c>
      <c r="E52" s="3">
        <v>0.28234076429999999</v>
      </c>
      <c r="F52" s="3">
        <v>0.10463375799999999</v>
      </c>
      <c r="G52" s="3">
        <v>0.23252923980000001</v>
      </c>
      <c r="H52" s="3">
        <v>0.24699044589999999</v>
      </c>
      <c r="I52" s="3">
        <v>5.3041401270000003E-2</v>
      </c>
      <c r="J52" s="3">
        <v>0.23702099239999999</v>
      </c>
    </row>
    <row r="53" spans="1:10">
      <c r="A53" s="2" t="s">
        <v>28</v>
      </c>
      <c r="B53" s="2">
        <v>4</v>
      </c>
      <c r="C53" s="3">
        <v>0.33320063690000001</v>
      </c>
      <c r="D53" s="3">
        <v>6.1226114650000003E-2</v>
      </c>
      <c r="E53" s="3">
        <v>4.3391719750000002E-2</v>
      </c>
      <c r="F53" s="3">
        <v>0.12746815289999999</v>
      </c>
      <c r="G53" s="3">
        <v>9.5358187129999994E-2</v>
      </c>
      <c r="H53" s="3">
        <v>8.6385350319999998E-2</v>
      </c>
      <c r="I53" s="3">
        <v>0.14466560510000001</v>
      </c>
      <c r="J53" s="3">
        <v>8.6620229009999994E-2</v>
      </c>
    </row>
    <row r="54" spans="1:10">
      <c r="A54" s="2" t="s">
        <v>28</v>
      </c>
      <c r="B54" s="2">
        <v>5</v>
      </c>
      <c r="C54" s="3">
        <v>0.14054140130000001</v>
      </c>
      <c r="D54" s="3">
        <v>6.9203821659999998E-2</v>
      </c>
      <c r="E54" s="3">
        <v>0.10678343949999999</v>
      </c>
      <c r="F54" s="3">
        <v>4.3726114650000002E-2</v>
      </c>
      <c r="G54" s="3">
        <v>9.2726608190000004E-2</v>
      </c>
      <c r="H54" s="3">
        <v>0.10296178340000001</v>
      </c>
      <c r="I54" s="3">
        <v>5.2324840759999998E-2</v>
      </c>
      <c r="J54" s="3">
        <v>9.5477099240000002E-2</v>
      </c>
    </row>
    <row r="55" spans="1:10">
      <c r="A55" s="2" t="s">
        <v>28</v>
      </c>
      <c r="B55" s="2">
        <v>6</v>
      </c>
      <c r="C55" s="3">
        <v>0.18630573249999999</v>
      </c>
      <c r="D55" s="3">
        <v>4.6178343949999999E-2</v>
      </c>
      <c r="E55" s="3">
        <v>6.847133758E-2</v>
      </c>
      <c r="F55" s="3">
        <v>0.1066878981</v>
      </c>
      <c r="G55" s="3">
        <v>0.17397660819999999</v>
      </c>
      <c r="H55" s="3">
        <v>0.1831210191</v>
      </c>
      <c r="I55" s="3">
        <v>6.369426752E-2</v>
      </c>
      <c r="J55" s="3">
        <v>0.17385496180000001</v>
      </c>
    </row>
    <row r="56" spans="1:10">
      <c r="A56" s="2" t="s">
        <v>29</v>
      </c>
      <c r="B56" s="2">
        <v>1</v>
      </c>
      <c r="C56" s="3">
        <v>0.36031645569999998</v>
      </c>
      <c r="D56" s="3">
        <v>0.40208860759999998</v>
      </c>
      <c r="E56" s="3">
        <v>0.3425303951</v>
      </c>
      <c r="F56" s="3">
        <v>0.24259493670000001</v>
      </c>
      <c r="G56" s="3">
        <v>0.33553191490000001</v>
      </c>
      <c r="H56" s="3">
        <v>0.14449367090000001</v>
      </c>
      <c r="I56" s="3">
        <v>0.3725</v>
      </c>
      <c r="J56" s="3">
        <v>0.2162063615</v>
      </c>
    </row>
    <row r="57" spans="1:10">
      <c r="A57" s="2" t="s">
        <v>29</v>
      </c>
      <c r="B57" s="2">
        <v>2</v>
      </c>
      <c r="C57" s="3">
        <v>0.4047468354</v>
      </c>
      <c r="D57" s="3">
        <v>0.34398734180000001</v>
      </c>
      <c r="E57" s="3">
        <v>0.41803191490000002</v>
      </c>
      <c r="F57" s="3">
        <v>0.18449367089999999</v>
      </c>
      <c r="G57" s="3">
        <v>0.2914893617</v>
      </c>
      <c r="H57" s="3">
        <v>0.2231012658</v>
      </c>
      <c r="I57" s="3">
        <v>0.365664557</v>
      </c>
      <c r="J57" s="3">
        <v>0.23568657870000001</v>
      </c>
    </row>
    <row r="58" spans="1:10">
      <c r="A58" s="2" t="s">
        <v>29</v>
      </c>
      <c r="B58" s="2">
        <v>3</v>
      </c>
      <c r="C58" s="3">
        <v>0.32613924049999998</v>
      </c>
      <c r="D58" s="3">
        <v>0.33373417719999998</v>
      </c>
      <c r="E58" s="3">
        <v>0.27687689970000001</v>
      </c>
      <c r="F58" s="3">
        <v>0.20841772150000001</v>
      </c>
      <c r="G58" s="3">
        <v>0.3683586626</v>
      </c>
      <c r="H58" s="3">
        <v>0.14449367090000001</v>
      </c>
      <c r="I58" s="3">
        <v>0.32123417720000003</v>
      </c>
      <c r="J58" s="3">
        <v>0.23296353759999999</v>
      </c>
    </row>
    <row r="59" spans="1:10">
      <c r="A59" s="2" t="s">
        <v>29</v>
      </c>
      <c r="B59" s="2">
        <v>4</v>
      </c>
      <c r="C59" s="3">
        <v>0.2112658228</v>
      </c>
      <c r="D59" s="3">
        <v>0.2017721519</v>
      </c>
      <c r="E59" s="3">
        <v>0.20484042550000001</v>
      </c>
      <c r="F59" s="3">
        <v>0.1334177215</v>
      </c>
      <c r="G59" s="3">
        <v>0.1586930091</v>
      </c>
      <c r="H59" s="3">
        <v>7.7088607589999997E-2</v>
      </c>
      <c r="I59" s="3">
        <v>0.1978164557</v>
      </c>
      <c r="J59" s="3">
        <v>9.4561675720000002E-2</v>
      </c>
    </row>
    <row r="60" spans="1:10">
      <c r="A60" s="2" t="s">
        <v>29</v>
      </c>
      <c r="B60" s="2">
        <v>5</v>
      </c>
      <c r="C60" s="3">
        <v>0.19968354429999999</v>
      </c>
      <c r="D60" s="3">
        <v>0.24145569619999999</v>
      </c>
      <c r="E60" s="3">
        <v>0.18708206690000001</v>
      </c>
      <c r="F60" s="3">
        <v>0.15031645569999999</v>
      </c>
      <c r="G60" s="3">
        <v>0.21407294830000001</v>
      </c>
      <c r="H60" s="3">
        <v>8.6392405059999997E-2</v>
      </c>
      <c r="I60" s="3">
        <v>0.2118670886</v>
      </c>
      <c r="J60" s="3">
        <v>0.1257176106</v>
      </c>
    </row>
    <row r="61" spans="1:10">
      <c r="A61" s="2" t="s">
        <v>29</v>
      </c>
      <c r="B61" s="2">
        <v>6</v>
      </c>
      <c r="C61" s="3">
        <v>5.063291139E-2</v>
      </c>
      <c r="D61" s="3">
        <v>4.1139240510000001E-2</v>
      </c>
      <c r="E61" s="3">
        <v>4.9392097259999997E-2</v>
      </c>
      <c r="F61" s="3">
        <v>4.1139240510000001E-2</v>
      </c>
      <c r="G61" s="3">
        <v>3.7234042549999999E-2</v>
      </c>
      <c r="H61" s="3">
        <v>1.8987341769999999E-2</v>
      </c>
      <c r="I61" s="3">
        <v>3.7183544300000003E-2</v>
      </c>
      <c r="J61" s="3">
        <v>4.0729247479999999E-3</v>
      </c>
    </row>
    <row r="62" spans="1:10">
      <c r="A62" s="2" t="s">
        <v>30</v>
      </c>
      <c r="B62" s="2">
        <v>1</v>
      </c>
      <c r="C62" s="3">
        <v>0.19253184709999999</v>
      </c>
      <c r="D62" s="3">
        <v>0.13616242040000001</v>
      </c>
      <c r="E62" s="3">
        <v>0.15898318040000001</v>
      </c>
      <c r="F62" s="3">
        <v>4.5716560509999997E-2</v>
      </c>
      <c r="G62" s="3">
        <v>2.0443425080000001E-2</v>
      </c>
      <c r="H62" s="3">
        <v>2.0557324839999998E-2</v>
      </c>
      <c r="I62" s="3">
        <v>0.15001592359999999</v>
      </c>
      <c r="J62" s="3">
        <v>1.0515222479999999E-2</v>
      </c>
    </row>
    <row r="63" spans="1:10">
      <c r="A63" s="2" t="s">
        <v>30</v>
      </c>
      <c r="B63" s="2">
        <v>2</v>
      </c>
      <c r="C63" s="3">
        <v>6.5270700639999998E-2</v>
      </c>
      <c r="D63" s="3">
        <v>0.1464808917</v>
      </c>
      <c r="E63" s="3">
        <v>0.2679740061</v>
      </c>
      <c r="F63" s="3">
        <v>0.1936146497</v>
      </c>
      <c r="G63" s="3">
        <v>0.15778287460000001</v>
      </c>
      <c r="H63" s="3">
        <v>0.13406050959999999</v>
      </c>
      <c r="I63" s="3">
        <v>9.1544585989999996E-2</v>
      </c>
      <c r="J63" s="3">
        <v>0.13690866509999999</v>
      </c>
    </row>
    <row r="64" spans="1:10">
      <c r="A64" s="2" t="s">
        <v>30</v>
      </c>
      <c r="B64" s="2">
        <v>3</v>
      </c>
      <c r="C64" s="3">
        <v>0.36164012740000001</v>
      </c>
      <c r="D64" s="3">
        <v>0.19062101910000001</v>
      </c>
      <c r="E64" s="3">
        <v>0.17824923549999999</v>
      </c>
      <c r="F64" s="3">
        <v>0.17469745219999999</v>
      </c>
      <c r="G64" s="3">
        <v>0.18833333329999999</v>
      </c>
      <c r="H64" s="3">
        <v>0.26418789809999998</v>
      </c>
      <c r="I64" s="3">
        <v>0.26179936310000002</v>
      </c>
      <c r="J64" s="3">
        <v>0.21566744730000001</v>
      </c>
    </row>
    <row r="65" spans="1:10">
      <c r="A65" s="2" t="s">
        <v>30</v>
      </c>
      <c r="B65" s="2">
        <v>4</v>
      </c>
      <c r="C65" s="3">
        <v>7.9434713379999994E-2</v>
      </c>
      <c r="D65" s="3">
        <v>5.2683121020000001E-2</v>
      </c>
      <c r="E65" s="3">
        <v>8.4327217130000007E-2</v>
      </c>
      <c r="F65" s="3">
        <v>8.3574840760000005E-2</v>
      </c>
      <c r="G65" s="3">
        <v>7.7958715600000006E-2</v>
      </c>
      <c r="H65" s="3">
        <v>5.9371019109999999E-2</v>
      </c>
      <c r="I65" s="3">
        <v>5.1727707009999999E-2</v>
      </c>
      <c r="J65" s="3">
        <v>5.9344262299999999E-2</v>
      </c>
    </row>
    <row r="66" spans="1:10">
      <c r="A66" s="2" t="s">
        <v>30</v>
      </c>
      <c r="B66" s="2">
        <v>5</v>
      </c>
      <c r="C66" s="3">
        <v>0.21023089170000001</v>
      </c>
      <c r="D66" s="3">
        <v>0.11373407639999999</v>
      </c>
      <c r="E66" s="3">
        <v>0.14728593270000001</v>
      </c>
      <c r="F66" s="3">
        <v>4.335191083E-2</v>
      </c>
      <c r="G66" s="3">
        <v>7.3218654430000002E-2</v>
      </c>
      <c r="H66" s="3">
        <v>0.1443073248</v>
      </c>
      <c r="I66" s="3">
        <v>0.14765127389999999</v>
      </c>
      <c r="J66" s="3">
        <v>9.81264637E-2</v>
      </c>
    </row>
    <row r="67" spans="1:10">
      <c r="A67" s="2" t="s">
        <v>30</v>
      </c>
      <c r="B67" s="2">
        <v>6</v>
      </c>
      <c r="C67" s="3">
        <v>9.7133757959999997E-2</v>
      </c>
      <c r="D67" s="3">
        <v>3.0254777069999999E-2</v>
      </c>
      <c r="E67" s="3">
        <v>7.2629969419999996E-2</v>
      </c>
      <c r="F67" s="3">
        <v>8.1210191079999994E-2</v>
      </c>
      <c r="G67" s="3">
        <v>0.13073394499999999</v>
      </c>
      <c r="H67" s="3">
        <v>0.1831210191</v>
      </c>
      <c r="I67" s="3">
        <v>4.9363057320000001E-2</v>
      </c>
      <c r="J67" s="3">
        <v>0.1469555035</v>
      </c>
    </row>
    <row r="68" spans="1:10">
      <c r="A68" s="2" t="s">
        <v>31</v>
      </c>
      <c r="B68" s="2">
        <v>1</v>
      </c>
      <c r="C68" s="3">
        <v>0.1527229299</v>
      </c>
      <c r="D68" s="3">
        <v>7.5652866240000005E-2</v>
      </c>
      <c r="E68" s="3">
        <v>9.6937689970000004E-2</v>
      </c>
      <c r="F68" s="3">
        <v>2.5334394900000001E-2</v>
      </c>
      <c r="G68" s="3">
        <v>2.763677812E-2</v>
      </c>
      <c r="H68" s="3">
        <v>5.5891719750000004E-3</v>
      </c>
      <c r="I68" s="3">
        <v>8.1544585990000001E-2</v>
      </c>
      <c r="J68" s="3">
        <v>5.1303501950000002E-3</v>
      </c>
    </row>
    <row r="69" spans="1:10">
      <c r="A69" s="2" t="s">
        <v>31</v>
      </c>
      <c r="B69" s="2">
        <v>2</v>
      </c>
      <c r="C69" s="3">
        <v>0.33501592359999999</v>
      </c>
      <c r="D69" s="3">
        <v>0.1547611465</v>
      </c>
      <c r="E69" s="3">
        <v>0.27091945290000002</v>
      </c>
      <c r="F69" s="3">
        <v>0.1732324841</v>
      </c>
      <c r="G69" s="3">
        <v>0.1359650456</v>
      </c>
      <c r="H69" s="3">
        <v>0.2222770701</v>
      </c>
      <c r="I69" s="3">
        <v>0.2122452229</v>
      </c>
      <c r="J69" s="3">
        <v>0.16650000000000001</v>
      </c>
    </row>
    <row r="70" spans="1:10">
      <c r="A70" s="2" t="s">
        <v>31</v>
      </c>
      <c r="B70" s="2">
        <v>3</v>
      </c>
      <c r="C70" s="3">
        <v>2.3742038220000001E-2</v>
      </c>
      <c r="D70" s="3">
        <v>0.204633758</v>
      </c>
      <c r="E70" s="3">
        <v>0.14344224920000001</v>
      </c>
      <c r="F70" s="3">
        <v>0.20017515920000001</v>
      </c>
      <c r="G70" s="3">
        <v>0.30119300910000002</v>
      </c>
      <c r="H70" s="3">
        <v>0.17469745219999999</v>
      </c>
      <c r="I70" s="3">
        <v>8.1544585990000001E-2</v>
      </c>
      <c r="J70" s="3">
        <v>0.22575291829999999</v>
      </c>
    </row>
    <row r="71" spans="1:10">
      <c r="A71" s="2" t="s">
        <v>31</v>
      </c>
      <c r="B71" s="2">
        <v>4</v>
      </c>
      <c r="C71" s="3">
        <v>0.24312898090000001</v>
      </c>
      <c r="D71" s="3">
        <v>3.8988853499999997E-2</v>
      </c>
      <c r="E71" s="3">
        <v>9.9673252279999999E-2</v>
      </c>
      <c r="F71" s="3">
        <v>6.1281847129999997E-2</v>
      </c>
      <c r="G71" s="3">
        <v>6.2857142860000007E-2</v>
      </c>
      <c r="H71" s="3">
        <v>0.1284792994</v>
      </c>
      <c r="I71" s="3">
        <v>0.10841560510000001</v>
      </c>
      <c r="J71" s="3">
        <v>8.3223735409999999E-2</v>
      </c>
    </row>
    <row r="72" spans="1:10">
      <c r="A72" s="2" t="s">
        <v>31</v>
      </c>
      <c r="B72" s="2">
        <v>5</v>
      </c>
      <c r="C72" s="3">
        <v>3.857484076E-2</v>
      </c>
      <c r="D72" s="3">
        <v>7.3288216559999994E-2</v>
      </c>
      <c r="E72" s="3">
        <v>8.9209726439999998E-2</v>
      </c>
      <c r="F72" s="3">
        <v>8.029458599E-2</v>
      </c>
      <c r="G72" s="3">
        <v>0.15702887539999999</v>
      </c>
      <c r="H72" s="3">
        <v>9.2078025480000006E-2</v>
      </c>
      <c r="I72" s="3">
        <v>2.3288216560000002E-2</v>
      </c>
      <c r="J72" s="3">
        <v>0.1127626459</v>
      </c>
    </row>
    <row r="73" spans="1:10">
      <c r="A73" s="2" t="s">
        <v>31</v>
      </c>
      <c r="B73" s="2">
        <v>6</v>
      </c>
      <c r="C73" s="3">
        <v>0.12898089169999999</v>
      </c>
      <c r="D73" s="3">
        <v>3.6624203819999999E-2</v>
      </c>
      <c r="E73" s="3">
        <v>9.1945288750000007E-2</v>
      </c>
      <c r="F73" s="3">
        <v>0.11624203819999999</v>
      </c>
      <c r="G73" s="3">
        <v>0.1922492401</v>
      </c>
      <c r="H73" s="3">
        <v>0.21496815289999999</v>
      </c>
      <c r="I73" s="3">
        <v>5.0159235670000003E-2</v>
      </c>
      <c r="J73" s="3">
        <v>0.19085603109999999</v>
      </c>
    </row>
    <row r="74" spans="1:10">
      <c r="A74" s="2" t="s">
        <v>32</v>
      </c>
      <c r="B74" s="2">
        <v>1</v>
      </c>
      <c r="C74" s="3">
        <v>0.37947452230000001</v>
      </c>
      <c r="D74" s="3">
        <v>0.14890127389999999</v>
      </c>
      <c r="E74" s="3">
        <v>0.1176910828</v>
      </c>
      <c r="F74" s="3">
        <v>1.546178344E-2</v>
      </c>
      <c r="G74" s="3">
        <v>4.5527522940000002E-2</v>
      </c>
      <c r="H74" s="3">
        <v>2.4060509550000001E-2</v>
      </c>
      <c r="I74" s="3">
        <v>0.23074840760000001</v>
      </c>
      <c r="J74" s="3">
        <v>3.043130367E-2</v>
      </c>
    </row>
    <row r="75" spans="1:10">
      <c r="A75" s="2" t="s">
        <v>32</v>
      </c>
      <c r="B75" s="2">
        <v>2</v>
      </c>
      <c r="C75" s="3">
        <v>0.43278662420000003</v>
      </c>
      <c r="D75" s="3">
        <v>0.2079458599</v>
      </c>
      <c r="E75" s="3">
        <v>0.25699044589999998</v>
      </c>
      <c r="F75" s="3">
        <v>0.23501592360000001</v>
      </c>
      <c r="G75" s="3">
        <v>0.2123165138</v>
      </c>
      <c r="H75" s="3">
        <v>0.1977547771</v>
      </c>
      <c r="I75" s="3">
        <v>0.28692675159999997</v>
      </c>
      <c r="J75" s="3">
        <v>0.20073575330000001</v>
      </c>
    </row>
    <row r="76" spans="1:10">
      <c r="A76" s="2" t="s">
        <v>32</v>
      </c>
      <c r="B76" s="2">
        <v>3</v>
      </c>
      <c r="C76" s="3">
        <v>0.38234076430000002</v>
      </c>
      <c r="D76" s="3">
        <v>0.31800955409999998</v>
      </c>
      <c r="E76" s="3">
        <v>0.28679936309999998</v>
      </c>
      <c r="F76" s="3">
        <v>0.1903025478</v>
      </c>
      <c r="G76" s="3">
        <v>0.1611238532</v>
      </c>
      <c r="H76" s="3">
        <v>0.15877388540000001</v>
      </c>
      <c r="I76" s="3">
        <v>0.31673566879999998</v>
      </c>
      <c r="J76" s="3">
        <v>0.15619242780000001</v>
      </c>
    </row>
    <row r="77" spans="1:10">
      <c r="A77" s="2" t="s">
        <v>32</v>
      </c>
      <c r="B77" s="2">
        <v>4</v>
      </c>
      <c r="C77" s="3">
        <v>0.29886146499999999</v>
      </c>
      <c r="D77" s="3">
        <v>9.0262738849999996E-2</v>
      </c>
      <c r="E77" s="3">
        <v>8.1982484080000001E-2</v>
      </c>
      <c r="F77" s="3">
        <v>8.8670382170000006E-2</v>
      </c>
      <c r="G77" s="3">
        <v>9.1972477060000002E-2</v>
      </c>
      <c r="H77" s="3">
        <v>8.9625796179999995E-2</v>
      </c>
      <c r="I77" s="3">
        <v>0.16112261150000001</v>
      </c>
      <c r="J77" s="3">
        <v>8.6286104609999997E-2</v>
      </c>
    </row>
    <row r="78" spans="1:10">
      <c r="A78" s="2" t="s">
        <v>32</v>
      </c>
      <c r="B78" s="2">
        <v>5</v>
      </c>
      <c r="C78" s="3">
        <v>0.27965764329999998</v>
      </c>
      <c r="D78" s="3">
        <v>0.14940286620000001</v>
      </c>
      <c r="E78" s="3">
        <v>0.1009952229</v>
      </c>
      <c r="F78" s="3">
        <v>8.7619426750000007E-2</v>
      </c>
      <c r="G78" s="3">
        <v>4.7591743120000002E-2</v>
      </c>
      <c r="H78" s="3">
        <v>7.6154458600000002E-2</v>
      </c>
      <c r="I78" s="3">
        <v>0.18109076430000001</v>
      </c>
      <c r="J78" s="3">
        <v>5.7533177210000001E-2</v>
      </c>
    </row>
    <row r="79" spans="1:10">
      <c r="A79" s="2" t="s">
        <v>32</v>
      </c>
      <c r="B79" s="2">
        <v>6</v>
      </c>
      <c r="C79" s="3">
        <v>0.199044586</v>
      </c>
      <c r="D79" s="3">
        <v>9.0764331209999993E-2</v>
      </c>
      <c r="E79" s="3">
        <v>6.5286624200000004E-2</v>
      </c>
      <c r="F79" s="3">
        <v>0.1608280255</v>
      </c>
      <c r="G79" s="3">
        <v>9.4036697249999995E-2</v>
      </c>
      <c r="H79" s="3">
        <v>0.1417197452</v>
      </c>
      <c r="I79" s="3">
        <v>0.1114649682</v>
      </c>
      <c r="J79" s="3">
        <v>0.11338797809999999</v>
      </c>
    </row>
    <row r="80" spans="1:10">
      <c r="A80" s="2" t="s">
        <v>33</v>
      </c>
      <c r="B80" s="2">
        <v>1</v>
      </c>
      <c r="C80" s="3">
        <v>0.1412579618</v>
      </c>
      <c r="D80" s="3">
        <v>0.14348726110000001</v>
      </c>
      <c r="E80" s="3">
        <v>0.1183280255</v>
      </c>
      <c r="F80" s="3">
        <v>0.109410828</v>
      </c>
      <c r="G80" s="3">
        <v>0.1060779817</v>
      </c>
      <c r="H80" s="3">
        <v>6.4824840760000002E-2</v>
      </c>
      <c r="I80" s="3">
        <v>0.12326433119999999</v>
      </c>
      <c r="J80" s="3">
        <v>7.4147150659999994E-2</v>
      </c>
    </row>
    <row r="81" spans="1:10">
      <c r="A81" s="2" t="s">
        <v>33</v>
      </c>
      <c r="B81" s="2">
        <v>2</v>
      </c>
      <c r="C81" s="3">
        <v>0.22036624199999999</v>
      </c>
      <c r="D81" s="3">
        <v>0.1882006369</v>
      </c>
      <c r="E81" s="3">
        <v>0.1630414013</v>
      </c>
      <c r="F81" s="3">
        <v>0.1197292994</v>
      </c>
      <c r="G81" s="3">
        <v>0.1820412844</v>
      </c>
      <c r="H81" s="3">
        <v>0.2127229299</v>
      </c>
      <c r="I81" s="3">
        <v>0.18517515919999999</v>
      </c>
      <c r="J81" s="3">
        <v>0.18543520690000001</v>
      </c>
    </row>
    <row r="82" spans="1:10">
      <c r="A82" s="2" t="s">
        <v>33</v>
      </c>
      <c r="B82" s="2">
        <v>3</v>
      </c>
      <c r="C82" s="3">
        <v>0.155589172</v>
      </c>
      <c r="D82" s="3">
        <v>0.2036783439</v>
      </c>
      <c r="E82" s="3">
        <v>0.17851910830000001</v>
      </c>
      <c r="F82" s="3">
        <v>0.27851910829999998</v>
      </c>
      <c r="G82" s="3">
        <v>0.18314220179999999</v>
      </c>
      <c r="H82" s="3">
        <v>0.16514331209999999</v>
      </c>
      <c r="I82" s="3">
        <v>0.1605254777</v>
      </c>
      <c r="J82" s="3">
        <v>0.16056401249999999</v>
      </c>
    </row>
    <row r="83" spans="1:10">
      <c r="A83" s="2" t="s">
        <v>33</v>
      </c>
      <c r="B83" s="2">
        <v>4</v>
      </c>
      <c r="C83" s="3">
        <v>7.0461783439999995E-2</v>
      </c>
      <c r="D83" s="3">
        <v>0.1070859873</v>
      </c>
      <c r="E83" s="3">
        <v>0.10103503179999999</v>
      </c>
      <c r="F83" s="3">
        <v>1.950636943E-2</v>
      </c>
      <c r="G83" s="3">
        <v>6.9288990829999994E-2</v>
      </c>
      <c r="H83" s="3">
        <v>7.8105095540000002E-2</v>
      </c>
      <c r="I83" s="3">
        <v>6.96656051E-2</v>
      </c>
      <c r="J83" s="3">
        <v>6.1875487899999998E-2</v>
      </c>
    </row>
    <row r="84" spans="1:10">
      <c r="A84" s="2" t="s">
        <v>33</v>
      </c>
      <c r="B84" s="2">
        <v>5</v>
      </c>
      <c r="C84" s="3">
        <v>0.12334394899999999</v>
      </c>
      <c r="D84" s="3">
        <v>5.3917197450000003E-2</v>
      </c>
      <c r="E84" s="3">
        <v>8.8949044589999998E-2</v>
      </c>
      <c r="F84" s="3">
        <v>0.1488216561</v>
      </c>
      <c r="G84" s="3">
        <v>5.7431192659999998E-2</v>
      </c>
      <c r="H84" s="3">
        <v>8.7038216560000006E-2</v>
      </c>
      <c r="I84" s="3">
        <v>6.9522292989999998E-2</v>
      </c>
      <c r="J84" s="3">
        <v>5.9305230289999997E-2</v>
      </c>
    </row>
    <row r="85" spans="1:10">
      <c r="A85" s="2" t="s">
        <v>33</v>
      </c>
      <c r="B85" s="2">
        <v>6</v>
      </c>
      <c r="C85" s="3">
        <v>5.2547770700000003E-2</v>
      </c>
      <c r="D85" s="3">
        <v>1.7515923570000001E-2</v>
      </c>
      <c r="E85" s="3">
        <v>7.1656050959999995E-2</v>
      </c>
      <c r="F85" s="3">
        <v>5.891719745E-2</v>
      </c>
      <c r="G85" s="3">
        <v>2.0642201830000002E-2</v>
      </c>
      <c r="H85" s="3">
        <v>0.1003184713</v>
      </c>
      <c r="I85" s="3">
        <v>1.592356688E-2</v>
      </c>
      <c r="J85" s="3">
        <v>4.7033567530000001E-2</v>
      </c>
    </row>
    <row r="86" spans="1:10">
      <c r="A86" s="2" t="s">
        <v>34</v>
      </c>
      <c r="B86" s="2">
        <v>1</v>
      </c>
      <c r="C86" s="3">
        <v>0.41348101269999998</v>
      </c>
      <c r="D86" s="3">
        <v>0.1603164557</v>
      </c>
      <c r="E86" s="3">
        <v>0.2438607595</v>
      </c>
      <c r="F86" s="3">
        <v>8.1202531650000007E-2</v>
      </c>
      <c r="G86" s="3">
        <v>4.5873860180000003E-2</v>
      </c>
      <c r="H86" s="3">
        <v>1.474683544E-2</v>
      </c>
      <c r="I86" s="3">
        <v>0.2354746835</v>
      </c>
      <c r="J86" s="3">
        <v>1.388867339E-2</v>
      </c>
    </row>
    <row r="87" spans="1:10">
      <c r="A87" s="2" t="s">
        <v>34</v>
      </c>
      <c r="B87" s="2">
        <v>2</v>
      </c>
      <c r="C87" s="3">
        <v>0.42373417720000001</v>
      </c>
      <c r="D87" s="3">
        <v>0.1705696203</v>
      </c>
      <c r="E87" s="3">
        <v>0.1857594937</v>
      </c>
      <c r="F87" s="3">
        <v>0.12563291139999999</v>
      </c>
      <c r="G87" s="3">
        <v>0.18702887539999999</v>
      </c>
      <c r="H87" s="3">
        <v>0.16170886079999999</v>
      </c>
      <c r="I87" s="3">
        <v>0.24572784810000001</v>
      </c>
      <c r="J87" s="3">
        <v>0.15800038790000001</v>
      </c>
    </row>
    <row r="88" spans="1:10">
      <c r="A88" s="2" t="s">
        <v>34</v>
      </c>
      <c r="B88" s="2">
        <v>3</v>
      </c>
      <c r="C88" s="3">
        <v>0.41348101269999998</v>
      </c>
      <c r="D88" s="3">
        <v>0.1603164557</v>
      </c>
      <c r="E88" s="3">
        <v>0.27803797470000002</v>
      </c>
      <c r="F88" s="3">
        <v>0.14955696199999999</v>
      </c>
      <c r="G88" s="3">
        <v>0.24283434649999999</v>
      </c>
      <c r="H88" s="3">
        <v>0.18563291139999999</v>
      </c>
      <c r="I88" s="3">
        <v>0.2354746835</v>
      </c>
      <c r="J88" s="3">
        <v>0.19821761060000001</v>
      </c>
    </row>
    <row r="89" spans="1:10">
      <c r="A89" s="2" t="s">
        <v>34</v>
      </c>
      <c r="B89" s="2">
        <v>4</v>
      </c>
      <c r="C89" s="3">
        <v>0.32034810130000002</v>
      </c>
      <c r="D89" s="3">
        <v>9.1867088609999994E-2</v>
      </c>
      <c r="E89" s="3">
        <v>0.16022151900000001</v>
      </c>
      <c r="F89" s="3">
        <v>7.7310126579999999E-2</v>
      </c>
      <c r="G89" s="3">
        <v>0.1059650456</v>
      </c>
      <c r="H89" s="3">
        <v>7.541139241E-2</v>
      </c>
      <c r="I89" s="3">
        <v>0.1546835443</v>
      </c>
      <c r="J89" s="3">
        <v>7.4307602789999996E-2</v>
      </c>
    </row>
    <row r="90" spans="1:10">
      <c r="A90" s="2" t="s">
        <v>34</v>
      </c>
      <c r="B90" s="2">
        <v>5</v>
      </c>
      <c r="C90" s="3">
        <v>0.34313291140000002</v>
      </c>
      <c r="D90" s="3">
        <v>0.1127531646</v>
      </c>
      <c r="E90" s="3">
        <v>0.12794303800000001</v>
      </c>
      <c r="F90" s="3">
        <v>4.5031645570000001E-2</v>
      </c>
      <c r="G90" s="3">
        <v>8.6565349540000003E-2</v>
      </c>
      <c r="H90" s="3">
        <v>0.1323734177</v>
      </c>
      <c r="I90" s="3">
        <v>0.17651898730000001</v>
      </c>
      <c r="J90" s="3">
        <v>9.4934057409999995E-2</v>
      </c>
    </row>
    <row r="91" spans="1:10">
      <c r="A91" s="2" t="s">
        <v>34</v>
      </c>
      <c r="B91" s="2">
        <v>6</v>
      </c>
      <c r="C91" s="3">
        <v>0.25</v>
      </c>
      <c r="D91" s="3">
        <v>4.4303797470000003E-2</v>
      </c>
      <c r="E91" s="3">
        <v>4.4303797470000003E-2</v>
      </c>
      <c r="F91" s="3">
        <v>4.1139240510000001E-2</v>
      </c>
      <c r="G91" s="3">
        <v>0.146656535</v>
      </c>
      <c r="H91" s="3">
        <v>0.1930379747</v>
      </c>
      <c r="I91" s="3">
        <v>9.5727848099999999E-2</v>
      </c>
      <c r="J91" s="3">
        <v>0.15535298680000001</v>
      </c>
    </row>
    <row r="92" spans="1:10">
      <c r="A92" s="2" t="s">
        <v>35</v>
      </c>
      <c r="B92" s="2">
        <v>1</v>
      </c>
      <c r="C92" s="3">
        <v>0.12978503180000001</v>
      </c>
      <c r="D92" s="3">
        <v>0.16226910829999999</v>
      </c>
      <c r="E92" s="3">
        <v>2.34156051E-2</v>
      </c>
      <c r="F92" s="3">
        <v>9.7213375799999995E-3</v>
      </c>
      <c r="G92" s="3">
        <v>7.6063829790000001E-3</v>
      </c>
      <c r="H92" s="3">
        <v>5.8996815290000004E-3</v>
      </c>
      <c r="I92" s="3">
        <v>0.1245302548</v>
      </c>
      <c r="J92" s="3">
        <v>2.8793774319999998E-3</v>
      </c>
    </row>
    <row r="93" spans="1:10">
      <c r="A93" s="2" t="s">
        <v>35</v>
      </c>
      <c r="B93" s="2">
        <v>2</v>
      </c>
      <c r="C93" s="3">
        <v>8.9371019110000005E-2</v>
      </c>
      <c r="D93" s="3">
        <v>0.1161226115</v>
      </c>
      <c r="E93" s="3">
        <v>0.24096337579999999</v>
      </c>
      <c r="F93" s="3">
        <v>0.1928742038</v>
      </c>
      <c r="G93" s="3">
        <v>0.2986702128</v>
      </c>
      <c r="H93" s="3">
        <v>0.26357484079999999</v>
      </c>
      <c r="I93" s="3">
        <v>8.1250000000000003E-2</v>
      </c>
      <c r="J93" s="3">
        <v>0.27708171209999999</v>
      </c>
    </row>
    <row r="94" spans="1:10">
      <c r="A94" s="2" t="s">
        <v>35</v>
      </c>
      <c r="B94" s="2">
        <v>3</v>
      </c>
      <c r="C94" s="3">
        <v>0.30462579620000002</v>
      </c>
      <c r="D94" s="3">
        <v>0.22246019110000001</v>
      </c>
      <c r="E94" s="3">
        <v>0.18679140129999999</v>
      </c>
      <c r="F94" s="3">
        <v>0.17882961780000001</v>
      </c>
      <c r="G94" s="3">
        <v>0.2073024316</v>
      </c>
      <c r="H94" s="3">
        <v>0.20940286620000001</v>
      </c>
      <c r="I94" s="3">
        <v>0.2420461783</v>
      </c>
      <c r="J94" s="3">
        <v>0.20459143969999999</v>
      </c>
    </row>
    <row r="95" spans="1:10">
      <c r="A95" s="2" t="s">
        <v>35</v>
      </c>
      <c r="B95" s="2">
        <v>4</v>
      </c>
      <c r="C95" s="3">
        <v>2.6249999999999999E-2</v>
      </c>
      <c r="D95" s="3">
        <v>0.1268869427</v>
      </c>
      <c r="E95" s="3">
        <v>7.6568471339999999E-2</v>
      </c>
      <c r="F95" s="3">
        <v>6.2874203820000002E-2</v>
      </c>
      <c r="G95" s="3">
        <v>0.1191261398</v>
      </c>
      <c r="H95" s="3">
        <v>0.1284792994</v>
      </c>
      <c r="I95" s="3">
        <v>5.5071656050000001E-2</v>
      </c>
      <c r="J95" s="3">
        <v>0.1197042802</v>
      </c>
    </row>
    <row r="96" spans="1:10">
      <c r="A96" s="2" t="s">
        <v>35</v>
      </c>
      <c r="B96" s="2">
        <v>5</v>
      </c>
      <c r="C96" s="3">
        <v>0.18474522290000001</v>
      </c>
      <c r="D96" s="3">
        <v>9.1114649680000007E-2</v>
      </c>
      <c r="E96" s="3">
        <v>7.2643312099999996E-2</v>
      </c>
      <c r="F96" s="3">
        <v>7.901273885E-2</v>
      </c>
      <c r="G96" s="3">
        <v>9.2887537990000005E-2</v>
      </c>
      <c r="H96" s="3">
        <v>9.2388535029999996E-2</v>
      </c>
      <c r="I96" s="3">
        <v>0.116433121</v>
      </c>
      <c r="J96" s="3">
        <v>8.8817120619999995E-2</v>
      </c>
    </row>
    <row r="97" spans="1:10">
      <c r="A97" s="2" t="s">
        <v>35</v>
      </c>
      <c r="B97" s="2">
        <v>6</v>
      </c>
      <c r="C97" s="3">
        <v>8.1210191079999994E-2</v>
      </c>
      <c r="D97" s="3">
        <v>5.5732484079999998E-2</v>
      </c>
      <c r="E97" s="3">
        <v>0.12579617830000001</v>
      </c>
      <c r="F97" s="3">
        <v>0.1321656051</v>
      </c>
      <c r="G97" s="3">
        <v>0.2044072948</v>
      </c>
      <c r="H97" s="3">
        <v>0.21496815289999999</v>
      </c>
      <c r="I97" s="3">
        <v>4.6974522290000001E-2</v>
      </c>
      <c r="J97" s="3">
        <v>0.2056420233</v>
      </c>
    </row>
    <row r="98" spans="1:10">
      <c r="A98" s="2" t="s">
        <v>36</v>
      </c>
      <c r="B98" s="2">
        <v>1</v>
      </c>
      <c r="C98" s="3">
        <v>0.13616242040000001</v>
      </c>
      <c r="D98" s="3">
        <v>7.2705882350000001E-2</v>
      </c>
      <c r="E98" s="3">
        <v>4.6337579620000001E-3</v>
      </c>
      <c r="I98" s="3">
        <v>8.1385350319999994E-2</v>
      </c>
      <c r="J98" s="3">
        <v>1.6521822360000001E-2</v>
      </c>
    </row>
    <row r="99" spans="1:10">
      <c r="A99" s="2" t="s">
        <v>36</v>
      </c>
      <c r="B99" s="2">
        <v>2</v>
      </c>
      <c r="C99" s="3">
        <v>0.2152707006</v>
      </c>
      <c r="D99" s="3">
        <v>0.114</v>
      </c>
      <c r="E99" s="3">
        <v>0.22132165610000001</v>
      </c>
      <c r="I99" s="3">
        <v>0.14329617829999999</v>
      </c>
      <c r="J99" s="3">
        <v>0.1422186064</v>
      </c>
    </row>
    <row r="100" spans="1:10">
      <c r="A100" s="2" t="s">
        <v>36</v>
      </c>
      <c r="B100" s="2">
        <v>3</v>
      </c>
      <c r="C100" s="3">
        <v>0.29953821660000002</v>
      </c>
      <c r="D100" s="3">
        <v>0.15476470589999999</v>
      </c>
      <c r="E100" s="3">
        <v>0.21386942680000001</v>
      </c>
      <c r="I100" s="3">
        <v>0.20749999999999999</v>
      </c>
      <c r="J100" s="3">
        <v>0.1598602603</v>
      </c>
    </row>
    <row r="101" spans="1:10">
      <c r="A101" s="2" t="s">
        <v>36</v>
      </c>
      <c r="B101" s="2">
        <v>4</v>
      </c>
      <c r="C101" s="3">
        <v>4.5995222930000003E-2</v>
      </c>
      <c r="D101" s="3">
        <v>9.002205882E-2</v>
      </c>
      <c r="E101" s="3">
        <v>0.12752388540000001</v>
      </c>
      <c r="I101" s="3">
        <v>4.5676751590000002E-2</v>
      </c>
      <c r="J101" s="3">
        <v>8.0202909650000001E-2</v>
      </c>
    </row>
    <row r="102" spans="1:10">
      <c r="A102" s="2" t="s">
        <v>36</v>
      </c>
      <c r="B102" s="2">
        <v>5</v>
      </c>
      <c r="C102" s="3">
        <v>0.1681926752</v>
      </c>
      <c r="D102" s="3">
        <v>9.7389705879999997E-2</v>
      </c>
      <c r="E102" s="3">
        <v>0.1111863057</v>
      </c>
      <c r="I102" s="3">
        <v>0.10338375800000001</v>
      </c>
      <c r="J102" s="3">
        <v>8.1609877489999996E-2</v>
      </c>
    </row>
    <row r="103" spans="1:10">
      <c r="A103" s="2" t="s">
        <v>36</v>
      </c>
      <c r="B103" s="2">
        <v>6</v>
      </c>
      <c r="C103" s="3">
        <v>7.8025477709999999E-2</v>
      </c>
      <c r="D103" s="3">
        <v>0.1147058824</v>
      </c>
      <c r="E103" s="3">
        <v>0.23407643310000001</v>
      </c>
      <c r="I103" s="3">
        <v>6.7675159240000005E-2</v>
      </c>
      <c r="J103" s="3">
        <v>0.14529096480000001</v>
      </c>
    </row>
    <row r="104" spans="1:10">
      <c r="A104" s="2" t="s">
        <v>37</v>
      </c>
      <c r="B104" s="2">
        <v>1</v>
      </c>
      <c r="C104" s="3">
        <v>7.4689490450000007E-2</v>
      </c>
      <c r="D104" s="3">
        <v>0.14475318470000001</v>
      </c>
      <c r="E104" s="3">
        <v>0.20112261149999999</v>
      </c>
      <c r="F104" s="3">
        <v>3.2332802549999998E-2</v>
      </c>
      <c r="G104" s="3">
        <v>5.3455882349999996E-3</v>
      </c>
      <c r="H104" s="3">
        <v>3.670382166E-3</v>
      </c>
      <c r="I104" s="3">
        <v>7.6281847129999997E-2</v>
      </c>
      <c r="J104" s="3">
        <v>1.514165391E-3</v>
      </c>
    </row>
    <row r="105" spans="1:10">
      <c r="A105" s="2" t="s">
        <v>37</v>
      </c>
      <c r="B105" s="2">
        <v>2</v>
      </c>
      <c r="C105" s="3">
        <v>6.8670382170000002E-2</v>
      </c>
      <c r="D105" s="3">
        <v>0.3680334395</v>
      </c>
      <c r="E105" s="3">
        <v>0.11484872610000001</v>
      </c>
      <c r="F105" s="3">
        <v>0.2556130573</v>
      </c>
      <c r="G105" s="3">
        <v>0.2062573529</v>
      </c>
      <c r="H105" s="3">
        <v>0.26134554139999999</v>
      </c>
      <c r="I105" s="3">
        <v>0.1849124204</v>
      </c>
      <c r="J105" s="3">
        <v>0.23002871359999999</v>
      </c>
    </row>
    <row r="106" spans="1:10">
      <c r="A106" s="2" t="s">
        <v>37</v>
      </c>
      <c r="B106" s="2">
        <v>3</v>
      </c>
      <c r="C106" s="3">
        <v>0.2437977707</v>
      </c>
      <c r="D106" s="3">
        <v>0.31386146500000001</v>
      </c>
      <c r="E106" s="3">
        <v>0.34156847130000001</v>
      </c>
      <c r="F106" s="3">
        <v>0.1613136943</v>
      </c>
      <c r="G106" s="3">
        <v>0.1932867647</v>
      </c>
      <c r="H106" s="3">
        <v>0.24730095539999999</v>
      </c>
      <c r="I106" s="3">
        <v>0.24539012739999999</v>
      </c>
      <c r="J106" s="3">
        <v>0.21652182240000001</v>
      </c>
    </row>
    <row r="107" spans="1:10">
      <c r="A107" s="2" t="s">
        <v>37</v>
      </c>
      <c r="B107" s="2">
        <v>4</v>
      </c>
      <c r="C107" s="3">
        <v>2.274681529E-2</v>
      </c>
      <c r="D107" s="3">
        <v>0.11255573250000001</v>
      </c>
      <c r="E107" s="3">
        <v>7.9116242040000007E-2</v>
      </c>
      <c r="F107" s="3">
        <v>6.8925159240000006E-2</v>
      </c>
      <c r="G107" s="3">
        <v>0.10247794120000001</v>
      </c>
      <c r="H107" s="3">
        <v>0.12625</v>
      </c>
      <c r="I107" s="3">
        <v>3.4211783439999997E-2</v>
      </c>
      <c r="J107" s="3">
        <v>0.1113418836</v>
      </c>
    </row>
    <row r="108" spans="1:10">
      <c r="A108" s="2" t="s">
        <v>37</v>
      </c>
      <c r="B108" s="2">
        <v>5</v>
      </c>
      <c r="C108" s="3">
        <v>0.12678343950000001</v>
      </c>
      <c r="D108" s="3">
        <v>0.14525477710000001</v>
      </c>
      <c r="E108" s="3">
        <v>0.18729299360000001</v>
      </c>
      <c r="F108" s="3">
        <v>9.875796178E-2</v>
      </c>
      <c r="G108" s="3">
        <v>8.5220588240000006E-2</v>
      </c>
      <c r="H108" s="3">
        <v>0.12742038219999999</v>
      </c>
      <c r="I108" s="3">
        <v>0.10257961779999999</v>
      </c>
      <c r="J108" s="3">
        <v>9.8250382849999998E-2</v>
      </c>
    </row>
    <row r="109" spans="1:10">
      <c r="A109" s="2" t="s">
        <v>37</v>
      </c>
      <c r="B109" s="2">
        <v>6</v>
      </c>
      <c r="C109" s="3">
        <v>7.4840764330000004E-2</v>
      </c>
      <c r="D109" s="3">
        <v>0.1130573248</v>
      </c>
      <c r="E109" s="3">
        <v>6.5286624200000004E-2</v>
      </c>
      <c r="F109" s="3">
        <v>0.13535031850000001</v>
      </c>
      <c r="G109" s="3">
        <v>0.18235294120000001</v>
      </c>
      <c r="H109" s="3">
        <v>0.25</v>
      </c>
      <c r="I109" s="3">
        <v>6.0509554139999998E-2</v>
      </c>
      <c r="J109" s="3">
        <v>0.2080781011</v>
      </c>
    </row>
    <row r="110" spans="1:10">
      <c r="A110" s="2" t="s">
        <v>38</v>
      </c>
      <c r="B110" s="2">
        <v>1</v>
      </c>
      <c r="C110" s="3">
        <v>0.23296974519999999</v>
      </c>
      <c r="D110" s="3">
        <v>7.9466560510000006E-2</v>
      </c>
      <c r="E110" s="3">
        <v>5.1759554139999997E-2</v>
      </c>
      <c r="F110" s="3">
        <v>6.2181528660000002E-3</v>
      </c>
      <c r="G110" s="3">
        <v>4.5214067279999999E-2</v>
      </c>
      <c r="H110" s="3">
        <v>2.0867834389999999E-2</v>
      </c>
      <c r="I110" s="3">
        <v>0.1092436306</v>
      </c>
      <c r="J110" s="3">
        <v>1.8479703359999999E-2</v>
      </c>
    </row>
    <row r="111" spans="1:10">
      <c r="A111" s="2" t="s">
        <v>38</v>
      </c>
      <c r="B111" s="2">
        <v>2</v>
      </c>
      <c r="C111" s="3">
        <v>3.7778662419999998E-2</v>
      </c>
      <c r="D111" s="3">
        <v>0.22249203819999999</v>
      </c>
      <c r="E111" s="3">
        <v>0.26930732480000003</v>
      </c>
      <c r="F111" s="3">
        <v>0.2638933121</v>
      </c>
      <c r="G111" s="3">
        <v>0.17429663610000001</v>
      </c>
      <c r="H111" s="3">
        <v>0.23841560510000001</v>
      </c>
      <c r="I111" s="3">
        <v>8.3160828029999995E-2</v>
      </c>
      <c r="J111" s="3">
        <v>0.1903298205</v>
      </c>
    </row>
    <row r="112" spans="1:10">
      <c r="A112" s="2" t="s">
        <v>38</v>
      </c>
      <c r="B112" s="2">
        <v>3</v>
      </c>
      <c r="C112" s="3">
        <v>0.40494426750000001</v>
      </c>
      <c r="D112" s="3">
        <v>0.2170461783</v>
      </c>
      <c r="E112" s="3">
        <v>0.1205493631</v>
      </c>
      <c r="F112" s="3">
        <v>0.17819267520000001</v>
      </c>
      <c r="G112" s="3">
        <v>0.14429663609999999</v>
      </c>
      <c r="H112" s="3">
        <v>0.19284235669999999</v>
      </c>
      <c r="I112" s="3">
        <v>0.26402070059999999</v>
      </c>
      <c r="J112" s="3">
        <v>0.1533743169</v>
      </c>
    </row>
    <row r="113" spans="1:10">
      <c r="A113" s="2" t="s">
        <v>38</v>
      </c>
      <c r="B113" s="2">
        <v>4</v>
      </c>
      <c r="C113" s="3">
        <v>0.1205732484</v>
      </c>
      <c r="D113" s="3">
        <v>8.4904458599999996E-2</v>
      </c>
      <c r="E113" s="3">
        <v>0.14668789809999999</v>
      </c>
      <c r="F113" s="3">
        <v>0.12184713379999999</v>
      </c>
      <c r="G113" s="3">
        <v>0.11409785930000001</v>
      </c>
      <c r="H113" s="3">
        <v>9.5732484079999999E-2</v>
      </c>
      <c r="I113" s="3">
        <v>5.5764331209999997E-2</v>
      </c>
      <c r="J113" s="3">
        <v>9.0156128020000004E-2</v>
      </c>
    </row>
    <row r="114" spans="1:10">
      <c r="A114" s="2" t="s">
        <v>38</v>
      </c>
      <c r="B114" s="2">
        <v>5</v>
      </c>
      <c r="C114" s="3">
        <v>0.26048566880000001</v>
      </c>
      <c r="D114" s="3">
        <v>7.2587579619999995E-2</v>
      </c>
      <c r="E114" s="3">
        <v>2.768312102E-2</v>
      </c>
      <c r="F114" s="3">
        <v>0.1025238854</v>
      </c>
      <c r="G114" s="3">
        <v>0.1046636086</v>
      </c>
      <c r="H114" s="3">
        <v>8.2778662419999996E-2</v>
      </c>
      <c r="I114" s="3">
        <v>0.1195621019</v>
      </c>
      <c r="J114" s="3">
        <v>7.9182279470000005E-2</v>
      </c>
    </row>
    <row r="115" spans="1:10">
      <c r="A115" s="2" t="s">
        <v>38</v>
      </c>
      <c r="B115" s="2">
        <v>6</v>
      </c>
      <c r="C115" s="3">
        <v>0.14808917199999999</v>
      </c>
      <c r="D115" s="3">
        <v>7.8025477709999999E-2</v>
      </c>
      <c r="E115" s="3">
        <v>0.122611465</v>
      </c>
      <c r="F115" s="3">
        <v>0.21815286619999999</v>
      </c>
      <c r="G115" s="3">
        <v>0.17354740060000001</v>
      </c>
      <c r="H115" s="3">
        <v>0.15764331209999999</v>
      </c>
      <c r="I115" s="3">
        <v>6.608280255E-2</v>
      </c>
      <c r="J115" s="3">
        <v>0.15085870409999999</v>
      </c>
    </row>
    <row r="116" spans="1:10">
      <c r="A116" s="2" t="s">
        <v>39</v>
      </c>
      <c r="B116" s="2">
        <v>1</v>
      </c>
      <c r="C116" s="3">
        <v>5.8455414009999998E-2</v>
      </c>
      <c r="D116" s="3">
        <v>1.4824840759999999E-2</v>
      </c>
      <c r="E116" s="3">
        <v>6.9954128440000004E-3</v>
      </c>
      <c r="F116" s="3">
        <v>4.6337579620000001E-3</v>
      </c>
      <c r="I116" s="3">
        <v>1.2754777070000001E-2</v>
      </c>
      <c r="J116" s="3">
        <v>2.718579235E-3</v>
      </c>
    </row>
    <row r="117" spans="1:10">
      <c r="A117" s="2" t="s">
        <v>39</v>
      </c>
      <c r="B117" s="2">
        <v>2</v>
      </c>
      <c r="C117" s="3">
        <v>6.8773885349999994E-2</v>
      </c>
      <c r="D117" s="3">
        <v>0.23151273889999999</v>
      </c>
      <c r="E117" s="3">
        <v>0.14901376150000001</v>
      </c>
      <c r="F117" s="3">
        <v>0.22132165610000001</v>
      </c>
      <c r="I117" s="3">
        <v>0.12625796180000001</v>
      </c>
      <c r="J117" s="3">
        <v>0.1814539422</v>
      </c>
    </row>
    <row r="118" spans="1:10">
      <c r="A118" s="2" t="s">
        <v>39</v>
      </c>
      <c r="B118" s="2">
        <v>3</v>
      </c>
      <c r="C118" s="3">
        <v>0.2304299363</v>
      </c>
      <c r="D118" s="3">
        <v>0.15240445859999999</v>
      </c>
      <c r="E118" s="3">
        <v>0.17213302750000001</v>
      </c>
      <c r="F118" s="3">
        <v>0.21100318470000001</v>
      </c>
      <c r="I118" s="3">
        <v>0.16753184709999999</v>
      </c>
      <c r="J118" s="3">
        <v>0.1881986729</v>
      </c>
    </row>
    <row r="119" spans="1:10">
      <c r="A119" s="2" t="s">
        <v>39</v>
      </c>
      <c r="B119" s="2">
        <v>4</v>
      </c>
      <c r="C119" s="3">
        <v>7.5557324839999995E-2</v>
      </c>
      <c r="D119" s="3">
        <v>9.3073248410000003E-2</v>
      </c>
      <c r="E119" s="3">
        <v>7.4541284400000005E-2</v>
      </c>
      <c r="F119" s="3">
        <v>0.10007961780000001</v>
      </c>
      <c r="I119" s="3">
        <v>6.0429936310000001E-2</v>
      </c>
      <c r="J119" s="3">
        <v>8.3801717410000004E-2</v>
      </c>
    </row>
    <row r="120" spans="1:10">
      <c r="A120" s="2" t="s">
        <v>39</v>
      </c>
      <c r="B120" s="2">
        <v>5</v>
      </c>
      <c r="C120" s="3">
        <v>0.11506369430000001</v>
      </c>
      <c r="D120" s="3">
        <v>0.1144267516</v>
      </c>
      <c r="E120" s="3">
        <v>9.9885321099999994E-2</v>
      </c>
      <c r="F120" s="3">
        <v>0.1386305732</v>
      </c>
      <c r="I120" s="3">
        <v>9.0859872610000003E-2</v>
      </c>
      <c r="J120" s="3">
        <v>0.11583333329999999</v>
      </c>
    </row>
    <row r="121" spans="1:10">
      <c r="A121" s="2" t="s">
        <v>39</v>
      </c>
      <c r="B121" s="2">
        <v>6</v>
      </c>
      <c r="C121" s="3">
        <v>0.1321656051</v>
      </c>
      <c r="D121" s="3">
        <v>0.1926751592</v>
      </c>
      <c r="E121" s="3">
        <v>0.16743119270000001</v>
      </c>
      <c r="F121" s="3">
        <v>0.23407643310000001</v>
      </c>
      <c r="I121" s="3">
        <v>0.13853503180000001</v>
      </c>
      <c r="J121" s="3">
        <v>0.1969164715</v>
      </c>
    </row>
    <row r="122" spans="1:10">
      <c r="A122" s="2" t="s">
        <v>40</v>
      </c>
      <c r="B122" s="2">
        <v>1</v>
      </c>
      <c r="C122" s="3">
        <v>0.1832882166</v>
      </c>
      <c r="D122" s="3">
        <v>0.12755573249999999</v>
      </c>
      <c r="E122" s="3">
        <v>0.14316082799999999</v>
      </c>
      <c r="F122" s="3">
        <v>8.6472929939999998E-2</v>
      </c>
      <c r="G122" s="3">
        <v>6.4174311930000005E-2</v>
      </c>
      <c r="H122" s="3">
        <v>4.6664012739999997E-2</v>
      </c>
      <c r="I122" s="3">
        <v>0.140294586</v>
      </c>
      <c r="J122" s="3">
        <v>5.3218188909999999E-2</v>
      </c>
    </row>
    <row r="123" spans="1:10">
      <c r="A123" s="2" t="s">
        <v>40</v>
      </c>
      <c r="B123" s="2">
        <v>2</v>
      </c>
      <c r="C123" s="3">
        <v>0.25752388539999999</v>
      </c>
      <c r="D123" s="3">
        <v>0.28204617830000001</v>
      </c>
      <c r="E123" s="3">
        <v>0.2517914013</v>
      </c>
      <c r="F123" s="3">
        <v>0.16070859870000001</v>
      </c>
      <c r="G123" s="3">
        <v>0.1354587156</v>
      </c>
      <c r="H123" s="3">
        <v>0.15529458600000001</v>
      </c>
      <c r="I123" s="3">
        <v>0.25465764330000001</v>
      </c>
      <c r="J123" s="3">
        <v>0.14286690090000001</v>
      </c>
    </row>
    <row r="124" spans="1:10">
      <c r="A124" s="2" t="s">
        <v>40</v>
      </c>
      <c r="B124" s="2">
        <v>3</v>
      </c>
      <c r="C124" s="3">
        <v>0.12882961779999999</v>
      </c>
      <c r="D124" s="3">
        <v>0.14761942680000001</v>
      </c>
      <c r="E124" s="3">
        <v>0.1689570064</v>
      </c>
      <c r="F124" s="3">
        <v>0.29570859869999999</v>
      </c>
      <c r="G124" s="3">
        <v>0.19353211009999999</v>
      </c>
      <c r="H124" s="3">
        <v>0.18137738849999999</v>
      </c>
      <c r="I124" s="3">
        <v>0.12309713379999999</v>
      </c>
      <c r="J124" s="3">
        <v>0.18530249800000001</v>
      </c>
    </row>
    <row r="125" spans="1:10">
      <c r="A125" s="2" t="s">
        <v>40</v>
      </c>
      <c r="B125" s="2">
        <v>4</v>
      </c>
      <c r="C125" s="3">
        <v>0.1670143312</v>
      </c>
      <c r="D125" s="3">
        <v>9.5358280249999997E-2</v>
      </c>
      <c r="E125" s="3">
        <v>0.1268869427</v>
      </c>
      <c r="F125" s="3">
        <v>1.8606687899999998E-2</v>
      </c>
      <c r="G125" s="3">
        <v>3.203363914E-2</v>
      </c>
      <c r="H125" s="3">
        <v>4.7587579620000001E-2</v>
      </c>
      <c r="I125" s="3">
        <v>0.1160589172</v>
      </c>
      <c r="J125" s="3">
        <v>3.7261904759999999E-2</v>
      </c>
    </row>
    <row r="126" spans="1:10">
      <c r="A126" s="2" t="s">
        <v>40</v>
      </c>
      <c r="B126" s="2">
        <v>5</v>
      </c>
      <c r="C126" s="3">
        <v>7.2006369429999995E-2</v>
      </c>
      <c r="D126" s="3">
        <v>8.7929936309999998E-2</v>
      </c>
      <c r="E126" s="3">
        <v>7.2006369429999995E-2</v>
      </c>
      <c r="F126" s="3">
        <v>0.15863057320000001</v>
      </c>
      <c r="G126" s="3">
        <v>0.1047706422</v>
      </c>
      <c r="H126" s="3">
        <v>6.436305732E-2</v>
      </c>
      <c r="I126" s="3">
        <v>6.4840764329999995E-2</v>
      </c>
      <c r="J126" s="3">
        <v>8.1725214680000005E-2</v>
      </c>
    </row>
    <row r="127" spans="1:10">
      <c r="A127" s="2" t="s">
        <v>40</v>
      </c>
      <c r="B127" s="2">
        <v>6</v>
      </c>
      <c r="C127" s="3">
        <v>5.5732484079999998E-2</v>
      </c>
      <c r="D127" s="3">
        <v>5.5732484079999998E-2</v>
      </c>
      <c r="E127" s="3">
        <v>5.5732484079999998E-2</v>
      </c>
      <c r="F127" s="3">
        <v>9.0764331209999993E-2</v>
      </c>
      <c r="G127" s="3">
        <v>7.2629969419999996E-2</v>
      </c>
      <c r="H127" s="3">
        <v>6.5286624200000004E-2</v>
      </c>
      <c r="I127" s="3">
        <v>4.0605095539999997E-2</v>
      </c>
      <c r="J127" s="3">
        <v>6.5768930520000005E-2</v>
      </c>
    </row>
    <row r="128" spans="1:10">
      <c r="A128" s="2" t="s">
        <v>41</v>
      </c>
      <c r="B128" s="2">
        <v>1</v>
      </c>
      <c r="C128" s="3">
        <v>0.2202388535</v>
      </c>
      <c r="D128" s="3">
        <v>0.1275636943</v>
      </c>
      <c r="E128" s="3">
        <v>0.17692675159999999</v>
      </c>
      <c r="F128" s="3">
        <v>0.23202229299999999</v>
      </c>
      <c r="G128" s="3">
        <v>0.19017584100000001</v>
      </c>
      <c r="H128" s="3">
        <v>0.19858280249999999</v>
      </c>
      <c r="I128" s="3">
        <v>0.14603503179999999</v>
      </c>
      <c r="J128" s="3">
        <v>0.18491998439999999</v>
      </c>
    </row>
    <row r="129" spans="1:10">
      <c r="A129" s="2" t="s">
        <v>41</v>
      </c>
      <c r="B129" s="2">
        <v>2</v>
      </c>
      <c r="C129" s="3">
        <v>0.12737261150000001</v>
      </c>
      <c r="D129" s="3">
        <v>0.20667197449999999</v>
      </c>
      <c r="E129" s="3">
        <v>0.1528503185</v>
      </c>
      <c r="F129" s="3">
        <v>0.2767356688</v>
      </c>
      <c r="G129" s="3">
        <v>0.3239373089</v>
      </c>
      <c r="H129" s="3">
        <v>0.20890127389999999</v>
      </c>
      <c r="I129" s="3">
        <v>0.139156051</v>
      </c>
      <c r="J129" s="3">
        <v>0.25475605000000001</v>
      </c>
    </row>
    <row r="130" spans="1:10">
      <c r="A130" s="2" t="s">
        <v>41</v>
      </c>
      <c r="B130" s="2">
        <v>3</v>
      </c>
      <c r="C130" s="3">
        <v>0.42660828029999998</v>
      </c>
      <c r="D130" s="3">
        <v>0.26514331209999997</v>
      </c>
      <c r="E130" s="3">
        <v>0.280111465</v>
      </c>
      <c r="F130" s="3">
        <v>0.1976273885</v>
      </c>
      <c r="G130" s="3">
        <v>0.22320336390000001</v>
      </c>
      <c r="H130" s="3">
        <v>0.26737261150000002</v>
      </c>
      <c r="I130" s="3">
        <v>0.31800955409999998</v>
      </c>
      <c r="J130" s="3">
        <v>0.23550546450000001</v>
      </c>
    </row>
    <row r="131" spans="1:10">
      <c r="A131" s="2" t="s">
        <v>41</v>
      </c>
      <c r="B131" s="2">
        <v>4</v>
      </c>
      <c r="C131" s="3">
        <v>6.3455414010000002E-2</v>
      </c>
      <c r="D131" s="3">
        <v>3.7659235669999999E-2</v>
      </c>
      <c r="E131" s="3">
        <v>0.10421974520000001</v>
      </c>
      <c r="F131" s="3">
        <v>0.15931528659999999</v>
      </c>
      <c r="G131" s="3">
        <v>0.12285932719999999</v>
      </c>
      <c r="H131" s="3">
        <v>0.1086783439</v>
      </c>
      <c r="I131" s="3">
        <v>2.2691082800000002E-2</v>
      </c>
      <c r="J131" s="3">
        <v>0.1048790008</v>
      </c>
    </row>
    <row r="132" spans="1:10">
      <c r="A132" s="2" t="s">
        <v>41</v>
      </c>
      <c r="B132" s="2">
        <v>5</v>
      </c>
      <c r="C132" s="3">
        <v>0.25391719750000002</v>
      </c>
      <c r="D132" s="3">
        <v>0.1870382166</v>
      </c>
      <c r="E132" s="3">
        <v>0.1188853503</v>
      </c>
      <c r="F132" s="3">
        <v>0.12525477709999999</v>
      </c>
      <c r="G132" s="3">
        <v>0.1399464832</v>
      </c>
      <c r="H132" s="3">
        <v>0.12334394899999999</v>
      </c>
      <c r="I132" s="3">
        <v>0.19261146500000001</v>
      </c>
      <c r="J132" s="3">
        <v>0.12239071040000001</v>
      </c>
    </row>
    <row r="133" spans="1:10">
      <c r="A133" s="2" t="s">
        <v>41</v>
      </c>
      <c r="B133" s="2">
        <v>6</v>
      </c>
      <c r="C133" s="3">
        <v>9.7133757959999997E-2</v>
      </c>
      <c r="D133" s="3">
        <v>9.7133757959999997E-2</v>
      </c>
      <c r="E133" s="3">
        <v>4.6178343949999999E-2</v>
      </c>
      <c r="F133" s="3">
        <v>5.2547770700000003E-2</v>
      </c>
      <c r="G133" s="3">
        <v>7.2629969419999996E-2</v>
      </c>
      <c r="H133" s="3">
        <v>3.3439490449999998E-2</v>
      </c>
      <c r="I133" s="3">
        <v>6.9267515919999995E-2</v>
      </c>
      <c r="J133" s="3">
        <v>4.2349726779999999E-2</v>
      </c>
    </row>
    <row r="134" spans="1:10">
      <c r="A134" s="2" t="s">
        <v>79</v>
      </c>
      <c r="B134" s="2">
        <v>1</v>
      </c>
      <c r="C134" s="3">
        <v>0.19730095540000001</v>
      </c>
      <c r="D134" s="3">
        <v>4.4908256879999997E-2</v>
      </c>
      <c r="E134" s="3">
        <v>6.2181528660000002E-3</v>
      </c>
      <c r="I134" s="3">
        <v>6.6568471340000004E-2</v>
      </c>
      <c r="J134" s="3">
        <v>1.348360656E-2</v>
      </c>
    </row>
    <row r="135" spans="1:10">
      <c r="A135" s="2" t="s">
        <v>79</v>
      </c>
      <c r="B135" s="2">
        <v>2</v>
      </c>
      <c r="C135" s="3">
        <v>0.41484872610000001</v>
      </c>
      <c r="D135" s="3">
        <v>0.1437155963</v>
      </c>
      <c r="E135" s="3">
        <v>0.2638933121</v>
      </c>
      <c r="I135" s="3">
        <v>0.2267914013</v>
      </c>
      <c r="J135" s="3">
        <v>0.1902517564</v>
      </c>
    </row>
    <row r="136" spans="1:10">
      <c r="A136" s="2" t="s">
        <v>79</v>
      </c>
      <c r="B136" s="2">
        <v>3</v>
      </c>
      <c r="C136" s="3">
        <v>7.4052547770000005E-2</v>
      </c>
      <c r="D136" s="3">
        <v>0.27610091739999998</v>
      </c>
      <c r="E136" s="3">
        <v>0.21545382169999999</v>
      </c>
      <c r="I136" s="3">
        <v>0.1267595541</v>
      </c>
      <c r="J136" s="3">
        <v>0.2333899297</v>
      </c>
    </row>
    <row r="137" spans="1:10">
      <c r="A137" s="2" t="s">
        <v>79</v>
      </c>
      <c r="B137" s="2">
        <v>4</v>
      </c>
      <c r="C137" s="3">
        <v>0.2332563694</v>
      </c>
      <c r="D137" s="3">
        <v>2.8669724769999998E-2</v>
      </c>
      <c r="E137" s="3">
        <v>0.1116003185</v>
      </c>
      <c r="I137" s="3">
        <v>7.6090764330000005E-2</v>
      </c>
      <c r="J137" s="3">
        <v>5.6855971900000003E-2</v>
      </c>
    </row>
    <row r="138" spans="1:10">
      <c r="A138" s="2" t="s">
        <v>79</v>
      </c>
      <c r="B138" s="2">
        <v>5</v>
      </c>
      <c r="C138" s="3">
        <v>5.1624203819999999E-2</v>
      </c>
      <c r="D138" s="3">
        <v>0.13779816510000001</v>
      </c>
      <c r="E138" s="3">
        <v>0.1127707006</v>
      </c>
      <c r="I138" s="3">
        <v>4.700636943E-2</v>
      </c>
      <c r="J138" s="3">
        <v>0.1129508197</v>
      </c>
    </row>
    <row r="139" spans="1:10">
      <c r="A139" s="2" t="s">
        <v>79</v>
      </c>
      <c r="B139" s="2">
        <v>6</v>
      </c>
      <c r="C139" s="3">
        <v>8.7579617829999998E-2</v>
      </c>
      <c r="D139" s="3">
        <v>0.121559633</v>
      </c>
      <c r="E139" s="3">
        <v>0.21815286619999999</v>
      </c>
      <c r="I139" s="3">
        <v>5.652866242E-2</v>
      </c>
      <c r="J139" s="3">
        <v>0.156323185</v>
      </c>
    </row>
    <row r="140" spans="1:10">
      <c r="A140" s="2" t="s">
        <v>42</v>
      </c>
      <c r="B140" s="2">
        <v>1</v>
      </c>
      <c r="C140" s="3">
        <v>0.13169585989999999</v>
      </c>
      <c r="D140" s="3">
        <v>3.7428343949999998E-2</v>
      </c>
      <c r="E140" s="3">
        <v>3.6154458600000002E-2</v>
      </c>
      <c r="F140" s="3">
        <v>0.13460526319999999</v>
      </c>
      <c r="G140" s="3">
        <v>1.1313694270000001E-2</v>
      </c>
      <c r="I140" s="3">
        <v>6.5453821659999994E-2</v>
      </c>
      <c r="J140" s="3">
        <v>3.4024809160000002E-2</v>
      </c>
    </row>
    <row r="141" spans="1:10">
      <c r="A141" s="2" t="s">
        <v>42</v>
      </c>
      <c r="B141" s="2">
        <v>2</v>
      </c>
      <c r="C141" s="3">
        <v>0.16007165609999999</v>
      </c>
      <c r="D141" s="3">
        <v>0.18045382169999999</v>
      </c>
      <c r="E141" s="3">
        <v>0.14478503179999999</v>
      </c>
      <c r="F141" s="3">
        <v>0.26723684209999998</v>
      </c>
      <c r="G141" s="3">
        <v>0.22886146499999999</v>
      </c>
      <c r="I141" s="3">
        <v>0.15115445860000001</v>
      </c>
      <c r="J141" s="3">
        <v>0.1903912214</v>
      </c>
    </row>
    <row r="142" spans="1:10">
      <c r="A142" s="2" t="s">
        <v>42</v>
      </c>
      <c r="B142" s="2">
        <v>3</v>
      </c>
      <c r="C142" s="3">
        <v>0.1660907643</v>
      </c>
      <c r="D142" s="3">
        <v>0.20940286620000001</v>
      </c>
      <c r="E142" s="3">
        <v>0.20812898090000001</v>
      </c>
      <c r="F142" s="3">
        <v>0.19513157889999999</v>
      </c>
      <c r="G142" s="3">
        <v>0.14889331210000001</v>
      </c>
      <c r="I142" s="3">
        <v>0.16863853500000001</v>
      </c>
      <c r="J142" s="3">
        <v>0.12952099240000001</v>
      </c>
    </row>
    <row r="143" spans="1:10">
      <c r="A143" s="2" t="s">
        <v>42</v>
      </c>
      <c r="B143" s="2">
        <v>4</v>
      </c>
      <c r="C143" s="3">
        <v>7.9753184709999994E-2</v>
      </c>
      <c r="D143" s="3">
        <v>3.8351910830000002E-2</v>
      </c>
      <c r="E143" s="3">
        <v>7.1472929939999999E-2</v>
      </c>
      <c r="F143" s="3">
        <v>0.1097222222</v>
      </c>
      <c r="G143" s="3">
        <v>0.1160589172</v>
      </c>
      <c r="I143" s="3">
        <v>3.994426752E-2</v>
      </c>
      <c r="J143" s="3">
        <v>6.8192748090000005E-2</v>
      </c>
    </row>
    <row r="144" spans="1:10">
      <c r="A144" s="2" t="s">
        <v>42</v>
      </c>
      <c r="B144" s="2">
        <v>5</v>
      </c>
      <c r="C144" s="3">
        <v>9.4936305730000003E-2</v>
      </c>
      <c r="D144" s="3">
        <v>8.6656050959999995E-2</v>
      </c>
      <c r="E144" s="3">
        <v>6.8184713379999998E-2</v>
      </c>
      <c r="F144" s="3">
        <v>0.1023684211</v>
      </c>
      <c r="G144" s="3">
        <v>0.10066878980000001</v>
      </c>
      <c r="I144" s="3">
        <v>7.1687898089999993E-2</v>
      </c>
      <c r="J144" s="3">
        <v>5.9152671759999997E-2</v>
      </c>
    </row>
    <row r="145" spans="1:10">
      <c r="A145" s="2" t="s">
        <v>42</v>
      </c>
      <c r="B145" s="2">
        <v>6</v>
      </c>
      <c r="C145" s="3">
        <v>4.2993630569999997E-2</v>
      </c>
      <c r="D145" s="3">
        <v>8.7579617829999998E-2</v>
      </c>
      <c r="E145" s="3">
        <v>0.1035031847</v>
      </c>
      <c r="F145" s="3">
        <v>7.7485380120000003E-2</v>
      </c>
      <c r="G145" s="3">
        <v>0.20541401270000001</v>
      </c>
      <c r="I145" s="3">
        <v>4.6178343949999999E-2</v>
      </c>
      <c r="J145" s="3">
        <v>9.332061069E-2</v>
      </c>
    </row>
    <row r="146" spans="1:10">
      <c r="A146" s="2" t="s">
        <v>43</v>
      </c>
      <c r="B146" s="2">
        <v>1</v>
      </c>
      <c r="C146" s="3">
        <v>0.1664171975</v>
      </c>
      <c r="D146" s="3">
        <v>7.7245222929999996E-2</v>
      </c>
      <c r="E146" s="3">
        <v>2.4120795109999999E-2</v>
      </c>
      <c r="F146" s="3">
        <v>4.6337579620000001E-3</v>
      </c>
      <c r="I146" s="2">
        <v>7.4856687899999996E-2</v>
      </c>
      <c r="J146" s="2">
        <v>7.636612022E-3</v>
      </c>
    </row>
    <row r="147" spans="1:10">
      <c r="A147" s="2" t="s">
        <v>43</v>
      </c>
      <c r="B147" s="2">
        <v>2</v>
      </c>
      <c r="C147" s="3">
        <v>3.9156050960000001E-2</v>
      </c>
      <c r="D147" s="3">
        <v>0.25953821659999998</v>
      </c>
      <c r="E147" s="3">
        <v>0.19916666669999999</v>
      </c>
      <c r="F147" s="3">
        <v>0.1869267516</v>
      </c>
      <c r="I147" s="2">
        <v>0.1023726115</v>
      </c>
      <c r="J147" s="2">
        <v>0.186371975</v>
      </c>
    </row>
    <row r="148" spans="1:10">
      <c r="A148" s="2" t="s">
        <v>43</v>
      </c>
      <c r="B148" s="2">
        <v>3</v>
      </c>
      <c r="C148" s="3">
        <v>0.37278662420000003</v>
      </c>
      <c r="D148" s="3">
        <v>0.1116401274</v>
      </c>
      <c r="E148" s="3">
        <v>0.1562308869</v>
      </c>
      <c r="F148" s="3">
        <v>0.21100318470000001</v>
      </c>
      <c r="I148" s="2">
        <v>0.1952388535</v>
      </c>
      <c r="J148" s="2">
        <v>0.176254879</v>
      </c>
    </row>
    <row r="149" spans="1:10">
      <c r="A149" s="2" t="s">
        <v>43</v>
      </c>
      <c r="B149" s="2">
        <v>4</v>
      </c>
      <c r="C149" s="3">
        <v>6.4785031849999994E-2</v>
      </c>
      <c r="D149" s="3">
        <v>8.8351910830000005E-2</v>
      </c>
      <c r="E149" s="3">
        <v>7.0565749240000003E-2</v>
      </c>
      <c r="F149" s="3">
        <v>9.2173566880000002E-2</v>
      </c>
      <c r="I149" s="2">
        <v>2.9593949040000001E-2</v>
      </c>
      <c r="J149" s="2">
        <v>7.4264246680000007E-2</v>
      </c>
    </row>
    <row r="150" spans="1:10">
      <c r="A150" s="2" t="s">
        <v>43</v>
      </c>
      <c r="B150" s="2">
        <v>5</v>
      </c>
      <c r="C150" s="3">
        <v>0.25290605100000002</v>
      </c>
      <c r="D150" s="3">
        <v>6.054936306E-2</v>
      </c>
      <c r="E150" s="3">
        <v>8.1230886850000003E-2</v>
      </c>
      <c r="F150" s="3">
        <v>0.1083200637</v>
      </c>
      <c r="I150" s="2">
        <v>0.10975318470000001</v>
      </c>
      <c r="J150" s="2">
        <v>8.8134270099999995E-2</v>
      </c>
    </row>
    <row r="151" spans="1:10">
      <c r="A151" s="2" t="s">
        <v>43</v>
      </c>
      <c r="B151" s="2">
        <v>6</v>
      </c>
      <c r="C151" s="3">
        <v>0.1512738854</v>
      </c>
      <c r="D151" s="3">
        <v>7.1656050959999995E-2</v>
      </c>
      <c r="E151" s="3">
        <v>0.12767584100000001</v>
      </c>
      <c r="F151" s="3">
        <v>0.19585987260000001</v>
      </c>
      <c r="I151" s="2">
        <v>6.4490445859999995E-2</v>
      </c>
      <c r="J151" s="2">
        <v>0.15476190479999999</v>
      </c>
    </row>
    <row r="152" spans="1:10">
      <c r="A152" s="2" t="s">
        <v>44</v>
      </c>
      <c r="B152" s="2">
        <v>1</v>
      </c>
      <c r="C152" s="3">
        <v>0.35144904459999998</v>
      </c>
      <c r="D152" s="3">
        <v>0.21386942680000001</v>
      </c>
      <c r="E152" s="3">
        <v>0.22310509549999999</v>
      </c>
      <c r="F152" s="3">
        <v>0.1224681529</v>
      </c>
      <c r="G152" s="3">
        <v>0.18751519759999999</v>
      </c>
      <c r="H152" s="3">
        <v>0.2160987261</v>
      </c>
      <c r="I152" s="3">
        <v>0.26673566879999999</v>
      </c>
      <c r="J152" s="3">
        <v>0.17151167319999999</v>
      </c>
    </row>
    <row r="153" spans="1:10">
      <c r="A153" s="2" t="s">
        <v>44</v>
      </c>
      <c r="B153" s="2">
        <v>2</v>
      </c>
      <c r="C153" s="3">
        <v>0.2671815287</v>
      </c>
      <c r="D153" s="3">
        <v>0.2385191083</v>
      </c>
      <c r="E153" s="3">
        <v>0.36813694270000002</v>
      </c>
      <c r="F153" s="3">
        <v>0.18724522290000001</v>
      </c>
      <c r="G153" s="3">
        <v>7.699848024E-2</v>
      </c>
      <c r="H153" s="3">
        <v>0.2120859873</v>
      </c>
      <c r="I153" s="3">
        <v>0.23692675160000001</v>
      </c>
      <c r="J153" s="3">
        <v>0.1164610895</v>
      </c>
    </row>
    <row r="154" spans="1:10">
      <c r="A154" s="2" t="s">
        <v>44</v>
      </c>
      <c r="B154" s="2">
        <v>3</v>
      </c>
      <c r="C154" s="3">
        <v>0.24826433119999999</v>
      </c>
      <c r="D154" s="3">
        <v>0.21386942680000001</v>
      </c>
      <c r="E154" s="3">
        <v>0.18871019110000001</v>
      </c>
      <c r="F154" s="3">
        <v>0.1568630573</v>
      </c>
      <c r="G154" s="3">
        <v>0.31882218839999998</v>
      </c>
      <c r="H154" s="3">
        <v>0.1473089172</v>
      </c>
      <c r="I154" s="3">
        <v>0.21514331210000001</v>
      </c>
      <c r="J154" s="3">
        <v>0.20513035020000001</v>
      </c>
    </row>
    <row r="155" spans="1:10">
      <c r="A155" s="2" t="s">
        <v>44</v>
      </c>
      <c r="B155" s="2">
        <v>4</v>
      </c>
      <c r="C155" s="3">
        <v>0.2485987261</v>
      </c>
      <c r="D155" s="3">
        <v>0.1243949045</v>
      </c>
      <c r="E155" s="3">
        <v>0.20528662419999999</v>
      </c>
      <c r="F155" s="3">
        <v>5.3057324840000003E-2</v>
      </c>
      <c r="G155" s="3">
        <v>6.5075987840000002E-2</v>
      </c>
      <c r="H155" s="3">
        <v>0.15624203819999999</v>
      </c>
      <c r="I155" s="3">
        <v>0.17057324839999999</v>
      </c>
      <c r="J155" s="3">
        <v>8.1470817119999997E-2</v>
      </c>
    </row>
    <row r="156" spans="1:10">
      <c r="A156" s="2" t="s">
        <v>44</v>
      </c>
      <c r="B156" s="2">
        <v>5</v>
      </c>
      <c r="C156" s="3">
        <v>0.15539808920000001</v>
      </c>
      <c r="D156" s="3">
        <v>0.1038057325</v>
      </c>
      <c r="E156" s="3">
        <v>9.5843949040000001E-2</v>
      </c>
      <c r="F156" s="3">
        <v>0.115589172</v>
      </c>
      <c r="G156" s="3">
        <v>0.180949848</v>
      </c>
      <c r="H156" s="3">
        <v>0.1060350318</v>
      </c>
      <c r="I156" s="3">
        <v>0.11367834390000001</v>
      </c>
      <c r="J156" s="3">
        <v>0.11435992220000001</v>
      </c>
    </row>
    <row r="157" spans="1:10">
      <c r="A157" s="2" t="s">
        <v>44</v>
      </c>
      <c r="B157" s="2">
        <v>6</v>
      </c>
      <c r="C157" s="3">
        <v>5.2547770700000003E-2</v>
      </c>
      <c r="D157" s="3">
        <v>1.4331210190000001E-2</v>
      </c>
      <c r="E157" s="3">
        <v>7.8025477709999999E-2</v>
      </c>
      <c r="F157" s="3">
        <v>4.6178343949999999E-2</v>
      </c>
      <c r="G157" s="3">
        <v>5.8510638300000001E-2</v>
      </c>
      <c r="H157" s="3">
        <v>4.6178343949999999E-2</v>
      </c>
      <c r="I157" s="3">
        <v>1.7515923570000001E-2</v>
      </c>
      <c r="J157" s="3">
        <v>2.4319066149999999E-2</v>
      </c>
    </row>
    <row r="158" spans="1:10">
      <c r="A158" s="2" t="s">
        <v>45</v>
      </c>
      <c r="B158" s="2">
        <v>1</v>
      </c>
      <c r="C158" s="3">
        <v>0.1030414013</v>
      </c>
      <c r="D158" s="3">
        <v>6.0366242039999997E-2</v>
      </c>
      <c r="E158" s="3">
        <v>6.0684713379999998E-2</v>
      </c>
      <c r="F158" s="3">
        <v>4.6671974519999999E-2</v>
      </c>
      <c r="G158" s="3">
        <v>2.8096330280000002E-2</v>
      </c>
      <c r="H158" s="3">
        <v>7.818471338E-3</v>
      </c>
      <c r="I158" s="3">
        <v>5.7022292990000001E-2</v>
      </c>
      <c r="J158" s="3">
        <v>1.3491412959999999E-2</v>
      </c>
    </row>
    <row r="159" spans="1:10">
      <c r="A159" s="2" t="s">
        <v>45</v>
      </c>
      <c r="B159" s="2">
        <v>2</v>
      </c>
      <c r="C159" s="3">
        <v>4.4570063690000002E-2</v>
      </c>
      <c r="D159" s="3">
        <v>0.1738694268</v>
      </c>
      <c r="E159" s="3">
        <v>0.1397929936</v>
      </c>
      <c r="F159" s="3">
        <v>0.1601751592</v>
      </c>
      <c r="G159" s="3">
        <v>0.20314220180000001</v>
      </c>
      <c r="H159" s="3">
        <v>0.19011146500000001</v>
      </c>
      <c r="I159" s="3">
        <v>8.4538216560000004E-2</v>
      </c>
      <c r="J159" s="3">
        <v>0.19222677599999999</v>
      </c>
    </row>
    <row r="160" spans="1:10">
      <c r="A160" s="2" t="s">
        <v>45</v>
      </c>
      <c r="B160" s="2">
        <v>3</v>
      </c>
      <c r="C160" s="3">
        <v>0.30654458600000001</v>
      </c>
      <c r="D160" s="3">
        <v>0.11482484079999999</v>
      </c>
      <c r="E160" s="3">
        <v>0.1610031847</v>
      </c>
      <c r="F160" s="3">
        <v>0.1813853503</v>
      </c>
      <c r="G160" s="3">
        <v>0.1134174312</v>
      </c>
      <c r="H160" s="3">
        <v>0.2113216561</v>
      </c>
      <c r="I160" s="3">
        <v>0.18600318469999999</v>
      </c>
      <c r="J160" s="3">
        <v>0.15681693990000001</v>
      </c>
    </row>
    <row r="161" spans="1:10">
      <c r="A161" s="2" t="s">
        <v>45</v>
      </c>
      <c r="B161" s="2">
        <v>4</v>
      </c>
      <c r="C161" s="3">
        <v>3.2245222929999998E-2</v>
      </c>
      <c r="D161" s="3">
        <v>9.0843949039999997E-2</v>
      </c>
      <c r="E161" s="3">
        <v>7.205414013E-2</v>
      </c>
      <c r="F161" s="3">
        <v>9.2436305730000001E-2</v>
      </c>
      <c r="G161" s="3">
        <v>0.11307339449999999</v>
      </c>
      <c r="H161" s="3">
        <v>8.6066878979999997E-2</v>
      </c>
      <c r="I161" s="3">
        <v>3.6863057320000003E-2</v>
      </c>
      <c r="J161" s="3">
        <v>9.5042935209999999E-2</v>
      </c>
    </row>
    <row r="162" spans="1:10">
      <c r="A162" s="2" t="s">
        <v>45</v>
      </c>
      <c r="B162" s="2">
        <v>5</v>
      </c>
      <c r="C162" s="3">
        <v>0.19977707010000001</v>
      </c>
      <c r="D162" s="3">
        <v>2.5254777070000001E-2</v>
      </c>
      <c r="E162" s="3">
        <v>8.5764331210000003E-2</v>
      </c>
      <c r="F162" s="3">
        <v>5.4554140129999998E-2</v>
      </c>
      <c r="G162" s="3">
        <v>8.2454128439999996E-2</v>
      </c>
      <c r="H162" s="3">
        <v>0.10168789809999999</v>
      </c>
      <c r="I162" s="3">
        <v>8.7834394900000001E-2</v>
      </c>
      <c r="J162" s="3">
        <v>8.7261904759999995E-2</v>
      </c>
    </row>
    <row r="163" spans="1:10">
      <c r="A163" s="2" t="s">
        <v>45</v>
      </c>
      <c r="B163" s="2">
        <v>6</v>
      </c>
      <c r="C163" s="3">
        <v>0.12898089169999999</v>
      </c>
      <c r="D163" s="3">
        <v>5.5732484079999998E-2</v>
      </c>
      <c r="E163" s="3">
        <v>9.7133757959999997E-2</v>
      </c>
      <c r="F163" s="3">
        <v>0.1003184713</v>
      </c>
      <c r="G163" s="3">
        <v>0.16743119270000001</v>
      </c>
      <c r="H163" s="3">
        <v>0.17993630569999999</v>
      </c>
      <c r="I163" s="3">
        <v>6.7675159240000005E-2</v>
      </c>
      <c r="J163" s="3">
        <v>0.16881342699999999</v>
      </c>
    </row>
    <row r="164" spans="1:10">
      <c r="A164" s="2" t="s">
        <v>47</v>
      </c>
      <c r="B164" s="2">
        <v>1</v>
      </c>
      <c r="C164" s="3">
        <v>0.206544586</v>
      </c>
      <c r="D164" s="3">
        <v>3.8710191079999998E-2</v>
      </c>
      <c r="E164" s="3">
        <v>3.106687898E-2</v>
      </c>
      <c r="F164" s="3">
        <v>1.4506369430000001E-2</v>
      </c>
      <c r="G164" s="3">
        <v>3.7971124619999998E-2</v>
      </c>
      <c r="H164" s="3">
        <v>5.8136942679999998E-2</v>
      </c>
      <c r="I164" s="3">
        <v>9.1576433119999995E-2</v>
      </c>
      <c r="J164" s="3">
        <v>2.5830739299999999E-2</v>
      </c>
    </row>
    <row r="165" spans="1:10">
      <c r="A165" s="2" t="s">
        <v>47</v>
      </c>
      <c r="B165" s="2">
        <v>2</v>
      </c>
      <c r="C165" s="3">
        <v>0.11654458600000001</v>
      </c>
      <c r="D165" s="3">
        <v>0.2181369427</v>
      </c>
      <c r="E165" s="3">
        <v>0.21049363060000001</v>
      </c>
      <c r="F165" s="3">
        <v>0.19393312100000001</v>
      </c>
      <c r="G165" s="3">
        <v>0.1052659574</v>
      </c>
      <c r="H165" s="3">
        <v>0.31208598729999998</v>
      </c>
      <c r="I165" s="3">
        <v>0.1362898089</v>
      </c>
      <c r="J165" s="3">
        <v>0.18439883269999999</v>
      </c>
    </row>
    <row r="166" spans="1:10">
      <c r="A166" s="2" t="s">
        <v>47</v>
      </c>
      <c r="B166" s="2">
        <v>3</v>
      </c>
      <c r="C166" s="3">
        <v>0.30972929939999999</v>
      </c>
      <c r="D166" s="3">
        <v>0.17628980890000001</v>
      </c>
      <c r="E166" s="3">
        <v>0.23743630569999999</v>
      </c>
      <c r="F166" s="3">
        <v>0.18648089170000001</v>
      </c>
      <c r="G166" s="3">
        <v>0.20210486320000001</v>
      </c>
      <c r="H166" s="3">
        <v>0.16132165609999999</v>
      </c>
      <c r="I166" s="3">
        <v>0.2119585987</v>
      </c>
      <c r="J166" s="3">
        <v>0.1603054475</v>
      </c>
    </row>
    <row r="167" spans="1:10">
      <c r="A167" s="2" t="s">
        <v>47</v>
      </c>
      <c r="B167" s="2">
        <v>4</v>
      </c>
      <c r="C167" s="3">
        <v>4.281050955E-2</v>
      </c>
      <c r="D167" s="3">
        <v>5.746019108E-2</v>
      </c>
      <c r="E167" s="3">
        <v>6.701433121E-2</v>
      </c>
      <c r="F167" s="3">
        <v>8.4848726109999995E-2</v>
      </c>
      <c r="G167" s="3">
        <v>4.036474164E-2</v>
      </c>
      <c r="H167" s="3">
        <v>0.1466321656</v>
      </c>
      <c r="I167" s="3">
        <v>1.9084394899999999E-2</v>
      </c>
      <c r="J167" s="3">
        <v>7.0305447470000004E-2</v>
      </c>
    </row>
    <row r="168" spans="1:10">
      <c r="A168" s="2" t="s">
        <v>47</v>
      </c>
      <c r="B168" s="2">
        <v>5</v>
      </c>
      <c r="C168" s="3">
        <v>0.23857484079999999</v>
      </c>
      <c r="D168" s="3">
        <v>8.7937898089999994E-2</v>
      </c>
      <c r="E168" s="3">
        <v>8.029458599E-2</v>
      </c>
      <c r="F168" s="3">
        <v>8.0931528660000002E-2</v>
      </c>
      <c r="G168" s="3">
        <v>0.12906534950000001</v>
      </c>
      <c r="H168" s="3">
        <v>5.0039808919999998E-2</v>
      </c>
      <c r="I168" s="3">
        <v>0.13220541399999999</v>
      </c>
      <c r="J168" s="3">
        <v>6.6225680930000003E-2</v>
      </c>
    </row>
    <row r="169" spans="1:10">
      <c r="A169" s="2" t="s">
        <v>47</v>
      </c>
      <c r="B169" s="2">
        <v>6</v>
      </c>
      <c r="C169" s="3">
        <v>7.4840764330000004E-2</v>
      </c>
      <c r="D169" s="3">
        <v>0.1066878981</v>
      </c>
      <c r="E169" s="3">
        <v>0.11624203819999999</v>
      </c>
      <c r="F169" s="3">
        <v>0.1512738854</v>
      </c>
      <c r="G169" s="3">
        <v>0.1314589666</v>
      </c>
      <c r="H169" s="3">
        <v>0.13853503180000001</v>
      </c>
      <c r="I169" s="3">
        <v>5.9713375800000003E-2</v>
      </c>
      <c r="J169" s="3">
        <v>0.1107003891</v>
      </c>
    </row>
    <row r="170" spans="1:10">
      <c r="A170" s="2" t="s">
        <v>46</v>
      </c>
      <c r="B170" s="2">
        <v>1</v>
      </c>
      <c r="C170" s="3">
        <v>0.21355095539999999</v>
      </c>
      <c r="D170" s="3">
        <v>6.896496815E-2</v>
      </c>
      <c r="E170" s="3">
        <v>0.134888535</v>
      </c>
      <c r="F170" s="3">
        <v>5.3041401270000003E-2</v>
      </c>
      <c r="G170" s="3">
        <v>4.4705882349999997E-3</v>
      </c>
      <c r="H170" s="3">
        <v>1.9283439489999998E-2</v>
      </c>
      <c r="I170" s="2">
        <v>0.1141878981</v>
      </c>
      <c r="J170" s="2">
        <v>1.8204441040000001E-3</v>
      </c>
    </row>
    <row r="171" spans="1:10">
      <c r="A171" s="2" t="s">
        <v>46</v>
      </c>
      <c r="B171" s="2">
        <v>2</v>
      </c>
      <c r="C171" s="3">
        <v>0.1894745223</v>
      </c>
      <c r="D171" s="3">
        <v>7.9283439489999996E-2</v>
      </c>
      <c r="E171" s="3">
        <v>0.2827866242</v>
      </c>
      <c r="F171" s="3">
        <v>0.23533439489999999</v>
      </c>
      <c r="G171" s="3">
        <v>0.23899999999999999</v>
      </c>
      <c r="H171" s="3">
        <v>0.13278662420000001</v>
      </c>
      <c r="I171" s="2">
        <v>0.10730891720000001</v>
      </c>
      <c r="J171" s="2">
        <v>0.1764452527</v>
      </c>
    </row>
    <row r="172" spans="1:10">
      <c r="A172" s="2" t="s">
        <v>46</v>
      </c>
      <c r="B172" s="2">
        <v>3</v>
      </c>
      <c r="C172" s="3">
        <v>0.31673566879999998</v>
      </c>
      <c r="D172" s="3">
        <v>0.17214968150000001</v>
      </c>
      <c r="E172" s="3">
        <v>0.23807324839999999</v>
      </c>
      <c r="F172" s="3">
        <v>0.1218312102</v>
      </c>
      <c r="G172" s="3">
        <v>0.16329411760000001</v>
      </c>
      <c r="H172" s="3">
        <v>0.2256528662</v>
      </c>
      <c r="I172" s="2">
        <v>0.21737261150000001</v>
      </c>
      <c r="J172" s="2">
        <v>0.18375</v>
      </c>
    </row>
    <row r="173" spans="1:10">
      <c r="A173" s="2" t="s">
        <v>46</v>
      </c>
      <c r="B173" s="2">
        <v>4</v>
      </c>
      <c r="C173" s="3">
        <v>0.1214729299</v>
      </c>
      <c r="D173" s="3">
        <v>3.8988853499999997E-2</v>
      </c>
      <c r="E173" s="3">
        <v>0.1106449045</v>
      </c>
      <c r="F173" s="3">
        <v>0.1214729299</v>
      </c>
      <c r="G173" s="3">
        <v>0.12742647060000001</v>
      </c>
      <c r="H173" s="3">
        <v>5.4275477709999999E-2</v>
      </c>
      <c r="I173" s="2">
        <v>5.3160828030000003E-2</v>
      </c>
      <c r="J173" s="2">
        <v>8.7008039819999994E-2</v>
      </c>
    </row>
    <row r="174" spans="1:10">
      <c r="A174" s="2" t="s">
        <v>46</v>
      </c>
      <c r="B174" s="2">
        <v>5</v>
      </c>
      <c r="C174" s="3">
        <v>0.1796576433</v>
      </c>
      <c r="D174" s="3">
        <v>0.1239251592</v>
      </c>
      <c r="E174" s="3">
        <v>8.9530254779999999E-2</v>
      </c>
      <c r="F174" s="3">
        <v>4.7810509549999998E-2</v>
      </c>
      <c r="G174" s="3">
        <v>0.11233823530000001</v>
      </c>
      <c r="H174" s="3">
        <v>0.12583598730000001</v>
      </c>
      <c r="I174" s="2">
        <v>0.1247213376</v>
      </c>
      <c r="J174" s="2">
        <v>0.10834226650000001</v>
      </c>
    </row>
    <row r="175" spans="1:10">
      <c r="A175" s="2" t="s">
        <v>46</v>
      </c>
      <c r="B175" s="2">
        <v>6</v>
      </c>
      <c r="C175" s="3">
        <v>8.7579617829999998E-2</v>
      </c>
      <c r="D175" s="3">
        <v>9.3949044590000003E-2</v>
      </c>
      <c r="E175" s="3">
        <v>6.5286624200000004E-2</v>
      </c>
      <c r="F175" s="3">
        <v>0.11624203819999999</v>
      </c>
      <c r="G175" s="3">
        <v>0.23529411759999999</v>
      </c>
      <c r="H175" s="3">
        <v>0.1608280255</v>
      </c>
      <c r="I175" s="2">
        <v>6.369426752E-2</v>
      </c>
      <c r="J175" s="2">
        <v>0.19352986220000001</v>
      </c>
    </row>
    <row r="176" spans="1:10">
      <c r="A176" s="10" t="s">
        <v>18</v>
      </c>
      <c r="B176" s="2">
        <v>1</v>
      </c>
      <c r="C176" s="2">
        <v>0.29485668789808916</v>
      </c>
      <c r="D176" s="2">
        <v>0.33625796178343942</v>
      </c>
      <c r="E176" s="2">
        <v>0.20122611464968157</v>
      </c>
      <c r="F176" s="2">
        <v>5.9187898089171957E-2</v>
      </c>
      <c r="I176" s="3">
        <v>0.2900796178343949</v>
      </c>
      <c r="J176" s="3">
        <v>5.5254777070063701E-3</v>
      </c>
    </row>
    <row r="177" spans="1:10">
      <c r="A177" s="10" t="s">
        <v>18</v>
      </c>
      <c r="B177" s="2">
        <v>2</v>
      </c>
      <c r="C177" s="2">
        <v>0.21619426751592349</v>
      </c>
      <c r="D177" s="2">
        <v>0.31619426751592344</v>
      </c>
      <c r="E177" s="2">
        <v>0.28816878980891719</v>
      </c>
      <c r="F177" s="2">
        <v>0.11937898089171976</v>
      </c>
      <c r="I177" s="3">
        <v>0.24708598726114647</v>
      </c>
      <c r="J177" s="3">
        <v>0.17463375796178343</v>
      </c>
    </row>
    <row r="178" spans="1:10">
      <c r="A178" s="10" t="s">
        <v>18</v>
      </c>
      <c r="B178" s="2">
        <v>3</v>
      </c>
      <c r="C178" s="2">
        <v>0.24772292993630571</v>
      </c>
      <c r="D178" s="2">
        <v>0.33625796178343942</v>
      </c>
      <c r="E178" s="2">
        <v>0.22797770700636941</v>
      </c>
      <c r="F178" s="2">
        <v>0.16237261146496812</v>
      </c>
      <c r="I178" s="3">
        <v>0.27288216560509548</v>
      </c>
      <c r="J178" s="3">
        <v>0.17749999999999996</v>
      </c>
    </row>
    <row r="179" spans="1:10">
      <c r="A179" s="10" t="s">
        <v>18</v>
      </c>
      <c r="B179" s="2">
        <v>4</v>
      </c>
      <c r="C179" s="2">
        <v>0.16388535031847129</v>
      </c>
      <c r="D179" s="2">
        <v>0.22375796178343946</v>
      </c>
      <c r="E179" s="2">
        <v>0.12694267515923566</v>
      </c>
      <c r="F179" s="2">
        <v>6.7070063694267504E-2</v>
      </c>
      <c r="I179" s="3">
        <v>0.17471337579617832</v>
      </c>
      <c r="J179" s="3">
        <v>9.3662420382165601E-2</v>
      </c>
    </row>
    <row r="180" spans="1:10">
      <c r="A180" s="10" t="s">
        <v>18</v>
      </c>
      <c r="B180" s="2">
        <v>5</v>
      </c>
      <c r="C180" s="2">
        <v>0.18925159235668787</v>
      </c>
      <c r="D180" s="2">
        <v>0.14020700636942673</v>
      </c>
      <c r="E180" s="2">
        <v>0.10071656050955415</v>
      </c>
      <c r="F180" s="2">
        <v>8.670382165605095E-2</v>
      </c>
      <c r="I180" s="3">
        <v>0.14562101910828024</v>
      </c>
      <c r="J180" s="3">
        <v>8.4633757961783435E-2</v>
      </c>
    </row>
    <row r="181" spans="1:10">
      <c r="A181" s="10" t="s">
        <v>18</v>
      </c>
      <c r="B181" s="2">
        <v>6</v>
      </c>
      <c r="C181" s="2">
        <v>3.662420382165605E-2</v>
      </c>
      <c r="D181" s="2">
        <v>6.2101910828025478E-2</v>
      </c>
      <c r="E181" s="2">
        <v>6.8471337579617833E-2</v>
      </c>
      <c r="F181" s="2">
        <v>0.12898089171974522</v>
      </c>
      <c r="I181" s="3">
        <v>3.0254777070063698E-2</v>
      </c>
      <c r="J181" s="3">
        <v>0.17277070063694266</v>
      </c>
    </row>
    <row r="182" spans="1:10">
      <c r="A182" s="2" t="s">
        <v>20</v>
      </c>
      <c r="B182" s="2">
        <v>1</v>
      </c>
      <c r="C182" s="3">
        <v>0.19708598726114651</v>
      </c>
      <c r="D182" s="3">
        <v>0.19262738853503183</v>
      </c>
      <c r="E182" s="3">
        <v>4.0079617834394878E-2</v>
      </c>
      <c r="F182" s="3">
        <v>4.6767515923566851E-2</v>
      </c>
      <c r="G182" s="3">
        <v>7.2770700636942635E-3</v>
      </c>
      <c r="H182" s="3">
        <v>6.0031847133757924E-3</v>
      </c>
      <c r="I182" s="3">
        <v>0.2463535031847133</v>
      </c>
      <c r="J182" s="3">
        <v>1.1640127388535015E-2</v>
      </c>
    </row>
    <row r="183" spans="1:10" hidden="1">
      <c r="A183" s="2" t="s">
        <v>20</v>
      </c>
      <c r="B183" s="2">
        <v>2</v>
      </c>
      <c r="C183" s="3">
        <v>0.16555732484076435</v>
      </c>
      <c r="D183" s="3">
        <v>0.34835987261146495</v>
      </c>
      <c r="E183" s="3">
        <v>0.24931528662420371</v>
      </c>
      <c r="F183" s="3">
        <v>0.31714968152866235</v>
      </c>
      <c r="G183" s="3">
        <v>0.31969745222929929</v>
      </c>
      <c r="H183" s="3">
        <v>0.35154458598726113</v>
      </c>
      <c r="I183" s="3">
        <v>0.16555732484076435</v>
      </c>
      <c r="J183" s="3">
        <v>0.28211783439490445</v>
      </c>
    </row>
    <row r="184" spans="1:10" hidden="1">
      <c r="A184" s="2" t="s">
        <v>20</v>
      </c>
      <c r="B184" s="2">
        <v>3</v>
      </c>
      <c r="C184" s="3">
        <v>0.26587579617834389</v>
      </c>
      <c r="D184" s="3">
        <v>0.32256369426751585</v>
      </c>
      <c r="E184" s="3">
        <v>0.21205414012738846</v>
      </c>
      <c r="F184" s="3">
        <v>0.1423089171974522</v>
      </c>
      <c r="G184" s="3">
        <v>0.28243630573248402</v>
      </c>
      <c r="H184" s="3">
        <v>0.31428343949044585</v>
      </c>
      <c r="I184" s="3">
        <v>0.26587579617834389</v>
      </c>
      <c r="J184" s="3">
        <v>0.28211783439490445</v>
      </c>
    </row>
    <row r="185" spans="1:10" hidden="1">
      <c r="A185" s="2" t="s">
        <v>20</v>
      </c>
      <c r="B185" s="2">
        <v>4</v>
      </c>
      <c r="C185" s="3">
        <v>9.7269108280254757E-2</v>
      </c>
      <c r="D185" s="3">
        <v>0.18261942675159237</v>
      </c>
      <c r="E185" s="3">
        <v>7.7842356687898073E-2</v>
      </c>
      <c r="F185" s="3">
        <v>0.11128184713375795</v>
      </c>
      <c r="G185" s="3">
        <v>9.6632165605095535E-2</v>
      </c>
      <c r="H185" s="3">
        <v>0.12847929936305735</v>
      </c>
      <c r="I185" s="3">
        <v>9.7269108280254757E-2</v>
      </c>
      <c r="J185" s="3">
        <v>8.6066878980891715E-2</v>
      </c>
    </row>
    <row r="186" spans="1:10" hidden="1">
      <c r="A186" s="2" t="s">
        <v>20</v>
      </c>
      <c r="B186" s="2">
        <v>5</v>
      </c>
      <c r="C186" s="3">
        <v>0.14026273885350321</v>
      </c>
      <c r="D186" s="3">
        <v>0.13962579617834392</v>
      </c>
      <c r="E186" s="3">
        <v>0.10650477707006369</v>
      </c>
      <c r="F186" s="3">
        <v>0.12561305732484074</v>
      </c>
      <c r="G186" s="3">
        <v>0.1625557324840764</v>
      </c>
      <c r="H186" s="3">
        <v>0.19440286624203823</v>
      </c>
      <c r="I186" s="3">
        <v>0.14026273885350321</v>
      </c>
      <c r="J186" s="3">
        <v>0.16961783439490444</v>
      </c>
    </row>
    <row r="187" spans="1:10" hidden="1">
      <c r="A187" s="2" t="s">
        <v>20</v>
      </c>
      <c r="B187" s="2">
        <v>6</v>
      </c>
      <c r="C187" s="3">
        <v>7.4840764331210188E-2</v>
      </c>
      <c r="D187" s="3">
        <v>6.8471337579617833E-2</v>
      </c>
      <c r="E187" s="3">
        <v>0.10987261146496816</v>
      </c>
      <c r="F187" s="3">
        <v>0.12898089171974522</v>
      </c>
      <c r="G187" s="3">
        <v>0.18312101910828024</v>
      </c>
      <c r="H187" s="3">
        <v>0.21496815286624205</v>
      </c>
      <c r="I187" s="3">
        <v>7.4840764331210188E-2</v>
      </c>
      <c r="J187" s="3">
        <v>0.17993630573248406</v>
      </c>
    </row>
    <row r="188" spans="1:10" hidden="1">
      <c r="A188" s="2" t="s">
        <v>48</v>
      </c>
      <c r="B188" s="2">
        <v>1</v>
      </c>
      <c r="C188" s="2">
        <v>0.3295700636942675</v>
      </c>
      <c r="D188" s="2">
        <v>9.4856687898089168E-2</v>
      </c>
      <c r="E188" s="2">
        <v>1.4920382165605081E-2</v>
      </c>
      <c r="F188" s="2">
        <v>1.2691082802547765E-2</v>
      </c>
      <c r="I188" s="3">
        <v>0.32413105413105414</v>
      </c>
      <c r="J188" s="3">
        <v>7.6945244956772175E-3</v>
      </c>
    </row>
    <row r="189" spans="1:10" hidden="1">
      <c r="A189" s="2" t="s">
        <v>48</v>
      </c>
      <c r="B189" s="2">
        <v>2</v>
      </c>
      <c r="C189" s="2">
        <v>8.880573248407643E-2</v>
      </c>
      <c r="D189" s="2">
        <v>0.13498407643312105</v>
      </c>
      <c r="E189" s="2">
        <v>0.25568471337579618</v>
      </c>
      <c r="F189" s="2">
        <v>0.29358280254777069</v>
      </c>
      <c r="I189" s="3">
        <v>0.14464387464387463</v>
      </c>
      <c r="J189" s="3">
        <v>0.47974063400576367</v>
      </c>
    </row>
    <row r="190" spans="1:10" hidden="1">
      <c r="A190" s="2" t="s">
        <v>48</v>
      </c>
      <c r="B190" s="2">
        <v>3</v>
      </c>
      <c r="C190" s="2">
        <v>0.43275477707006366</v>
      </c>
      <c r="D190" s="2">
        <v>0.30122611464968152</v>
      </c>
      <c r="E190" s="2">
        <v>0.1525</v>
      </c>
      <c r="F190" s="2">
        <v>0.21906050955414008</v>
      </c>
      <c r="I190" s="3">
        <v>0.60105413105413097</v>
      </c>
      <c r="J190" s="3">
        <v>0.31893371757925071</v>
      </c>
    </row>
    <row r="191" spans="1:10" hidden="1">
      <c r="A191" s="2" t="s">
        <v>48</v>
      </c>
      <c r="B191" s="2">
        <v>4</v>
      </c>
      <c r="C191" s="2">
        <v>0.15114649681528661</v>
      </c>
      <c r="D191" s="2">
        <v>5.6878980891719742E-2</v>
      </c>
      <c r="E191" s="2">
        <v>9.4458598726114645E-2</v>
      </c>
      <c r="F191" s="2">
        <v>0.14668789808917201</v>
      </c>
      <c r="I191" s="3">
        <v>0.13054131054131052</v>
      </c>
      <c r="J191" s="3">
        <v>0.20092219020172913</v>
      </c>
    </row>
    <row r="192" spans="1:10" hidden="1">
      <c r="A192" s="2" t="s">
        <v>48</v>
      </c>
      <c r="B192" s="2">
        <v>5</v>
      </c>
      <c r="C192" s="2">
        <v>0.28829617834394899</v>
      </c>
      <c r="D192" s="2">
        <v>0.12237261146496814</v>
      </c>
      <c r="E192" s="2">
        <v>9.4028662420382159E-2</v>
      </c>
      <c r="F192" s="2">
        <v>7.4601910828025475E-2</v>
      </c>
      <c r="I192" s="3">
        <v>0.31182336182336179</v>
      </c>
      <c r="J192" s="3">
        <v>0.13530259365994238</v>
      </c>
    </row>
    <row r="193" spans="1:10" hidden="1">
      <c r="A193" s="2" t="s">
        <v>48</v>
      </c>
      <c r="B193" s="2">
        <v>6</v>
      </c>
      <c r="C193" s="2">
        <v>0.10987261146496816</v>
      </c>
      <c r="D193" s="2">
        <v>8.4394904458598721E-2</v>
      </c>
      <c r="E193" s="2">
        <v>0.17356687898089171</v>
      </c>
      <c r="F193" s="2">
        <v>0.20859872611464969</v>
      </c>
      <c r="I193" s="3">
        <v>0.11823361823361823</v>
      </c>
      <c r="J193" s="3">
        <v>0.32853025936599423</v>
      </c>
    </row>
    <row r="194" spans="1:10">
      <c r="A194" s="2" t="s">
        <v>49</v>
      </c>
      <c r="B194" s="2">
        <v>1</v>
      </c>
      <c r="C194" s="2">
        <v>0.24740445859872609</v>
      </c>
      <c r="D194" s="2">
        <v>0.1368949044585987</v>
      </c>
      <c r="E194" s="2">
        <v>9.77229299363057E-2</v>
      </c>
      <c r="F194" s="2">
        <v>0.14262738853503185</v>
      </c>
      <c r="G194" s="2">
        <v>2.4792993630573228E-2</v>
      </c>
      <c r="H194" s="2">
        <v>8.5509554140127328E-3</v>
      </c>
      <c r="I194" s="3">
        <v>0.14756369426751589</v>
      </c>
      <c r="J194" s="3">
        <v>9.5063694267515826E-3</v>
      </c>
    </row>
    <row r="195" spans="1:10">
      <c r="A195" s="2" t="s">
        <v>49</v>
      </c>
      <c r="B195" s="2">
        <v>2</v>
      </c>
      <c r="C195" s="2">
        <v>7.542993630573247E-2</v>
      </c>
      <c r="D195" s="2">
        <v>0.20568471337579616</v>
      </c>
      <c r="E195" s="2">
        <v>0.2009076433121019</v>
      </c>
      <c r="F195" s="2">
        <v>0.24581210191082797</v>
      </c>
      <c r="G195" s="2">
        <v>0.1279777070063694</v>
      </c>
      <c r="H195" s="2">
        <v>0.21492038216560505</v>
      </c>
      <c r="I195" s="3">
        <v>9.5971337579617802E-2</v>
      </c>
      <c r="J195" s="3">
        <v>0.16428343949044583</v>
      </c>
    </row>
    <row r="196" spans="1:10">
      <c r="A196" s="2" t="s">
        <v>49</v>
      </c>
      <c r="B196" s="2">
        <v>3</v>
      </c>
      <c r="C196" s="2">
        <v>0.3161942675159235</v>
      </c>
      <c r="D196" s="2">
        <v>0.24007961783439483</v>
      </c>
      <c r="E196" s="2">
        <v>0.20090764331210184</v>
      </c>
      <c r="F196" s="2">
        <v>0.24581210191082797</v>
      </c>
      <c r="G196" s="2">
        <v>0.19676751592356687</v>
      </c>
      <c r="H196" s="2">
        <v>0.14613057324840764</v>
      </c>
      <c r="I196" s="3">
        <v>0.23355095541401272</v>
      </c>
      <c r="J196" s="3">
        <v>0.16428343949044583</v>
      </c>
    </row>
    <row r="197" spans="1:10">
      <c r="A197" s="2" t="s">
        <v>49</v>
      </c>
      <c r="B197" s="2">
        <v>4</v>
      </c>
      <c r="C197" s="2">
        <v>0.14472133757961783</v>
      </c>
      <c r="D197" s="2">
        <v>7.7205414012738852E-2</v>
      </c>
      <c r="E197" s="2">
        <v>9.822452229299361E-2</v>
      </c>
      <c r="F197" s="2">
        <v>7.7205414012738824E-2</v>
      </c>
      <c r="G197" s="2">
        <v>4.2492038216560508E-2</v>
      </c>
      <c r="H197" s="2">
        <v>9.5039808917197433E-2</v>
      </c>
      <c r="I197" s="3">
        <v>6.6377388535031848E-2</v>
      </c>
      <c r="J197" s="3">
        <v>6.1600318471337567E-2</v>
      </c>
    </row>
    <row r="198" spans="1:10">
      <c r="A198" s="2" t="s">
        <v>49</v>
      </c>
      <c r="B198" s="2">
        <v>5</v>
      </c>
      <c r="C198" s="2">
        <v>0.19344745222929935</v>
      </c>
      <c r="D198" s="2">
        <v>0.13453025477707004</v>
      </c>
      <c r="E198" s="2">
        <v>5.5230891719745212E-2</v>
      </c>
      <c r="F198" s="2">
        <v>0.14026273885350318</v>
      </c>
      <c r="G198" s="2">
        <v>0.11128184713375795</v>
      </c>
      <c r="H198" s="2">
        <v>8.0708598726114647E-2</v>
      </c>
      <c r="I198" s="3">
        <v>0.11940286624203819</v>
      </c>
      <c r="J198" s="3">
        <v>8.88296178343949E-2</v>
      </c>
    </row>
    <row r="199" spans="1:10">
      <c r="A199" s="2" t="s">
        <v>49</v>
      </c>
      <c r="B199" s="2">
        <v>6</v>
      </c>
      <c r="C199" s="2">
        <v>9.0764331210191077E-2</v>
      </c>
      <c r="D199" s="2">
        <v>7.4840764331210188E-2</v>
      </c>
      <c r="E199" s="2">
        <v>5.5732484076433123E-2</v>
      </c>
      <c r="F199" s="2">
        <v>7.4840764331210188E-2</v>
      </c>
      <c r="G199" s="2">
        <v>0.12898089171974522</v>
      </c>
      <c r="H199" s="2">
        <v>0.16719745222929935</v>
      </c>
      <c r="I199" s="3">
        <v>3.8216560509554139E-2</v>
      </c>
      <c r="J199" s="3">
        <v>0.14092356687898089</v>
      </c>
    </row>
    <row r="200" spans="1:10">
      <c r="A200" s="2" t="s">
        <v>50</v>
      </c>
      <c r="B200" s="2">
        <v>1</v>
      </c>
      <c r="C200" s="3">
        <v>0.18530254777070065</v>
      </c>
      <c r="D200" s="3">
        <v>0.11937898089171972</v>
      </c>
      <c r="E200" s="3">
        <v>3.4028662420382161E-2</v>
      </c>
      <c r="F200" s="3">
        <v>1.4920382165605095E-2</v>
      </c>
      <c r="G200" s="3">
        <v>4.7292993630573248E-3</v>
      </c>
      <c r="I200" s="2">
        <v>0.13641719745222927</v>
      </c>
      <c r="J200" s="2">
        <v>4.2515923566878982E-3</v>
      </c>
    </row>
    <row r="201" spans="1:10">
      <c r="A201" s="2" t="s">
        <v>50</v>
      </c>
      <c r="B201" s="2">
        <v>2</v>
      </c>
      <c r="C201" s="3">
        <v>0.17670382165605095</v>
      </c>
      <c r="D201" s="3">
        <v>0.17957006369426751</v>
      </c>
      <c r="E201" s="3">
        <v>0.1687420382165605</v>
      </c>
      <c r="F201" s="3">
        <v>0.21842356687898093</v>
      </c>
      <c r="G201" s="3">
        <v>0.20823248407643313</v>
      </c>
      <c r="I201" s="2">
        <v>0.16221337579617831</v>
      </c>
      <c r="J201" s="2">
        <v>0.20775477707006373</v>
      </c>
    </row>
    <row r="202" spans="1:10">
      <c r="A202" s="2" t="s">
        <v>50</v>
      </c>
      <c r="B202" s="2">
        <v>3</v>
      </c>
      <c r="C202" s="3">
        <v>0.25409235668789809</v>
      </c>
      <c r="D202" s="3">
        <v>0.15377388535031847</v>
      </c>
      <c r="E202" s="3">
        <v>0.17160828025477703</v>
      </c>
      <c r="F202" s="3">
        <v>0.15250000000000002</v>
      </c>
      <c r="G202" s="3">
        <v>0.21109872611464964</v>
      </c>
      <c r="I202" s="2">
        <v>0.18800955414012735</v>
      </c>
      <c r="J202" s="2">
        <v>0.17622611464968149</v>
      </c>
    </row>
    <row r="203" spans="1:10">
      <c r="A203" s="2" t="s">
        <v>50</v>
      </c>
      <c r="B203" s="2">
        <v>4</v>
      </c>
      <c r="C203" s="3">
        <v>0.11414808917197453</v>
      </c>
      <c r="D203" s="3">
        <v>6.5421974522292967E-2</v>
      </c>
      <c r="E203" s="3">
        <v>5.1727707006369417E-2</v>
      </c>
      <c r="F203" s="3">
        <v>8.4211783439490442E-2</v>
      </c>
      <c r="G203" s="3">
        <v>0.10841560509554143</v>
      </c>
      <c r="I203" s="2">
        <v>7.3861464968152837E-2</v>
      </c>
      <c r="J203" s="2">
        <v>9.0740445859872593E-2</v>
      </c>
    </row>
    <row r="204" spans="1:10">
      <c r="A204" s="2" t="s">
        <v>50</v>
      </c>
      <c r="B204" s="2">
        <v>5</v>
      </c>
      <c r="C204" s="3">
        <v>0.14281050955414012</v>
      </c>
      <c r="D204" s="3">
        <v>9.6950636942675139E-2</v>
      </c>
      <c r="E204" s="3">
        <v>8.8988853503184695E-2</v>
      </c>
      <c r="F204" s="3">
        <v>0.10427547770700638</v>
      </c>
      <c r="G204" s="3">
        <v>0.11128184713375795</v>
      </c>
      <c r="I204" s="2">
        <v>0.10395700636942674</v>
      </c>
      <c r="J204" s="2">
        <v>0.10220541401273886</v>
      </c>
    </row>
    <row r="205" spans="1:10">
      <c r="A205" s="2" t="s">
        <v>50</v>
      </c>
      <c r="B205" s="2">
        <v>6</v>
      </c>
      <c r="C205" s="3">
        <v>7.1656050955414011E-2</v>
      </c>
      <c r="D205" s="3">
        <v>4.2993630573248412E-2</v>
      </c>
      <c r="E205" s="3">
        <v>0.10668789808917198</v>
      </c>
      <c r="F205" s="3">
        <v>0.17356687898089171</v>
      </c>
      <c r="G205" s="3">
        <v>0.21496815286624205</v>
      </c>
      <c r="I205" s="2">
        <v>4.140127388535033E-2</v>
      </c>
      <c r="J205" s="2">
        <v>0.18869426751592358</v>
      </c>
    </row>
    <row r="206" spans="1:10">
      <c r="A206" s="2" t="s">
        <v>51</v>
      </c>
      <c r="B206" s="2">
        <v>1</v>
      </c>
      <c r="C206" s="2">
        <v>0.17971518987341775</v>
      </c>
      <c r="D206" s="2">
        <v>8.3512658227848077E-2</v>
      </c>
      <c r="E206" s="2">
        <v>0.15819620253164554</v>
      </c>
      <c r="F206" s="2">
        <v>0.11895569620253162</v>
      </c>
      <c r="G206" s="2">
        <v>2.5917721518987337E-2</v>
      </c>
      <c r="H206" s="2">
        <v>5.0316455696202559E-3</v>
      </c>
      <c r="I206" s="2">
        <v>9.1265822784810102E-2</v>
      </c>
      <c r="J206" s="2">
        <v>6.7721518987341718E-3</v>
      </c>
    </row>
    <row r="207" spans="1:10">
      <c r="A207" s="2" t="s">
        <v>51</v>
      </c>
      <c r="B207" s="2">
        <v>2</v>
      </c>
      <c r="C207" s="2">
        <v>5.4398734177215163E-2</v>
      </c>
      <c r="D207" s="2">
        <v>0.27718354430379744</v>
      </c>
      <c r="E207" s="2">
        <v>0.15819620253164551</v>
      </c>
      <c r="F207" s="2">
        <v>0.36958860759493667</v>
      </c>
      <c r="G207" s="2">
        <v>0.17401898734177218</v>
      </c>
      <c r="H207" s="2">
        <v>0.28984177215189877</v>
      </c>
      <c r="I207" s="2">
        <v>0.12544303797468354</v>
      </c>
      <c r="J207" s="2">
        <v>0.22322784810126584</v>
      </c>
    </row>
    <row r="208" spans="1:10">
      <c r="A208" s="2" t="s">
        <v>51</v>
      </c>
      <c r="B208" s="2">
        <v>3</v>
      </c>
      <c r="C208" s="2">
        <v>0.3164240506329114</v>
      </c>
      <c r="D208" s="2">
        <v>0.11768987341772148</v>
      </c>
      <c r="E208" s="2">
        <v>0.19237341772151895</v>
      </c>
      <c r="F208" s="2">
        <v>0.15313291139240504</v>
      </c>
      <c r="G208" s="2">
        <v>0.19680379746835441</v>
      </c>
      <c r="H208" s="2">
        <v>0.21009493670886076</v>
      </c>
      <c r="I208" s="2">
        <v>0.17670886075949363</v>
      </c>
      <c r="J208" s="2">
        <v>0.19474683544303797</v>
      </c>
    </row>
    <row r="209" spans="1:10">
      <c r="A209" s="2" t="s">
        <v>51</v>
      </c>
      <c r="B209" s="2">
        <v>4</v>
      </c>
      <c r="C209" s="2">
        <v>7.5189873417721501E-2</v>
      </c>
      <c r="D209" s="2">
        <v>0.10430379746835441</v>
      </c>
      <c r="E209" s="2">
        <v>0.1163291139240506</v>
      </c>
      <c r="F209" s="2">
        <v>0.13405063291139238</v>
      </c>
      <c r="G209" s="2">
        <v>9.2278481012658217E-2</v>
      </c>
      <c r="H209" s="2">
        <v>0.12265822784810131</v>
      </c>
      <c r="I209" s="2">
        <v>4.9398734177215173E-2</v>
      </c>
      <c r="J209" s="2">
        <v>9.8765822784810123E-2</v>
      </c>
    </row>
    <row r="210" spans="1:10">
      <c r="A210" s="2" t="s">
        <v>51</v>
      </c>
      <c r="B210" s="2">
        <v>5</v>
      </c>
      <c r="C210" s="2">
        <v>0.18996835443037974</v>
      </c>
      <c r="D210" s="2">
        <v>4.2499999999999982E-2</v>
      </c>
      <c r="E210" s="2">
        <v>8.3006329113924041E-2</v>
      </c>
      <c r="F210" s="2">
        <v>6.0854430379746811E-2</v>
      </c>
      <c r="G210" s="2">
        <v>0.10452531645569621</v>
      </c>
      <c r="H210" s="2">
        <v>0.10072784810126582</v>
      </c>
      <c r="I210" s="2">
        <v>7.5886075949367082E-2</v>
      </c>
      <c r="J210" s="2">
        <v>9.3924050632911385E-2</v>
      </c>
    </row>
    <row r="211" spans="1:10">
      <c r="A211" s="2" t="s">
        <v>51</v>
      </c>
      <c r="B211" s="2">
        <v>6</v>
      </c>
      <c r="C211" s="2">
        <v>8.5443037974683542E-2</v>
      </c>
      <c r="D211" s="2">
        <v>6.3291139240506333E-2</v>
      </c>
      <c r="E211" s="2">
        <v>4.1139240506329111E-2</v>
      </c>
      <c r="F211" s="2">
        <v>7.5949367088607597E-2</v>
      </c>
      <c r="G211" s="2">
        <v>0.17088607594936708</v>
      </c>
      <c r="H211" s="2">
        <v>0.21835443037974683</v>
      </c>
      <c r="I211" s="2">
        <v>3.4018987341772153E-2</v>
      </c>
      <c r="J211" s="2">
        <v>0.18591772151898733</v>
      </c>
    </row>
    <row r="212" spans="1:10">
      <c r="A212" s="2" t="s">
        <v>52</v>
      </c>
      <c r="B212" s="2">
        <v>1</v>
      </c>
      <c r="C212" s="2">
        <v>0.17097133757961783</v>
      </c>
      <c r="D212" s="2">
        <v>5.6640127388534987E-2</v>
      </c>
      <c r="E212" s="2">
        <v>9.0716560509554109E-2</v>
      </c>
      <c r="F212" s="2">
        <v>9.0398089171974505E-2</v>
      </c>
      <c r="G212" s="2">
        <v>7.0334394904458572E-2</v>
      </c>
      <c r="H212" s="2">
        <v>6.7468152866242012E-2</v>
      </c>
      <c r="I212" s="2">
        <v>8.8328025477706976E-2</v>
      </c>
      <c r="J212" s="2">
        <v>5.2977707006369383E-2</v>
      </c>
    </row>
    <row r="213" spans="1:10">
      <c r="A213" s="2" t="s">
        <v>52</v>
      </c>
      <c r="B213" s="2">
        <v>2</v>
      </c>
      <c r="C213" s="2">
        <v>0.10218152866242033</v>
      </c>
      <c r="D213" s="2">
        <v>0.12542993630573246</v>
      </c>
      <c r="E213" s="2">
        <v>0.228296178343949</v>
      </c>
      <c r="F213" s="2">
        <v>0.2623726114649681</v>
      </c>
      <c r="G213" s="2">
        <v>0.10472929936305728</v>
      </c>
      <c r="H213" s="2">
        <v>0.23944267515923562</v>
      </c>
      <c r="I213" s="2">
        <v>8.8328025477706976E-2</v>
      </c>
      <c r="J213" s="2">
        <v>0.15616242038216557</v>
      </c>
    </row>
    <row r="214" spans="1:10">
      <c r="A214" s="2" t="s">
        <v>52</v>
      </c>
      <c r="B214" s="2">
        <v>3</v>
      </c>
      <c r="C214" s="2">
        <v>0.37734076433121017</v>
      </c>
      <c r="D214" s="2">
        <v>0.12542993630573243</v>
      </c>
      <c r="E214" s="2">
        <v>9.0716560509554109E-2</v>
      </c>
      <c r="F214" s="2">
        <v>9.0398089171974505E-2</v>
      </c>
      <c r="G214" s="2">
        <v>0.20791401273885346</v>
      </c>
      <c r="H214" s="2">
        <v>0.13625796178343949</v>
      </c>
      <c r="I214" s="2">
        <v>0.22590764331210184</v>
      </c>
      <c r="J214" s="2">
        <v>0.15616242038216557</v>
      </c>
    </row>
    <row r="215" spans="1:10">
      <c r="A215" s="2" t="s">
        <v>52</v>
      </c>
      <c r="B215" s="2">
        <v>4</v>
      </c>
      <c r="C215" s="2">
        <v>2.6942675159235659E-2</v>
      </c>
      <c r="D215" s="2">
        <v>8.1719745222929907E-2</v>
      </c>
      <c r="E215" s="2">
        <v>0.13012738853503183</v>
      </c>
      <c r="F215" s="2">
        <v>0.12694267515923566</v>
      </c>
      <c r="G215" s="2">
        <v>5.8152866242038199E-2</v>
      </c>
      <c r="H215" s="2">
        <v>0.10401273885350318</v>
      </c>
      <c r="I215" s="2">
        <v>2.8853503184713369E-2</v>
      </c>
      <c r="J215" s="2">
        <v>6.5159235668789783E-2</v>
      </c>
    </row>
    <row r="216" spans="1:10">
      <c r="A216" s="2" t="s">
        <v>52</v>
      </c>
      <c r="B216" s="2">
        <v>5</v>
      </c>
      <c r="C216" s="2">
        <v>0.21568471337579617</v>
      </c>
      <c r="D216" s="2">
        <v>4.9761146496815276E-2</v>
      </c>
      <c r="E216" s="2">
        <v>3.2245222929936299E-2</v>
      </c>
      <c r="F216" s="2">
        <v>3.1926751592356681E-2</v>
      </c>
      <c r="G216" s="2">
        <v>8.0652866242038199E-2</v>
      </c>
      <c r="H216" s="2">
        <v>6.0589171974522293E-2</v>
      </c>
      <c r="I216" s="2">
        <v>0.1072452229299363</v>
      </c>
      <c r="J216" s="2">
        <v>5.4697452229299351E-2</v>
      </c>
    </row>
    <row r="217" spans="1:10">
      <c r="A217" s="2" t="s">
        <v>52</v>
      </c>
      <c r="B217" s="2">
        <v>6</v>
      </c>
      <c r="C217" s="2">
        <v>7.1656050955414011E-2</v>
      </c>
      <c r="D217" s="2">
        <v>7.4840764331210188E-2</v>
      </c>
      <c r="E217" s="2">
        <v>7.1656050955414011E-2</v>
      </c>
      <c r="F217" s="2">
        <v>6.8471337579617833E-2</v>
      </c>
      <c r="G217" s="2">
        <v>6.8471337579617833E-2</v>
      </c>
      <c r="H217" s="2">
        <v>9.7133757961783446E-2</v>
      </c>
      <c r="I217" s="2">
        <v>4.7770700636942678E-2</v>
      </c>
      <c r="J217" s="2">
        <v>6.6878980891719744E-2</v>
      </c>
    </row>
    <row r="218" spans="1:10">
      <c r="A218" s="2" t="s">
        <v>53</v>
      </c>
      <c r="B218" s="2">
        <v>1</v>
      </c>
      <c r="C218" s="2">
        <v>0.26651273885350313</v>
      </c>
      <c r="D218" s="2">
        <v>8.8487261146496785E-2</v>
      </c>
      <c r="E218" s="2">
        <v>1.4920382165605081E-2</v>
      </c>
      <c r="F218" s="2">
        <v>4.7292993630573283E-3</v>
      </c>
      <c r="I218" s="2">
        <v>6.6628184713375782E-2</v>
      </c>
      <c r="J218" s="3">
        <v>3.7300955414012716E-3</v>
      </c>
    </row>
    <row r="219" spans="1:10">
      <c r="A219" s="2" t="s">
        <v>53</v>
      </c>
      <c r="B219" s="2">
        <v>2</v>
      </c>
      <c r="C219" s="2">
        <v>0.12893312101910828</v>
      </c>
      <c r="D219" s="2">
        <v>8.8487261146496785E-2</v>
      </c>
      <c r="E219" s="2">
        <v>0.18689490445859874</v>
      </c>
      <c r="F219" s="2">
        <v>0.21109872611464967</v>
      </c>
      <c r="I219" s="2">
        <v>3.2233280254777071E-2</v>
      </c>
      <c r="J219" s="3">
        <v>4.6723726114649693E-2</v>
      </c>
    </row>
    <row r="220" spans="1:10">
      <c r="A220" s="2" t="s">
        <v>53</v>
      </c>
      <c r="B220" s="2">
        <v>3</v>
      </c>
      <c r="C220" s="2">
        <v>0.43848726114649683</v>
      </c>
      <c r="D220" s="2">
        <v>0.26046178343949045</v>
      </c>
      <c r="E220" s="2">
        <v>0.1525</v>
      </c>
      <c r="F220" s="2">
        <v>0.17670382165605095</v>
      </c>
      <c r="I220" s="2">
        <v>0.10962181528662421</v>
      </c>
      <c r="J220" s="3">
        <v>3.8124999999999999E-2</v>
      </c>
    </row>
    <row r="221" spans="1:10">
      <c r="A221" s="2" t="s">
        <v>53</v>
      </c>
      <c r="B221" s="2">
        <v>4</v>
      </c>
      <c r="C221" s="2">
        <v>6.6377388535031834E-2</v>
      </c>
      <c r="D221" s="2">
        <v>5.1727707006369403E-2</v>
      </c>
      <c r="E221" s="2">
        <v>8.4211783439490429E-2</v>
      </c>
      <c r="F221" s="2">
        <v>0.12847929936305735</v>
      </c>
      <c r="I221" s="2">
        <v>1.6594347133757958E-2</v>
      </c>
      <c r="J221" s="3">
        <v>2.10529458598726E-2</v>
      </c>
    </row>
    <row r="222" spans="1:10">
      <c r="A222" s="2" t="s">
        <v>53</v>
      </c>
      <c r="B222" s="2">
        <v>5</v>
      </c>
      <c r="C222" s="2">
        <v>0.28134554140127388</v>
      </c>
      <c r="D222" s="2">
        <v>0.14344745222929936</v>
      </c>
      <c r="E222" s="2">
        <v>0.10427547770700638</v>
      </c>
      <c r="F222" s="2">
        <v>9.1218152866242033E-2</v>
      </c>
      <c r="I222" s="2">
        <v>7.033638535031847E-2</v>
      </c>
      <c r="J222" s="3">
        <v>2.6068869426751594E-2</v>
      </c>
    </row>
    <row r="223" spans="1:10">
      <c r="A223" s="2" t="s">
        <v>53</v>
      </c>
      <c r="B223" s="2">
        <v>6</v>
      </c>
      <c r="C223" s="2">
        <v>8.1210191082802544E-2</v>
      </c>
      <c r="D223" s="2">
        <v>0.10668789808917198</v>
      </c>
      <c r="E223" s="2">
        <v>0.17356687898089171</v>
      </c>
      <c r="F223" s="2">
        <v>0.21496815286624205</v>
      </c>
      <c r="I223" s="2">
        <v>2.0302547770700625E-2</v>
      </c>
      <c r="J223" s="3">
        <v>4.3391719745222927E-2</v>
      </c>
    </row>
    <row r="224" spans="1:10">
      <c r="A224" s="11" t="s">
        <v>54</v>
      </c>
      <c r="B224" s="2">
        <v>1</v>
      </c>
      <c r="C224" s="2">
        <v>9.9952229299363024E-2</v>
      </c>
      <c r="D224" s="2">
        <v>5.3773885350318441E-2</v>
      </c>
      <c r="E224" s="2">
        <v>1.364649681528662E-2</v>
      </c>
      <c r="F224" s="2">
        <v>8.5509554140127328E-3</v>
      </c>
      <c r="G224" s="2">
        <v>3.455414012738859E-3</v>
      </c>
      <c r="I224" s="2">
        <v>5.8550955414012722E-2</v>
      </c>
      <c r="J224" s="2">
        <v>1.2261146496815266E-3</v>
      </c>
    </row>
    <row r="225" spans="1:10">
      <c r="A225" s="11" t="s">
        <v>54</v>
      </c>
      <c r="B225" s="2">
        <v>2</v>
      </c>
      <c r="C225" s="2">
        <v>3.1162420382165601E-2</v>
      </c>
      <c r="D225" s="2">
        <v>0.15695859872611465</v>
      </c>
      <c r="E225" s="2">
        <v>0.15122611464968155</v>
      </c>
      <c r="F225" s="2">
        <v>0.18052547770700639</v>
      </c>
      <c r="G225" s="2">
        <v>0.20982484076433122</v>
      </c>
      <c r="I225" s="2">
        <v>7.5748407643312074E-2</v>
      </c>
      <c r="J225" s="2">
        <v>0.19039808917197451</v>
      </c>
    </row>
    <row r="226" spans="1:10">
      <c r="A226" s="11" t="s">
        <v>54</v>
      </c>
      <c r="B226" s="2">
        <v>3</v>
      </c>
      <c r="C226" s="2">
        <v>0.26332802547770701</v>
      </c>
      <c r="D226" s="2">
        <v>0.14835987261146494</v>
      </c>
      <c r="E226" s="2">
        <v>0.25727707006369421</v>
      </c>
      <c r="F226" s="2">
        <v>0.21778662420382164</v>
      </c>
      <c r="G226" s="2">
        <v>0.20695859872611463</v>
      </c>
      <c r="I226" s="2">
        <v>0.18753184713375792</v>
      </c>
      <c r="J226" s="2">
        <v>0.20759554140127384</v>
      </c>
    </row>
    <row r="227" spans="1:10">
      <c r="A227" s="11" t="s">
        <v>54</v>
      </c>
      <c r="B227" s="2">
        <v>4</v>
      </c>
      <c r="C227" s="2">
        <v>4.1480891719745221E-2</v>
      </c>
      <c r="D227" s="2">
        <v>6.4092356687898075E-2</v>
      </c>
      <c r="E227" s="2">
        <v>9.2754777070063688E-2</v>
      </c>
      <c r="F227" s="2">
        <v>8.7659235668789789E-2</v>
      </c>
      <c r="G227" s="2">
        <v>0.11695859872611468</v>
      </c>
      <c r="I227" s="2">
        <v>3.4474522292993637E-2</v>
      </c>
      <c r="J227" s="2">
        <v>9.7531847133757968E-2</v>
      </c>
    </row>
    <row r="228" spans="1:10">
      <c r="A228" s="11" t="s">
        <v>54</v>
      </c>
      <c r="B228" s="2">
        <v>5</v>
      </c>
      <c r="C228" s="2">
        <v>0.19382165605095539</v>
      </c>
      <c r="D228" s="2">
        <v>9.318471337579616E-2</v>
      </c>
      <c r="E228" s="2">
        <v>0.11038216560509553</v>
      </c>
      <c r="F228" s="2">
        <v>8.808917197452229E-2</v>
      </c>
      <c r="G228" s="2">
        <v>0.11738853503184714</v>
      </c>
      <c r="I228" s="2">
        <v>0.12519108280254776</v>
      </c>
      <c r="J228" s="2">
        <v>9.7961783439490441E-2</v>
      </c>
    </row>
    <row r="229" spans="1:10">
      <c r="A229" s="11" t="s">
        <v>54</v>
      </c>
      <c r="B229" s="2">
        <v>6</v>
      </c>
      <c r="C229" s="2">
        <v>0.13535031847133758</v>
      </c>
      <c r="D229" s="2">
        <v>0.1035031847133758</v>
      </c>
      <c r="E229" s="2">
        <v>0.18949044585987262</v>
      </c>
      <c r="F229" s="2">
        <v>0.16719745222929935</v>
      </c>
      <c r="G229" s="2">
        <v>0.23089171974522293</v>
      </c>
      <c r="I229" s="2">
        <v>0.10111464968152867</v>
      </c>
      <c r="J229" s="2">
        <v>0.19426751592356689</v>
      </c>
    </row>
    <row r="230" spans="1:10">
      <c r="A230" s="2" t="s">
        <v>55</v>
      </c>
      <c r="B230" s="2">
        <v>1</v>
      </c>
      <c r="C230" s="2">
        <v>0.15090764331210191</v>
      </c>
      <c r="D230" s="2">
        <v>1.5238853503184695E-2</v>
      </c>
      <c r="E230" s="2">
        <v>2.0971337579617829E-2</v>
      </c>
      <c r="F230" s="2">
        <v>2.5000000000000057E-3</v>
      </c>
      <c r="G230" s="2">
        <v>2.5000000000000057E-3</v>
      </c>
      <c r="I230" s="2">
        <v>4.7245222929936277E-2</v>
      </c>
      <c r="J230" s="2">
        <v>2.5000000000000057E-3</v>
      </c>
    </row>
    <row r="231" spans="1:10">
      <c r="A231" s="2" t="s">
        <v>55</v>
      </c>
      <c r="B231" s="2">
        <v>2</v>
      </c>
      <c r="C231" s="2">
        <v>0.10218152866242033</v>
      </c>
      <c r="D231" s="2">
        <v>0.2588694267515923</v>
      </c>
      <c r="E231" s="2">
        <v>0.26460191082802548</v>
      </c>
      <c r="F231" s="2">
        <v>0.24613057324840767</v>
      </c>
      <c r="G231" s="2">
        <v>0.24613057324840767</v>
      </c>
      <c r="I231" s="2">
        <v>0.14469745222929936</v>
      </c>
      <c r="J231" s="2">
        <v>0.24613057324840767</v>
      </c>
    </row>
    <row r="232" spans="1:10">
      <c r="A232" s="2" t="s">
        <v>55</v>
      </c>
      <c r="B232" s="2">
        <v>3</v>
      </c>
      <c r="C232" s="2">
        <v>0.32288216560509553</v>
      </c>
      <c r="D232" s="2">
        <v>0.18721337579617833</v>
      </c>
      <c r="E232" s="2">
        <v>0.19294585987261145</v>
      </c>
      <c r="F232" s="2">
        <v>0.20886942675159237</v>
      </c>
      <c r="G232" s="2">
        <v>0.20886942675159237</v>
      </c>
      <c r="I232" s="2">
        <v>0.21921974522292992</v>
      </c>
      <c r="J232" s="2">
        <v>0.20886942675159237</v>
      </c>
    </row>
    <row r="233" spans="1:10">
      <c r="A233" s="2" t="s">
        <v>55</v>
      </c>
      <c r="B233" s="2">
        <v>4</v>
      </c>
      <c r="C233" s="2">
        <v>2.6942675159235662E-2</v>
      </c>
      <c r="D233" s="2">
        <v>0.11484076433121022</v>
      </c>
      <c r="E233" s="2">
        <v>8.0445859872611464E-2</v>
      </c>
      <c r="F233" s="2">
        <v>0.13649681528662425</v>
      </c>
      <c r="G233" s="2">
        <v>0.13649681528662425</v>
      </c>
      <c r="I233" s="2">
        <v>3.5063694267515912E-2</v>
      </c>
      <c r="J233" s="2">
        <v>0.13649681528662425</v>
      </c>
    </row>
    <row r="234" spans="1:10">
      <c r="A234" s="2" t="s">
        <v>55</v>
      </c>
      <c r="B234" s="2">
        <v>5</v>
      </c>
      <c r="C234" s="2">
        <v>0.19562101910828023</v>
      </c>
      <c r="D234" s="2">
        <v>7.7149681528662417E-2</v>
      </c>
      <c r="E234" s="2">
        <v>0.11727707006369426</v>
      </c>
      <c r="F234" s="2">
        <v>0.11600318471337578</v>
      </c>
      <c r="G234" s="2">
        <v>0.11600318471337578</v>
      </c>
      <c r="I234" s="2">
        <v>0.10055732484076432</v>
      </c>
      <c r="J234" s="2">
        <v>0.11600318471337578</v>
      </c>
    </row>
    <row r="235" spans="1:10">
      <c r="A235" s="2" t="s">
        <v>55</v>
      </c>
      <c r="B235" s="2">
        <v>6</v>
      </c>
      <c r="C235" s="2">
        <v>7.1656050955414011E-2</v>
      </c>
      <c r="D235" s="2">
        <v>0.17675159235668789</v>
      </c>
      <c r="E235" s="2">
        <v>0.17675159235668789</v>
      </c>
      <c r="F235" s="2">
        <v>0.25</v>
      </c>
      <c r="G235" s="2">
        <v>0.25</v>
      </c>
      <c r="I235" s="2">
        <v>8.8375796178343943E-2</v>
      </c>
      <c r="J235" s="2">
        <v>0.25</v>
      </c>
    </row>
    <row r="236" spans="1:10">
      <c r="A236" s="2" t="s">
        <v>56</v>
      </c>
      <c r="B236" s="2">
        <v>1</v>
      </c>
      <c r="C236" s="2">
        <v>0.11109872611464967</v>
      </c>
      <c r="D236" s="2">
        <v>1.6831210191082791E-2</v>
      </c>
      <c r="E236" s="2">
        <v>3.773885350318472E-3</v>
      </c>
      <c r="F236" s="2">
        <v>6.0031847133757994E-3</v>
      </c>
      <c r="G236" s="2">
        <v>3.455414012738859E-3</v>
      </c>
      <c r="H236" s="2">
        <v>2.5000000000000044E-3</v>
      </c>
      <c r="I236" s="2">
        <v>4.7245222929936277E-2</v>
      </c>
      <c r="J236" s="2">
        <v>2.1815286624203879E-3</v>
      </c>
    </row>
    <row r="237" spans="1:10">
      <c r="A237" s="2" t="s">
        <v>56</v>
      </c>
      <c r="B237" s="2">
        <v>2</v>
      </c>
      <c r="C237" s="2">
        <v>5.0907643312101881E-2</v>
      </c>
      <c r="D237" s="2">
        <v>0.14581210191082802</v>
      </c>
      <c r="E237" s="2">
        <v>0.24740445859872617</v>
      </c>
      <c r="F237" s="2">
        <v>0.24963375796178344</v>
      </c>
      <c r="G237" s="2">
        <v>0.24708598726114656</v>
      </c>
      <c r="H237" s="2">
        <v>0.24613057324840773</v>
      </c>
      <c r="I237" s="2">
        <v>8.1640127388535003E-2</v>
      </c>
      <c r="J237" s="2">
        <v>0.24581210191082808</v>
      </c>
    </row>
    <row r="238" spans="1:10">
      <c r="A238" s="2" t="s">
        <v>56</v>
      </c>
      <c r="B238" s="2">
        <v>3</v>
      </c>
      <c r="C238" s="2">
        <v>0.31746815286624203</v>
      </c>
      <c r="D238" s="2">
        <v>0.15441082802547768</v>
      </c>
      <c r="E238" s="2">
        <v>0.21014331210191084</v>
      </c>
      <c r="F238" s="2">
        <v>0.21237261146496811</v>
      </c>
      <c r="G238" s="2">
        <v>0.20982484076433122</v>
      </c>
      <c r="H238" s="2">
        <v>0.20886942675159237</v>
      </c>
      <c r="I238" s="2">
        <v>0.21921974522292992</v>
      </c>
      <c r="J238" s="2">
        <v>0.20855095541401275</v>
      </c>
    </row>
    <row r="239" spans="1:10">
      <c r="A239" s="2" t="s">
        <v>56</v>
      </c>
      <c r="B239" s="2">
        <v>4</v>
      </c>
      <c r="C239" s="2">
        <v>4.8542993630573253E-2</v>
      </c>
      <c r="D239" s="2">
        <v>8.3256369426751575E-2</v>
      </c>
      <c r="E239" s="2">
        <v>0.1275238853503185</v>
      </c>
      <c r="F239" s="2">
        <v>0.11255573248407647</v>
      </c>
      <c r="G239" s="2">
        <v>0.12720541401273888</v>
      </c>
      <c r="H239" s="2">
        <v>0.12625000000000003</v>
      </c>
      <c r="I239" s="2">
        <v>4.9179936305732481E-2</v>
      </c>
      <c r="J239" s="2">
        <v>0.12593152866242041</v>
      </c>
    </row>
    <row r="240" spans="1:10">
      <c r="A240" s="2" t="s">
        <v>56</v>
      </c>
      <c r="B240" s="2">
        <v>5</v>
      </c>
      <c r="C240" s="2">
        <v>0.19472133757961782</v>
      </c>
      <c r="D240" s="2">
        <v>6.892515923566879E-2</v>
      </c>
      <c r="E240" s="2">
        <v>0.1103264331210191</v>
      </c>
      <c r="F240" s="2">
        <v>9.2492038216560504E-2</v>
      </c>
      <c r="G240" s="2">
        <v>0.10714171974522292</v>
      </c>
      <c r="H240" s="2">
        <v>0.12625</v>
      </c>
      <c r="I240" s="2">
        <v>0.11510350318471337</v>
      </c>
      <c r="J240" s="2">
        <v>0.11589968152866241</v>
      </c>
    </row>
    <row r="241" spans="1:10">
      <c r="A241" s="2" t="s">
        <v>56</v>
      </c>
      <c r="B241" s="2">
        <v>6</v>
      </c>
      <c r="C241" s="2">
        <v>0.1321656050955414</v>
      </c>
      <c r="D241" s="2">
        <v>0.13535031847133758</v>
      </c>
      <c r="E241" s="2">
        <v>0.23407643312101911</v>
      </c>
      <c r="F241" s="2">
        <v>0.19904458598726116</v>
      </c>
      <c r="G241" s="2">
        <v>0.23089171974522293</v>
      </c>
      <c r="H241" s="2">
        <v>0.25</v>
      </c>
      <c r="I241" s="2">
        <v>0.11703821656050956</v>
      </c>
      <c r="J241" s="2">
        <v>0.23964968152866242</v>
      </c>
    </row>
    <row r="242" spans="1:10">
      <c r="A242" s="2" t="s">
        <v>57</v>
      </c>
      <c r="B242" s="2">
        <v>1</v>
      </c>
      <c r="C242" s="3">
        <v>0.12528481012658232</v>
      </c>
      <c r="D242" s="3">
        <v>6.7689873417721494E-2</v>
      </c>
      <c r="E242" s="3">
        <v>6.958860759493668E-2</v>
      </c>
      <c r="F242" s="3">
        <v>0.14553797468354429</v>
      </c>
      <c r="G242" s="3">
        <v>4.6803797468354426E-2</v>
      </c>
      <c r="H242" s="3">
        <v>8.9208860759493636E-2</v>
      </c>
      <c r="I242" s="2">
        <v>6.8797468354430361E-2</v>
      </c>
      <c r="J242" s="2">
        <v>6.0886075949367062E-2</v>
      </c>
    </row>
    <row r="243" spans="1:10">
      <c r="A243" s="2" t="s">
        <v>57</v>
      </c>
      <c r="B243" s="2">
        <v>2</v>
      </c>
      <c r="C243" s="3">
        <v>2.2753164556962018E-2</v>
      </c>
      <c r="D243" s="3">
        <v>0.17022151898734175</v>
      </c>
      <c r="E243" s="3">
        <v>0.13794303797468352</v>
      </c>
      <c r="F243" s="3">
        <v>0.1797151898734177</v>
      </c>
      <c r="G243" s="3">
        <v>0.11515822784810127</v>
      </c>
      <c r="H243" s="3">
        <v>8.9208860759493636E-2</v>
      </c>
      <c r="I243" s="2">
        <v>6.8797468354430361E-2</v>
      </c>
      <c r="J243" s="2">
        <v>9.5063291139240474E-2</v>
      </c>
    </row>
    <row r="244" spans="1:10">
      <c r="A244" s="2" t="s">
        <v>57</v>
      </c>
      <c r="B244" s="2">
        <v>3</v>
      </c>
      <c r="C244" s="3">
        <v>0.29617088607594938</v>
      </c>
      <c r="D244" s="3">
        <v>6.7689873417721494E-2</v>
      </c>
      <c r="E244" s="3">
        <v>0.17212025316455692</v>
      </c>
      <c r="F244" s="3">
        <v>0.1797151898734177</v>
      </c>
      <c r="G244" s="3">
        <v>0.14933544303797466</v>
      </c>
      <c r="H244" s="3">
        <v>0.22591772151898729</v>
      </c>
      <c r="I244" s="2">
        <v>0.1542405063291139</v>
      </c>
      <c r="J244" s="2">
        <v>0.18050632911392403</v>
      </c>
    </row>
    <row r="245" spans="1:10">
      <c r="A245" s="2" t="s">
        <v>57</v>
      </c>
      <c r="B245" s="2">
        <v>4</v>
      </c>
      <c r="C245" s="3">
        <v>6.0632911392405051E-2</v>
      </c>
      <c r="D245" s="3">
        <v>0.12835443037974681</v>
      </c>
      <c r="E245" s="3">
        <v>5.6202531645569584E-2</v>
      </c>
      <c r="F245" s="3">
        <v>0.14354430379746835</v>
      </c>
      <c r="G245" s="3">
        <v>3.3417721518987337E-2</v>
      </c>
      <c r="H245" s="3">
        <v>4.7341772151898713E-2</v>
      </c>
      <c r="I245" s="2">
        <v>6.6803797468354423E-2</v>
      </c>
      <c r="J245" s="2">
        <v>3.3259493670886063E-2</v>
      </c>
    </row>
    <row r="246" spans="1:10">
      <c r="A246" s="2" t="s">
        <v>57</v>
      </c>
      <c r="B246" s="2">
        <v>5</v>
      </c>
      <c r="C246" s="3">
        <v>0.20389240506329115</v>
      </c>
      <c r="D246" s="3">
        <v>4.3765822784810123E-2</v>
      </c>
      <c r="E246" s="3">
        <v>7.9841772151898721E-2</v>
      </c>
      <c r="F246" s="3">
        <v>8.7436708860759479E-2</v>
      </c>
      <c r="G246" s="3">
        <v>0.10832278481012657</v>
      </c>
      <c r="H246" s="3">
        <v>0.13363924050632908</v>
      </c>
      <c r="I246" s="2">
        <v>9.6139240506329104E-2</v>
      </c>
      <c r="J246" s="2">
        <v>0.11386075949367087</v>
      </c>
    </row>
    <row r="247" spans="1:10">
      <c r="A247" s="2" t="s">
        <v>57</v>
      </c>
      <c r="B247" s="2">
        <v>6</v>
      </c>
      <c r="C247" s="3">
        <v>0.13924050632911392</v>
      </c>
      <c r="D247" s="3">
        <v>0.10443037974683544</v>
      </c>
      <c r="E247" s="3">
        <v>6.6455696202531639E-2</v>
      </c>
      <c r="F247" s="3">
        <v>8.5443037974683542E-2</v>
      </c>
      <c r="G247" s="3">
        <v>9.49367088607595E-2</v>
      </c>
      <c r="H247" s="3">
        <v>9.1772151898734181E-2</v>
      </c>
      <c r="I247" s="2">
        <v>9.4145569620253167E-2</v>
      </c>
      <c r="J247" s="2">
        <v>8.6234177215189875E-2</v>
      </c>
    </row>
    <row r="248" spans="1:10">
      <c r="A248" s="2" t="s">
        <v>58</v>
      </c>
      <c r="B248" s="2">
        <v>1</v>
      </c>
      <c r="C248" s="3">
        <v>0.20695859872611463</v>
      </c>
      <c r="D248" s="3">
        <v>9.1353503184713344E-2</v>
      </c>
      <c r="E248" s="3">
        <v>0.10568471337579616</v>
      </c>
      <c r="F248" s="3">
        <v>3.1799363057324836E-2</v>
      </c>
      <c r="G248" s="3">
        <v>4.7722929936305711E-2</v>
      </c>
      <c r="H248" s="3">
        <v>1.4920382165605095E-2</v>
      </c>
      <c r="I248" s="2">
        <v>0.13641719745222927</v>
      </c>
      <c r="J248" s="2">
        <v>2.6544585987261133E-2</v>
      </c>
    </row>
    <row r="249" spans="1:10">
      <c r="A249" s="2" t="s">
        <v>58</v>
      </c>
      <c r="B249" s="2">
        <v>2</v>
      </c>
      <c r="C249" s="3">
        <v>0.3789331210191082</v>
      </c>
      <c r="D249" s="3">
        <v>0.22893312101910826</v>
      </c>
      <c r="E249" s="3">
        <v>0.14007961783439488</v>
      </c>
      <c r="F249" s="3">
        <v>0.13498407643312105</v>
      </c>
      <c r="G249" s="3">
        <v>0.15090764331210191</v>
      </c>
      <c r="H249" s="3">
        <v>0.18689490445859874</v>
      </c>
      <c r="I249" s="2">
        <v>0.29119426751592353</v>
      </c>
      <c r="J249" s="2">
        <v>0.16412420382165605</v>
      </c>
    </row>
    <row r="250" spans="1:10">
      <c r="A250" s="2" t="s">
        <v>58</v>
      </c>
      <c r="B250" s="2">
        <v>3</v>
      </c>
      <c r="C250" s="3">
        <v>0.22702229299363055</v>
      </c>
      <c r="D250" s="3">
        <v>0.11141719745222928</v>
      </c>
      <c r="E250" s="3">
        <v>0.19453821656050954</v>
      </c>
      <c r="F250" s="3">
        <v>0.19517515923566878</v>
      </c>
      <c r="G250" s="3">
        <v>0.21683121019108278</v>
      </c>
      <c r="H250" s="3">
        <v>0.21842356687898087</v>
      </c>
      <c r="I250" s="2">
        <v>0.15648089171974522</v>
      </c>
      <c r="J250" s="2">
        <v>0.21285031847133756</v>
      </c>
    </row>
    <row r="251" spans="1:10">
      <c r="A251" s="2" t="s">
        <v>58</v>
      </c>
      <c r="B251" s="2">
        <v>4</v>
      </c>
      <c r="C251" s="3">
        <v>0.18453025477707002</v>
      </c>
      <c r="D251" s="3">
        <v>0.10618630573248405</v>
      </c>
      <c r="E251" s="3">
        <v>7.1791401273885336E-2</v>
      </c>
      <c r="F251" s="3">
        <v>4.6632165605095539E-2</v>
      </c>
      <c r="G251" s="3">
        <v>4.82245222929936E-2</v>
      </c>
      <c r="H251" s="3">
        <v>8.7078025477707002E-2</v>
      </c>
      <c r="I251" s="2">
        <v>0.13261942675159233</v>
      </c>
      <c r="J251" s="2">
        <v>6.2874203821656038E-2</v>
      </c>
    </row>
    <row r="252" spans="1:10">
      <c r="A252" s="2" t="s">
        <v>58</v>
      </c>
      <c r="B252" s="2">
        <v>5</v>
      </c>
      <c r="C252" s="3">
        <v>8.1345541401273883E-2</v>
      </c>
      <c r="D252" s="3">
        <v>3.4530254777070057E-2</v>
      </c>
      <c r="E252" s="3">
        <v>8.3256369426751589E-2</v>
      </c>
      <c r="F252" s="3">
        <v>9.822452229299361E-2</v>
      </c>
      <c r="G252" s="3">
        <v>9.9816878980891713E-2</v>
      </c>
      <c r="H252" s="3">
        <v>0.10140923566878982</v>
      </c>
      <c r="I252" s="2">
        <v>4.5199044585987259E-2</v>
      </c>
      <c r="J252" s="2">
        <v>9.5835987261146505E-2</v>
      </c>
    </row>
    <row r="253" spans="1:10">
      <c r="A253" s="2" t="s">
        <v>58</v>
      </c>
      <c r="B253" s="2">
        <v>6</v>
      </c>
      <c r="C253" s="3">
        <v>5.89171974522293E-2</v>
      </c>
      <c r="D253" s="3">
        <v>4.9363057324840767E-2</v>
      </c>
      <c r="E253" s="3">
        <v>4.9363057324840767E-2</v>
      </c>
      <c r="F253" s="3">
        <v>0.11305732484076433</v>
      </c>
      <c r="G253" s="3">
        <v>0.10031847133757962</v>
      </c>
      <c r="H253" s="3">
        <v>0.17356687898089171</v>
      </c>
      <c r="I253" s="2">
        <v>4.140127388535033E-2</v>
      </c>
      <c r="J253" s="2">
        <v>0.1321656050955414</v>
      </c>
    </row>
    <row r="254" spans="1:10">
      <c r="A254" s="2" t="s">
        <v>59</v>
      </c>
      <c r="B254" s="2">
        <v>1</v>
      </c>
      <c r="C254" s="2">
        <v>0.17415605095541406</v>
      </c>
      <c r="D254" s="2">
        <v>5.3136942675159192E-2</v>
      </c>
      <c r="E254" s="2">
        <v>5.122611464968152E-2</v>
      </c>
      <c r="F254" s="2">
        <v>1.5875796178343941E-2</v>
      </c>
      <c r="G254" s="2">
        <v>4.6767515923566857E-2</v>
      </c>
      <c r="H254" s="4">
        <v>3.4554140127388568E-3</v>
      </c>
      <c r="I254" s="2">
        <v>6.2691082802547746E-2</v>
      </c>
      <c r="J254" s="2">
        <v>1.0780254777070054E-2</v>
      </c>
    </row>
    <row r="255" spans="1:10">
      <c r="A255" s="2" t="s">
        <v>59</v>
      </c>
      <c r="B255" s="2">
        <v>2</v>
      </c>
      <c r="C255" s="2">
        <v>1.0780254777070068E-2</v>
      </c>
      <c r="D255" s="2">
        <v>0.21651273885350319</v>
      </c>
      <c r="E255" s="2">
        <v>0.29485668789808922</v>
      </c>
      <c r="F255" s="2">
        <v>0.15058917197452232</v>
      </c>
      <c r="G255" s="2">
        <v>0.29039808917197457</v>
      </c>
      <c r="H255" s="4">
        <v>0.20695859872611469</v>
      </c>
      <c r="I255" s="2">
        <v>6.2691082802547746E-2</v>
      </c>
      <c r="J255" s="2">
        <v>0.23434713375796182</v>
      </c>
    </row>
    <row r="256" spans="1:10">
      <c r="A256" s="2" t="s">
        <v>59</v>
      </c>
      <c r="B256" s="2">
        <v>3</v>
      </c>
      <c r="C256" s="2">
        <v>0.38052547770700634</v>
      </c>
      <c r="D256" s="2">
        <v>0.1907165605095541</v>
      </c>
      <c r="E256" s="2">
        <v>0.18880573248407642</v>
      </c>
      <c r="F256" s="2">
        <v>0.15345541401273885</v>
      </c>
      <c r="G256" s="2">
        <v>0.25313694267515918</v>
      </c>
      <c r="H256" s="4">
        <v>0.20982484076433119</v>
      </c>
      <c r="I256" s="2">
        <v>0.23466560509554141</v>
      </c>
      <c r="J256" s="2">
        <v>0.21714968152866243</v>
      </c>
    </row>
    <row r="257" spans="1:10">
      <c r="A257" s="2" t="s">
        <v>59</v>
      </c>
      <c r="B257" s="2">
        <v>4</v>
      </c>
      <c r="C257" s="2">
        <v>9.4402866242038211E-2</v>
      </c>
      <c r="D257" s="2">
        <v>8.5167197452229282E-2</v>
      </c>
      <c r="E257" s="2">
        <v>0.1405812101910828</v>
      </c>
      <c r="F257" s="2">
        <v>8.5167197452229282E-2</v>
      </c>
      <c r="G257" s="2">
        <v>0.10172770700636942</v>
      </c>
      <c r="H257" s="4">
        <v>0.10714171974522296</v>
      </c>
      <c r="I257" s="2">
        <v>3.882961783439489E-2</v>
      </c>
      <c r="J257" s="2">
        <v>9.0103503184713371E-2</v>
      </c>
    </row>
    <row r="258" spans="1:10">
      <c r="A258" s="2" t="s">
        <v>59</v>
      </c>
      <c r="B258" s="2">
        <v>5</v>
      </c>
      <c r="C258" s="2">
        <v>0.297906050955414</v>
      </c>
      <c r="D258" s="2">
        <v>6.5103503184713363E-2</v>
      </c>
      <c r="E258" s="2">
        <v>4.5995222929936311E-2</v>
      </c>
      <c r="F258" s="2">
        <v>8.5167197452229296E-2</v>
      </c>
      <c r="G258" s="2">
        <v>0.15045382165605092</v>
      </c>
      <c r="H258" s="4">
        <v>0.12720541401273883</v>
      </c>
      <c r="I258" s="2">
        <v>0.13054936305732481</v>
      </c>
      <c r="J258" s="2">
        <v>0.1244984076433121</v>
      </c>
    </row>
    <row r="259" spans="1:10">
      <c r="A259" s="2" t="s">
        <v>59</v>
      </c>
      <c r="B259" s="2">
        <v>6</v>
      </c>
      <c r="C259" s="2">
        <v>0.21815286624203822</v>
      </c>
      <c r="D259" s="2">
        <v>9.7133757961783446E-2</v>
      </c>
      <c r="E259" s="2">
        <v>0.13535031847133758</v>
      </c>
      <c r="F259" s="2">
        <v>0.15445859872611464</v>
      </c>
      <c r="G259" s="2">
        <v>0.20541401273885351</v>
      </c>
      <c r="H259" s="4">
        <v>0.23089171974522293</v>
      </c>
      <c r="I259" s="2">
        <v>0.10668789808917198</v>
      </c>
      <c r="J259" s="2">
        <v>0.20382165605095542</v>
      </c>
    </row>
    <row r="260" spans="1:10">
      <c r="A260" s="2" t="s">
        <v>60</v>
      </c>
      <c r="B260" s="2">
        <v>1</v>
      </c>
      <c r="C260" s="4">
        <v>0.24835987261146492</v>
      </c>
      <c r="D260" s="2">
        <v>0.3403980891719745</v>
      </c>
      <c r="E260" s="2">
        <v>0.12574840764331208</v>
      </c>
      <c r="F260" s="2">
        <v>9.1035031847133713E-2</v>
      </c>
      <c r="G260" s="2">
        <v>0.19230891719745219</v>
      </c>
      <c r="H260" s="2">
        <v>0.17893312101910824</v>
      </c>
      <c r="I260" s="2">
        <v>0.26651273885350313</v>
      </c>
      <c r="J260" s="2">
        <v>0.1529777070063694</v>
      </c>
    </row>
    <row r="261" spans="1:10">
      <c r="A261" s="2" t="s">
        <v>60</v>
      </c>
      <c r="B261" s="2">
        <v>2</v>
      </c>
      <c r="C261" s="4">
        <v>0.30281847133757955</v>
      </c>
      <c r="D261" s="2">
        <v>0.28020700636942669</v>
      </c>
      <c r="E261" s="2">
        <v>0.14581210191082802</v>
      </c>
      <c r="F261" s="2">
        <v>0.11109872611464963</v>
      </c>
      <c r="G261" s="2">
        <v>0.40154458598726112</v>
      </c>
      <c r="H261" s="2">
        <v>0.38243630573248399</v>
      </c>
      <c r="I261" s="2">
        <v>0.26364649681528657</v>
      </c>
      <c r="J261" s="2">
        <v>0.35934713375796179</v>
      </c>
    </row>
    <row r="262" spans="1:10">
      <c r="A262" s="2" t="s">
        <v>60</v>
      </c>
      <c r="B262" s="2">
        <v>3</v>
      </c>
      <c r="C262" s="4">
        <v>0.24835987261146492</v>
      </c>
      <c r="D262" s="2">
        <v>0.40918789808917194</v>
      </c>
      <c r="E262" s="2">
        <v>0.26332802547770695</v>
      </c>
      <c r="F262" s="2">
        <v>0.1942197452229299</v>
      </c>
      <c r="G262" s="2">
        <v>0.26109872611464963</v>
      </c>
      <c r="H262" s="2">
        <v>0.1445382165605095</v>
      </c>
      <c r="I262" s="2">
        <v>0.30090764331210185</v>
      </c>
      <c r="J262" s="2">
        <v>0.17017515923566875</v>
      </c>
    </row>
    <row r="263" spans="1:10">
      <c r="A263" s="2" t="s">
        <v>60</v>
      </c>
      <c r="B263" s="2">
        <v>4</v>
      </c>
      <c r="C263" s="4">
        <v>0.17433917197452226</v>
      </c>
      <c r="D263" s="2">
        <v>0.22624999999999998</v>
      </c>
      <c r="E263" s="2">
        <v>3.4530254777070044E-2</v>
      </c>
      <c r="F263" s="2">
        <v>5.1409235668789799E-2</v>
      </c>
      <c r="G263" s="2">
        <v>0.17847929936305731</v>
      </c>
      <c r="H263" s="2">
        <v>0.17943471337579614</v>
      </c>
      <c r="I263" s="2">
        <v>0.17242834394904458</v>
      </c>
      <c r="J263" s="2">
        <v>0.14631369426751592</v>
      </c>
    </row>
    <row r="264" spans="1:10">
      <c r="A264" s="2" t="s">
        <v>60</v>
      </c>
      <c r="B264" s="2">
        <v>5</v>
      </c>
      <c r="C264" s="4">
        <v>0.11701433121019106</v>
      </c>
      <c r="D264" s="2">
        <v>0.1889888535031847</v>
      </c>
      <c r="E264" s="2">
        <v>0.1405812101910828</v>
      </c>
      <c r="F264" s="2">
        <v>8.5804140127388503E-2</v>
      </c>
      <c r="G264" s="2">
        <v>9.8224522292993596E-2</v>
      </c>
      <c r="H264" s="2">
        <v>9.3447452229299358E-2</v>
      </c>
      <c r="I264" s="2">
        <v>0.12513535031847131</v>
      </c>
      <c r="J264" s="2">
        <v>6.3192675159235656E-2</v>
      </c>
    </row>
    <row r="265" spans="1:10">
      <c r="A265" s="2" t="s">
        <v>60</v>
      </c>
      <c r="B265" s="2">
        <v>6</v>
      </c>
      <c r="C265" s="4">
        <v>4.2993630573248412E-2</v>
      </c>
      <c r="D265" s="2">
        <v>7.4840764331210188E-2</v>
      </c>
      <c r="E265" s="2">
        <v>4.9363057324840767E-2</v>
      </c>
      <c r="F265" s="2">
        <v>4.6178343949044583E-2</v>
      </c>
      <c r="G265" s="2">
        <v>8.4394904458598721E-2</v>
      </c>
      <c r="H265" s="2">
        <v>9.3949044585987268E-2</v>
      </c>
      <c r="I265" s="2">
        <v>3.1050955414012739E-2</v>
      </c>
      <c r="J265" s="2">
        <v>5.6528662420382167E-2</v>
      </c>
    </row>
    <row r="266" spans="1:10">
      <c r="A266" s="2" t="s">
        <v>61</v>
      </c>
      <c r="B266" s="2">
        <v>1</v>
      </c>
      <c r="C266" s="2">
        <v>0.2021815286624204</v>
      </c>
      <c r="D266" s="2">
        <v>9.8359872611464935E-2</v>
      </c>
      <c r="E266" s="2">
        <v>2.8933121019108287E-2</v>
      </c>
      <c r="F266" s="2">
        <v>4.7085987261146468E-2</v>
      </c>
      <c r="G266" s="2">
        <v>5.7914012738853451E-2</v>
      </c>
      <c r="H266" s="2">
        <v>4.549363057324838E-2</v>
      </c>
      <c r="I266" s="50">
        <v>0.1112579618</v>
      </c>
      <c r="J266" s="50">
        <v>4.2133173840000003E-2</v>
      </c>
    </row>
    <row r="267" spans="1:10">
      <c r="A267" s="2" t="s">
        <v>61</v>
      </c>
      <c r="B267" s="2">
        <v>2</v>
      </c>
      <c r="C267" s="2">
        <v>3.0207006369426737E-2</v>
      </c>
      <c r="D267" s="2">
        <v>0.20154458598726113</v>
      </c>
      <c r="E267" s="2">
        <v>0.20090764331210192</v>
      </c>
      <c r="F267" s="2">
        <v>0.11587579617834394</v>
      </c>
      <c r="G267" s="2">
        <v>0.12670382165605096</v>
      </c>
      <c r="H267" s="2">
        <v>7.9888535031847105E-2</v>
      </c>
      <c r="I267" s="50">
        <v>7.6863057319999997E-2</v>
      </c>
      <c r="J267" s="50">
        <v>9.3807814990000002E-2</v>
      </c>
    </row>
    <row r="268" spans="1:10">
      <c r="A268" s="2" t="s">
        <v>61</v>
      </c>
      <c r="B268" s="2">
        <v>3</v>
      </c>
      <c r="C268" s="2">
        <v>0.27097133757961783</v>
      </c>
      <c r="D268" s="2">
        <v>6.3964968152866217E-2</v>
      </c>
      <c r="E268" s="2">
        <v>9.7722929936305727E-2</v>
      </c>
      <c r="F268" s="2">
        <v>0.21906050955414008</v>
      </c>
      <c r="G268" s="2">
        <v>0.22988853503184709</v>
      </c>
      <c r="H268" s="2">
        <v>0.21746815286624202</v>
      </c>
      <c r="I268" s="50">
        <v>0.12845541399999999</v>
      </c>
      <c r="J268" s="50">
        <v>0.22945374800000001</v>
      </c>
    </row>
    <row r="269" spans="1:10">
      <c r="A269" s="2" t="s">
        <v>61</v>
      </c>
      <c r="B269" s="2">
        <v>4</v>
      </c>
      <c r="C269" s="2">
        <v>0.12694267515923566</v>
      </c>
      <c r="D269" s="2">
        <v>0.12057324840764332</v>
      </c>
      <c r="E269" s="2">
        <v>0.12566878980891721</v>
      </c>
      <c r="F269" s="2">
        <v>3.2038216560509543E-2</v>
      </c>
      <c r="G269" s="2">
        <v>8.2993630573248392E-2</v>
      </c>
      <c r="H269" s="2">
        <v>7.3439490445859859E-2</v>
      </c>
      <c r="I269" s="50">
        <v>8.4745222930000003E-2</v>
      </c>
      <c r="J269" s="50">
        <v>6.4076953749999999E-2</v>
      </c>
    </row>
    <row r="270" spans="1:10">
      <c r="A270" s="2" t="s">
        <v>61</v>
      </c>
      <c r="B270" s="2">
        <v>5</v>
      </c>
      <c r="C270" s="2">
        <v>0.22969745222929935</v>
      </c>
      <c r="D270" s="2">
        <v>3.9888535031847118E-2</v>
      </c>
      <c r="E270" s="2">
        <v>7.3646496815286622E-2</v>
      </c>
      <c r="F270" s="2">
        <v>0.10899681528662418</v>
      </c>
      <c r="G270" s="2">
        <v>0.11982484076433117</v>
      </c>
      <c r="H270" s="2">
        <v>0.10740445859872609</v>
      </c>
      <c r="I270" s="50">
        <v>9.5780254780000004E-2</v>
      </c>
      <c r="J270" s="50">
        <v>0.107641547</v>
      </c>
    </row>
    <row r="271" spans="1:10">
      <c r="A271" s="2" t="s">
        <v>61</v>
      </c>
      <c r="B271" s="2">
        <v>6</v>
      </c>
      <c r="C271" s="2">
        <v>0.15445859872611464</v>
      </c>
      <c r="D271" s="2">
        <v>6.2101910828025478E-2</v>
      </c>
      <c r="E271" s="2">
        <v>0.17038216560509553</v>
      </c>
      <c r="F271" s="2">
        <v>9.3949044585987268E-2</v>
      </c>
      <c r="G271" s="2">
        <v>0.14490445859872611</v>
      </c>
      <c r="H271" s="2">
        <v>0.13535031847133758</v>
      </c>
      <c r="I271" s="50">
        <v>6.9267515919999995E-2</v>
      </c>
      <c r="J271" s="50">
        <v>0.129585327</v>
      </c>
    </row>
    <row r="272" spans="1:10">
      <c r="A272" s="2" t="s">
        <v>62</v>
      </c>
      <c r="B272" s="2">
        <v>1</v>
      </c>
      <c r="C272" s="2">
        <v>0.18562101910828024</v>
      </c>
      <c r="D272" s="2">
        <v>4.8041401273885329E-2</v>
      </c>
      <c r="E272" s="2">
        <v>1.5875796178343941E-2</v>
      </c>
      <c r="F272" s="2">
        <v>1.2054140127388532E-2</v>
      </c>
      <c r="G272" s="2">
        <v>5.0477707006369426E-3</v>
      </c>
      <c r="H272" s="2">
        <v>3.4554140127388568E-3</v>
      </c>
      <c r="I272" s="2">
        <v>7.6226114649681501E-2</v>
      </c>
      <c r="J272" s="2">
        <v>1.8640699523052467E-3</v>
      </c>
    </row>
    <row r="273" spans="1:10">
      <c r="A273" s="2" t="s">
        <v>62</v>
      </c>
      <c r="B273" s="2">
        <v>2</v>
      </c>
      <c r="C273" s="2">
        <v>9.6767515923566833E-2</v>
      </c>
      <c r="D273" s="2">
        <v>0.25727707006369421</v>
      </c>
      <c r="E273" s="2">
        <v>0.1448566878980892</v>
      </c>
      <c r="F273" s="2">
        <v>0.25568471337579624</v>
      </c>
      <c r="G273" s="2">
        <v>0.2142834394904459</v>
      </c>
      <c r="H273" s="2">
        <v>0.20695859872611469</v>
      </c>
      <c r="I273" s="2">
        <v>0.13641719745222927</v>
      </c>
      <c r="J273" s="2">
        <v>0.20790540540540547</v>
      </c>
    </row>
    <row r="274" spans="1:10">
      <c r="A274" s="2" t="s">
        <v>62</v>
      </c>
      <c r="B274" s="2">
        <v>3</v>
      </c>
      <c r="C274" s="2">
        <v>0.28880573248407637</v>
      </c>
      <c r="D274" s="2">
        <v>0.11683121019108279</v>
      </c>
      <c r="E274" s="2">
        <v>0.15345541401273885</v>
      </c>
      <c r="F274" s="2">
        <v>0.18402866242038216</v>
      </c>
      <c r="G274" s="2">
        <v>0.21141719745222928</v>
      </c>
      <c r="H274" s="2">
        <v>0.20982484076433119</v>
      </c>
      <c r="I274" s="2">
        <v>0.16221337579617831</v>
      </c>
      <c r="J274" s="2">
        <v>0.22579093799682032</v>
      </c>
    </row>
    <row r="275" spans="1:10">
      <c r="A275" s="2" t="s">
        <v>62</v>
      </c>
      <c r="B275" s="2">
        <v>4</v>
      </c>
      <c r="C275" s="2">
        <v>3.9944267515923552E-2</v>
      </c>
      <c r="D275" s="2">
        <v>0.10300159235668788</v>
      </c>
      <c r="E275" s="2">
        <v>8.2300955414012722E-2</v>
      </c>
      <c r="F275" s="2">
        <v>0.13580414012738856</v>
      </c>
      <c r="G275" s="2">
        <v>0.11160031847133761</v>
      </c>
      <c r="H275" s="2">
        <v>0.10714171974522296</v>
      </c>
      <c r="I275" s="2">
        <v>3.0867834394904446E-2</v>
      </c>
      <c r="J275" s="2">
        <v>0.10229133545310017</v>
      </c>
    </row>
    <row r="276" spans="1:10">
      <c r="A276" s="2" t="s">
        <v>62</v>
      </c>
      <c r="B276" s="2">
        <v>5</v>
      </c>
      <c r="C276" s="2">
        <v>0.22051751592356686</v>
      </c>
      <c r="D276" s="2">
        <v>4.8542993630573239E-2</v>
      </c>
      <c r="E276" s="2">
        <v>8.8033439490445856E-2</v>
      </c>
      <c r="F276" s="2">
        <v>7.8479299363057323E-2</v>
      </c>
      <c r="G276" s="2">
        <v>0.1116003184713376</v>
      </c>
      <c r="H276" s="2">
        <v>0.12720541401273883</v>
      </c>
      <c r="I276" s="2">
        <v>9.3925159235668784E-2</v>
      </c>
      <c r="J276" s="2">
        <v>0.12175079491255962</v>
      </c>
    </row>
    <row r="277" spans="1:10">
      <c r="A277" s="2" t="s">
        <v>62</v>
      </c>
      <c r="B277" s="2">
        <v>6</v>
      </c>
      <c r="C277" s="2">
        <v>7.4840764331210188E-2</v>
      </c>
      <c r="D277" s="2">
        <v>0.1035031847133758</v>
      </c>
      <c r="E277" s="2">
        <v>0.15445859872611464</v>
      </c>
      <c r="F277" s="2">
        <v>0.20222929936305734</v>
      </c>
      <c r="G277" s="2">
        <v>0.21815286624203822</v>
      </c>
      <c r="H277" s="2">
        <v>0.23089171974522293</v>
      </c>
      <c r="I277" s="2">
        <v>4.8566878980891723E-2</v>
      </c>
      <c r="J277" s="2">
        <v>0.22217806041335453</v>
      </c>
    </row>
    <row r="278" spans="1:10">
      <c r="A278" s="2" t="s">
        <v>63</v>
      </c>
      <c r="B278" s="2">
        <v>1</v>
      </c>
      <c r="C278" s="2">
        <v>7.4156050955413985E-2</v>
      </c>
      <c r="D278" s="2">
        <v>2.3295107033639136E-2</v>
      </c>
      <c r="E278" s="2">
        <v>3.6894904458598728E-2</v>
      </c>
      <c r="F278" s="2">
        <v>6.0031847133757933E-3</v>
      </c>
      <c r="I278" s="2">
        <v>4.3105095541401239E-2</v>
      </c>
      <c r="J278" s="2">
        <v>1.1894904458598725E-2</v>
      </c>
    </row>
    <row r="279" spans="1:10">
      <c r="A279" s="2" t="s">
        <v>63</v>
      </c>
      <c r="B279" s="2">
        <v>2</v>
      </c>
      <c r="C279" s="2">
        <v>7.4156050955413985E-2</v>
      </c>
      <c r="D279" s="2">
        <v>0.11412079510703364</v>
      </c>
      <c r="E279" s="2">
        <v>0.20886942675159237</v>
      </c>
      <c r="F279" s="2">
        <v>0.21237261146496816</v>
      </c>
      <c r="I279" s="2">
        <v>7.7499999999999972E-2</v>
      </c>
      <c r="J279" s="2">
        <v>0.20106687898089171</v>
      </c>
    </row>
    <row r="280" spans="1:10">
      <c r="A280" s="2" t="s">
        <v>63</v>
      </c>
      <c r="B280" s="2">
        <v>3</v>
      </c>
      <c r="C280" s="2">
        <v>0.23753184713375788</v>
      </c>
      <c r="D280" s="2">
        <v>0.18568042813455657</v>
      </c>
      <c r="E280" s="2">
        <v>0.21173566878980893</v>
      </c>
      <c r="F280" s="2">
        <v>0.20950636942675155</v>
      </c>
      <c r="I280" s="2">
        <v>0.2093471337579618</v>
      </c>
      <c r="J280" s="2">
        <v>0.20106687898089173</v>
      </c>
    </row>
    <row r="281" spans="1:10">
      <c r="A281" s="2" t="s">
        <v>63</v>
      </c>
      <c r="B281" s="2">
        <v>4</v>
      </c>
      <c r="C281" s="2">
        <v>4.0262738853503177E-2</v>
      </c>
      <c r="D281" s="2">
        <v>4.4625382262996942E-2</v>
      </c>
      <c r="E281" s="2">
        <v>0.14344745222929939</v>
      </c>
      <c r="F281" s="2">
        <v>0.11255573248407647</v>
      </c>
      <c r="I281" s="2">
        <v>3.5007961783439477E-2</v>
      </c>
      <c r="J281" s="2">
        <v>0.11844745222929937</v>
      </c>
    </row>
    <row r="282" spans="1:10">
      <c r="A282" s="2" t="s">
        <v>63</v>
      </c>
      <c r="B282" s="2">
        <v>5</v>
      </c>
      <c r="C282" s="2">
        <v>0.14058121019108277</v>
      </c>
      <c r="D282" s="2">
        <v>0.10634556574923547</v>
      </c>
      <c r="E282" s="2">
        <v>5.746019108280255E-2</v>
      </c>
      <c r="F282" s="2">
        <v>9.2492038216560504E-2</v>
      </c>
      <c r="I282" s="2">
        <v>0.11956210191082799</v>
      </c>
      <c r="J282" s="2">
        <v>6.5421974522292994E-2</v>
      </c>
    </row>
    <row r="283" spans="1:10">
      <c r="A283" s="2" t="s">
        <v>63</v>
      </c>
      <c r="B283" s="2">
        <v>6</v>
      </c>
      <c r="C283" s="2">
        <v>0.10668789808917198</v>
      </c>
      <c r="D283" s="2">
        <v>0.12767584097859327</v>
      </c>
      <c r="E283" s="2">
        <v>0.16401273885350318</v>
      </c>
      <c r="F283" s="2">
        <v>0.19904458598726116</v>
      </c>
      <c r="I283" s="2">
        <v>0.11146496815286625</v>
      </c>
      <c r="J283" s="2">
        <v>0.17197452229299362</v>
      </c>
    </row>
    <row r="284" spans="1:10">
      <c r="A284" s="2" t="s">
        <v>64</v>
      </c>
      <c r="B284" s="2">
        <v>1</v>
      </c>
      <c r="C284" s="2">
        <v>0.22288216560509549</v>
      </c>
      <c r="D284" s="2">
        <v>7.67038216560509E-2</v>
      </c>
      <c r="E284" s="2">
        <v>2.4824159021406712E-2</v>
      </c>
      <c r="F284" s="2">
        <v>6.95859872611465E-3</v>
      </c>
      <c r="G284" s="2">
        <v>2.5000000000000044E-3</v>
      </c>
      <c r="I284" s="2">
        <v>0.11794585987261141</v>
      </c>
      <c r="J284" s="2">
        <v>1.4666136724960296E-3</v>
      </c>
    </row>
    <row r="285" spans="1:10">
      <c r="A285" s="2" t="s">
        <v>64</v>
      </c>
      <c r="B285" s="2">
        <v>2</v>
      </c>
      <c r="C285" s="2">
        <v>0.18848726114649675</v>
      </c>
      <c r="D285" s="2">
        <v>0.21428343949044582</v>
      </c>
      <c r="E285" s="2">
        <v>0.22574159021406723</v>
      </c>
      <c r="F285" s="2">
        <v>0.21332802547770696</v>
      </c>
      <c r="G285" s="2">
        <v>0.20886942675159237</v>
      </c>
      <c r="I285" s="2">
        <v>0.16953821656050949</v>
      </c>
      <c r="J285" s="2">
        <v>0.19105325914149443</v>
      </c>
    </row>
    <row r="286" spans="1:10">
      <c r="A286" s="2" t="s">
        <v>64</v>
      </c>
      <c r="B286" s="2">
        <v>3</v>
      </c>
      <c r="C286" s="2">
        <v>0.18848726114649675</v>
      </c>
      <c r="D286" s="2">
        <v>0.11109872611464963</v>
      </c>
      <c r="E286" s="2">
        <v>0.15693425076452597</v>
      </c>
      <c r="F286" s="2">
        <v>0.14453821656050955</v>
      </c>
      <c r="G286" s="2">
        <v>0.20886942675159237</v>
      </c>
      <c r="I286" s="2">
        <v>0.11794585987261143</v>
      </c>
      <c r="J286" s="2">
        <v>0.18962241653418122</v>
      </c>
    </row>
    <row r="287" spans="1:10">
      <c r="A287" s="2" t="s">
        <v>64</v>
      </c>
      <c r="B287" s="2">
        <v>4</v>
      </c>
      <c r="C287" s="2">
        <v>0.13453025477707004</v>
      </c>
      <c r="D287" s="2">
        <v>9.1536624203821623E-2</v>
      </c>
      <c r="E287" s="2">
        <v>8.193425076452597E-2</v>
      </c>
      <c r="F287" s="2">
        <v>0.11064490445859874</v>
      </c>
      <c r="G287" s="2">
        <v>0.12625000000000003</v>
      </c>
      <c r="I287" s="2">
        <v>8.118630573248406E-2</v>
      </c>
      <c r="J287" s="2">
        <v>0.11047893481717012</v>
      </c>
    </row>
    <row r="288" spans="1:10">
      <c r="A288" s="2" t="s">
        <v>64</v>
      </c>
      <c r="B288" s="2">
        <v>5</v>
      </c>
      <c r="C288" s="2">
        <v>0.13453025477707001</v>
      </c>
      <c r="D288" s="2">
        <v>6.0007961783439472E-2</v>
      </c>
      <c r="E288" s="2">
        <v>5.833333333333332E-2</v>
      </c>
      <c r="F288" s="2">
        <v>7.6250000000000012E-2</v>
      </c>
      <c r="G288" s="2">
        <v>0.12625</v>
      </c>
      <c r="I288" s="2">
        <v>6.5421974522292967E-2</v>
      </c>
      <c r="J288" s="2">
        <v>0.10203696343402227</v>
      </c>
    </row>
    <row r="289" spans="1:10">
      <c r="A289" s="2" t="s">
        <v>64</v>
      </c>
      <c r="B289" s="2">
        <v>6</v>
      </c>
      <c r="C289" s="2">
        <v>4.6178343949044583E-2</v>
      </c>
      <c r="D289" s="2">
        <v>7.4840764331210188E-2</v>
      </c>
      <c r="E289" s="2">
        <v>0.1154434250764526</v>
      </c>
      <c r="F289" s="2">
        <v>0.17993630573248406</v>
      </c>
      <c r="G289" s="2">
        <v>0.25</v>
      </c>
      <c r="I289" s="2">
        <v>2.8662420382165609E-2</v>
      </c>
      <c r="J289" s="2">
        <v>0.21104928457869634</v>
      </c>
    </row>
    <row r="290" spans="1:10">
      <c r="A290" s="2" t="s">
        <v>65</v>
      </c>
      <c r="B290" s="2">
        <v>1</v>
      </c>
      <c r="C290" s="2">
        <v>0.17447452229299365</v>
      </c>
      <c r="D290" s="2">
        <v>4.8041401273885322E-2</v>
      </c>
      <c r="E290" s="2">
        <v>3.7531847133757942E-2</v>
      </c>
      <c r="F290" s="2">
        <v>1.6831210191082791E-2</v>
      </c>
      <c r="G290" s="2">
        <v>2.797770700636943E-2</v>
      </c>
      <c r="H290" s="2">
        <v>1.2372611464968149E-2</v>
      </c>
      <c r="I290" s="2">
        <v>8.8168789808917153E-2</v>
      </c>
      <c r="J290" s="2">
        <v>7.412836767036449E-3</v>
      </c>
    </row>
    <row r="291" spans="1:10">
      <c r="A291" s="2" t="s">
        <v>65</v>
      </c>
      <c r="B291" s="2">
        <v>2</v>
      </c>
      <c r="C291" s="2">
        <v>4.5493630573248366E-2</v>
      </c>
      <c r="D291" s="2">
        <v>0.17702229299363056</v>
      </c>
      <c r="E291" s="2">
        <v>0.17797770700636942</v>
      </c>
      <c r="F291" s="2">
        <v>0.14581210191082805</v>
      </c>
      <c r="G291" s="2">
        <v>0.23721337579617838</v>
      </c>
      <c r="H291" s="2">
        <v>0.2560031847133758</v>
      </c>
      <c r="I291" s="2">
        <v>8.8168789808917167E-2</v>
      </c>
      <c r="J291" s="2">
        <v>0.25345087163232966</v>
      </c>
    </row>
    <row r="292" spans="1:10">
      <c r="A292" s="2" t="s">
        <v>65</v>
      </c>
      <c r="B292" s="2">
        <v>3</v>
      </c>
      <c r="C292" s="2">
        <v>0.22893312101910826</v>
      </c>
      <c r="D292" s="2">
        <v>0.13689490445859873</v>
      </c>
      <c r="E292" s="2">
        <v>0.16651273885350318</v>
      </c>
      <c r="F292" s="2">
        <v>0.22033439490445855</v>
      </c>
      <c r="G292" s="2">
        <v>0.23721337579617835</v>
      </c>
      <c r="H292" s="2">
        <v>0.21587579617834393</v>
      </c>
      <c r="I292" s="2">
        <v>0.15982484076433118</v>
      </c>
      <c r="J292" s="2">
        <v>0.21280110935023769</v>
      </c>
    </row>
    <row r="293" spans="1:10">
      <c r="A293" s="2" t="s">
        <v>65</v>
      </c>
      <c r="B293" s="2">
        <v>4</v>
      </c>
      <c r="C293" s="2">
        <v>9.4721337579617829E-2</v>
      </c>
      <c r="D293" s="2">
        <v>6.2874203821656038E-2</v>
      </c>
      <c r="E293" s="2">
        <v>7.5294585987261145E-2</v>
      </c>
      <c r="F293" s="2">
        <v>6.6058917197452216E-2</v>
      </c>
      <c r="G293" s="2">
        <v>0.13453025477707009</v>
      </c>
      <c r="H293" s="2">
        <v>0.13612261146496818</v>
      </c>
      <c r="I293" s="2">
        <v>5.5708598726114639E-2</v>
      </c>
      <c r="J293" s="2">
        <v>0.1231933438985737</v>
      </c>
    </row>
    <row r="294" spans="1:10">
      <c r="A294" s="2" t="s">
        <v>65</v>
      </c>
      <c r="B294" s="2">
        <v>5</v>
      </c>
      <c r="C294" s="2">
        <v>0.18644108280254776</v>
      </c>
      <c r="D294" s="2">
        <v>6.0007961783439458E-2</v>
      </c>
      <c r="E294" s="2">
        <v>0.10395700636942674</v>
      </c>
      <c r="F294" s="2">
        <v>8.6122611464968149E-2</v>
      </c>
      <c r="G294" s="2">
        <v>8.2937898089171971E-2</v>
      </c>
      <c r="H294" s="2">
        <v>8.1664012738853514E-2</v>
      </c>
      <c r="I294" s="2">
        <v>0.10013535031847132</v>
      </c>
      <c r="J294" s="2">
        <v>6.9243264659270998E-2</v>
      </c>
    </row>
    <row r="295" spans="1:10">
      <c r="A295" s="2" t="s">
        <v>65</v>
      </c>
      <c r="B295" s="2">
        <v>6</v>
      </c>
      <c r="C295" s="2">
        <v>0.10668789808917198</v>
      </c>
      <c r="D295" s="2">
        <v>7.4840764331210188E-2</v>
      </c>
      <c r="E295" s="2">
        <v>0.14171974522292993</v>
      </c>
      <c r="F295" s="2">
        <v>0.13535031847133758</v>
      </c>
      <c r="G295" s="2">
        <v>0.18949044585987262</v>
      </c>
      <c r="H295" s="2">
        <v>0.20541401273885351</v>
      </c>
      <c r="I295" s="2">
        <v>6.7675159235668789E-2</v>
      </c>
      <c r="J295" s="2">
        <v>0.18502377179080823</v>
      </c>
    </row>
    <row r="296" spans="1:10">
      <c r="A296" s="2" t="s">
        <v>66</v>
      </c>
      <c r="B296" s="2">
        <v>1</v>
      </c>
      <c r="C296" s="2">
        <v>0.18020700636942669</v>
      </c>
      <c r="D296" s="2">
        <v>0.22256369426751585</v>
      </c>
      <c r="E296" s="2">
        <v>8.0007598784194486E-2</v>
      </c>
      <c r="F296" s="2">
        <v>0.26693768996960482</v>
      </c>
      <c r="G296" s="2">
        <v>2.8296178343949038E-2</v>
      </c>
      <c r="H296" s="2">
        <v>5.8639143730886828E-3</v>
      </c>
      <c r="I296" s="2">
        <v>0.19183121019108276</v>
      </c>
      <c r="J296" s="2">
        <v>8.6208267090619982E-3</v>
      </c>
    </row>
    <row r="297" spans="1:10">
      <c r="A297" s="2" t="s">
        <v>66</v>
      </c>
      <c r="B297" s="2">
        <v>2</v>
      </c>
      <c r="C297" s="2">
        <v>0.18020700636942669</v>
      </c>
      <c r="D297" s="2">
        <v>0.25695859872611454</v>
      </c>
      <c r="E297" s="2">
        <v>0.14566109422492399</v>
      </c>
      <c r="F297" s="2">
        <v>0.33259118541033428</v>
      </c>
      <c r="G297" s="2">
        <v>0.20027070063694269</v>
      </c>
      <c r="H297" s="2">
        <v>0.13797400611620797</v>
      </c>
      <c r="I297" s="2">
        <v>0.20902866242038215</v>
      </c>
      <c r="J297" s="2">
        <v>0.1495588235294118</v>
      </c>
    </row>
    <row r="298" spans="1:10">
      <c r="A298" s="2" t="s">
        <v>66</v>
      </c>
      <c r="B298" s="2">
        <v>3</v>
      </c>
      <c r="C298" s="2">
        <v>0.18020700636942669</v>
      </c>
      <c r="D298" s="2">
        <v>0.18816878980891713</v>
      </c>
      <c r="E298" s="2">
        <v>0.17848784194528872</v>
      </c>
      <c r="F298" s="2">
        <v>0.33259118541033428</v>
      </c>
      <c r="G298" s="2">
        <v>0.16587579617834394</v>
      </c>
      <c r="H298" s="2">
        <v>0.20127675840978593</v>
      </c>
      <c r="I298" s="2">
        <v>0.1746337579617834</v>
      </c>
      <c r="J298" s="2">
        <v>0.17960651828298888</v>
      </c>
    </row>
    <row r="299" spans="1:10">
      <c r="A299" s="2" t="s">
        <v>66</v>
      </c>
      <c r="B299" s="2">
        <v>4</v>
      </c>
      <c r="C299" s="2">
        <v>0.16351114649681525</v>
      </c>
      <c r="D299" s="2">
        <v>0.16574044585987255</v>
      </c>
      <c r="E299" s="2">
        <v>6.7150455927051642E-2</v>
      </c>
      <c r="F299" s="2">
        <v>0.17748480243161094</v>
      </c>
      <c r="G299" s="2">
        <v>7.4657643312101896E-2</v>
      </c>
      <c r="H299" s="2">
        <v>9.166666666666666E-2</v>
      </c>
      <c r="I299" s="2">
        <v>0.15507165605095538</v>
      </c>
      <c r="J299" s="2">
        <v>7.3277027027027014E-2</v>
      </c>
    </row>
    <row r="300" spans="1:10">
      <c r="A300" s="2" t="s">
        <v>66</v>
      </c>
      <c r="B300" s="2">
        <v>5</v>
      </c>
      <c r="C300" s="2">
        <v>9.4721337579617829E-2</v>
      </c>
      <c r="D300" s="2">
        <v>9.9816878980891699E-2</v>
      </c>
      <c r="E300" s="2">
        <v>8.0486322188449838E-2</v>
      </c>
      <c r="F300" s="2">
        <v>0.22091185410334349</v>
      </c>
      <c r="G300" s="2">
        <v>0.11765127388535031</v>
      </c>
      <c r="H300" s="2">
        <v>0.11526758409785931</v>
      </c>
      <c r="I300" s="2">
        <v>8.7714968152866238E-2</v>
      </c>
      <c r="J300" s="2">
        <v>0.11062201907790142</v>
      </c>
    </row>
    <row r="301" spans="1:10">
      <c r="A301" s="2" t="s">
        <v>66</v>
      </c>
      <c r="B301" s="2">
        <v>6</v>
      </c>
      <c r="C301" s="2">
        <v>7.8025477707006366E-2</v>
      </c>
      <c r="D301" s="2">
        <v>4.2993630573248405E-2</v>
      </c>
      <c r="E301" s="2">
        <v>6.7629179331306993E-2</v>
      </c>
      <c r="F301" s="2">
        <v>0.13145896656534956</v>
      </c>
      <c r="G301" s="2">
        <v>0.16401273885350318</v>
      </c>
      <c r="H301" s="2">
        <v>0.20107033639143732</v>
      </c>
      <c r="I301" s="2">
        <v>5.0955414012738856E-2</v>
      </c>
      <c r="J301" s="2">
        <v>0.17527821939586646</v>
      </c>
    </row>
    <row r="302" spans="1:10">
      <c r="A302" s="12" t="s">
        <v>67</v>
      </c>
      <c r="B302" s="2">
        <v>1</v>
      </c>
      <c r="C302" s="2">
        <v>0.17351910828025474</v>
      </c>
      <c r="D302" s="2">
        <v>0.1207370820668693</v>
      </c>
      <c r="E302" s="2">
        <v>0.15565614617940196</v>
      </c>
      <c r="F302" s="2">
        <v>6.0031847133757985E-3</v>
      </c>
      <c r="I302" s="2">
        <v>0.13429237631792373</v>
      </c>
      <c r="J302" s="2">
        <v>4.486883942766294E-2</v>
      </c>
    </row>
    <row r="303" spans="1:10">
      <c r="A303" s="12" t="s">
        <v>67</v>
      </c>
      <c r="B303" s="2">
        <v>2</v>
      </c>
      <c r="C303" s="2">
        <v>0.18785031847133757</v>
      </c>
      <c r="D303" s="2">
        <v>0.12894376899696047</v>
      </c>
      <c r="E303" s="2">
        <v>0.21246677740863784</v>
      </c>
      <c r="F303" s="2">
        <v>0.21523885350318475</v>
      </c>
      <c r="I303" s="2">
        <v>0.14597120843471204</v>
      </c>
      <c r="J303" s="2">
        <v>0.17650635930047695</v>
      </c>
    </row>
    <row r="304" spans="1:10">
      <c r="A304" s="12" t="s">
        <v>67</v>
      </c>
      <c r="B304" s="2">
        <v>3</v>
      </c>
      <c r="C304" s="2">
        <v>0.27670382165605095</v>
      </c>
      <c r="D304" s="2">
        <v>0.2192173252279635</v>
      </c>
      <c r="E304" s="2">
        <v>0.22741694352159464</v>
      </c>
      <c r="F304" s="2">
        <v>0.21237261146496816</v>
      </c>
      <c r="I304" s="2">
        <v>0.23940186536901861</v>
      </c>
      <c r="J304" s="2">
        <v>0.1822297297297297</v>
      </c>
    </row>
    <row r="305" spans="1:10">
      <c r="A305" s="12" t="s">
        <v>67</v>
      </c>
      <c r="B305" s="2">
        <v>4</v>
      </c>
      <c r="C305" s="2">
        <v>9.8280254777070059E-2</v>
      </c>
      <c r="D305" s="2">
        <v>8.2097264437689957E-2</v>
      </c>
      <c r="E305" s="2">
        <v>9.6378737541528217E-2</v>
      </c>
      <c r="F305" s="2">
        <v>8.5541401273885348E-2</v>
      </c>
      <c r="I305" s="2">
        <v>7.3708434712084325E-2</v>
      </c>
      <c r="J305" s="2">
        <v>4.4636327503974553E-2</v>
      </c>
    </row>
    <row r="306" spans="1:10">
      <c r="A306" s="12" t="s">
        <v>67</v>
      </c>
      <c r="B306" s="2">
        <v>5</v>
      </c>
      <c r="C306" s="2">
        <v>0.11504777070063692</v>
      </c>
      <c r="D306" s="2">
        <v>0.13058510638297871</v>
      </c>
      <c r="E306" s="2">
        <v>7.6719269102990012E-2</v>
      </c>
      <c r="F306" s="2">
        <v>0.11950636942675159</v>
      </c>
      <c r="I306" s="2">
        <v>0.11025952960259529</v>
      </c>
      <c r="J306" s="2">
        <v>6.5812798092209843E-2</v>
      </c>
    </row>
    <row r="307" spans="1:10">
      <c r="A307" s="12" t="s">
        <v>67</v>
      </c>
      <c r="B307" s="2">
        <v>6</v>
      </c>
      <c r="C307" s="2">
        <v>3.9808917197452227E-2</v>
      </c>
      <c r="D307" s="2">
        <v>9.1945288753799398E-2</v>
      </c>
      <c r="E307" s="2">
        <v>1.7441860465116279E-2</v>
      </c>
      <c r="F307" s="2">
        <v>0.19904458598726116</v>
      </c>
      <c r="I307" s="2">
        <v>4.9675587996755879E-2</v>
      </c>
      <c r="J307" s="2">
        <v>6.5580286168521462E-2</v>
      </c>
    </row>
    <row r="308" spans="1:10">
      <c r="A308" s="2" t="s">
        <v>68</v>
      </c>
      <c r="B308" s="2">
        <v>1</v>
      </c>
      <c r="C308" s="2">
        <v>0.22479299363057323</v>
      </c>
      <c r="D308" s="2">
        <v>3.9124203821656024E-2</v>
      </c>
      <c r="E308" s="2">
        <v>1.3328025477707003E-2</v>
      </c>
      <c r="F308" s="2">
        <v>3.7738853503184763E-3</v>
      </c>
      <c r="I308" s="2">
        <v>9.5334394904458566E-2</v>
      </c>
      <c r="J308" s="2">
        <v>3.0546751188589532E-3</v>
      </c>
    </row>
    <row r="309" spans="1:10">
      <c r="A309" s="2" t="s">
        <v>68</v>
      </c>
      <c r="B309" s="2">
        <v>2</v>
      </c>
      <c r="C309" s="2">
        <v>0.15600318471337574</v>
      </c>
      <c r="D309" s="2">
        <v>0.17670382165605095</v>
      </c>
      <c r="E309" s="2">
        <v>0.18530254777070065</v>
      </c>
      <c r="F309" s="2">
        <v>0.21014331210191084</v>
      </c>
      <c r="I309" s="2">
        <v>0.1297292993630573</v>
      </c>
      <c r="J309" s="2">
        <v>0.19132725832012676</v>
      </c>
    </row>
    <row r="310" spans="1:10">
      <c r="A310" s="2" t="s">
        <v>68</v>
      </c>
      <c r="B310" s="2">
        <v>3</v>
      </c>
      <c r="C310" s="2">
        <v>0.13020700636942673</v>
      </c>
      <c r="D310" s="2">
        <v>0.17383757961783439</v>
      </c>
      <c r="E310" s="2">
        <v>0.2569585987261146</v>
      </c>
      <c r="F310" s="2">
        <v>0.24740445859872612</v>
      </c>
      <c r="I310" s="2">
        <v>0.1153980891719745</v>
      </c>
      <c r="J310" s="2">
        <v>0.26620839936608559</v>
      </c>
    </row>
    <row r="311" spans="1:10">
      <c r="A311" s="2" t="s">
        <v>68</v>
      </c>
      <c r="B311" s="2">
        <v>4</v>
      </c>
      <c r="C311" s="2">
        <v>0.14912420382165603</v>
      </c>
      <c r="D311" s="2">
        <v>4.9442675159235658E-2</v>
      </c>
      <c r="E311" s="2">
        <v>9.243630573248407E-2</v>
      </c>
      <c r="F311" s="2">
        <v>0.1000796178343949</v>
      </c>
      <c r="I311" s="2">
        <v>6.2659235668789795E-2</v>
      </c>
      <c r="J311" s="2">
        <v>8.654714738510301E-2</v>
      </c>
    </row>
    <row r="312" spans="1:10">
      <c r="A312" s="2" t="s">
        <v>68</v>
      </c>
      <c r="B312" s="2">
        <v>5</v>
      </c>
      <c r="C312" s="2">
        <v>0.16961783439490444</v>
      </c>
      <c r="D312" s="2">
        <v>0.11866242038216558</v>
      </c>
      <c r="E312" s="2">
        <v>0.10719745222929936</v>
      </c>
      <c r="F312" s="2">
        <v>0.13777070063694269</v>
      </c>
      <c r="I312" s="2">
        <v>0.10751592356687895</v>
      </c>
      <c r="J312" s="2">
        <v>0.12213351822503961</v>
      </c>
    </row>
    <row r="313" spans="1:10">
      <c r="A313" s="2" t="s">
        <v>68</v>
      </c>
      <c r="B313" s="2">
        <v>6</v>
      </c>
      <c r="C313" s="2">
        <v>9.3949044585987268E-2</v>
      </c>
      <c r="D313" s="2">
        <v>0.12898089171974522</v>
      </c>
      <c r="E313" s="2">
        <v>0.18630573248407642</v>
      </c>
      <c r="F313" s="2">
        <v>0.23407643312101911</v>
      </c>
      <c r="I313" s="2">
        <v>7.4840764331210188E-2</v>
      </c>
      <c r="J313" s="2">
        <v>0.20562599049128369</v>
      </c>
    </row>
    <row r="314" spans="1:10" ht="15" customHeight="1">
      <c r="A314" t="s">
        <v>104</v>
      </c>
      <c r="B314" s="2">
        <v>1</v>
      </c>
      <c r="I314" s="52">
        <v>2.5589171974522294E-2</v>
      </c>
      <c r="J314" s="52">
        <v>2.5589171974522294E-2</v>
      </c>
    </row>
    <row r="315" spans="1:10" ht="15" customHeight="1">
      <c r="A315" t="s">
        <v>104</v>
      </c>
      <c r="B315" s="2">
        <v>2</v>
      </c>
      <c r="I315" s="53">
        <v>0.1115764331210191</v>
      </c>
      <c r="J315" s="53">
        <v>0.1115764331210191</v>
      </c>
    </row>
    <row r="316" spans="1:10" ht="15" customHeight="1">
      <c r="A316" t="s">
        <v>104</v>
      </c>
      <c r="B316" s="2">
        <v>3</v>
      </c>
      <c r="I316" s="53">
        <v>0.30648089171974519</v>
      </c>
      <c r="J316" s="53">
        <v>0.30648089171974519</v>
      </c>
    </row>
    <row r="317" spans="1:10" ht="15" customHeight="1">
      <c r="A317" t="s">
        <v>104</v>
      </c>
      <c r="B317" s="2">
        <v>4</v>
      </c>
      <c r="I317" s="53">
        <v>3.590764331210191E-2</v>
      </c>
      <c r="J317" s="53">
        <v>3.590764331210191E-2</v>
      </c>
    </row>
    <row r="318" spans="1:10" ht="15" customHeight="1">
      <c r="A318" t="s">
        <v>104</v>
      </c>
      <c r="B318" s="2">
        <v>5</v>
      </c>
      <c r="I318" s="53">
        <v>0.13378980891719744</v>
      </c>
      <c r="J318" s="53">
        <v>0.13378980891719744</v>
      </c>
    </row>
    <row r="319" spans="1:10" ht="15" customHeight="1">
      <c r="A319" t="s">
        <v>104</v>
      </c>
      <c r="B319" s="2">
        <v>6</v>
      </c>
      <c r="I319" s="53">
        <v>0.14410828025477707</v>
      </c>
      <c r="J319" s="53">
        <v>0.14410828025477707</v>
      </c>
    </row>
  </sheetData>
  <autoFilter ref="A182:A193" xr:uid="{00000000-0009-0000-0000-000035000000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FA1003"/>
  <sheetViews>
    <sheetView workbookViewId="0"/>
  </sheetViews>
  <sheetFormatPr baseColWidth="10" defaultColWidth="14.5" defaultRowHeight="15" customHeight="1"/>
  <cols>
    <col min="2" max="2" width="23.33203125" customWidth="1"/>
    <col min="3" max="3" width="17.5" customWidth="1"/>
    <col min="10" max="10" width="16.5" customWidth="1"/>
    <col min="26" max="30" width="14.6640625" customWidth="1"/>
    <col min="31" max="157" width="15" customWidth="1"/>
  </cols>
  <sheetData>
    <row r="1" spans="1:157">
      <c r="B1" s="59" t="s">
        <v>18</v>
      </c>
      <c r="C1" s="60"/>
      <c r="D1" s="60"/>
      <c r="E1" s="60"/>
      <c r="F1" s="61"/>
      <c r="G1" s="62" t="s">
        <v>20</v>
      </c>
      <c r="H1" s="60"/>
      <c r="I1" s="60"/>
      <c r="J1" s="60"/>
      <c r="K1" s="60"/>
      <c r="L1" s="60"/>
      <c r="M1" s="61"/>
      <c r="N1" s="59" t="s">
        <v>48</v>
      </c>
      <c r="O1" s="60"/>
      <c r="P1" s="60"/>
      <c r="Q1" s="60"/>
      <c r="R1" s="61"/>
      <c r="S1" s="59" t="s">
        <v>49</v>
      </c>
      <c r="T1" s="60"/>
      <c r="U1" s="60"/>
      <c r="V1" s="60"/>
      <c r="W1" s="60"/>
      <c r="X1" s="60"/>
      <c r="Y1" s="61"/>
      <c r="Z1" s="63" t="s">
        <v>50</v>
      </c>
      <c r="AA1" s="60"/>
      <c r="AB1" s="60"/>
      <c r="AC1" s="60"/>
      <c r="AD1" s="60"/>
      <c r="AE1" s="61"/>
      <c r="AF1" s="14" t="s">
        <v>51</v>
      </c>
      <c r="AG1" s="15"/>
      <c r="AH1" s="15"/>
      <c r="AI1" s="15"/>
      <c r="AJ1" s="15"/>
      <c r="AK1" s="15"/>
      <c r="AL1" s="16"/>
      <c r="AM1" s="14"/>
      <c r="AN1" s="15"/>
      <c r="AO1" s="15"/>
      <c r="AP1" s="15"/>
      <c r="AQ1" s="15"/>
      <c r="AR1" s="15"/>
      <c r="AS1" s="16"/>
      <c r="AT1" s="14"/>
      <c r="AU1" s="15"/>
      <c r="AV1" s="15"/>
      <c r="AW1" s="15"/>
      <c r="AX1" s="16"/>
      <c r="AY1" s="14"/>
      <c r="AZ1" s="15"/>
      <c r="BA1" s="15"/>
      <c r="BB1" s="15"/>
      <c r="BC1" s="15"/>
      <c r="BD1" s="16"/>
      <c r="BE1" s="14"/>
      <c r="BF1" s="15"/>
      <c r="BG1" s="15"/>
      <c r="BH1" s="15"/>
      <c r="BI1" s="15"/>
      <c r="BJ1" s="16"/>
      <c r="BK1" s="7"/>
      <c r="BL1" s="7"/>
      <c r="BM1" s="7"/>
      <c r="BN1" s="7"/>
      <c r="BO1" s="7"/>
      <c r="BP1" s="7"/>
      <c r="BQ1" s="7"/>
      <c r="BR1" s="13"/>
      <c r="BS1" s="15"/>
      <c r="BT1" s="15"/>
      <c r="BU1" s="15"/>
      <c r="BV1" s="15"/>
      <c r="BW1" s="15"/>
      <c r="BX1" s="16"/>
      <c r="BY1" s="13"/>
      <c r="BZ1" s="15"/>
      <c r="CA1" s="15"/>
      <c r="CB1" s="15"/>
      <c r="CC1" s="15"/>
      <c r="CD1" s="15"/>
      <c r="CE1" s="16"/>
      <c r="CF1" s="7"/>
      <c r="CG1" s="7"/>
      <c r="CH1" s="7"/>
      <c r="CI1" s="7"/>
      <c r="CJ1" s="7"/>
      <c r="CK1" s="7"/>
      <c r="CL1" s="4"/>
      <c r="CM1" s="4"/>
      <c r="CN1" s="4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</row>
    <row r="2" spans="1:157">
      <c r="B2" s="17" t="s">
        <v>18</v>
      </c>
      <c r="C2" s="7" t="s">
        <v>80</v>
      </c>
      <c r="D2" s="7" t="s">
        <v>81</v>
      </c>
      <c r="E2" s="7" t="s">
        <v>82</v>
      </c>
      <c r="F2" s="18" t="s">
        <v>83</v>
      </c>
      <c r="G2" s="19" t="s">
        <v>20</v>
      </c>
      <c r="H2" s="20" t="s">
        <v>84</v>
      </c>
      <c r="I2" s="20" t="s">
        <v>81</v>
      </c>
      <c r="J2" s="20" t="s">
        <v>82</v>
      </c>
      <c r="K2" s="20" t="s">
        <v>83</v>
      </c>
      <c r="L2" s="20" t="s">
        <v>85</v>
      </c>
      <c r="M2" s="21" t="s">
        <v>86</v>
      </c>
      <c r="N2" s="17" t="s">
        <v>48</v>
      </c>
      <c r="O2" s="7" t="s">
        <v>80</v>
      </c>
      <c r="P2" s="7" t="s">
        <v>81</v>
      </c>
      <c r="Q2" s="7" t="s">
        <v>87</v>
      </c>
      <c r="R2" s="18" t="s">
        <v>83</v>
      </c>
      <c r="S2" s="17" t="s">
        <v>49</v>
      </c>
      <c r="T2" s="7" t="s">
        <v>80</v>
      </c>
      <c r="U2" s="7" t="s">
        <v>81</v>
      </c>
      <c r="V2" s="7" t="s">
        <v>87</v>
      </c>
      <c r="W2" s="7" t="s">
        <v>88</v>
      </c>
      <c r="X2" s="7" t="s">
        <v>89</v>
      </c>
      <c r="Y2" s="18" t="s">
        <v>90</v>
      </c>
      <c r="Z2" s="22" t="s">
        <v>50</v>
      </c>
      <c r="AA2" s="7" t="s">
        <v>84</v>
      </c>
      <c r="AB2" s="7" t="s">
        <v>91</v>
      </c>
      <c r="AC2" s="7" t="s">
        <v>82</v>
      </c>
      <c r="AD2" s="7" t="s">
        <v>83</v>
      </c>
      <c r="AE2" s="18" t="s">
        <v>85</v>
      </c>
      <c r="AF2" s="17" t="s">
        <v>51</v>
      </c>
      <c r="AG2" s="7" t="s">
        <v>84</v>
      </c>
      <c r="AH2" s="7" t="s">
        <v>91</v>
      </c>
      <c r="AI2" s="7" t="s">
        <v>82</v>
      </c>
      <c r="AJ2" s="7" t="s">
        <v>88</v>
      </c>
      <c r="AK2" s="7" t="s">
        <v>89</v>
      </c>
      <c r="AL2" s="18" t="s">
        <v>90</v>
      </c>
      <c r="AM2" s="17" t="s">
        <v>52</v>
      </c>
      <c r="AN2" s="7" t="s">
        <v>80</v>
      </c>
      <c r="AO2" s="7" t="s">
        <v>81</v>
      </c>
      <c r="AP2" s="7" t="s">
        <v>82</v>
      </c>
      <c r="AQ2" s="7" t="s">
        <v>88</v>
      </c>
      <c r="AR2" s="7" t="s">
        <v>89</v>
      </c>
      <c r="AS2" s="18" t="s">
        <v>90</v>
      </c>
      <c r="AT2" s="22" t="s">
        <v>53</v>
      </c>
      <c r="AU2" s="7" t="s">
        <v>80</v>
      </c>
      <c r="AV2" s="7" t="s">
        <v>81</v>
      </c>
      <c r="AW2" s="7" t="s">
        <v>82</v>
      </c>
      <c r="AX2" s="18" t="s">
        <v>83</v>
      </c>
      <c r="AY2" s="22" t="s">
        <v>54</v>
      </c>
      <c r="AZ2" s="7" t="s">
        <v>80</v>
      </c>
      <c r="BA2" s="7" t="s">
        <v>92</v>
      </c>
      <c r="BB2" s="7" t="s">
        <v>93</v>
      </c>
      <c r="BC2" s="7" t="s">
        <v>88</v>
      </c>
      <c r="BD2" s="18" t="s">
        <v>89</v>
      </c>
      <c r="BE2" s="22" t="s">
        <v>55</v>
      </c>
      <c r="BF2" s="7" t="s">
        <v>80</v>
      </c>
      <c r="BG2" s="7" t="s">
        <v>81</v>
      </c>
      <c r="BH2" s="7" t="s">
        <v>87</v>
      </c>
      <c r="BI2" s="7" t="s">
        <v>88</v>
      </c>
      <c r="BJ2" s="18" t="s">
        <v>89</v>
      </c>
      <c r="BK2" s="13" t="s">
        <v>56</v>
      </c>
      <c r="BL2" s="15" t="s">
        <v>80</v>
      </c>
      <c r="BM2" s="15" t="s">
        <v>81</v>
      </c>
      <c r="BN2" s="15" t="s">
        <v>87</v>
      </c>
      <c r="BO2" s="15" t="s">
        <v>88</v>
      </c>
      <c r="BP2" s="15" t="s">
        <v>89</v>
      </c>
      <c r="BQ2" s="16" t="s">
        <v>90</v>
      </c>
      <c r="BR2" s="23" t="s">
        <v>57</v>
      </c>
      <c r="BS2" s="20" t="s">
        <v>80</v>
      </c>
      <c r="BT2" s="20" t="s">
        <v>81</v>
      </c>
      <c r="BU2" s="20" t="s">
        <v>94</v>
      </c>
      <c r="BV2" s="20" t="s">
        <v>95</v>
      </c>
      <c r="BW2" s="20" t="s">
        <v>96</v>
      </c>
      <c r="BX2" s="21" t="s">
        <v>90</v>
      </c>
      <c r="BY2" s="23" t="s">
        <v>58</v>
      </c>
      <c r="BZ2" s="20" t="s">
        <v>80</v>
      </c>
      <c r="CA2" s="20" t="s">
        <v>81</v>
      </c>
      <c r="CB2" s="20" t="s">
        <v>87</v>
      </c>
      <c r="CC2" s="20" t="s">
        <v>88</v>
      </c>
      <c r="CD2" s="20" t="s">
        <v>89</v>
      </c>
      <c r="CE2" s="21" t="s">
        <v>90</v>
      </c>
      <c r="CF2" s="24" t="s">
        <v>59</v>
      </c>
      <c r="CG2" s="7" t="s">
        <v>80</v>
      </c>
      <c r="CH2" s="7" t="s">
        <v>81</v>
      </c>
      <c r="CI2" s="7" t="s">
        <v>87</v>
      </c>
      <c r="CJ2" s="7" t="s">
        <v>88</v>
      </c>
      <c r="CK2" s="7" t="s">
        <v>89</v>
      </c>
      <c r="CL2" s="20" t="s">
        <v>90</v>
      </c>
      <c r="CM2" s="20" t="s">
        <v>60</v>
      </c>
      <c r="CN2" s="20"/>
      <c r="CO2" s="7"/>
      <c r="CP2" s="7"/>
      <c r="CQ2" s="7"/>
      <c r="CR2" s="7"/>
      <c r="CS2" s="7"/>
      <c r="CT2" s="7" t="s">
        <v>61</v>
      </c>
      <c r="CU2" s="7"/>
      <c r="CV2" s="7"/>
      <c r="CW2" s="7"/>
      <c r="CX2" s="7"/>
      <c r="CY2" s="7"/>
      <c r="CZ2" s="7"/>
      <c r="DA2" s="7" t="s">
        <v>62</v>
      </c>
      <c r="DB2" s="7"/>
      <c r="DC2" s="7"/>
      <c r="DD2" s="7"/>
      <c r="DE2" s="7"/>
      <c r="DF2" s="7"/>
      <c r="DG2" s="7"/>
      <c r="DH2" s="7" t="s">
        <v>63</v>
      </c>
      <c r="DI2" s="7"/>
      <c r="DJ2" s="7"/>
      <c r="DK2" s="7"/>
      <c r="DL2" s="7"/>
      <c r="DM2" s="7" t="s">
        <v>64</v>
      </c>
      <c r="DN2" s="7"/>
      <c r="DO2" s="7"/>
      <c r="DP2" s="7"/>
      <c r="DQ2" s="7"/>
      <c r="DR2" s="7"/>
      <c r="DS2" s="24" t="s">
        <v>65</v>
      </c>
      <c r="DT2" s="7"/>
      <c r="DU2" s="7"/>
      <c r="DV2" s="7"/>
      <c r="DW2" s="7"/>
      <c r="DX2" s="7"/>
      <c r="DY2" s="7"/>
      <c r="DZ2" s="24" t="s">
        <v>66</v>
      </c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</row>
    <row r="3" spans="1:157">
      <c r="A3" s="2">
        <v>1</v>
      </c>
      <c r="B3" s="25">
        <v>5.5254777070063701E-3</v>
      </c>
      <c r="C3" s="2">
        <v>0.29485668789808916</v>
      </c>
      <c r="D3" s="2">
        <v>0.33625796178343942</v>
      </c>
      <c r="E3" s="2">
        <v>0.20122611464968157</v>
      </c>
      <c r="F3" s="26">
        <v>5.9187898089171957E-2</v>
      </c>
      <c r="G3" s="25">
        <v>1.1640127388535017E-2</v>
      </c>
      <c r="H3" s="2">
        <v>0.19708598726114651</v>
      </c>
      <c r="I3" s="2">
        <v>0.19262738853503183</v>
      </c>
      <c r="J3" s="27">
        <v>4.0079617834394878E-2</v>
      </c>
      <c r="K3" s="27">
        <v>4.6767515923566851E-2</v>
      </c>
      <c r="L3" s="27">
        <v>7.2770700636942635E-3</v>
      </c>
      <c r="M3" s="26">
        <v>6.0031847133757924E-3</v>
      </c>
      <c r="N3" s="25">
        <v>7.6945244956772192E-3</v>
      </c>
      <c r="O3" s="2">
        <v>0.3295700636942675</v>
      </c>
      <c r="P3" s="2">
        <v>9.4856687898089168E-2</v>
      </c>
      <c r="Q3" s="27">
        <v>1.4920382165605083E-2</v>
      </c>
      <c r="R3" s="26">
        <v>1.2691082802547765E-2</v>
      </c>
      <c r="S3" s="25">
        <v>9.5063694267515826E-3</v>
      </c>
      <c r="T3" s="2">
        <v>0.24740445859872609</v>
      </c>
      <c r="U3" s="2">
        <v>0.1368949044585987</v>
      </c>
      <c r="V3" s="2">
        <v>9.77229299363057E-2</v>
      </c>
      <c r="W3" s="2">
        <v>0.14262738853503185</v>
      </c>
      <c r="X3" s="27">
        <v>2.4792993630573228E-2</v>
      </c>
      <c r="Y3" s="26">
        <v>8.5509554140127328E-3</v>
      </c>
      <c r="Z3" s="25">
        <v>4.2515923566878982E-3</v>
      </c>
      <c r="AA3" s="2">
        <v>0.18530254777070065</v>
      </c>
      <c r="AB3" s="2">
        <v>0.11937898089171972</v>
      </c>
      <c r="AC3" s="27">
        <v>3.4028662420382154E-2</v>
      </c>
      <c r="AD3" s="27">
        <v>1.4920382165605092E-2</v>
      </c>
      <c r="AE3" s="26">
        <v>4.7292993630573274E-3</v>
      </c>
      <c r="AF3" s="25">
        <v>6.7721518987341736E-3</v>
      </c>
      <c r="AG3" s="2">
        <v>0.17971518987341775</v>
      </c>
      <c r="AH3" s="2">
        <v>8.3512658227848077E-2</v>
      </c>
      <c r="AI3" s="2">
        <v>0.15819620253164554</v>
      </c>
      <c r="AJ3" s="2">
        <v>0.11895569620253162</v>
      </c>
      <c r="AK3" s="27">
        <v>2.5917721518987333E-2</v>
      </c>
      <c r="AL3" s="26">
        <v>5.031645569620255E-3</v>
      </c>
      <c r="AM3" s="25">
        <v>5.2977707006369383E-2</v>
      </c>
      <c r="AN3" s="2">
        <v>0.17097133757961783</v>
      </c>
      <c r="AO3" s="2">
        <v>5.6640127388534987E-2</v>
      </c>
      <c r="AP3" s="2">
        <v>9.0716560509554109E-2</v>
      </c>
      <c r="AQ3" s="2">
        <v>9.0398089171974505E-2</v>
      </c>
      <c r="AR3" s="2">
        <v>7.0334394904458572E-2</v>
      </c>
      <c r="AS3" s="28">
        <v>6.7468152866242012E-2</v>
      </c>
      <c r="AT3" s="25">
        <v>3.7300955414012716E-3</v>
      </c>
      <c r="AU3" s="2">
        <v>0.26651273885350313</v>
      </c>
      <c r="AV3" s="2">
        <v>8.8487261146496785E-2</v>
      </c>
      <c r="AW3" s="27">
        <v>1.4920382165605086E-2</v>
      </c>
      <c r="AX3" s="26">
        <v>4.7292993630573292E-3</v>
      </c>
      <c r="AY3" s="25">
        <v>1.2261146496815268E-3</v>
      </c>
      <c r="AZ3" s="2">
        <v>9.9952229299363024E-2</v>
      </c>
      <c r="BA3" s="27">
        <v>5.3773885350318441E-2</v>
      </c>
      <c r="BB3" s="27">
        <v>1.3646496815286622E-2</v>
      </c>
      <c r="BC3" s="27">
        <v>8.5509554140127311E-3</v>
      </c>
      <c r="BD3" s="26">
        <v>3.4554140127388585E-3</v>
      </c>
      <c r="BE3" s="25">
        <v>2.5000000000000061E-3</v>
      </c>
      <c r="BF3" s="2">
        <v>0.15090764331210191</v>
      </c>
      <c r="BG3" s="27">
        <v>1.5238853503184699E-2</v>
      </c>
      <c r="BH3" s="27">
        <v>2.0971337579617833E-2</v>
      </c>
      <c r="BI3" s="27">
        <v>2.5000000000000061E-3</v>
      </c>
      <c r="BJ3" s="26">
        <v>2.5000000000000061E-3</v>
      </c>
      <c r="BK3" s="25">
        <v>2.1815286624203875E-3</v>
      </c>
      <c r="BL3" s="2">
        <v>0.11109872611464967</v>
      </c>
      <c r="BM3" s="27">
        <v>1.6831210191082791E-2</v>
      </c>
      <c r="BN3" s="27">
        <v>3.7738853503184724E-3</v>
      </c>
      <c r="BO3" s="27">
        <v>6.0031847133757968E-3</v>
      </c>
      <c r="BP3" s="27">
        <v>3.4554140127388585E-3</v>
      </c>
      <c r="BQ3" s="26">
        <v>2.5000000000000053E-3</v>
      </c>
      <c r="BR3" s="29">
        <v>6.0886075949367062E-2</v>
      </c>
      <c r="BS3" s="3">
        <v>0.12528481012658232</v>
      </c>
      <c r="BT3" s="3">
        <v>6.7689873417721494E-2</v>
      </c>
      <c r="BU3" s="3">
        <v>6.958860759493668E-2</v>
      </c>
      <c r="BV3" s="3">
        <v>0.14553797468354429</v>
      </c>
      <c r="BW3" s="3">
        <v>4.6803797468354405E-2</v>
      </c>
      <c r="BX3" s="30">
        <v>8.9208860759493636E-2</v>
      </c>
      <c r="BY3" s="31">
        <v>2.6544585987261136E-2</v>
      </c>
      <c r="BZ3" s="3">
        <v>0.20695859872611463</v>
      </c>
      <c r="CA3" s="3">
        <v>9.1353503184713344E-2</v>
      </c>
      <c r="CB3" s="3">
        <v>0.10568471337579616</v>
      </c>
      <c r="CC3" s="32">
        <v>3.1799363057324836E-2</v>
      </c>
      <c r="CD3" s="32">
        <v>4.7722929936305711E-2</v>
      </c>
      <c r="CE3" s="33">
        <v>1.4920382165605092E-2</v>
      </c>
      <c r="CF3" s="34">
        <v>1.0780254777070054E-2</v>
      </c>
      <c r="CG3" s="2">
        <v>0.17415605095541406</v>
      </c>
      <c r="CH3" s="27">
        <v>5.3136942675159206E-2</v>
      </c>
      <c r="CI3" s="2">
        <v>5.122611464968152E-2</v>
      </c>
      <c r="CJ3" s="27">
        <v>1.5875796178343941E-2</v>
      </c>
      <c r="CK3" s="27">
        <v>4.6767515923566857E-2</v>
      </c>
      <c r="CL3" s="35">
        <v>3.4554140127388564E-3</v>
      </c>
      <c r="CM3" s="4">
        <v>0.1529777070063694</v>
      </c>
      <c r="CN3" s="4">
        <v>0.24835987261146492</v>
      </c>
      <c r="CO3" s="2">
        <v>0.3403980891719745</v>
      </c>
      <c r="CP3" s="2">
        <v>0.12574840764331208</v>
      </c>
      <c r="CQ3" s="2">
        <v>9.1035031847133713E-2</v>
      </c>
      <c r="CR3" s="2">
        <v>0.19230891719745219</v>
      </c>
      <c r="CS3" s="2">
        <v>0.17893312101910824</v>
      </c>
      <c r="CT3" s="34">
        <v>4.2133173843700134E-2</v>
      </c>
      <c r="CU3" s="2">
        <v>0.2021815286624204</v>
      </c>
      <c r="CV3" s="2">
        <v>9.8359872611464935E-2</v>
      </c>
      <c r="CW3" s="2">
        <v>2.8933121019108284E-2</v>
      </c>
      <c r="CX3" s="2">
        <v>4.7085987261146468E-2</v>
      </c>
      <c r="CY3" s="2">
        <v>5.7914012738853451E-2</v>
      </c>
      <c r="CZ3" s="2">
        <v>4.549363057324838E-2</v>
      </c>
      <c r="DA3" s="34">
        <v>1.8640699523052469E-3</v>
      </c>
      <c r="DB3" s="2">
        <v>0.18562101910828024</v>
      </c>
      <c r="DC3" s="2">
        <v>4.8041401273885329E-2</v>
      </c>
      <c r="DD3" s="2">
        <v>1.5875796178343938E-2</v>
      </c>
      <c r="DE3" s="2">
        <v>1.2054140127388535E-2</v>
      </c>
      <c r="DF3" s="2">
        <v>5.0477707006369443E-3</v>
      </c>
      <c r="DG3" s="2">
        <v>3.4554140127388564E-3</v>
      </c>
      <c r="DH3" s="34">
        <v>1.1894904458598725E-2</v>
      </c>
      <c r="DI3" s="2">
        <v>7.4156050955413985E-2</v>
      </c>
      <c r="DJ3" s="2">
        <v>2.3295107033639136E-2</v>
      </c>
      <c r="DK3" s="2">
        <v>3.6894904458598728E-2</v>
      </c>
      <c r="DL3" s="2">
        <v>6.0031847133757942E-3</v>
      </c>
      <c r="DM3" s="34">
        <v>1.4666136724960292E-3</v>
      </c>
      <c r="DN3" s="2">
        <v>0.22288216560509549</v>
      </c>
      <c r="DO3" s="2">
        <v>7.67038216560509E-2</v>
      </c>
      <c r="DP3" s="2">
        <v>2.4824159021406712E-2</v>
      </c>
      <c r="DQ3" s="2">
        <v>6.95859872611465E-3</v>
      </c>
      <c r="DR3" s="2">
        <v>2.5000000000000053E-3</v>
      </c>
      <c r="DS3" s="34">
        <v>7.4128367670364464E-3</v>
      </c>
      <c r="DT3" s="2">
        <v>0.17447452229299365</v>
      </c>
      <c r="DU3" s="2">
        <v>4.8041401273885335E-2</v>
      </c>
      <c r="DV3" s="2">
        <v>3.7531847133757942E-2</v>
      </c>
      <c r="DW3" s="2">
        <v>1.6831210191082791E-2</v>
      </c>
      <c r="DX3" s="2">
        <v>2.7977707006369427E-2</v>
      </c>
      <c r="DY3" s="2">
        <v>1.2372611464968148E-2</v>
      </c>
      <c r="DZ3" s="2">
        <v>8.6208267090619965E-3</v>
      </c>
      <c r="EA3" s="2">
        <v>0.18020700636942669</v>
      </c>
      <c r="EB3" s="2">
        <v>0.22256369426751585</v>
      </c>
      <c r="EC3" s="2">
        <v>8.0007598784194486E-2</v>
      </c>
      <c r="ED3" s="2">
        <v>0.26693768996960482</v>
      </c>
      <c r="EE3" s="2">
        <v>2.8296178343949038E-2</v>
      </c>
      <c r="EF3" s="2">
        <v>5.8639143730886828E-3</v>
      </c>
    </row>
    <row r="4" spans="1:157">
      <c r="A4" s="2">
        <v>2</v>
      </c>
      <c r="B4" s="36">
        <v>0.17463375796178343</v>
      </c>
      <c r="C4" s="2">
        <v>0.21619426751592349</v>
      </c>
      <c r="D4" s="2">
        <v>0.31619426751592344</v>
      </c>
      <c r="E4" s="2">
        <v>0.28816878980891719</v>
      </c>
      <c r="F4" s="28">
        <v>0.11937898089171976</v>
      </c>
      <c r="G4" s="36">
        <v>0.28211783439490445</v>
      </c>
      <c r="H4" s="2">
        <v>0.16555732484076435</v>
      </c>
      <c r="I4" s="2">
        <v>0.34835987261146495</v>
      </c>
      <c r="J4" s="2">
        <v>0.24931528662420371</v>
      </c>
      <c r="K4" s="2">
        <v>0.31714968152866235</v>
      </c>
      <c r="L4" s="2">
        <v>0.31969745222929929</v>
      </c>
      <c r="M4" s="28">
        <v>0.35154458598726113</v>
      </c>
      <c r="N4" s="36">
        <v>0.47974063400576367</v>
      </c>
      <c r="O4" s="27">
        <v>8.880573248407643E-2</v>
      </c>
      <c r="P4" s="2">
        <v>0.13498407643312105</v>
      </c>
      <c r="Q4" s="2">
        <v>0.25568471337579618</v>
      </c>
      <c r="R4" s="28">
        <v>0.29358280254777069</v>
      </c>
      <c r="S4" s="36">
        <v>0.16428343949044583</v>
      </c>
      <c r="T4" s="27">
        <v>7.542993630573247E-2</v>
      </c>
      <c r="U4" s="2">
        <v>0.20568471337579616</v>
      </c>
      <c r="V4" s="2">
        <v>0.2009076433121019</v>
      </c>
      <c r="W4" s="2">
        <v>0.24581210191082797</v>
      </c>
      <c r="X4" s="2">
        <v>0.1279777070063694</v>
      </c>
      <c r="Y4" s="28">
        <v>0.21492038216560505</v>
      </c>
      <c r="Z4" s="36">
        <v>0.20775477707006373</v>
      </c>
      <c r="AA4" s="2">
        <v>0.17670382165605095</v>
      </c>
      <c r="AB4" s="2">
        <v>0.17957006369426751</v>
      </c>
      <c r="AC4" s="2">
        <v>0.1687420382165605</v>
      </c>
      <c r="AD4" s="2">
        <v>0.21842356687898093</v>
      </c>
      <c r="AE4" s="28">
        <v>0.20823248407643313</v>
      </c>
      <c r="AF4" s="36">
        <v>0.22322784810126584</v>
      </c>
      <c r="AG4" s="27">
        <v>5.4398734177215163E-2</v>
      </c>
      <c r="AH4" s="2">
        <v>0.27718354430379744</v>
      </c>
      <c r="AI4" s="2">
        <v>0.15819620253164551</v>
      </c>
      <c r="AJ4" s="2">
        <v>0.36958860759493667</v>
      </c>
      <c r="AK4" s="2">
        <v>0.17401898734177218</v>
      </c>
      <c r="AL4" s="28">
        <v>0.28984177215189877</v>
      </c>
      <c r="AM4" s="36">
        <v>0.15616242038216557</v>
      </c>
      <c r="AN4" s="2">
        <v>0.10218152866242033</v>
      </c>
      <c r="AO4" s="2">
        <v>0.12542993630573246</v>
      </c>
      <c r="AP4" s="2">
        <v>0.228296178343949</v>
      </c>
      <c r="AQ4" s="2">
        <v>0.2623726114649681</v>
      </c>
      <c r="AR4" s="2">
        <v>0.10472929936305728</v>
      </c>
      <c r="AS4" s="28">
        <v>0.23944267515923562</v>
      </c>
      <c r="AT4" s="36">
        <v>4.6723726114649686E-2</v>
      </c>
      <c r="AU4" s="2">
        <v>0.12893312101910828</v>
      </c>
      <c r="AV4" s="2">
        <v>8.8487261146496785E-2</v>
      </c>
      <c r="AW4" s="2">
        <v>0.18689490445859874</v>
      </c>
      <c r="AX4" s="28">
        <v>0.21109872611464967</v>
      </c>
      <c r="AY4" s="36">
        <v>0.19039808917197451</v>
      </c>
      <c r="AZ4" s="27">
        <v>3.1162420382165601E-2</v>
      </c>
      <c r="BA4" s="2">
        <v>0.15695859872611465</v>
      </c>
      <c r="BB4" s="2">
        <v>0.15122611464968155</v>
      </c>
      <c r="BC4" s="2">
        <v>0.18052547770700639</v>
      </c>
      <c r="BD4" s="28">
        <v>0.20982484076433122</v>
      </c>
      <c r="BE4" s="36">
        <v>0.24613057324840767</v>
      </c>
      <c r="BF4" s="2">
        <v>0.10218152866242033</v>
      </c>
      <c r="BG4" s="2">
        <v>0.2588694267515923</v>
      </c>
      <c r="BH4" s="2">
        <v>0.26460191082802548</v>
      </c>
      <c r="BI4" s="2">
        <v>0.24613057324840767</v>
      </c>
      <c r="BJ4" s="28">
        <v>0.24613057324840767</v>
      </c>
      <c r="BK4" s="36">
        <v>0.24581210191082808</v>
      </c>
      <c r="BL4" s="2">
        <v>5.0907643312101895E-2</v>
      </c>
      <c r="BM4" s="2">
        <v>0.14581210191082802</v>
      </c>
      <c r="BN4" s="2">
        <v>0.24740445859872617</v>
      </c>
      <c r="BO4" s="2">
        <v>0.24963375796178344</v>
      </c>
      <c r="BP4" s="2">
        <v>0.24708598726114656</v>
      </c>
      <c r="BQ4" s="28">
        <v>0.24613057324840773</v>
      </c>
      <c r="BR4" s="29">
        <v>9.5063291139240474E-2</v>
      </c>
      <c r="BS4" s="32">
        <v>2.2753164556962018E-2</v>
      </c>
      <c r="BT4" s="3">
        <v>0.17022151898734175</v>
      </c>
      <c r="BU4" s="3">
        <v>0.13794303797468352</v>
      </c>
      <c r="BV4" s="3">
        <v>0.1797151898734177</v>
      </c>
      <c r="BW4" s="3">
        <v>0.11515822784810127</v>
      </c>
      <c r="BX4" s="30">
        <v>8.9208860759493636E-2</v>
      </c>
      <c r="BY4" s="29">
        <v>0.16412420382165605</v>
      </c>
      <c r="BZ4" s="3">
        <v>0.3789331210191082</v>
      </c>
      <c r="CA4" s="3">
        <v>0.22893312101910826</v>
      </c>
      <c r="CB4" s="3">
        <v>0.14007961783439488</v>
      </c>
      <c r="CC4" s="3">
        <v>0.13498407643312105</v>
      </c>
      <c r="CD4" s="3">
        <v>0.15090764331210191</v>
      </c>
      <c r="CE4" s="30">
        <v>0.18689490445859874</v>
      </c>
      <c r="CF4" s="2">
        <v>0.23434713375796182</v>
      </c>
      <c r="CG4" s="27">
        <v>1.0780254777070068E-2</v>
      </c>
      <c r="CH4" s="2">
        <v>0.21651273885350319</v>
      </c>
      <c r="CI4" s="2">
        <v>0.29485668789808922</v>
      </c>
      <c r="CJ4" s="2">
        <v>0.15058917197452232</v>
      </c>
      <c r="CK4" s="2">
        <v>0.29039808917197457</v>
      </c>
      <c r="CL4" s="4">
        <v>0.20695859872611469</v>
      </c>
      <c r="CM4" s="4">
        <v>0.35934713375796179</v>
      </c>
      <c r="CN4" s="4">
        <v>0.30281847133757955</v>
      </c>
      <c r="CO4" s="2">
        <v>0.28020700636942669</v>
      </c>
      <c r="CP4" s="2">
        <v>0.14581210191082802</v>
      </c>
      <c r="CQ4" s="2">
        <v>0.11109872611464963</v>
      </c>
      <c r="CR4" s="2">
        <v>0.40154458598726112</v>
      </c>
      <c r="CS4" s="2">
        <v>0.38243630573248399</v>
      </c>
      <c r="CT4" s="2">
        <v>9.3807814992025493E-2</v>
      </c>
      <c r="CU4" s="2">
        <v>3.0207006369426737E-2</v>
      </c>
      <c r="CV4" s="2">
        <v>0.20154458598726113</v>
      </c>
      <c r="CW4" s="2">
        <v>0.20090764331210192</v>
      </c>
      <c r="CX4" s="2">
        <v>0.11587579617834394</v>
      </c>
      <c r="CY4" s="2">
        <v>0.12670382165605096</v>
      </c>
      <c r="CZ4" s="2">
        <v>7.9888535031847105E-2</v>
      </c>
      <c r="DA4" s="2">
        <v>0.20790540540540547</v>
      </c>
      <c r="DB4" s="2">
        <v>9.6767515923566833E-2</v>
      </c>
      <c r="DC4" s="2">
        <v>0.25727707006369421</v>
      </c>
      <c r="DD4" s="2">
        <v>0.1448566878980892</v>
      </c>
      <c r="DE4" s="2">
        <v>0.25568471337579624</v>
      </c>
      <c r="DF4" s="2">
        <v>0.2142834394904459</v>
      </c>
      <c r="DG4" s="2">
        <v>0.20695859872611469</v>
      </c>
      <c r="DH4" s="2">
        <v>0.20106687898089171</v>
      </c>
      <c r="DI4" s="2">
        <v>7.4156050955413985E-2</v>
      </c>
      <c r="DJ4" s="2">
        <v>0.11412079510703364</v>
      </c>
      <c r="DK4" s="2">
        <v>0.20886942675159237</v>
      </c>
      <c r="DL4" s="2">
        <v>0.21237261146496816</v>
      </c>
      <c r="DM4" s="2">
        <v>0.19105325914149443</v>
      </c>
      <c r="DN4" s="2">
        <v>0.18848726114649675</v>
      </c>
      <c r="DO4" s="2">
        <v>0.21428343949044582</v>
      </c>
      <c r="DP4" s="2">
        <v>0.22574159021406723</v>
      </c>
      <c r="DQ4" s="2">
        <v>0.21332802547770696</v>
      </c>
      <c r="DR4" s="2">
        <v>0.20886942675159237</v>
      </c>
      <c r="DS4" s="2">
        <v>0.25345087163232966</v>
      </c>
      <c r="DT4" s="2">
        <v>4.5493630573248386E-2</v>
      </c>
      <c r="DU4" s="2">
        <v>0.17702229299363056</v>
      </c>
      <c r="DV4" s="2">
        <v>0.17797770700636942</v>
      </c>
      <c r="DW4" s="2">
        <v>0.14581210191082805</v>
      </c>
      <c r="DX4" s="2">
        <v>0.23721337579617838</v>
      </c>
      <c r="DY4" s="2">
        <v>0.2560031847133758</v>
      </c>
      <c r="DZ4" s="2">
        <v>0.1495588235294118</v>
      </c>
      <c r="EA4" s="2">
        <v>0.18020700636942669</v>
      </c>
      <c r="EB4" s="2">
        <v>0.25695859872611454</v>
      </c>
      <c r="EC4" s="2">
        <v>0.14566109422492399</v>
      </c>
      <c r="ED4" s="2">
        <v>0.33259118541033428</v>
      </c>
      <c r="EE4" s="2">
        <v>0.20027070063694269</v>
      </c>
      <c r="EF4" s="2">
        <v>0.13797400611620797</v>
      </c>
    </row>
    <row r="5" spans="1:157">
      <c r="A5" s="2">
        <v>3</v>
      </c>
      <c r="B5" s="36">
        <v>0.17749999999999996</v>
      </c>
      <c r="C5" s="2">
        <v>0.24772292993630571</v>
      </c>
      <c r="D5" s="2">
        <v>0.33625796178343942</v>
      </c>
      <c r="E5" s="2">
        <v>0.22797770700636941</v>
      </c>
      <c r="F5" s="28">
        <v>0.16237261146496812</v>
      </c>
      <c r="G5" s="36">
        <v>0.28211783439490445</v>
      </c>
      <c r="H5" s="2">
        <v>0.26587579617834389</v>
      </c>
      <c r="I5" s="2">
        <v>0.32256369426751585</v>
      </c>
      <c r="J5" s="2">
        <v>0.21205414012738846</v>
      </c>
      <c r="K5" s="2">
        <v>0.1423089171974522</v>
      </c>
      <c r="L5" s="2">
        <v>0.28243630573248402</v>
      </c>
      <c r="M5" s="28">
        <v>0.31428343949044585</v>
      </c>
      <c r="N5" s="36">
        <v>0.31893371757925071</v>
      </c>
      <c r="O5" s="2">
        <v>0.43275477707006366</v>
      </c>
      <c r="P5" s="2">
        <v>0.30122611464968152</v>
      </c>
      <c r="Q5" s="2">
        <v>0.1525</v>
      </c>
      <c r="R5" s="28">
        <v>0.21906050955414008</v>
      </c>
      <c r="S5" s="36">
        <v>0.16428343949044583</v>
      </c>
      <c r="T5" s="2">
        <v>0.3161942675159235</v>
      </c>
      <c r="U5" s="2">
        <v>0.24007961783439483</v>
      </c>
      <c r="V5" s="2">
        <v>0.20090764331210184</v>
      </c>
      <c r="W5" s="2">
        <v>0.24581210191082797</v>
      </c>
      <c r="X5" s="2">
        <v>0.19676751592356687</v>
      </c>
      <c r="Y5" s="28">
        <v>0.14613057324840764</v>
      </c>
      <c r="Z5" s="36">
        <v>0.17622611464968149</v>
      </c>
      <c r="AA5" s="2">
        <v>0.25409235668789809</v>
      </c>
      <c r="AB5" s="2">
        <v>0.15377388535031847</v>
      </c>
      <c r="AC5" s="2">
        <v>0.17160828025477703</v>
      </c>
      <c r="AD5" s="2">
        <v>0.15250000000000002</v>
      </c>
      <c r="AE5" s="28">
        <v>0.21109872611464964</v>
      </c>
      <c r="AF5" s="36">
        <v>0.19474683544303797</v>
      </c>
      <c r="AG5" s="2">
        <v>0.3164240506329114</v>
      </c>
      <c r="AH5" s="2">
        <v>0.11768987341772148</v>
      </c>
      <c r="AI5" s="2">
        <v>0.19237341772151895</v>
      </c>
      <c r="AJ5" s="2">
        <v>0.15313291139240504</v>
      </c>
      <c r="AK5" s="2">
        <v>0.19680379746835441</v>
      </c>
      <c r="AL5" s="28">
        <v>0.21009493670886076</v>
      </c>
      <c r="AM5" s="36">
        <v>0.15616242038216557</v>
      </c>
      <c r="AN5" s="2">
        <v>0.37734076433121017</v>
      </c>
      <c r="AO5" s="2">
        <v>0.12542993630573243</v>
      </c>
      <c r="AP5" s="2">
        <v>9.0716560509554109E-2</v>
      </c>
      <c r="AQ5" s="2">
        <v>9.0398089171974505E-2</v>
      </c>
      <c r="AR5" s="2">
        <v>0.20791401273885346</v>
      </c>
      <c r="AS5" s="28">
        <v>0.13625796178343949</v>
      </c>
      <c r="AT5" s="36">
        <v>3.8124999999999999E-2</v>
      </c>
      <c r="AU5" s="2">
        <v>0.43848726114649683</v>
      </c>
      <c r="AV5" s="2">
        <v>0.26046178343949045</v>
      </c>
      <c r="AW5" s="2">
        <v>0.1525</v>
      </c>
      <c r="AX5" s="28">
        <v>0.17670382165605095</v>
      </c>
      <c r="AY5" s="36">
        <v>0.20759554140127384</v>
      </c>
      <c r="AZ5" s="2">
        <v>0.26332802547770701</v>
      </c>
      <c r="BA5" s="2">
        <v>0.14835987261146494</v>
      </c>
      <c r="BB5" s="2">
        <v>0.25727707006369421</v>
      </c>
      <c r="BC5" s="2">
        <v>0.21778662420382164</v>
      </c>
      <c r="BD5" s="28">
        <v>0.20695859872611463</v>
      </c>
      <c r="BE5" s="36">
        <v>0.20886942675159237</v>
      </c>
      <c r="BF5" s="2">
        <v>0.32288216560509553</v>
      </c>
      <c r="BG5" s="2">
        <v>0.18721337579617833</v>
      </c>
      <c r="BH5" s="2">
        <v>0.19294585987261145</v>
      </c>
      <c r="BI5" s="2">
        <v>0.20886942675159237</v>
      </c>
      <c r="BJ5" s="28">
        <v>0.20886942675159237</v>
      </c>
      <c r="BK5" s="36">
        <v>0.20855095541401275</v>
      </c>
      <c r="BL5" s="2">
        <v>0.31746815286624203</v>
      </c>
      <c r="BM5" s="2">
        <v>0.15441082802547768</v>
      </c>
      <c r="BN5" s="2">
        <v>0.21014331210191084</v>
      </c>
      <c r="BO5" s="2">
        <v>0.21237261146496811</v>
      </c>
      <c r="BP5" s="2">
        <v>0.20982484076433122</v>
      </c>
      <c r="BQ5" s="28">
        <v>0.20886942675159237</v>
      </c>
      <c r="BR5" s="29">
        <v>0.18050632911392403</v>
      </c>
      <c r="BS5" s="3">
        <v>0.29617088607594938</v>
      </c>
      <c r="BT5" s="3">
        <v>6.7689873417721494E-2</v>
      </c>
      <c r="BU5" s="3">
        <v>0.17212025316455692</v>
      </c>
      <c r="BV5" s="3">
        <v>0.1797151898734177</v>
      </c>
      <c r="BW5" s="3">
        <v>0.14933544303797466</v>
      </c>
      <c r="BX5" s="30">
        <v>0.22591772151898729</v>
      </c>
      <c r="BY5" s="29">
        <v>0.21285031847133756</v>
      </c>
      <c r="BZ5" s="3">
        <v>0.22702229299363055</v>
      </c>
      <c r="CA5" s="3">
        <v>0.11141719745222928</v>
      </c>
      <c r="CB5" s="3">
        <v>0.19453821656050954</v>
      </c>
      <c r="CC5" s="3">
        <v>0.19517515923566878</v>
      </c>
      <c r="CD5" s="3">
        <v>0.21683121019108278</v>
      </c>
      <c r="CE5" s="30">
        <v>0.21842356687898087</v>
      </c>
      <c r="CF5" s="2">
        <v>0.21714968152866243</v>
      </c>
      <c r="CG5" s="2">
        <v>0.38052547770700634</v>
      </c>
      <c r="CH5" s="2">
        <v>0.1907165605095541</v>
      </c>
      <c r="CI5" s="2">
        <v>0.18880573248407642</v>
      </c>
      <c r="CJ5" s="2">
        <v>0.15345541401273885</v>
      </c>
      <c r="CK5" s="2">
        <v>0.25313694267515918</v>
      </c>
      <c r="CL5" s="4">
        <v>0.20982484076433119</v>
      </c>
      <c r="CM5" s="4">
        <v>0.17017515923566875</v>
      </c>
      <c r="CN5" s="4">
        <v>0.24835987261146492</v>
      </c>
      <c r="CO5" s="2">
        <v>0.40918789808917194</v>
      </c>
      <c r="CP5" s="2">
        <v>0.26332802547770695</v>
      </c>
      <c r="CQ5" s="2">
        <v>0.1942197452229299</v>
      </c>
      <c r="CR5" s="2">
        <v>0.26109872611464963</v>
      </c>
      <c r="CS5" s="2">
        <v>0.1445382165605095</v>
      </c>
      <c r="CT5" s="2">
        <v>0.22945374800637955</v>
      </c>
      <c r="CU5" s="2">
        <v>0.27097133757961783</v>
      </c>
      <c r="CV5" s="2">
        <v>6.3964968152866217E-2</v>
      </c>
      <c r="CW5" s="2">
        <v>9.7722929936305727E-2</v>
      </c>
      <c r="CX5" s="2">
        <v>0.21906050955414008</v>
      </c>
      <c r="CY5" s="2">
        <v>0.22988853503184709</v>
      </c>
      <c r="CZ5" s="2">
        <v>0.21746815286624202</v>
      </c>
      <c r="DA5" s="2">
        <v>0.22579093799682032</v>
      </c>
      <c r="DB5" s="2">
        <v>0.28880573248407637</v>
      </c>
      <c r="DC5" s="2">
        <v>0.11683121019108279</v>
      </c>
      <c r="DD5" s="2">
        <v>0.15345541401273885</v>
      </c>
      <c r="DE5" s="2">
        <v>0.18402866242038216</v>
      </c>
      <c r="DF5" s="2">
        <v>0.21141719745222928</v>
      </c>
      <c r="DG5" s="2">
        <v>0.20982484076433119</v>
      </c>
      <c r="DH5" s="2">
        <v>0.20106687898089173</v>
      </c>
      <c r="DI5" s="2">
        <v>0.23753184713375788</v>
      </c>
      <c r="DJ5" s="2">
        <v>0.18568042813455657</v>
      </c>
      <c r="DK5" s="2">
        <v>0.21173566878980893</v>
      </c>
      <c r="DL5" s="2">
        <v>0.20950636942675155</v>
      </c>
      <c r="DM5" s="2">
        <v>0.18962241653418122</v>
      </c>
      <c r="DN5" s="2">
        <v>0.18848726114649675</v>
      </c>
      <c r="DO5" s="2">
        <v>0.11109872611464963</v>
      </c>
      <c r="DP5" s="2">
        <v>0.15693425076452597</v>
      </c>
      <c r="DQ5" s="2">
        <v>0.14453821656050955</v>
      </c>
      <c r="DR5" s="2">
        <v>0.20886942675159237</v>
      </c>
      <c r="DS5" s="2">
        <v>0.21280110935023769</v>
      </c>
      <c r="DT5" s="2">
        <v>0.22893312101910826</v>
      </c>
      <c r="DU5" s="2">
        <v>0.13689490445859873</v>
      </c>
      <c r="DV5" s="2">
        <v>0.16651273885350318</v>
      </c>
      <c r="DW5" s="2">
        <v>0.22033439490445855</v>
      </c>
      <c r="DX5" s="2">
        <v>0.23721337579617835</v>
      </c>
      <c r="DY5" s="2">
        <v>0.21587579617834393</v>
      </c>
      <c r="DZ5" s="2">
        <v>0.17960651828298888</v>
      </c>
      <c r="EA5" s="2">
        <v>0.18020700636942669</v>
      </c>
      <c r="EB5" s="2">
        <v>0.18816878980891713</v>
      </c>
      <c r="EC5" s="2">
        <v>0.17848784194528872</v>
      </c>
      <c r="ED5" s="2">
        <v>0.33259118541033428</v>
      </c>
      <c r="EE5" s="2">
        <v>0.16587579617834394</v>
      </c>
      <c r="EF5" s="2">
        <v>0.20127675840978593</v>
      </c>
    </row>
    <row r="6" spans="1:157">
      <c r="A6" s="2">
        <v>4</v>
      </c>
      <c r="B6" s="36">
        <v>9.3662420382165601E-2</v>
      </c>
      <c r="C6" s="2">
        <v>0.16388535031847129</v>
      </c>
      <c r="D6" s="2">
        <v>0.22375796178343946</v>
      </c>
      <c r="E6" s="2">
        <v>0.12694267515923566</v>
      </c>
      <c r="F6" s="28">
        <v>6.7070063694267504E-2</v>
      </c>
      <c r="G6" s="36">
        <v>8.6066878980891715E-2</v>
      </c>
      <c r="H6" s="2">
        <v>9.7269108280254757E-2</v>
      </c>
      <c r="I6" s="2">
        <v>0.18261942675159237</v>
      </c>
      <c r="J6" s="2">
        <v>7.7842356687898073E-2</v>
      </c>
      <c r="K6" s="2">
        <v>0.11128184713375795</v>
      </c>
      <c r="L6" s="2">
        <v>9.6632165605095535E-2</v>
      </c>
      <c r="M6" s="28">
        <v>0.12847929936305735</v>
      </c>
      <c r="N6" s="36">
        <v>0.20092219020172913</v>
      </c>
      <c r="O6" s="2">
        <v>0.15114649681528661</v>
      </c>
      <c r="P6" s="27">
        <v>5.6878980891719742E-2</v>
      </c>
      <c r="Q6" s="2">
        <v>9.4458598726114645E-2</v>
      </c>
      <c r="R6" s="28">
        <v>0.14668789808917201</v>
      </c>
      <c r="S6" s="36">
        <v>6.1600318471337574E-2</v>
      </c>
      <c r="T6" s="2">
        <v>0.14472133757961783</v>
      </c>
      <c r="U6" s="2">
        <v>7.7205414012738852E-2</v>
      </c>
      <c r="V6" s="2">
        <v>9.822452229299361E-2</v>
      </c>
      <c r="W6" s="2">
        <v>7.7205414012738824E-2</v>
      </c>
      <c r="X6" s="2">
        <v>4.2492038216560508E-2</v>
      </c>
      <c r="Y6" s="28">
        <v>9.5039808917197433E-2</v>
      </c>
      <c r="Z6" s="36">
        <v>9.0740445859872593E-2</v>
      </c>
      <c r="AA6" s="2">
        <v>0.11414808917197453</v>
      </c>
      <c r="AB6" s="2">
        <v>6.5421974522292967E-2</v>
      </c>
      <c r="AC6" s="2">
        <v>5.1727707006369424E-2</v>
      </c>
      <c r="AD6" s="2">
        <v>8.4211783439490442E-2</v>
      </c>
      <c r="AE6" s="28">
        <v>0.10841560509554143</v>
      </c>
      <c r="AF6" s="36">
        <v>9.8765822784810123E-2</v>
      </c>
      <c r="AG6" s="2">
        <v>7.5189873417721501E-2</v>
      </c>
      <c r="AH6" s="2">
        <v>0.10430379746835441</v>
      </c>
      <c r="AI6" s="2">
        <v>0.1163291139240506</v>
      </c>
      <c r="AJ6" s="2">
        <v>0.13405063291139238</v>
      </c>
      <c r="AK6" s="2">
        <v>9.2278481012658217E-2</v>
      </c>
      <c r="AL6" s="28">
        <v>0.12265822784810131</v>
      </c>
      <c r="AM6" s="36">
        <v>6.5159235668789783E-2</v>
      </c>
      <c r="AN6" s="27">
        <v>2.6942675159235659E-2</v>
      </c>
      <c r="AO6" s="2">
        <v>8.1719745222929907E-2</v>
      </c>
      <c r="AP6" s="2">
        <v>0.13012738853503183</v>
      </c>
      <c r="AQ6" s="2">
        <v>0.12694267515923566</v>
      </c>
      <c r="AR6" s="27">
        <v>5.8152866242038199E-2</v>
      </c>
      <c r="AS6" s="28">
        <v>0.10401273885350318</v>
      </c>
      <c r="AT6" s="36">
        <v>2.1052945859872607E-2</v>
      </c>
      <c r="AU6" s="27">
        <v>6.6377388535031834E-2</v>
      </c>
      <c r="AV6" s="27">
        <v>5.1727707006369403E-2</v>
      </c>
      <c r="AW6" s="2">
        <v>8.4211783439490429E-2</v>
      </c>
      <c r="AX6" s="28">
        <v>0.12847929936305735</v>
      </c>
      <c r="AY6" s="36">
        <v>9.7531847133757968E-2</v>
      </c>
      <c r="AZ6" s="2">
        <v>4.1480891719745221E-2</v>
      </c>
      <c r="BA6" s="2">
        <v>6.4092356687898075E-2</v>
      </c>
      <c r="BB6" s="2">
        <v>9.2754777070063688E-2</v>
      </c>
      <c r="BC6" s="2">
        <v>8.7659235668789789E-2</v>
      </c>
      <c r="BD6" s="28">
        <v>0.11695859872611468</v>
      </c>
      <c r="BE6" s="36">
        <v>0.13649681528662425</v>
      </c>
      <c r="BF6" s="27">
        <v>2.6942675159235655E-2</v>
      </c>
      <c r="BG6" s="2">
        <v>0.11484076433121022</v>
      </c>
      <c r="BH6" s="2">
        <v>8.0445859872611464E-2</v>
      </c>
      <c r="BI6" s="2">
        <v>0.13649681528662425</v>
      </c>
      <c r="BJ6" s="28">
        <v>0.13649681528662425</v>
      </c>
      <c r="BK6" s="36">
        <v>0.12593152866242041</v>
      </c>
      <c r="BL6" s="27">
        <v>4.8542993630573246E-2</v>
      </c>
      <c r="BM6" s="2">
        <v>8.3256369426751575E-2</v>
      </c>
      <c r="BN6" s="2">
        <v>0.1275238853503185</v>
      </c>
      <c r="BO6" s="2">
        <v>0.11255573248407647</v>
      </c>
      <c r="BP6" s="2">
        <v>0.12720541401273888</v>
      </c>
      <c r="BQ6" s="28">
        <v>0.12625000000000003</v>
      </c>
      <c r="BR6" s="31">
        <v>3.3259493670886063E-2</v>
      </c>
      <c r="BS6" s="3">
        <v>6.0632911392405051E-2</v>
      </c>
      <c r="BT6" s="3">
        <v>0.12835443037974681</v>
      </c>
      <c r="BU6" s="32">
        <v>5.6202531645569605E-2</v>
      </c>
      <c r="BV6" s="3">
        <v>0.14354430379746835</v>
      </c>
      <c r="BW6" s="32">
        <v>3.3417721518987337E-2</v>
      </c>
      <c r="BX6" s="33">
        <v>4.7341772151898713E-2</v>
      </c>
      <c r="BY6" s="29">
        <v>6.2874203821656038E-2</v>
      </c>
      <c r="BZ6" s="3">
        <v>0.18453025477707002</v>
      </c>
      <c r="CA6" s="3">
        <v>0.10618630573248405</v>
      </c>
      <c r="CB6" s="3">
        <v>7.1791401273885336E-2</v>
      </c>
      <c r="CC6" s="3">
        <v>4.6632165605095539E-2</v>
      </c>
      <c r="CD6" s="3">
        <v>4.8224522292993614E-2</v>
      </c>
      <c r="CE6" s="30">
        <v>8.7078025477707002E-2</v>
      </c>
      <c r="CF6" s="2">
        <v>9.0103503184713371E-2</v>
      </c>
      <c r="CG6" s="2">
        <v>9.4402866242038211E-2</v>
      </c>
      <c r="CH6" s="2">
        <v>8.5167197452229282E-2</v>
      </c>
      <c r="CI6" s="2">
        <v>0.1405812101910828</v>
      </c>
      <c r="CJ6" s="2">
        <v>8.5167197452229282E-2</v>
      </c>
      <c r="CK6" s="2">
        <v>0.10172770700636942</v>
      </c>
      <c r="CL6" s="4">
        <v>0.10714171974522296</v>
      </c>
      <c r="CM6" s="4">
        <v>0.14631369426751592</v>
      </c>
      <c r="CN6" s="4">
        <v>0.17433917197452226</v>
      </c>
      <c r="CO6" s="2">
        <v>0.22624999999999998</v>
      </c>
      <c r="CP6" s="27">
        <v>3.4530254777070044E-2</v>
      </c>
      <c r="CQ6" s="2">
        <v>5.1409235668789806E-2</v>
      </c>
      <c r="CR6" s="2">
        <v>0.17847929936305731</v>
      </c>
      <c r="CS6" s="2">
        <v>0.17943471337579614</v>
      </c>
      <c r="CT6" s="2">
        <v>6.4076953748006371E-2</v>
      </c>
      <c r="CU6" s="2">
        <v>0.12694267515923566</v>
      </c>
      <c r="CV6" s="2">
        <v>0.12057324840764332</v>
      </c>
      <c r="CW6" s="2">
        <v>0.12566878980891721</v>
      </c>
      <c r="CX6" s="2">
        <v>3.2038216560509543E-2</v>
      </c>
      <c r="CY6" s="2">
        <v>8.2993630573248392E-2</v>
      </c>
      <c r="CZ6" s="2">
        <v>7.3439490445859859E-2</v>
      </c>
      <c r="DA6" s="2">
        <v>0.10229133545310017</v>
      </c>
      <c r="DB6" s="2">
        <v>3.9944267515923552E-2</v>
      </c>
      <c r="DC6" s="2">
        <v>0.10300159235668788</v>
      </c>
      <c r="DD6" s="2">
        <v>8.2300955414012722E-2</v>
      </c>
      <c r="DE6" s="2">
        <v>0.13580414012738856</v>
      </c>
      <c r="DF6" s="2">
        <v>0.11160031847133761</v>
      </c>
      <c r="DG6" s="2">
        <v>0.10714171974522296</v>
      </c>
      <c r="DH6" s="2">
        <v>0.11844745222929937</v>
      </c>
      <c r="DI6" s="2">
        <v>4.0262738853503177E-2</v>
      </c>
      <c r="DJ6" s="2">
        <v>4.4625382262996942E-2</v>
      </c>
      <c r="DK6" s="2">
        <v>0.14344745222929939</v>
      </c>
      <c r="DL6" s="2">
        <v>0.11255573248407647</v>
      </c>
      <c r="DM6" s="2">
        <v>0.11047893481717012</v>
      </c>
      <c r="DN6" s="2">
        <v>0.13453025477707004</v>
      </c>
      <c r="DO6" s="2">
        <v>9.1536624203821623E-2</v>
      </c>
      <c r="DP6" s="2">
        <v>8.193425076452597E-2</v>
      </c>
      <c r="DQ6" s="2">
        <v>0.11064490445859874</v>
      </c>
      <c r="DR6" s="2">
        <v>0.12625000000000003</v>
      </c>
      <c r="DS6" s="2">
        <v>0.1231933438985737</v>
      </c>
      <c r="DT6" s="2">
        <v>9.4721337579617829E-2</v>
      </c>
      <c r="DU6" s="2">
        <v>6.2874203821656038E-2</v>
      </c>
      <c r="DV6" s="2">
        <v>7.5294585987261145E-2</v>
      </c>
      <c r="DW6" s="2">
        <v>6.6058917197452216E-2</v>
      </c>
      <c r="DX6" s="2">
        <v>0.13453025477707009</v>
      </c>
      <c r="DY6" s="2">
        <v>0.13612261146496818</v>
      </c>
      <c r="DZ6" s="2">
        <v>7.3277027027027014E-2</v>
      </c>
      <c r="EA6" s="2">
        <v>0.16351114649681525</v>
      </c>
      <c r="EB6" s="2">
        <v>0.16574044585987255</v>
      </c>
      <c r="EC6" s="2">
        <v>6.7150455927051642E-2</v>
      </c>
      <c r="ED6" s="2">
        <v>0.17748480243161094</v>
      </c>
      <c r="EE6" s="2">
        <v>7.4657643312101896E-2</v>
      </c>
      <c r="EF6" s="2">
        <v>9.166666666666666E-2</v>
      </c>
    </row>
    <row r="7" spans="1:157">
      <c r="A7" s="2">
        <v>5</v>
      </c>
      <c r="B7" s="36">
        <v>8.4633757961783435E-2</v>
      </c>
      <c r="C7" s="2">
        <v>0.18925159235668787</v>
      </c>
      <c r="D7" s="2">
        <v>0.14020700636942673</v>
      </c>
      <c r="E7" s="2">
        <v>0.10071656050955415</v>
      </c>
      <c r="F7" s="28">
        <v>8.670382165605095E-2</v>
      </c>
      <c r="G7" s="36">
        <v>0.16961783439490444</v>
      </c>
      <c r="H7" s="2">
        <v>0.14026273885350321</v>
      </c>
      <c r="I7" s="2">
        <v>0.13962579617834392</v>
      </c>
      <c r="J7" s="2">
        <v>0.10650477707006369</v>
      </c>
      <c r="K7" s="2">
        <v>0.12561305732484074</v>
      </c>
      <c r="L7" s="2">
        <v>0.1625557324840764</v>
      </c>
      <c r="M7" s="28">
        <v>0.19440286624203823</v>
      </c>
      <c r="N7" s="36">
        <v>0.13530259365994238</v>
      </c>
      <c r="O7" s="2">
        <v>0.28829617834394899</v>
      </c>
      <c r="P7" s="2">
        <v>0.12237261146496814</v>
      </c>
      <c r="Q7" s="2">
        <v>9.4028662420382159E-2</v>
      </c>
      <c r="R7" s="28">
        <v>7.4601910828025475E-2</v>
      </c>
      <c r="S7" s="36">
        <v>8.88296178343949E-2</v>
      </c>
      <c r="T7" s="2">
        <v>0.19344745222929935</v>
      </c>
      <c r="U7" s="2">
        <v>0.13453025477707004</v>
      </c>
      <c r="V7" s="27">
        <v>5.5230891719745212E-2</v>
      </c>
      <c r="W7" s="2">
        <v>0.14026273885350318</v>
      </c>
      <c r="X7" s="2">
        <v>0.11128184713375795</v>
      </c>
      <c r="Y7" s="28">
        <v>8.0708598726114647E-2</v>
      </c>
      <c r="Z7" s="36">
        <v>0.10220541401273886</v>
      </c>
      <c r="AA7" s="2">
        <v>0.14281050955414012</v>
      </c>
      <c r="AB7" s="2">
        <v>9.6950636942675139E-2</v>
      </c>
      <c r="AC7" s="2">
        <v>8.8988853503184695E-2</v>
      </c>
      <c r="AD7" s="2">
        <v>0.10427547770700638</v>
      </c>
      <c r="AE7" s="28">
        <v>0.11128184713375795</v>
      </c>
      <c r="AF7" s="36">
        <v>9.3924050632911385E-2</v>
      </c>
      <c r="AG7" s="2">
        <v>0.18996835443037974</v>
      </c>
      <c r="AH7" s="2">
        <v>4.2499999999999982E-2</v>
      </c>
      <c r="AI7" s="2">
        <v>8.3006329113924041E-2</v>
      </c>
      <c r="AJ7" s="27">
        <v>6.0854430379746811E-2</v>
      </c>
      <c r="AK7" s="2">
        <v>0.10452531645569621</v>
      </c>
      <c r="AL7" s="28">
        <v>0.10072784810126582</v>
      </c>
      <c r="AM7" s="36">
        <v>5.4697452229299351E-2</v>
      </c>
      <c r="AN7" s="2">
        <v>0.21568471337579617</v>
      </c>
      <c r="AO7" s="27">
        <v>4.9761146496815276E-2</v>
      </c>
      <c r="AP7" s="27">
        <v>3.2245222929936299E-2</v>
      </c>
      <c r="AQ7" s="27">
        <v>3.1926751592356681E-2</v>
      </c>
      <c r="AR7" s="2">
        <v>8.0652866242038199E-2</v>
      </c>
      <c r="AS7" s="26">
        <v>6.0589171974522286E-2</v>
      </c>
      <c r="AT7" s="36">
        <v>2.6068869426751594E-2</v>
      </c>
      <c r="AU7" s="2">
        <v>0.28134554140127388</v>
      </c>
      <c r="AV7" s="2">
        <v>0.14344745222929936</v>
      </c>
      <c r="AW7" s="2">
        <v>0.10427547770700638</v>
      </c>
      <c r="AX7" s="28">
        <v>9.1218152866242033E-2</v>
      </c>
      <c r="AY7" s="36">
        <v>9.7961783439490441E-2</v>
      </c>
      <c r="AZ7" s="2">
        <v>0.19382165605095539</v>
      </c>
      <c r="BA7" s="2">
        <v>9.318471337579616E-2</v>
      </c>
      <c r="BB7" s="2">
        <v>0.11038216560509553</v>
      </c>
      <c r="BC7" s="2">
        <v>8.808917197452229E-2</v>
      </c>
      <c r="BD7" s="28">
        <v>0.11738853503184714</v>
      </c>
      <c r="BE7" s="36">
        <v>0.11600318471337578</v>
      </c>
      <c r="BF7" s="2">
        <v>0.19562101910828023</v>
      </c>
      <c r="BG7" s="2">
        <v>7.7149681528662417E-2</v>
      </c>
      <c r="BH7" s="2">
        <v>0.11727707006369426</v>
      </c>
      <c r="BI7" s="2">
        <v>0.11600318471337578</v>
      </c>
      <c r="BJ7" s="28">
        <v>0.11600318471337578</v>
      </c>
      <c r="BK7" s="36">
        <v>0.11589968152866241</v>
      </c>
      <c r="BL7" s="2">
        <v>0.19472133757961782</v>
      </c>
      <c r="BM7" s="2">
        <v>6.892515923566879E-2</v>
      </c>
      <c r="BN7" s="2">
        <v>0.1103264331210191</v>
      </c>
      <c r="BO7" s="2">
        <v>9.2492038216560504E-2</v>
      </c>
      <c r="BP7" s="2">
        <v>0.10714171974522292</v>
      </c>
      <c r="BQ7" s="28">
        <v>0.12625</v>
      </c>
      <c r="BR7" s="29">
        <v>0.11386075949367087</v>
      </c>
      <c r="BS7" s="3">
        <v>0.20389240506329115</v>
      </c>
      <c r="BT7" s="32">
        <v>4.3765822784810123E-2</v>
      </c>
      <c r="BU7" s="3">
        <v>7.9841772151898721E-2</v>
      </c>
      <c r="BV7" s="3">
        <v>8.7436708860759479E-2</v>
      </c>
      <c r="BW7" s="3">
        <v>0.10832278481012657</v>
      </c>
      <c r="BX7" s="30">
        <v>0.13363924050632908</v>
      </c>
      <c r="BY7" s="29">
        <v>9.5835987261146505E-2</v>
      </c>
      <c r="BZ7" s="3">
        <v>8.1345541401273883E-2</v>
      </c>
      <c r="CA7" s="32">
        <v>3.4530254777070057E-2</v>
      </c>
      <c r="CB7" s="3">
        <v>8.3256369426751589E-2</v>
      </c>
      <c r="CC7" s="3">
        <v>9.822452229299361E-2</v>
      </c>
      <c r="CD7" s="3">
        <v>9.9816878980891713E-2</v>
      </c>
      <c r="CE7" s="30">
        <v>0.10140923566878982</v>
      </c>
      <c r="CF7" s="2">
        <v>0.1244984076433121</v>
      </c>
      <c r="CG7" s="2">
        <v>0.297906050955414</v>
      </c>
      <c r="CH7" s="2">
        <v>6.5103503184713363E-2</v>
      </c>
      <c r="CI7" s="27">
        <v>4.5995222929936311E-2</v>
      </c>
      <c r="CJ7" s="2">
        <v>8.5167197452229296E-2</v>
      </c>
      <c r="CK7" s="2">
        <v>0.15045382165605092</v>
      </c>
      <c r="CL7" s="4">
        <v>0.12720541401273883</v>
      </c>
      <c r="CM7" s="4">
        <v>6.3192675159235656E-2</v>
      </c>
      <c r="CN7" s="4">
        <v>0.11701433121019106</v>
      </c>
      <c r="CO7" s="2">
        <v>0.1889888535031847</v>
      </c>
      <c r="CP7" s="2">
        <v>0.1405812101910828</v>
      </c>
      <c r="CQ7" s="2">
        <v>8.5804140127388503E-2</v>
      </c>
      <c r="CR7" s="2">
        <v>9.8224522292993596E-2</v>
      </c>
      <c r="CS7" s="2">
        <v>9.3447452229299358E-2</v>
      </c>
      <c r="CT7" s="2">
        <v>0.10764154704944177</v>
      </c>
      <c r="CU7" s="2">
        <v>0.22969745222929935</v>
      </c>
      <c r="CV7" s="2">
        <v>3.9888535031847118E-2</v>
      </c>
      <c r="CW7" s="2">
        <v>7.3646496815286622E-2</v>
      </c>
      <c r="CX7" s="2">
        <v>0.10899681528662418</v>
      </c>
      <c r="CY7" s="2">
        <v>0.11982484076433117</v>
      </c>
      <c r="CZ7" s="2">
        <v>0.10740445859872609</v>
      </c>
      <c r="DA7" s="2">
        <v>0.12175079491255962</v>
      </c>
      <c r="DB7" s="2">
        <v>0.22051751592356686</v>
      </c>
      <c r="DC7" s="2">
        <v>4.8542993630573239E-2</v>
      </c>
      <c r="DD7" s="2">
        <v>8.8033439490445856E-2</v>
      </c>
      <c r="DE7" s="2">
        <v>7.8479299363057323E-2</v>
      </c>
      <c r="DF7" s="2">
        <v>0.1116003184713376</v>
      </c>
      <c r="DG7" s="2">
        <v>0.12720541401273883</v>
      </c>
      <c r="DH7" s="2">
        <v>6.5421974522292994E-2</v>
      </c>
      <c r="DI7" s="2">
        <v>0.14058121019108277</v>
      </c>
      <c r="DJ7" s="2">
        <v>0.10634556574923547</v>
      </c>
      <c r="DK7" s="2">
        <v>5.746019108280255E-2</v>
      </c>
      <c r="DL7" s="2">
        <v>9.2492038216560504E-2</v>
      </c>
      <c r="DM7" s="2">
        <v>0.10203696343402227</v>
      </c>
      <c r="DN7" s="2">
        <v>0.13453025477707001</v>
      </c>
      <c r="DO7" s="2">
        <v>6.0007961783439472E-2</v>
      </c>
      <c r="DP7" s="2">
        <v>5.833333333333332E-2</v>
      </c>
      <c r="DQ7" s="2">
        <v>7.6250000000000012E-2</v>
      </c>
      <c r="DR7" s="2">
        <v>0.12625</v>
      </c>
      <c r="DS7" s="2">
        <v>6.9243264659270998E-2</v>
      </c>
      <c r="DT7" s="2">
        <v>0.18644108280254776</v>
      </c>
      <c r="DU7" s="2">
        <v>6.0007961783439485E-2</v>
      </c>
      <c r="DV7" s="2">
        <v>0.10395700636942674</v>
      </c>
      <c r="DW7" s="2">
        <v>8.6122611464968149E-2</v>
      </c>
      <c r="DX7" s="2">
        <v>8.2937898089171971E-2</v>
      </c>
      <c r="DY7" s="2">
        <v>8.1664012738853514E-2</v>
      </c>
      <c r="DZ7" s="2">
        <v>0.11062201907790142</v>
      </c>
      <c r="EA7" s="2">
        <v>9.4721337579617829E-2</v>
      </c>
      <c r="EB7" s="2">
        <v>9.9816878980891699E-2</v>
      </c>
      <c r="EC7" s="2">
        <v>8.0486322188449838E-2</v>
      </c>
      <c r="ED7" s="2">
        <v>0.22091185410334349</v>
      </c>
      <c r="EE7" s="2">
        <v>0.11765127388535031</v>
      </c>
      <c r="EF7" s="2">
        <v>0.11526758409785931</v>
      </c>
    </row>
    <row r="8" spans="1:157">
      <c r="A8" s="2">
        <v>6</v>
      </c>
      <c r="B8" s="37">
        <v>0.17277070063694266</v>
      </c>
      <c r="C8" s="38">
        <v>3.662420382165605E-2</v>
      </c>
      <c r="D8" s="38">
        <v>6.2101910828025478E-2</v>
      </c>
      <c r="E8" s="38">
        <v>6.8471337579617833E-2</v>
      </c>
      <c r="F8" s="39">
        <v>0.12898089171974522</v>
      </c>
      <c r="G8" s="37">
        <v>0.17993630573248406</v>
      </c>
      <c r="H8" s="38">
        <v>7.4840764331210188E-2</v>
      </c>
      <c r="I8" s="38">
        <v>6.8471337579617833E-2</v>
      </c>
      <c r="J8" s="40">
        <v>0.10987261146496816</v>
      </c>
      <c r="K8" s="40">
        <v>0.12898089171974522</v>
      </c>
      <c r="L8" s="40">
        <v>0.18312101910828024</v>
      </c>
      <c r="M8" s="39">
        <v>0.21496815286624205</v>
      </c>
      <c r="N8" s="37">
        <v>0.32853025936599423</v>
      </c>
      <c r="O8" s="40">
        <v>0.10987261146496816</v>
      </c>
      <c r="P8" s="40">
        <v>8.4394904458598721E-2</v>
      </c>
      <c r="Q8" s="40">
        <v>0.17356687898089171</v>
      </c>
      <c r="R8" s="39">
        <v>0.20859872611464969</v>
      </c>
      <c r="S8" s="37">
        <v>0.14092356687898089</v>
      </c>
      <c r="T8" s="40">
        <v>9.0764331210191077E-2</v>
      </c>
      <c r="U8" s="38">
        <v>7.4840764331210188E-2</v>
      </c>
      <c r="V8" s="40">
        <v>5.5732484076433123E-2</v>
      </c>
      <c r="W8" s="38">
        <v>7.4840764331210188E-2</v>
      </c>
      <c r="X8" s="40">
        <v>0.12898089171974522</v>
      </c>
      <c r="Y8" s="39">
        <v>0.16719745222929935</v>
      </c>
      <c r="Z8" s="37">
        <v>0.18869426751592358</v>
      </c>
      <c r="AA8" s="38">
        <v>7.1656050955414011E-2</v>
      </c>
      <c r="AB8" s="38">
        <v>4.2993630573248405E-2</v>
      </c>
      <c r="AC8" s="40">
        <v>0.10668789808917198</v>
      </c>
      <c r="AD8" s="40">
        <v>0.17356687898089171</v>
      </c>
      <c r="AE8" s="39">
        <v>0.21496815286624205</v>
      </c>
      <c r="AF8" s="37">
        <v>0.18591772151898733</v>
      </c>
      <c r="AG8" s="40">
        <v>8.5443037974683542E-2</v>
      </c>
      <c r="AH8" s="38">
        <v>6.3291139240506333E-2</v>
      </c>
      <c r="AI8" s="38">
        <v>4.1139240506329111E-2</v>
      </c>
      <c r="AJ8" s="40">
        <v>7.5949367088607597E-2</v>
      </c>
      <c r="AK8" s="40">
        <v>0.17088607594936708</v>
      </c>
      <c r="AL8" s="39">
        <v>0.21835443037974683</v>
      </c>
      <c r="AM8" s="37">
        <v>6.6878980891719744E-2</v>
      </c>
      <c r="AN8" s="40">
        <v>7.1656050955414011E-2</v>
      </c>
      <c r="AO8" s="40">
        <v>7.4840764331210188E-2</v>
      </c>
      <c r="AP8" s="40">
        <v>7.1656050955414011E-2</v>
      </c>
      <c r="AQ8" s="40">
        <v>6.8471337579617833E-2</v>
      </c>
      <c r="AR8" s="40">
        <v>6.8471337579617833E-2</v>
      </c>
      <c r="AS8" s="39">
        <v>9.7133757961783446E-2</v>
      </c>
      <c r="AT8" s="37">
        <v>4.3391719745222927E-2</v>
      </c>
      <c r="AU8" s="40">
        <v>8.1210191082802544E-2</v>
      </c>
      <c r="AV8" s="40">
        <v>0.10668789808917198</v>
      </c>
      <c r="AW8" s="40">
        <v>0.17356687898089171</v>
      </c>
      <c r="AX8" s="39">
        <v>0.21496815286624205</v>
      </c>
      <c r="AY8" s="37">
        <v>0.19426751592356689</v>
      </c>
      <c r="AZ8" s="40">
        <v>0.13535031847133758</v>
      </c>
      <c r="BA8" s="40">
        <v>0.1035031847133758</v>
      </c>
      <c r="BB8" s="40">
        <v>0.18949044585987262</v>
      </c>
      <c r="BC8" s="40">
        <v>0.16719745222929935</v>
      </c>
      <c r="BD8" s="39">
        <v>0.23089171974522293</v>
      </c>
      <c r="BE8" s="37">
        <v>0.25</v>
      </c>
      <c r="BF8" s="40">
        <v>7.1656050955414011E-2</v>
      </c>
      <c r="BG8" s="40">
        <v>0.17675159235668789</v>
      </c>
      <c r="BH8" s="40">
        <v>0.17675159235668789</v>
      </c>
      <c r="BI8" s="40">
        <v>0.25</v>
      </c>
      <c r="BJ8" s="39">
        <v>0.25</v>
      </c>
      <c r="BK8" s="37">
        <v>0.23964968152866242</v>
      </c>
      <c r="BL8" s="40">
        <v>0.1321656050955414</v>
      </c>
      <c r="BM8" s="40">
        <v>0.13535031847133758</v>
      </c>
      <c r="BN8" s="40">
        <v>0.23407643312101911</v>
      </c>
      <c r="BO8" s="40">
        <v>0.19904458598726116</v>
      </c>
      <c r="BP8" s="40">
        <v>0.23089171974522293</v>
      </c>
      <c r="BQ8" s="39">
        <v>0.25</v>
      </c>
      <c r="BR8" s="41">
        <v>8.6234177215189875E-2</v>
      </c>
      <c r="BS8" s="42">
        <v>0.13924050632911392</v>
      </c>
      <c r="BT8" s="42">
        <v>0.10443037974683544</v>
      </c>
      <c r="BU8" s="42">
        <v>6.6455696202531639E-2</v>
      </c>
      <c r="BV8" s="43">
        <v>8.5443037974683542E-2</v>
      </c>
      <c r="BW8" s="42">
        <v>9.49367088607595E-2</v>
      </c>
      <c r="BX8" s="44">
        <v>9.1772151898734181E-2</v>
      </c>
      <c r="BY8" s="41">
        <v>0.1321656050955414</v>
      </c>
      <c r="BZ8" s="43">
        <v>5.89171974522293E-2</v>
      </c>
      <c r="CA8" s="42">
        <v>4.9363057324840767E-2</v>
      </c>
      <c r="CB8" s="43">
        <v>4.9363057324840767E-2</v>
      </c>
      <c r="CC8" s="42">
        <v>0.11305732484076433</v>
      </c>
      <c r="CD8" s="42">
        <v>0.10031847133757962</v>
      </c>
      <c r="CE8" s="44">
        <v>0.17356687898089171</v>
      </c>
      <c r="CF8" s="2">
        <v>0.20382165605095542</v>
      </c>
      <c r="CG8" s="2">
        <v>0.21815286624203822</v>
      </c>
      <c r="CH8" s="2">
        <v>9.7133757961783446E-2</v>
      </c>
      <c r="CI8" s="2">
        <v>0.13535031847133758</v>
      </c>
      <c r="CJ8" s="2">
        <v>0.15445859872611464</v>
      </c>
      <c r="CK8" s="2">
        <v>0.20541401273885351</v>
      </c>
      <c r="CL8" s="4">
        <v>0.23089171974522293</v>
      </c>
      <c r="CM8" s="45">
        <v>5.6528662420382167E-2</v>
      </c>
      <c r="CN8" s="35">
        <v>4.2993630573248405E-2</v>
      </c>
      <c r="CO8" s="27">
        <v>7.4840764331210188E-2</v>
      </c>
      <c r="CP8" s="2">
        <v>4.9363057324840767E-2</v>
      </c>
      <c r="CQ8" s="27">
        <v>4.6178343949044583E-2</v>
      </c>
      <c r="CR8" s="27">
        <v>8.4394904458598721E-2</v>
      </c>
      <c r="CS8" s="27">
        <v>9.3949044585987268E-2</v>
      </c>
      <c r="CT8" s="2">
        <v>0.129585326953748</v>
      </c>
      <c r="CU8" s="2">
        <v>0.15445859872611464</v>
      </c>
      <c r="CV8" s="2">
        <v>6.2101910828025478E-2</v>
      </c>
      <c r="CW8" s="2">
        <v>0.17038216560509553</v>
      </c>
      <c r="CX8" s="2">
        <v>9.3949044585987268E-2</v>
      </c>
      <c r="CY8" s="2">
        <v>0.14490445859872611</v>
      </c>
      <c r="CZ8" s="2">
        <v>0.13535031847133758</v>
      </c>
      <c r="DA8" s="2">
        <v>0.22217806041335453</v>
      </c>
      <c r="DB8" s="2">
        <v>7.4840764331210188E-2</v>
      </c>
      <c r="DC8" s="2">
        <v>0.1035031847133758</v>
      </c>
      <c r="DD8" s="2">
        <v>0.15445859872611464</v>
      </c>
      <c r="DE8" s="2">
        <v>0.20222929936305734</v>
      </c>
      <c r="DF8" s="2">
        <v>0.21815286624203822</v>
      </c>
      <c r="DG8" s="2">
        <v>0.23089171974522293</v>
      </c>
      <c r="DH8" s="2">
        <v>0.17197452229299362</v>
      </c>
      <c r="DI8" s="2">
        <v>0.10668789808917198</v>
      </c>
      <c r="DJ8" s="2">
        <v>0.12767584097859327</v>
      </c>
      <c r="DK8" s="2">
        <v>0.16401273885350318</v>
      </c>
      <c r="DL8" s="2">
        <v>0.19904458598726116</v>
      </c>
      <c r="DM8" s="2">
        <v>0.21104928457869634</v>
      </c>
      <c r="DN8" s="2">
        <v>4.6178343949044583E-2</v>
      </c>
      <c r="DO8" s="2">
        <v>7.4840764331210188E-2</v>
      </c>
      <c r="DP8" s="2">
        <v>0.1154434250764526</v>
      </c>
      <c r="DQ8" s="2">
        <v>0.17993630573248406</v>
      </c>
      <c r="DR8" s="2">
        <v>0.25</v>
      </c>
      <c r="DS8" s="2">
        <v>0.18502377179080823</v>
      </c>
      <c r="DT8" s="2">
        <v>0.10668789808917198</v>
      </c>
      <c r="DU8" s="2">
        <v>7.4840764331210188E-2</v>
      </c>
      <c r="DV8" s="2">
        <v>0.14171974522292993</v>
      </c>
      <c r="DW8" s="2">
        <v>0.13535031847133758</v>
      </c>
      <c r="DX8" s="2">
        <v>0.18949044585987262</v>
      </c>
      <c r="DY8" s="2">
        <v>0.20541401273885351</v>
      </c>
      <c r="DZ8" s="2">
        <v>0.17527821939586646</v>
      </c>
      <c r="EA8" s="2">
        <v>7.8025477707006366E-2</v>
      </c>
      <c r="EB8" s="2">
        <v>4.2993630573248405E-2</v>
      </c>
      <c r="EC8" s="2">
        <v>6.7629179331306993E-2</v>
      </c>
      <c r="ED8" s="2">
        <v>0.13145896656534956</v>
      </c>
      <c r="EE8" s="2">
        <v>0.16401273885350318</v>
      </c>
      <c r="EF8" s="2">
        <v>0.20107033639143732</v>
      </c>
    </row>
    <row r="9" spans="1:157"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L9" s="4"/>
      <c r="CM9" s="4"/>
      <c r="CN9" s="4"/>
    </row>
    <row r="10" spans="1:157">
      <c r="CL10" s="4"/>
      <c r="CM10" s="4"/>
      <c r="CN10" s="4"/>
      <c r="EC10" s="8" t="s">
        <v>66</v>
      </c>
      <c r="ED10" s="8" t="s">
        <v>67</v>
      </c>
      <c r="EE10" s="8" t="s">
        <v>68</v>
      </c>
    </row>
    <row r="11" spans="1:157">
      <c r="B11" s="7"/>
      <c r="D11" s="20"/>
      <c r="F11" s="7"/>
      <c r="H11" s="7"/>
      <c r="CL11" s="4"/>
      <c r="CM11" s="4"/>
      <c r="CN11" s="4"/>
      <c r="EC11" s="2">
        <v>8.6208267090619982E-3</v>
      </c>
      <c r="ED11" s="2">
        <v>4.486883942766294E-2</v>
      </c>
      <c r="EE11" s="2">
        <v>3.0546751188589532E-3</v>
      </c>
    </row>
    <row r="12" spans="1:157">
      <c r="CL12" s="4"/>
      <c r="CM12" s="4"/>
      <c r="CN12" s="4"/>
      <c r="EC12" s="2">
        <v>0.1495588235294118</v>
      </c>
      <c r="ED12" s="2">
        <v>0.17650635930047695</v>
      </c>
      <c r="EE12" s="2">
        <v>0.19132725832012676</v>
      </c>
    </row>
    <row r="13" spans="1:157">
      <c r="CL13" s="4"/>
      <c r="CM13" s="4"/>
      <c r="CN13" s="4"/>
      <c r="EC13" s="2">
        <v>0.17960651828298888</v>
      </c>
      <c r="ED13" s="2">
        <v>0.1822297297297297</v>
      </c>
      <c r="EE13" s="2">
        <v>0.26620839936608559</v>
      </c>
    </row>
    <row r="14" spans="1:157">
      <c r="B14" s="2" t="s">
        <v>18</v>
      </c>
      <c r="D14" s="2" t="s">
        <v>20</v>
      </c>
      <c r="F14" s="2" t="s">
        <v>48</v>
      </c>
      <c r="H14" s="2" t="s">
        <v>49</v>
      </c>
      <c r="J14" s="2" t="s">
        <v>50</v>
      </c>
      <c r="L14" s="2" t="s">
        <v>51</v>
      </c>
      <c r="N14" s="2" t="s">
        <v>52</v>
      </c>
      <c r="P14" s="2" t="s">
        <v>53</v>
      </c>
      <c r="R14" s="11" t="s">
        <v>54</v>
      </c>
      <c r="T14" s="11" t="s">
        <v>55</v>
      </c>
      <c r="V14" s="11" t="s">
        <v>56</v>
      </c>
      <c r="X14" s="11" t="s">
        <v>57</v>
      </c>
      <c r="Z14" s="11" t="s">
        <v>58</v>
      </c>
      <c r="AB14" s="11" t="s">
        <v>59</v>
      </c>
      <c r="AD14" s="2" t="s">
        <v>60</v>
      </c>
      <c r="AF14" s="2" t="s">
        <v>61</v>
      </c>
      <c r="AH14" s="2" t="s">
        <v>62</v>
      </c>
      <c r="AJ14" s="2" t="s">
        <v>63</v>
      </c>
      <c r="AL14" s="2" t="s">
        <v>64</v>
      </c>
      <c r="AN14" s="2" t="s">
        <v>65</v>
      </c>
      <c r="CL14" s="4"/>
      <c r="CM14" s="4"/>
      <c r="CN14" s="4"/>
      <c r="EC14" s="2">
        <v>7.3277027027027014E-2</v>
      </c>
      <c r="ED14" s="2">
        <v>4.4636327503974553E-2</v>
      </c>
      <c r="EE14" s="2">
        <v>8.654714738510301E-2</v>
      </c>
    </row>
    <row r="15" spans="1:157">
      <c r="B15" s="3">
        <v>0.2900796178343949</v>
      </c>
      <c r="C15" s="46">
        <v>5.5254777070063701E-3</v>
      </c>
      <c r="D15" s="3">
        <v>0.2463535031847133</v>
      </c>
      <c r="E15" s="46">
        <v>1.1640127388535017E-2</v>
      </c>
      <c r="F15" s="3">
        <v>0.32413105413105414</v>
      </c>
      <c r="G15" s="46">
        <v>7.6945244956772192E-3</v>
      </c>
      <c r="H15" s="3">
        <v>0.14756369426751589</v>
      </c>
      <c r="I15" s="46">
        <v>9.5063694267515826E-3</v>
      </c>
      <c r="J15" s="2">
        <v>0.13641719745222927</v>
      </c>
      <c r="K15" s="34">
        <v>4.2515923566878982E-3</v>
      </c>
      <c r="L15" s="2">
        <v>9.1265822784810102E-2</v>
      </c>
      <c r="M15" s="34">
        <v>6.7721518987341736E-3</v>
      </c>
      <c r="N15" s="2">
        <v>8.8328025477706976E-2</v>
      </c>
      <c r="O15" s="34">
        <v>5.2977707006369383E-2</v>
      </c>
      <c r="P15" s="2">
        <v>6.6628184713375782E-2</v>
      </c>
      <c r="Q15" s="46">
        <v>3.7300955414012716E-3</v>
      </c>
      <c r="R15" s="2">
        <v>5.8550955414012722E-2</v>
      </c>
      <c r="S15" s="34">
        <v>1.2261146496815268E-3</v>
      </c>
      <c r="T15" s="2">
        <v>4.7245222929936277E-2</v>
      </c>
      <c r="U15" s="34">
        <v>2.5000000000000061E-3</v>
      </c>
      <c r="V15" s="47">
        <v>4.7245222929936277E-2</v>
      </c>
      <c r="W15" s="34">
        <v>2.1815286624203875E-3</v>
      </c>
      <c r="X15" s="2">
        <v>6.8797468354430361E-2</v>
      </c>
      <c r="Y15" s="2">
        <v>6.0886075949367062E-2</v>
      </c>
      <c r="Z15" s="2">
        <v>0.13641719745222927</v>
      </c>
      <c r="AA15" s="34">
        <v>2.6544585987261136E-2</v>
      </c>
      <c r="AB15" s="2">
        <v>6.2691082802547746E-2</v>
      </c>
      <c r="AC15" s="34">
        <v>1.0780254777070054E-2</v>
      </c>
      <c r="AD15" s="2">
        <v>0.26651273885350313</v>
      </c>
      <c r="AE15" s="2">
        <v>0.1529777070063694</v>
      </c>
      <c r="AF15" s="2">
        <v>0.11125796178343947</v>
      </c>
      <c r="AG15" s="34">
        <v>4.2133173843700134E-2</v>
      </c>
      <c r="AH15" s="2">
        <v>7.6226114649681501E-2</v>
      </c>
      <c r="AI15" s="34">
        <v>1.8640699523052469E-3</v>
      </c>
      <c r="AJ15" s="2">
        <v>4.3105095541401239E-2</v>
      </c>
      <c r="AK15" s="34">
        <v>1.1894904458598725E-2</v>
      </c>
      <c r="AL15" s="2">
        <v>0.11794585987261141</v>
      </c>
      <c r="AM15" s="34">
        <v>1.4666136724960292E-3</v>
      </c>
      <c r="AN15" s="2">
        <v>8.8168789808917153E-2</v>
      </c>
      <c r="AO15" s="34">
        <v>7.4128367670364464E-3</v>
      </c>
      <c r="CL15" s="4"/>
      <c r="CM15" s="4"/>
      <c r="CN15" s="4"/>
      <c r="EC15" s="2">
        <v>0.11062201907790142</v>
      </c>
      <c r="ED15" s="2">
        <v>6.5812798092209843E-2</v>
      </c>
      <c r="EE15" s="2">
        <v>0.12213351822503961</v>
      </c>
    </row>
    <row r="16" spans="1:157">
      <c r="B16" s="3">
        <v>0.24708598726114647</v>
      </c>
      <c r="C16" s="3">
        <v>0.17463375796178343</v>
      </c>
      <c r="D16" s="3">
        <v>0.16555732484076435</v>
      </c>
      <c r="E16" s="3">
        <v>0.28211783439490445</v>
      </c>
      <c r="F16" s="3">
        <v>0.14464387464387463</v>
      </c>
      <c r="G16" s="3">
        <v>0.47974063400576367</v>
      </c>
      <c r="H16" s="3">
        <v>9.5971337579617802E-2</v>
      </c>
      <c r="I16" s="3">
        <v>0.16428343949044583</v>
      </c>
      <c r="J16" s="2">
        <v>0.16221337579617831</v>
      </c>
      <c r="K16" s="2">
        <v>0.20775477707006373</v>
      </c>
      <c r="L16" s="2">
        <v>0.12544303797468354</v>
      </c>
      <c r="M16" s="2">
        <v>0.22322784810126584</v>
      </c>
      <c r="N16" s="2">
        <v>8.8328025477706976E-2</v>
      </c>
      <c r="O16" s="2">
        <v>0.15616242038216557</v>
      </c>
      <c r="P16" s="2">
        <v>3.2233280254777071E-2</v>
      </c>
      <c r="Q16" s="3">
        <v>4.6723726114649686E-2</v>
      </c>
      <c r="R16" s="2">
        <v>7.5748407643312074E-2</v>
      </c>
      <c r="S16" s="2">
        <v>0.19039808917197451</v>
      </c>
      <c r="T16" s="2">
        <v>0.14469745222929936</v>
      </c>
      <c r="U16" s="2">
        <v>0.24613057324840767</v>
      </c>
      <c r="V16" s="2">
        <v>8.1640127388535003E-2</v>
      </c>
      <c r="W16" s="2">
        <v>0.24581210191082808</v>
      </c>
      <c r="X16" s="2">
        <v>6.8797468354430361E-2</v>
      </c>
      <c r="Y16" s="2">
        <v>9.5063291139240474E-2</v>
      </c>
      <c r="Z16" s="2">
        <v>0.29119426751592353</v>
      </c>
      <c r="AA16" s="2">
        <v>0.16412420382165605</v>
      </c>
      <c r="AB16" s="2">
        <v>6.2691082802547746E-2</v>
      </c>
      <c r="AC16" s="2">
        <v>0.23434713375796182</v>
      </c>
      <c r="AD16" s="2">
        <v>0.26364649681528657</v>
      </c>
      <c r="AE16" s="2">
        <v>0.35934713375796179</v>
      </c>
      <c r="AF16" s="2">
        <v>7.6863057324840736E-2</v>
      </c>
      <c r="AG16" s="2">
        <v>9.3807814992025493E-2</v>
      </c>
      <c r="AH16" s="2">
        <v>0.13641719745222927</v>
      </c>
      <c r="AI16" s="2">
        <v>0.20790540540540547</v>
      </c>
      <c r="AJ16" s="2">
        <v>7.7499999999999972E-2</v>
      </c>
      <c r="AK16" s="2">
        <v>0.20106687898089171</v>
      </c>
      <c r="AL16" s="2">
        <v>0.16953821656050949</v>
      </c>
      <c r="AM16" s="2">
        <v>0.19105325914149443</v>
      </c>
      <c r="AN16" s="2">
        <v>8.8168789808917167E-2</v>
      </c>
      <c r="AO16" s="2">
        <v>0.25345087163232966</v>
      </c>
      <c r="CL16" s="4"/>
      <c r="CM16" s="4"/>
      <c r="CN16" s="4"/>
      <c r="EC16" s="2">
        <v>0.17527821939586646</v>
      </c>
      <c r="ED16" s="2">
        <v>6.5580286168521462E-2</v>
      </c>
      <c r="EE16" s="2">
        <v>0.20562599049128369</v>
      </c>
    </row>
    <row r="17" spans="1:157">
      <c r="B17" s="3">
        <v>0.27288216560509548</v>
      </c>
      <c r="C17" s="3">
        <v>0.17749999999999996</v>
      </c>
      <c r="D17" s="3">
        <v>0.26587579617834389</v>
      </c>
      <c r="E17" s="3">
        <v>0.28211783439490445</v>
      </c>
      <c r="F17" s="3">
        <v>0.60105413105413097</v>
      </c>
      <c r="G17" s="3">
        <v>0.31893371757925071</v>
      </c>
      <c r="H17" s="3">
        <v>0.23355095541401272</v>
      </c>
      <c r="I17" s="3">
        <v>0.16428343949044583</v>
      </c>
      <c r="J17" s="2">
        <v>0.18800955414012735</v>
      </c>
      <c r="K17" s="2">
        <v>0.17622611464968149</v>
      </c>
      <c r="L17" s="2">
        <v>0.17670886075949363</v>
      </c>
      <c r="M17" s="2">
        <v>0.19474683544303797</v>
      </c>
      <c r="N17" s="2">
        <v>0.22590764331210184</v>
      </c>
      <c r="O17" s="2">
        <v>0.15616242038216557</v>
      </c>
      <c r="P17" s="2">
        <v>0.10962181528662421</v>
      </c>
      <c r="Q17" s="3">
        <v>3.8124999999999999E-2</v>
      </c>
      <c r="R17" s="2">
        <v>0.18753184713375792</v>
      </c>
      <c r="S17" s="2">
        <v>0.20759554140127384</v>
      </c>
      <c r="T17" s="2">
        <v>0.21921974522292992</v>
      </c>
      <c r="U17" s="2">
        <v>0.20886942675159237</v>
      </c>
      <c r="V17" s="2">
        <v>0.21921974522292992</v>
      </c>
      <c r="W17" s="2">
        <v>0.20855095541401275</v>
      </c>
      <c r="X17" s="2">
        <v>0.1542405063291139</v>
      </c>
      <c r="Y17" s="2">
        <v>0.18050632911392403</v>
      </c>
      <c r="Z17" s="2">
        <v>0.15648089171974522</v>
      </c>
      <c r="AA17" s="2">
        <v>0.21285031847133756</v>
      </c>
      <c r="AB17" s="2">
        <v>0.23466560509554141</v>
      </c>
      <c r="AC17" s="2">
        <v>0.21714968152866243</v>
      </c>
      <c r="AD17" s="2">
        <v>0.30090764331210185</v>
      </c>
      <c r="AE17" s="2">
        <v>0.17017515923566875</v>
      </c>
      <c r="AF17" s="2">
        <v>0.12845541401273883</v>
      </c>
      <c r="AG17" s="2">
        <v>0.22945374800637955</v>
      </c>
      <c r="AH17" s="2">
        <v>0.16221337579617831</v>
      </c>
      <c r="AI17" s="2">
        <v>0.22579093799682032</v>
      </c>
      <c r="AJ17" s="2">
        <v>0.2093471337579618</v>
      </c>
      <c r="AK17" s="2">
        <v>0.20106687898089173</v>
      </c>
      <c r="AL17" s="2">
        <v>0.11794585987261143</v>
      </c>
      <c r="AM17" s="2">
        <v>0.18962241653418122</v>
      </c>
      <c r="AN17" s="2">
        <v>0.15982484076433118</v>
      </c>
      <c r="AO17" s="2">
        <v>0.21280110935023769</v>
      </c>
      <c r="CL17" s="4"/>
      <c r="CM17" s="4"/>
      <c r="CN17" s="4"/>
    </row>
    <row r="18" spans="1:157">
      <c r="B18" s="3">
        <v>0.17471337579617832</v>
      </c>
      <c r="C18" s="3">
        <v>9.3662420382165601E-2</v>
      </c>
      <c r="D18" s="3">
        <v>9.7269108280254757E-2</v>
      </c>
      <c r="E18" s="3">
        <v>8.6066878980891715E-2</v>
      </c>
      <c r="F18" s="3">
        <v>0.13054131054131052</v>
      </c>
      <c r="G18" s="3">
        <v>0.20092219020172913</v>
      </c>
      <c r="H18" s="3">
        <v>6.6377388535031848E-2</v>
      </c>
      <c r="I18" s="3">
        <v>6.1600318471337574E-2</v>
      </c>
      <c r="J18" s="2">
        <v>7.3861464968152837E-2</v>
      </c>
      <c r="K18" s="2">
        <v>9.0740445859872593E-2</v>
      </c>
      <c r="L18" s="2">
        <v>4.9398734177215166E-2</v>
      </c>
      <c r="M18" s="2">
        <v>9.8765822784810123E-2</v>
      </c>
      <c r="N18" s="47">
        <v>2.8853503184713362E-2</v>
      </c>
      <c r="O18" s="2">
        <v>6.5159235668789783E-2</v>
      </c>
      <c r="P18" s="2">
        <v>1.6594347133757958E-2</v>
      </c>
      <c r="Q18" s="3">
        <v>2.1052945859872607E-2</v>
      </c>
      <c r="R18" s="47">
        <v>3.4474522292993637E-2</v>
      </c>
      <c r="S18" s="2">
        <v>9.7531847133757968E-2</v>
      </c>
      <c r="T18" s="47">
        <v>3.5063694267515912E-2</v>
      </c>
      <c r="U18" s="2">
        <v>0.13649681528662425</v>
      </c>
      <c r="V18" s="2">
        <v>4.9179936305732475E-2</v>
      </c>
      <c r="W18" s="2">
        <v>0.12593152866242041</v>
      </c>
      <c r="X18" s="47">
        <v>6.6803797468354423E-2</v>
      </c>
      <c r="Y18" s="34">
        <v>3.3259493670886063E-2</v>
      </c>
      <c r="Z18" s="2">
        <v>0.13261942675159233</v>
      </c>
      <c r="AA18" s="2">
        <v>6.2874203821656038E-2</v>
      </c>
      <c r="AB18" s="47">
        <v>3.882961783439489E-2</v>
      </c>
      <c r="AC18" s="2">
        <v>9.0103503184713371E-2</v>
      </c>
      <c r="AD18" s="2">
        <v>0.17242834394904458</v>
      </c>
      <c r="AE18" s="2">
        <v>0.14631369426751592</v>
      </c>
      <c r="AF18" s="2">
        <v>8.4745222929936276E-2</v>
      </c>
      <c r="AG18" s="2">
        <v>6.4076953748006371E-2</v>
      </c>
      <c r="AH18" s="47">
        <v>3.0867834394904443E-2</v>
      </c>
      <c r="AI18" s="2">
        <v>0.10229133545310017</v>
      </c>
      <c r="AJ18" s="47">
        <v>3.5007961783439477E-2</v>
      </c>
      <c r="AK18" s="2">
        <v>0.11844745222929937</v>
      </c>
      <c r="AL18" s="2">
        <v>8.118630573248406E-2</v>
      </c>
      <c r="AM18" s="2">
        <v>0.11047893481717012</v>
      </c>
      <c r="AN18" s="47">
        <v>5.5708598726114639E-2</v>
      </c>
      <c r="AO18" s="2">
        <v>0.1231933438985737</v>
      </c>
      <c r="CL18" s="4"/>
      <c r="CM18" s="4"/>
      <c r="CN18" s="4"/>
    </row>
    <row r="19" spans="1:157">
      <c r="B19" s="3">
        <v>0.14562101910828024</v>
      </c>
      <c r="C19" s="3">
        <v>8.4633757961783435E-2</v>
      </c>
      <c r="D19" s="3">
        <v>0.14026273885350321</v>
      </c>
      <c r="E19" s="3">
        <v>0.16961783439490444</v>
      </c>
      <c r="F19" s="3">
        <v>0.31182336182336179</v>
      </c>
      <c r="G19" s="3">
        <v>0.13530259365994238</v>
      </c>
      <c r="H19" s="3">
        <v>0.11940286624203819</v>
      </c>
      <c r="I19" s="3">
        <v>8.88296178343949E-2</v>
      </c>
      <c r="J19" s="2">
        <v>0.10395700636942674</v>
      </c>
      <c r="K19" s="2">
        <v>0.10220541401273886</v>
      </c>
      <c r="L19" s="2">
        <v>7.5886075949367082E-2</v>
      </c>
      <c r="M19" s="2">
        <v>9.3924050632911385E-2</v>
      </c>
      <c r="N19" s="2">
        <v>0.1072452229299363</v>
      </c>
      <c r="O19" s="2">
        <v>5.4697452229299351E-2</v>
      </c>
      <c r="P19" s="2">
        <v>7.033638535031847E-2</v>
      </c>
      <c r="Q19" s="3">
        <v>2.6068869426751594E-2</v>
      </c>
      <c r="R19" s="2">
        <v>0.12519108280254776</v>
      </c>
      <c r="S19" s="2">
        <v>9.7961783439490441E-2</v>
      </c>
      <c r="T19" s="2">
        <v>0.10055732484076432</v>
      </c>
      <c r="U19" s="2">
        <v>0.11600318471337578</v>
      </c>
      <c r="V19" s="2">
        <v>0.11510350318471337</v>
      </c>
      <c r="W19" s="2">
        <v>0.11589968152866241</v>
      </c>
      <c r="X19" s="2">
        <v>9.6139240506329104E-2</v>
      </c>
      <c r="Y19" s="2">
        <v>0.11386075949367087</v>
      </c>
      <c r="Z19" s="2">
        <v>4.5199044585987259E-2</v>
      </c>
      <c r="AA19" s="2">
        <v>9.5835987261146505E-2</v>
      </c>
      <c r="AB19" s="2">
        <v>0.13054936305732481</v>
      </c>
      <c r="AC19" s="2">
        <v>0.1244984076433121</v>
      </c>
      <c r="AD19" s="2">
        <v>0.12513535031847131</v>
      </c>
      <c r="AE19" s="2">
        <v>6.3192675159235656E-2</v>
      </c>
      <c r="AF19" s="2">
        <v>9.5780254777070056E-2</v>
      </c>
      <c r="AG19" s="2">
        <v>0.10764154704944177</v>
      </c>
      <c r="AH19" s="2">
        <v>9.3925159235668784E-2</v>
      </c>
      <c r="AI19" s="2">
        <v>0.12175079491255962</v>
      </c>
      <c r="AJ19" s="2">
        <v>0.11956210191082799</v>
      </c>
      <c r="AK19" s="2">
        <v>6.5421974522292994E-2</v>
      </c>
      <c r="AL19" s="2">
        <v>6.5421974522292967E-2</v>
      </c>
      <c r="AM19" s="2">
        <v>0.10203696343402227</v>
      </c>
      <c r="AN19" s="2">
        <v>0.10013535031847132</v>
      </c>
      <c r="AO19" s="2">
        <v>6.9243264659270998E-2</v>
      </c>
      <c r="CL19" s="4"/>
      <c r="CM19" s="4"/>
      <c r="CN19" s="4"/>
    </row>
    <row r="20" spans="1:157">
      <c r="B20" s="48">
        <v>3.0254777070063694E-2</v>
      </c>
      <c r="C20" s="3">
        <v>0.17277070063694266</v>
      </c>
      <c r="D20" s="48">
        <v>7.4840764331210188E-2</v>
      </c>
      <c r="E20" s="3">
        <v>0.17993630573248406</v>
      </c>
      <c r="F20" s="48">
        <v>0.11823361823361823</v>
      </c>
      <c r="G20" s="3">
        <v>0.32853025936599423</v>
      </c>
      <c r="H20" s="48">
        <v>3.8216560509554139E-2</v>
      </c>
      <c r="I20" s="3">
        <v>0.14092356687898089</v>
      </c>
      <c r="J20" s="47">
        <v>4.1401273885350316E-2</v>
      </c>
      <c r="K20" s="2">
        <v>0.18869426751592358</v>
      </c>
      <c r="L20" s="47">
        <v>3.4018987341772153E-2</v>
      </c>
      <c r="M20" s="2">
        <v>0.18591772151898733</v>
      </c>
      <c r="N20" s="2">
        <v>4.7770700636942678E-2</v>
      </c>
      <c r="O20" s="2">
        <v>6.6878980891719744E-2</v>
      </c>
      <c r="P20" s="47">
        <v>2.0302547770700636E-2</v>
      </c>
      <c r="Q20" s="3">
        <v>4.3391719745222927E-2</v>
      </c>
      <c r="R20" s="2">
        <v>0.10111464968152867</v>
      </c>
      <c r="S20" s="2">
        <v>0.19426751592356689</v>
      </c>
      <c r="T20" s="2">
        <v>8.8375796178343943E-2</v>
      </c>
      <c r="U20" s="2">
        <v>0.25</v>
      </c>
      <c r="V20" s="2">
        <v>0.11703821656050956</v>
      </c>
      <c r="W20" s="2">
        <v>0.23964968152866242</v>
      </c>
      <c r="X20" s="2">
        <v>9.4145569620253167E-2</v>
      </c>
      <c r="Y20" s="2">
        <v>8.6234177215189875E-2</v>
      </c>
      <c r="Z20" s="47">
        <v>4.1401273885350316E-2</v>
      </c>
      <c r="AA20" s="2">
        <v>0.1321656050955414</v>
      </c>
      <c r="AB20" s="2">
        <v>0.10668789808917198</v>
      </c>
      <c r="AC20" s="2">
        <v>0.20382165605095542</v>
      </c>
      <c r="AD20" s="47">
        <v>3.1050955414012739E-2</v>
      </c>
      <c r="AE20" s="34">
        <v>5.6528662420382167E-2</v>
      </c>
      <c r="AF20" s="47">
        <v>6.9267515923566877E-2</v>
      </c>
      <c r="AG20" s="2">
        <v>0.129585326953748</v>
      </c>
      <c r="AH20" s="2">
        <v>4.8566878980891723E-2</v>
      </c>
      <c r="AI20" s="2">
        <v>0.22217806041335453</v>
      </c>
      <c r="AJ20" s="2">
        <v>0.11146496815286625</v>
      </c>
      <c r="AK20" s="2">
        <v>0.17197452229299362</v>
      </c>
      <c r="AL20" s="47">
        <v>2.8662420382165606E-2</v>
      </c>
      <c r="AM20" s="2">
        <v>0.21104928457869634</v>
      </c>
      <c r="AN20" s="2">
        <v>6.7675159235668789E-2</v>
      </c>
      <c r="AO20" s="2">
        <v>0.18502377179080823</v>
      </c>
      <c r="CL20" s="4"/>
      <c r="CM20" s="4"/>
      <c r="CN20" s="4"/>
    </row>
    <row r="21" spans="1:157">
      <c r="A21" s="7"/>
      <c r="CL21" s="4"/>
      <c r="CM21" s="4"/>
      <c r="CN21" s="4"/>
    </row>
    <row r="22" spans="1:157">
      <c r="A22" s="7"/>
      <c r="CL22" s="4"/>
      <c r="CM22" s="4"/>
      <c r="CN22" s="4"/>
    </row>
    <row r="23" spans="1:157">
      <c r="A23" s="7" t="s">
        <v>97</v>
      </c>
      <c r="B23" s="49"/>
      <c r="CL23" s="4"/>
      <c r="CM23" s="4"/>
      <c r="CN23" s="4"/>
    </row>
    <row r="24" spans="1:157">
      <c r="A24" s="7" t="s">
        <v>98</v>
      </c>
      <c r="B24" s="45"/>
      <c r="CL24" s="4"/>
      <c r="CM24" s="4"/>
      <c r="CN24" s="4"/>
    </row>
    <row r="25" spans="1:157">
      <c r="A25" s="7" t="s">
        <v>99</v>
      </c>
      <c r="B25" s="35"/>
      <c r="CL25" s="4"/>
      <c r="CM25" s="4"/>
      <c r="CN25" s="4"/>
    </row>
    <row r="26" spans="1:157">
      <c r="B26" s="54" t="s">
        <v>19</v>
      </c>
      <c r="C26" s="55"/>
      <c r="D26" s="55"/>
      <c r="E26" s="55"/>
      <c r="F26" s="55"/>
      <c r="G26" s="55"/>
      <c r="H26" s="56" t="s">
        <v>21</v>
      </c>
      <c r="I26" s="55"/>
      <c r="J26" s="55"/>
      <c r="K26" s="54" t="s">
        <v>22</v>
      </c>
      <c r="L26" s="55"/>
      <c r="M26" s="55"/>
      <c r="N26" s="55"/>
      <c r="O26" s="54" t="s">
        <v>23</v>
      </c>
      <c r="P26" s="55"/>
      <c r="Q26" s="55"/>
      <c r="R26" s="55"/>
      <c r="S26" s="55"/>
      <c r="T26" s="55"/>
      <c r="U26" s="64" t="s">
        <v>24</v>
      </c>
      <c r="V26" s="60"/>
      <c r="W26" s="60"/>
      <c r="X26" s="60"/>
      <c r="Y26" s="60"/>
      <c r="Z26" s="61"/>
      <c r="AA26" s="54" t="s">
        <v>25</v>
      </c>
      <c r="AB26" s="55"/>
      <c r="AC26" s="55"/>
      <c r="AD26" s="55"/>
      <c r="AE26" s="55"/>
      <c r="AF26" s="55"/>
      <c r="AG26" s="54" t="s">
        <v>26</v>
      </c>
      <c r="AH26" s="55"/>
      <c r="AI26" s="55"/>
      <c r="AJ26" s="55"/>
      <c r="AK26" s="54" t="s">
        <v>27</v>
      </c>
      <c r="AL26" s="55"/>
      <c r="AM26" s="55"/>
      <c r="AN26" s="55"/>
      <c r="AO26" s="55"/>
      <c r="AP26" s="55"/>
      <c r="AQ26" s="54" t="s">
        <v>28</v>
      </c>
      <c r="AR26" s="55"/>
      <c r="AS26" s="55"/>
      <c r="AT26" s="55"/>
      <c r="AU26" s="55"/>
      <c r="AV26" s="55"/>
      <c r="AW26" s="54" t="s">
        <v>29</v>
      </c>
      <c r="AX26" s="55"/>
      <c r="AY26" s="55"/>
      <c r="AZ26" s="55"/>
      <c r="BA26" s="55"/>
      <c r="BB26" s="55"/>
      <c r="BC26" s="54" t="s">
        <v>30</v>
      </c>
      <c r="BD26" s="55"/>
      <c r="BE26" s="55"/>
      <c r="BF26" s="55"/>
      <c r="BG26" s="55"/>
      <c r="BH26" s="55"/>
      <c r="BI26" s="58" t="s">
        <v>31</v>
      </c>
      <c r="BJ26" s="55"/>
      <c r="BK26" s="55"/>
      <c r="BL26" s="55"/>
      <c r="BM26" s="55"/>
      <c r="BN26" s="55"/>
      <c r="BO26" s="54" t="s">
        <v>32</v>
      </c>
      <c r="BP26" s="55"/>
      <c r="BQ26" s="55"/>
      <c r="BR26" s="55"/>
      <c r="BS26" s="55"/>
      <c r="BT26" s="55"/>
      <c r="BU26" s="54" t="s">
        <v>33</v>
      </c>
      <c r="BV26" s="55"/>
      <c r="BW26" s="55"/>
      <c r="BX26" s="55"/>
      <c r="BY26" s="55"/>
      <c r="BZ26" s="55"/>
      <c r="CA26" s="54" t="s">
        <v>34</v>
      </c>
      <c r="CB26" s="55"/>
      <c r="CC26" s="55"/>
      <c r="CD26" s="55"/>
      <c r="CE26" s="55"/>
      <c r="CF26" s="55"/>
      <c r="CG26" s="58" t="s">
        <v>35</v>
      </c>
      <c r="CH26" s="55"/>
      <c r="CI26" s="55"/>
      <c r="CJ26" s="55"/>
      <c r="CK26" s="55"/>
      <c r="CL26" s="55"/>
      <c r="CM26" s="54" t="s">
        <v>36</v>
      </c>
      <c r="CN26" s="55"/>
      <c r="CO26" s="55"/>
      <c r="CP26" s="58" t="s">
        <v>37</v>
      </c>
      <c r="CQ26" s="55"/>
      <c r="CR26" s="55"/>
      <c r="CS26" s="55"/>
      <c r="CT26" s="55"/>
      <c r="CU26" s="55"/>
      <c r="CV26" s="54" t="s">
        <v>38</v>
      </c>
      <c r="CW26" s="55"/>
      <c r="CX26" s="55"/>
      <c r="CY26" s="55"/>
      <c r="CZ26" s="55"/>
      <c r="DA26" s="55"/>
      <c r="DB26" s="54" t="s">
        <v>39</v>
      </c>
      <c r="DC26" s="55"/>
      <c r="DD26" s="55"/>
      <c r="DE26" s="55"/>
      <c r="DF26" s="58" t="s">
        <v>40</v>
      </c>
      <c r="DG26" s="55"/>
      <c r="DH26" s="55"/>
      <c r="DI26" s="55"/>
      <c r="DJ26" s="55"/>
      <c r="DK26" s="55"/>
      <c r="DL26" s="58" t="s">
        <v>41</v>
      </c>
      <c r="DM26" s="55"/>
      <c r="DN26" s="55"/>
      <c r="DO26" s="55"/>
      <c r="DP26" s="55"/>
      <c r="DQ26" s="55"/>
      <c r="DR26" s="56" t="s">
        <v>79</v>
      </c>
      <c r="DS26" s="55"/>
      <c r="DT26" s="55"/>
      <c r="DU26" s="54" t="s">
        <v>42</v>
      </c>
      <c r="DV26" s="55"/>
      <c r="DW26" s="55"/>
      <c r="DX26" s="55"/>
      <c r="DY26" s="55"/>
      <c r="DZ26" s="54" t="s">
        <v>43</v>
      </c>
      <c r="EA26" s="55"/>
      <c r="EB26" s="55"/>
      <c r="EC26" s="55"/>
      <c r="ED26" s="54" t="s">
        <v>44</v>
      </c>
      <c r="EE26" s="55"/>
      <c r="EF26" s="55"/>
      <c r="EG26" s="55"/>
      <c r="EH26" s="55"/>
      <c r="EI26" s="55"/>
      <c r="EJ26" s="54" t="s">
        <v>45</v>
      </c>
      <c r="EK26" s="55"/>
      <c r="EL26" s="55"/>
      <c r="EM26" s="55"/>
      <c r="EN26" s="55"/>
      <c r="EO26" s="55"/>
      <c r="EP26" s="54" t="s">
        <v>47</v>
      </c>
      <c r="EQ26" s="55"/>
      <c r="ER26" s="55"/>
      <c r="ES26" s="55"/>
      <c r="ET26" s="55"/>
      <c r="EU26" s="55"/>
      <c r="EV26" s="54" t="s">
        <v>46</v>
      </c>
      <c r="EW26" s="55"/>
      <c r="EX26" s="55"/>
      <c r="EY26" s="55"/>
      <c r="EZ26" s="55"/>
      <c r="FA26" s="55"/>
    </row>
    <row r="27" spans="1:157">
      <c r="B27" s="2" t="s">
        <v>84</v>
      </c>
      <c r="C27" s="2" t="s">
        <v>91</v>
      </c>
      <c r="D27" s="2" t="s">
        <v>82</v>
      </c>
      <c r="E27" s="2" t="s">
        <v>83</v>
      </c>
      <c r="F27" s="2" t="s">
        <v>100</v>
      </c>
      <c r="G27" s="2" t="s">
        <v>86</v>
      </c>
      <c r="H27" s="2" t="s">
        <v>84</v>
      </c>
      <c r="I27" s="2" t="s">
        <v>91</v>
      </c>
      <c r="J27" s="2" t="s">
        <v>82</v>
      </c>
      <c r="K27" s="2" t="s">
        <v>84</v>
      </c>
      <c r="L27" s="2" t="s">
        <v>91</v>
      </c>
      <c r="M27" s="2" t="s">
        <v>82</v>
      </c>
      <c r="N27" s="2" t="s">
        <v>83</v>
      </c>
      <c r="O27" s="2" t="s">
        <v>84</v>
      </c>
      <c r="P27" s="2" t="s">
        <v>91</v>
      </c>
      <c r="Q27" s="2" t="s">
        <v>82</v>
      </c>
      <c r="R27" s="2" t="s">
        <v>83</v>
      </c>
      <c r="S27" s="2" t="s">
        <v>100</v>
      </c>
      <c r="T27" s="2" t="s">
        <v>86</v>
      </c>
      <c r="U27" s="36" t="s">
        <v>84</v>
      </c>
      <c r="V27" s="2" t="s">
        <v>91</v>
      </c>
      <c r="W27" s="2" t="s">
        <v>82</v>
      </c>
      <c r="X27" s="2" t="s">
        <v>83</v>
      </c>
      <c r="Y27" s="2" t="s">
        <v>100</v>
      </c>
      <c r="Z27" s="28" t="s">
        <v>86</v>
      </c>
      <c r="AA27" s="36" t="s">
        <v>84</v>
      </c>
      <c r="AB27" s="2" t="s">
        <v>91</v>
      </c>
      <c r="AC27" s="2" t="s">
        <v>82</v>
      </c>
      <c r="AD27" s="2" t="s">
        <v>83</v>
      </c>
      <c r="AE27" s="2" t="s">
        <v>100</v>
      </c>
      <c r="AF27" s="28" t="s">
        <v>86</v>
      </c>
      <c r="AG27" s="2" t="s">
        <v>84</v>
      </c>
      <c r="AH27" s="2" t="s">
        <v>91</v>
      </c>
      <c r="AI27" s="2" t="s">
        <v>82</v>
      </c>
      <c r="AJ27" s="2" t="s">
        <v>83</v>
      </c>
      <c r="AK27" s="2" t="s">
        <v>84</v>
      </c>
      <c r="AL27" s="2" t="s">
        <v>91</v>
      </c>
      <c r="AM27" s="2" t="s">
        <v>82</v>
      </c>
      <c r="AN27" s="2" t="s">
        <v>83</v>
      </c>
      <c r="AO27" s="2" t="s">
        <v>100</v>
      </c>
      <c r="AP27" s="2" t="s">
        <v>86</v>
      </c>
      <c r="AQ27" s="2" t="s">
        <v>84</v>
      </c>
      <c r="AR27" s="2" t="s">
        <v>91</v>
      </c>
      <c r="AS27" s="2" t="s">
        <v>82</v>
      </c>
      <c r="AT27" s="2" t="s">
        <v>83</v>
      </c>
      <c r="AU27" s="2" t="s">
        <v>100</v>
      </c>
      <c r="AV27" s="2" t="s">
        <v>86</v>
      </c>
      <c r="AW27" s="2" t="s">
        <v>84</v>
      </c>
      <c r="AX27" s="2" t="s">
        <v>91</v>
      </c>
      <c r="AY27" s="2" t="s">
        <v>82</v>
      </c>
      <c r="AZ27" s="2" t="s">
        <v>83</v>
      </c>
      <c r="BA27" s="2" t="s">
        <v>100</v>
      </c>
      <c r="BB27" s="2" t="s">
        <v>86</v>
      </c>
      <c r="BC27" s="2" t="s">
        <v>84</v>
      </c>
      <c r="BD27" s="2" t="s">
        <v>91</v>
      </c>
      <c r="BE27" s="2" t="s">
        <v>82</v>
      </c>
      <c r="BF27" s="2" t="s">
        <v>83</v>
      </c>
      <c r="BG27" s="2" t="s">
        <v>100</v>
      </c>
      <c r="BH27" s="2" t="s">
        <v>86</v>
      </c>
      <c r="BI27" s="2" t="s">
        <v>84</v>
      </c>
      <c r="BJ27" s="2" t="s">
        <v>91</v>
      </c>
      <c r="BK27" s="2" t="s">
        <v>82</v>
      </c>
      <c r="BL27" s="2" t="s">
        <v>83</v>
      </c>
      <c r="BM27" s="2" t="s">
        <v>100</v>
      </c>
      <c r="BN27" s="2" t="s">
        <v>86</v>
      </c>
      <c r="BO27" s="2" t="s">
        <v>84</v>
      </c>
      <c r="BP27" s="2" t="s">
        <v>91</v>
      </c>
      <c r="BQ27" s="2" t="s">
        <v>82</v>
      </c>
      <c r="BR27" s="2" t="s">
        <v>83</v>
      </c>
      <c r="BS27" s="2" t="s">
        <v>100</v>
      </c>
      <c r="BT27" s="2" t="s">
        <v>86</v>
      </c>
      <c r="BU27" s="2" t="s">
        <v>84</v>
      </c>
      <c r="BV27" s="2" t="s">
        <v>91</v>
      </c>
      <c r="BW27" s="2" t="s">
        <v>82</v>
      </c>
      <c r="BX27" s="2" t="s">
        <v>83</v>
      </c>
      <c r="BY27" s="2" t="s">
        <v>100</v>
      </c>
      <c r="BZ27" s="2" t="s">
        <v>86</v>
      </c>
      <c r="CA27" s="2" t="s">
        <v>84</v>
      </c>
      <c r="CB27" s="2" t="s">
        <v>91</v>
      </c>
      <c r="CC27" s="2" t="s">
        <v>82</v>
      </c>
      <c r="CD27" s="2" t="s">
        <v>83</v>
      </c>
      <c r="CE27" s="2" t="s">
        <v>100</v>
      </c>
      <c r="CF27" s="2" t="s">
        <v>86</v>
      </c>
      <c r="CG27" s="2" t="s">
        <v>84</v>
      </c>
      <c r="CH27" s="2" t="s">
        <v>91</v>
      </c>
      <c r="CI27" s="2" t="s">
        <v>82</v>
      </c>
      <c r="CJ27" s="2" t="s">
        <v>83</v>
      </c>
      <c r="CK27" s="2" t="s">
        <v>100</v>
      </c>
      <c r="CL27" s="2" t="s">
        <v>86</v>
      </c>
      <c r="CM27" s="2" t="s">
        <v>84</v>
      </c>
      <c r="CN27" s="2" t="s">
        <v>91</v>
      </c>
      <c r="CO27" s="2" t="s">
        <v>82</v>
      </c>
      <c r="CP27" s="2" t="s">
        <v>84</v>
      </c>
      <c r="CQ27" s="2" t="s">
        <v>91</v>
      </c>
      <c r="CR27" s="2" t="s">
        <v>82</v>
      </c>
      <c r="CS27" s="2" t="s">
        <v>83</v>
      </c>
      <c r="CT27" s="2" t="s">
        <v>100</v>
      </c>
      <c r="CU27" s="2" t="s">
        <v>86</v>
      </c>
      <c r="CV27" s="2" t="s">
        <v>84</v>
      </c>
      <c r="CW27" s="2" t="s">
        <v>91</v>
      </c>
      <c r="CX27" s="2" t="s">
        <v>82</v>
      </c>
      <c r="CY27" s="2" t="s">
        <v>83</v>
      </c>
      <c r="CZ27" s="2" t="s">
        <v>100</v>
      </c>
      <c r="DA27" s="2" t="s">
        <v>86</v>
      </c>
      <c r="DB27" s="2" t="s">
        <v>84</v>
      </c>
      <c r="DC27" s="2" t="s">
        <v>91</v>
      </c>
      <c r="DD27" s="2" t="s">
        <v>82</v>
      </c>
      <c r="DE27" s="2" t="s">
        <v>83</v>
      </c>
      <c r="DF27" s="2" t="s">
        <v>84</v>
      </c>
      <c r="DG27" s="2" t="s">
        <v>91</v>
      </c>
      <c r="DH27" s="2" t="s">
        <v>82</v>
      </c>
      <c r="DI27" s="2" t="s">
        <v>83</v>
      </c>
      <c r="DJ27" s="2" t="s">
        <v>100</v>
      </c>
      <c r="DK27" s="2" t="s">
        <v>86</v>
      </c>
      <c r="DL27" s="2" t="s">
        <v>84</v>
      </c>
      <c r="DM27" s="2" t="s">
        <v>91</v>
      </c>
      <c r="DN27" s="2" t="s">
        <v>82</v>
      </c>
      <c r="DO27" s="2" t="s">
        <v>83</v>
      </c>
      <c r="DP27" s="2" t="s">
        <v>100</v>
      </c>
      <c r="DQ27" s="2" t="s">
        <v>86</v>
      </c>
      <c r="DR27" s="2" t="s">
        <v>84</v>
      </c>
      <c r="DS27" s="2" t="s">
        <v>91</v>
      </c>
      <c r="DT27" s="2" t="s">
        <v>82</v>
      </c>
      <c r="DU27" s="2" t="s">
        <v>84</v>
      </c>
      <c r="DV27" s="2" t="s">
        <v>91</v>
      </c>
      <c r="DW27" s="2" t="s">
        <v>82</v>
      </c>
      <c r="DX27" s="2" t="s">
        <v>83</v>
      </c>
      <c r="DY27" s="2" t="s">
        <v>100</v>
      </c>
      <c r="DZ27" s="2" t="s">
        <v>84</v>
      </c>
      <c r="EA27" s="2" t="s">
        <v>91</v>
      </c>
      <c r="EB27" s="2" t="s">
        <v>82</v>
      </c>
      <c r="EC27" s="2" t="s">
        <v>83</v>
      </c>
      <c r="ED27" s="2" t="s">
        <v>84</v>
      </c>
      <c r="EE27" s="2" t="s">
        <v>91</v>
      </c>
      <c r="EF27" s="2" t="s">
        <v>82</v>
      </c>
      <c r="EG27" s="2" t="s">
        <v>83</v>
      </c>
      <c r="EH27" s="2" t="s">
        <v>100</v>
      </c>
      <c r="EI27" s="2" t="s">
        <v>86</v>
      </c>
      <c r="EJ27" s="2" t="s">
        <v>84</v>
      </c>
      <c r="EK27" s="2" t="s">
        <v>91</v>
      </c>
      <c r="EL27" s="2" t="s">
        <v>82</v>
      </c>
      <c r="EM27" s="2" t="s">
        <v>83</v>
      </c>
      <c r="EN27" s="2" t="s">
        <v>100</v>
      </c>
      <c r="EO27" s="2" t="s">
        <v>86</v>
      </c>
      <c r="EP27" s="2" t="s">
        <v>84</v>
      </c>
      <c r="EQ27" s="2" t="s">
        <v>91</v>
      </c>
      <c r="ER27" s="2" t="s">
        <v>82</v>
      </c>
      <c r="ES27" s="2" t="s">
        <v>83</v>
      </c>
      <c r="ET27" s="2" t="s">
        <v>100</v>
      </c>
      <c r="EU27" s="2" t="s">
        <v>86</v>
      </c>
      <c r="EV27" s="2" t="s">
        <v>84</v>
      </c>
      <c r="EW27" s="2" t="s">
        <v>91</v>
      </c>
      <c r="EX27" s="2" t="s">
        <v>82</v>
      </c>
      <c r="EY27" s="2" t="s">
        <v>83</v>
      </c>
      <c r="EZ27" s="2" t="s">
        <v>100</v>
      </c>
      <c r="FA27" s="2" t="s">
        <v>86</v>
      </c>
    </row>
    <row r="28" spans="1:157">
      <c r="A28" s="2">
        <v>1</v>
      </c>
      <c r="B28" s="2">
        <v>0.1145063694</v>
      </c>
      <c r="C28" s="2">
        <v>0.1043152866</v>
      </c>
      <c r="D28" s="2">
        <v>7.3105095539999998E-2</v>
      </c>
      <c r="E28" s="2">
        <v>2.087579618E-2</v>
      </c>
      <c r="F28" s="2">
        <v>5.431528662E-2</v>
      </c>
      <c r="G28" s="2">
        <v>4.5716560509999997E-2</v>
      </c>
      <c r="H28" s="2">
        <v>5.7173566879999999E-2</v>
      </c>
      <c r="I28" s="2">
        <v>2.181617647E-2</v>
      </c>
      <c r="J28" s="2">
        <v>4.9442675160000001E-3</v>
      </c>
      <c r="K28" s="2">
        <v>5.5886075950000003E-2</v>
      </c>
      <c r="L28" s="2">
        <v>3.120253165E-2</v>
      </c>
      <c r="M28" s="2">
        <v>3.6038011699999997E-2</v>
      </c>
      <c r="N28" s="2">
        <v>4.6202531650000002E-3</v>
      </c>
      <c r="O28" s="2">
        <v>0.1619506369</v>
      </c>
      <c r="P28" s="2">
        <v>0.1043073248</v>
      </c>
      <c r="Q28" s="2">
        <v>0.1001671975</v>
      </c>
      <c r="R28" s="2">
        <v>8.7746815290000002E-2</v>
      </c>
      <c r="S28" s="2">
        <v>5.781050955E-2</v>
      </c>
      <c r="T28" s="2">
        <v>0.117683121</v>
      </c>
      <c r="U28" s="36">
        <v>0.13457006369999999</v>
      </c>
      <c r="V28" s="2">
        <v>0.1575</v>
      </c>
      <c r="W28" s="2">
        <v>0.13552547770000001</v>
      </c>
      <c r="X28" s="2">
        <v>0.1317038217</v>
      </c>
      <c r="Y28" s="2">
        <v>4.0352941179999997E-2</v>
      </c>
      <c r="Z28" s="28">
        <v>2.2468152870000001E-2</v>
      </c>
      <c r="AA28" s="2">
        <v>0.29539808919999999</v>
      </c>
      <c r="AB28" s="2">
        <v>0.16418789810000001</v>
      </c>
      <c r="AC28" s="2">
        <v>0.19189490449999999</v>
      </c>
      <c r="AD28" s="2">
        <v>0.1657802548</v>
      </c>
      <c r="AE28" s="2">
        <v>0.1495030581</v>
      </c>
      <c r="AF28" s="2">
        <v>0.1880732484</v>
      </c>
      <c r="AG28" s="2">
        <v>0.15176751590000001</v>
      </c>
      <c r="AH28" s="2">
        <v>3.6480891719999999E-2</v>
      </c>
      <c r="AI28" s="2">
        <v>1.352339181E-2</v>
      </c>
      <c r="AJ28" s="2">
        <v>3.359872611E-3</v>
      </c>
      <c r="AK28" s="2">
        <v>0.19380573249999999</v>
      </c>
      <c r="AL28" s="2">
        <v>6.0047770700000003E-2</v>
      </c>
      <c r="AM28" s="2">
        <v>3.574159021E-2</v>
      </c>
      <c r="AN28" s="2">
        <v>9.4108280249999999E-3</v>
      </c>
      <c r="AO28" s="2">
        <v>1.3875E-2</v>
      </c>
      <c r="AP28" s="2">
        <v>5.5891719750000004E-3</v>
      </c>
      <c r="AQ28" s="2">
        <v>0.28743630570000001</v>
      </c>
      <c r="AR28" s="2">
        <v>8.4251592360000002E-2</v>
      </c>
      <c r="AS28" s="2">
        <v>8.1703821659999995E-2</v>
      </c>
      <c r="AT28" s="2">
        <v>6.4506369430000002E-2</v>
      </c>
      <c r="AU28" s="2">
        <v>1.410818713E-2</v>
      </c>
      <c r="AV28" s="2">
        <v>6.2261146499999996E-3</v>
      </c>
      <c r="AW28" s="2">
        <v>0.36031645569999998</v>
      </c>
      <c r="AX28" s="2">
        <v>0.40208860759999998</v>
      </c>
      <c r="AY28" s="2">
        <v>0.3425303951</v>
      </c>
      <c r="AZ28" s="2">
        <v>0.24259493670000001</v>
      </c>
      <c r="BA28" s="2">
        <v>0.33553191490000001</v>
      </c>
      <c r="BB28" s="2">
        <v>0.14449367090000001</v>
      </c>
      <c r="BC28" s="2">
        <v>0.19253184709999999</v>
      </c>
      <c r="BD28" s="2">
        <v>0.13616242040000001</v>
      </c>
      <c r="BE28" s="2">
        <v>0.15898318040000001</v>
      </c>
      <c r="BF28" s="2">
        <v>4.5716560509999997E-2</v>
      </c>
      <c r="BG28" s="2">
        <v>2.0443425080000001E-2</v>
      </c>
      <c r="BH28" s="2">
        <v>2.0557324839999998E-2</v>
      </c>
      <c r="BI28" s="2">
        <v>0.1527229299</v>
      </c>
      <c r="BJ28" s="2">
        <v>7.5652866240000005E-2</v>
      </c>
      <c r="BK28" s="2">
        <v>9.6937689970000004E-2</v>
      </c>
      <c r="BL28" s="2">
        <v>2.5334394900000001E-2</v>
      </c>
      <c r="BM28" s="2">
        <v>2.763677812E-2</v>
      </c>
      <c r="BN28" s="2">
        <v>5.5891719750000004E-3</v>
      </c>
      <c r="BO28" s="2">
        <v>0.37947452230000001</v>
      </c>
      <c r="BP28" s="2">
        <v>0.14890127389999999</v>
      </c>
      <c r="BQ28" s="2">
        <v>0.1176910828</v>
      </c>
      <c r="BR28" s="2">
        <v>1.546178344E-2</v>
      </c>
      <c r="BS28" s="2">
        <v>4.5527522940000002E-2</v>
      </c>
      <c r="BT28" s="2">
        <v>2.4060509550000001E-2</v>
      </c>
      <c r="BU28" s="2">
        <v>0.1412579618</v>
      </c>
      <c r="BV28" s="2">
        <v>0.14348726110000001</v>
      </c>
      <c r="BW28" s="2">
        <v>0.1183280255</v>
      </c>
      <c r="BX28" s="2">
        <v>0.109410828</v>
      </c>
      <c r="BY28" s="2">
        <v>0.1060779817</v>
      </c>
      <c r="BZ28" s="2">
        <v>6.4824840760000002E-2</v>
      </c>
      <c r="CA28" s="2">
        <v>0.41348101269999998</v>
      </c>
      <c r="CB28" s="2">
        <v>0.1603164557</v>
      </c>
      <c r="CC28" s="2">
        <v>0.2438607595</v>
      </c>
      <c r="CD28" s="2">
        <v>8.1202531650000007E-2</v>
      </c>
      <c r="CE28" s="2">
        <v>4.5873860180000003E-2</v>
      </c>
      <c r="CF28" s="2">
        <v>1.474683544E-2</v>
      </c>
      <c r="CG28" s="2">
        <v>0.12978503180000001</v>
      </c>
      <c r="CH28" s="2">
        <v>0.16226910829999999</v>
      </c>
      <c r="CI28" s="2">
        <v>2.34156051E-2</v>
      </c>
      <c r="CJ28" s="2">
        <v>9.7213375799999995E-3</v>
      </c>
      <c r="CK28" s="2">
        <v>7.6063829790000001E-3</v>
      </c>
      <c r="CL28" s="4">
        <v>5.8996815290000004E-3</v>
      </c>
      <c r="CM28" s="4">
        <v>0.13616242040000001</v>
      </c>
      <c r="CN28" s="4">
        <v>7.2705882350000001E-2</v>
      </c>
      <c r="CO28" s="2">
        <v>4.6337579620000001E-3</v>
      </c>
      <c r="CP28" s="2">
        <v>7.4689490450000007E-2</v>
      </c>
      <c r="CQ28" s="2">
        <v>0.14475318470000001</v>
      </c>
      <c r="CR28" s="2">
        <v>0.20112261149999999</v>
      </c>
      <c r="CS28" s="2">
        <v>3.2332802549999998E-2</v>
      </c>
      <c r="CT28" s="2">
        <v>5.3455882349999996E-3</v>
      </c>
      <c r="CU28" s="2">
        <v>3.670382166E-3</v>
      </c>
      <c r="CV28" s="2">
        <v>0.23296974519999999</v>
      </c>
      <c r="CW28" s="2">
        <v>7.9466560510000006E-2</v>
      </c>
      <c r="CX28" s="2">
        <v>5.1759554139999997E-2</v>
      </c>
      <c r="CY28" s="2">
        <v>6.2181528660000002E-3</v>
      </c>
      <c r="CZ28" s="2">
        <v>4.5214067279999999E-2</v>
      </c>
      <c r="DA28" s="2">
        <v>2.0867834389999999E-2</v>
      </c>
      <c r="DB28" s="2">
        <v>5.8455414009999998E-2</v>
      </c>
      <c r="DC28" s="2">
        <v>1.4824840759999999E-2</v>
      </c>
      <c r="DD28" s="2">
        <v>6.9954128440000004E-3</v>
      </c>
      <c r="DE28" s="2">
        <v>4.6337579620000001E-3</v>
      </c>
      <c r="DF28" s="2">
        <v>0.1832882166</v>
      </c>
      <c r="DG28" s="2">
        <v>0.12755573249999999</v>
      </c>
      <c r="DH28" s="2">
        <v>0.14316082799999999</v>
      </c>
      <c r="DI28" s="2">
        <v>8.6472929939999998E-2</v>
      </c>
      <c r="DJ28" s="2">
        <v>6.4174311930000005E-2</v>
      </c>
      <c r="DK28" s="2">
        <v>4.6664012739999997E-2</v>
      </c>
      <c r="DL28" s="2">
        <v>0.2202388535</v>
      </c>
      <c r="DM28" s="2">
        <v>0.1275636943</v>
      </c>
      <c r="DN28" s="2">
        <v>0.17692675159999999</v>
      </c>
      <c r="DO28" s="2">
        <v>0.23202229299999999</v>
      </c>
      <c r="DP28" s="2">
        <v>0.19017584100000001</v>
      </c>
      <c r="DQ28" s="2">
        <v>0.19858280249999999</v>
      </c>
      <c r="DR28" s="2">
        <v>0.19730095540000001</v>
      </c>
      <c r="DS28" s="2">
        <v>4.4908256879999997E-2</v>
      </c>
      <c r="DT28" s="2">
        <v>6.2181528660000002E-3</v>
      </c>
      <c r="DU28" s="2">
        <v>0.13169585989999999</v>
      </c>
      <c r="DV28" s="2">
        <v>3.7428343949999998E-2</v>
      </c>
      <c r="DW28" s="2">
        <v>3.6154458600000002E-2</v>
      </c>
      <c r="DX28" s="2">
        <v>0.13460526319999999</v>
      </c>
      <c r="DY28" s="2">
        <v>1.1313694270000001E-2</v>
      </c>
      <c r="DZ28" s="2">
        <v>0.1664171975</v>
      </c>
      <c r="EA28" s="2">
        <v>7.7245222929999996E-2</v>
      </c>
      <c r="EB28" s="2">
        <v>2.4120795109999999E-2</v>
      </c>
      <c r="EC28" s="2">
        <v>4.6337579620000001E-3</v>
      </c>
      <c r="ED28" s="2">
        <v>0.35144904459999998</v>
      </c>
      <c r="EE28" s="2">
        <v>0.21386942680000001</v>
      </c>
      <c r="EF28" s="2">
        <v>0.22310509549999999</v>
      </c>
      <c r="EG28" s="2">
        <v>0.1224681529</v>
      </c>
      <c r="EH28" s="2">
        <v>0.18751519759999999</v>
      </c>
      <c r="EI28" s="2">
        <v>0.2160987261</v>
      </c>
      <c r="EJ28" s="2">
        <v>0.1030414013</v>
      </c>
      <c r="EK28" s="2">
        <v>6.0366242039999997E-2</v>
      </c>
      <c r="EL28" s="2">
        <v>6.0684713379999998E-2</v>
      </c>
      <c r="EM28" s="2">
        <v>4.6671974519999999E-2</v>
      </c>
      <c r="EN28" s="2">
        <v>2.8096330280000002E-2</v>
      </c>
      <c r="EO28" s="2">
        <v>7.818471338E-3</v>
      </c>
      <c r="EP28" s="2">
        <v>0.206544586</v>
      </c>
      <c r="EQ28" s="2">
        <v>3.8710191079999998E-2</v>
      </c>
      <c r="ER28" s="2">
        <v>3.106687898E-2</v>
      </c>
      <c r="ES28" s="2">
        <v>1.4506369430000001E-2</v>
      </c>
      <c r="ET28" s="2">
        <v>3.7971124619999998E-2</v>
      </c>
      <c r="EU28" s="2">
        <v>5.8136942679999998E-2</v>
      </c>
      <c r="EV28" s="2">
        <v>0.21355095539999999</v>
      </c>
      <c r="EW28" s="2">
        <v>6.896496815E-2</v>
      </c>
      <c r="EX28" s="2">
        <v>0.134888535</v>
      </c>
      <c r="EY28" s="2">
        <v>5.3041401270000003E-2</v>
      </c>
      <c r="EZ28" s="2">
        <v>4.4705882349999997E-3</v>
      </c>
      <c r="FA28" s="2">
        <v>1.9283439489999998E-2</v>
      </c>
    </row>
    <row r="29" spans="1:157">
      <c r="A29" s="2">
        <v>2</v>
      </c>
      <c r="B29" s="2">
        <v>0.1248248408</v>
      </c>
      <c r="C29" s="2">
        <v>0.21781847130000001</v>
      </c>
      <c r="D29" s="2">
        <v>0.11781847130000001</v>
      </c>
      <c r="E29" s="2">
        <v>0.1343789809</v>
      </c>
      <c r="F29" s="2">
        <v>0.20221337580000001</v>
      </c>
      <c r="G29" s="2">
        <v>0.1936146497</v>
      </c>
      <c r="H29" s="2">
        <v>8.5549363059999994E-2</v>
      </c>
      <c r="I29" s="2">
        <v>0.15919852940000001</v>
      </c>
      <c r="J29" s="2">
        <v>0.2626194268</v>
      </c>
      <c r="K29" s="2">
        <v>0.1003164557</v>
      </c>
      <c r="L29" s="2">
        <v>0.1439873418</v>
      </c>
      <c r="M29" s="2">
        <v>0.17182748540000001</v>
      </c>
      <c r="N29" s="2">
        <v>0.2199367089</v>
      </c>
      <c r="O29" s="2">
        <v>4.7014331210000003E-2</v>
      </c>
      <c r="P29" s="2">
        <v>0.13841560510000001</v>
      </c>
      <c r="Q29" s="2">
        <v>0.13427547770000001</v>
      </c>
      <c r="R29" s="2">
        <v>0.23650477710000001</v>
      </c>
      <c r="S29" s="2">
        <v>0.20083598729999999</v>
      </c>
      <c r="T29" s="2">
        <v>0.30656847129999998</v>
      </c>
      <c r="U29" s="36">
        <v>5.603503185E-2</v>
      </c>
      <c r="V29" s="2">
        <v>0.33692675160000002</v>
      </c>
      <c r="W29" s="2">
        <v>0.27482484080000003</v>
      </c>
      <c r="X29" s="2">
        <v>8.1831210190000003E-2</v>
      </c>
      <c r="Y29" s="2">
        <v>0.16900000000000001</v>
      </c>
      <c r="Z29" s="28">
        <v>0.242022293</v>
      </c>
      <c r="AA29" s="2">
        <v>0.16813694270000001</v>
      </c>
      <c r="AB29" s="2">
        <v>0.2432961783</v>
      </c>
      <c r="AC29" s="2">
        <v>0.2366082803</v>
      </c>
      <c r="AD29" s="2">
        <v>0.17609872609999999</v>
      </c>
      <c r="AE29" s="2">
        <v>0.12638379199999999</v>
      </c>
      <c r="AF29" s="2">
        <v>0.23278662419999999</v>
      </c>
      <c r="AG29" s="2">
        <v>0.19648089169999999</v>
      </c>
      <c r="AH29" s="2">
        <v>0.25316878980000002</v>
      </c>
      <c r="AI29" s="2">
        <v>0.1808918129</v>
      </c>
      <c r="AJ29" s="2">
        <v>0.22004777070000001</v>
      </c>
      <c r="AK29" s="2">
        <v>6.9410828029999996E-2</v>
      </c>
      <c r="AL29" s="2">
        <v>0.2050796178</v>
      </c>
      <c r="AM29" s="2">
        <v>0.20803516820000001</v>
      </c>
      <c r="AN29" s="2">
        <v>0.22323248409999999</v>
      </c>
      <c r="AO29" s="2">
        <v>0.28625735289999998</v>
      </c>
      <c r="AP29" s="2">
        <v>0.219410828</v>
      </c>
      <c r="AQ29" s="2">
        <v>0.43533439489999998</v>
      </c>
      <c r="AR29" s="2">
        <v>0.16335987260000001</v>
      </c>
      <c r="AS29" s="2">
        <v>0.1608121019</v>
      </c>
      <c r="AT29" s="2">
        <v>0.2467993631</v>
      </c>
      <c r="AU29" s="2">
        <v>0.1498976608</v>
      </c>
      <c r="AV29" s="2">
        <v>0.1541242038</v>
      </c>
      <c r="AW29" s="2">
        <v>0.4047468354</v>
      </c>
      <c r="AX29" s="2">
        <v>0.34398734180000001</v>
      </c>
      <c r="AY29" s="2">
        <v>0.41803191490000002</v>
      </c>
      <c r="AZ29" s="2">
        <v>0.18449367089999999</v>
      </c>
      <c r="BA29" s="2">
        <v>0.2914893617</v>
      </c>
      <c r="BB29" s="2">
        <v>0.2231012658</v>
      </c>
      <c r="BC29" s="2">
        <v>6.5270700639999998E-2</v>
      </c>
      <c r="BD29" s="2">
        <v>0.1464808917</v>
      </c>
      <c r="BE29" s="2">
        <v>0.2679740061</v>
      </c>
      <c r="BF29" s="2">
        <v>0.1936146497</v>
      </c>
      <c r="BG29" s="2">
        <v>0.15778287460000001</v>
      </c>
      <c r="BH29" s="2">
        <v>0.13406050959999999</v>
      </c>
      <c r="BI29" s="2">
        <v>0.33501592359999999</v>
      </c>
      <c r="BJ29" s="2">
        <v>0.1547611465</v>
      </c>
      <c r="BK29" s="2">
        <v>0.27091945290000002</v>
      </c>
      <c r="BL29" s="2">
        <v>0.1732324841</v>
      </c>
      <c r="BM29" s="2">
        <v>0.1359650456</v>
      </c>
      <c r="BN29" s="2">
        <v>0.2222770701</v>
      </c>
      <c r="BO29" s="2">
        <v>0.43278662420000003</v>
      </c>
      <c r="BP29" s="2">
        <v>0.2079458599</v>
      </c>
      <c r="BQ29" s="2">
        <v>0.25699044589999998</v>
      </c>
      <c r="BR29" s="2">
        <v>0.23501592360000001</v>
      </c>
      <c r="BS29" s="2">
        <v>0.2123165138</v>
      </c>
      <c r="BT29" s="2">
        <v>0.1977547771</v>
      </c>
      <c r="BU29" s="2">
        <v>0.22036624199999999</v>
      </c>
      <c r="BV29" s="2">
        <v>0.1882006369</v>
      </c>
      <c r="BW29" s="2">
        <v>0.1630414013</v>
      </c>
      <c r="BX29" s="2">
        <v>0.1197292994</v>
      </c>
      <c r="BY29" s="2">
        <v>0.1820412844</v>
      </c>
      <c r="BZ29" s="2">
        <v>0.2127229299</v>
      </c>
      <c r="CA29" s="2">
        <v>0.42373417720000001</v>
      </c>
      <c r="CB29" s="2">
        <v>0.1705696203</v>
      </c>
      <c r="CC29" s="2">
        <v>0.1857594937</v>
      </c>
      <c r="CD29" s="2">
        <v>0.12563291139999999</v>
      </c>
      <c r="CE29" s="2">
        <v>0.18702887539999999</v>
      </c>
      <c r="CF29" s="2">
        <v>0.16170886079999999</v>
      </c>
      <c r="CG29" s="2">
        <v>8.9371019110000005E-2</v>
      </c>
      <c r="CH29" s="2">
        <v>0.1161226115</v>
      </c>
      <c r="CI29" s="2">
        <v>0.24096337579999999</v>
      </c>
      <c r="CJ29" s="2">
        <v>0.1928742038</v>
      </c>
      <c r="CK29" s="2">
        <v>0.2986702128</v>
      </c>
      <c r="CL29" s="4">
        <v>0.26357484079999999</v>
      </c>
      <c r="CM29" s="4">
        <v>0.2152707006</v>
      </c>
      <c r="CN29" s="4">
        <v>0.114</v>
      </c>
      <c r="CO29" s="2">
        <v>0.22132165610000001</v>
      </c>
      <c r="CP29" s="2">
        <v>6.8670382170000002E-2</v>
      </c>
      <c r="CQ29" s="2">
        <v>0.3680334395</v>
      </c>
      <c r="CR29" s="2">
        <v>0.11484872610000001</v>
      </c>
      <c r="CS29" s="2">
        <v>0.2556130573</v>
      </c>
      <c r="CT29" s="2">
        <v>0.2062573529</v>
      </c>
      <c r="CU29" s="2">
        <v>0.26134554139999999</v>
      </c>
      <c r="CV29" s="2">
        <v>3.7778662419999998E-2</v>
      </c>
      <c r="CW29" s="2">
        <v>0.22249203819999999</v>
      </c>
      <c r="CX29" s="2">
        <v>0.26930732480000003</v>
      </c>
      <c r="CY29" s="2">
        <v>0.2638933121</v>
      </c>
      <c r="CZ29" s="2">
        <v>0.17429663610000001</v>
      </c>
      <c r="DA29" s="2">
        <v>0.23841560510000001</v>
      </c>
      <c r="DB29" s="2">
        <v>6.8773885349999994E-2</v>
      </c>
      <c r="DC29" s="2">
        <v>0.23151273889999999</v>
      </c>
      <c r="DD29" s="2">
        <v>0.14901376150000001</v>
      </c>
      <c r="DE29" s="2">
        <v>0.22132165610000001</v>
      </c>
      <c r="DF29" s="2">
        <v>0.25752388539999999</v>
      </c>
      <c r="DG29" s="2">
        <v>0.28204617830000001</v>
      </c>
      <c r="DH29" s="2">
        <v>0.2517914013</v>
      </c>
      <c r="DI29" s="2">
        <v>0.16070859870000001</v>
      </c>
      <c r="DJ29" s="2">
        <v>0.1354587156</v>
      </c>
      <c r="DK29" s="2">
        <v>0.15529458600000001</v>
      </c>
      <c r="DL29" s="2">
        <v>0.12737261150000001</v>
      </c>
      <c r="DM29" s="2">
        <v>0.20667197449999999</v>
      </c>
      <c r="DN29" s="2">
        <v>0.1528503185</v>
      </c>
      <c r="DO29" s="2">
        <v>0.2767356688</v>
      </c>
      <c r="DP29" s="2">
        <v>0.3239373089</v>
      </c>
      <c r="DQ29" s="2">
        <v>0.20890127389999999</v>
      </c>
      <c r="DR29" s="2">
        <v>0.41484872610000001</v>
      </c>
      <c r="DS29" s="2">
        <v>0.1437155963</v>
      </c>
      <c r="DT29" s="2">
        <v>0.2638933121</v>
      </c>
      <c r="DU29" s="2">
        <v>0.16007165609999999</v>
      </c>
      <c r="DV29" s="2">
        <v>0.18045382169999999</v>
      </c>
      <c r="DW29" s="2">
        <v>0.14478503179999999</v>
      </c>
      <c r="DX29" s="2">
        <v>0.26723684209999998</v>
      </c>
      <c r="DY29" s="2">
        <v>0.22886146499999999</v>
      </c>
      <c r="DZ29" s="2">
        <v>3.9156050960000001E-2</v>
      </c>
      <c r="EA29" s="2">
        <v>0.25953821659999998</v>
      </c>
      <c r="EB29" s="2">
        <v>0.19916666669999999</v>
      </c>
      <c r="EC29" s="2">
        <v>0.1869267516</v>
      </c>
      <c r="ED29" s="2">
        <v>0.2671815287</v>
      </c>
      <c r="EE29" s="2">
        <v>0.2385191083</v>
      </c>
      <c r="EF29" s="2">
        <v>0.36813694270000002</v>
      </c>
      <c r="EG29" s="2">
        <v>0.18724522290000001</v>
      </c>
      <c r="EH29" s="2">
        <v>7.699848024E-2</v>
      </c>
      <c r="EI29" s="2">
        <v>0.2120859873</v>
      </c>
      <c r="EJ29" s="2">
        <v>4.4570063690000002E-2</v>
      </c>
      <c r="EK29" s="2">
        <v>0.1738694268</v>
      </c>
      <c r="EL29" s="2">
        <v>0.1397929936</v>
      </c>
      <c r="EM29" s="2">
        <v>0.1601751592</v>
      </c>
      <c r="EN29" s="2">
        <v>0.20314220180000001</v>
      </c>
      <c r="EO29" s="2">
        <v>0.19011146500000001</v>
      </c>
      <c r="EP29" s="2">
        <v>0.11654458600000001</v>
      </c>
      <c r="EQ29" s="2">
        <v>0.2181369427</v>
      </c>
      <c r="ER29" s="2">
        <v>0.21049363060000001</v>
      </c>
      <c r="ES29" s="2">
        <v>0.19393312100000001</v>
      </c>
      <c r="ET29" s="2">
        <v>0.1052659574</v>
      </c>
      <c r="EU29" s="2">
        <v>0.31208598729999998</v>
      </c>
      <c r="EV29" s="2">
        <v>0.1894745223</v>
      </c>
      <c r="EW29" s="2">
        <v>7.9283439489999996E-2</v>
      </c>
      <c r="EX29" s="2">
        <v>0.2827866242</v>
      </c>
      <c r="EY29" s="2">
        <v>0.23533439489999999</v>
      </c>
      <c r="EZ29" s="2">
        <v>0.23899999999999999</v>
      </c>
      <c r="FA29" s="2">
        <v>0.13278662420000001</v>
      </c>
    </row>
    <row r="30" spans="1:157">
      <c r="A30" s="2">
        <v>3</v>
      </c>
      <c r="B30" s="2">
        <v>0.1832961783</v>
      </c>
      <c r="C30" s="2">
        <v>0.1731050955</v>
      </c>
      <c r="D30" s="2">
        <v>0.2106847134</v>
      </c>
      <c r="E30" s="2">
        <v>0.22724522289999999</v>
      </c>
      <c r="F30" s="2">
        <v>0.19189490449999999</v>
      </c>
      <c r="G30" s="2">
        <v>0.1832961783</v>
      </c>
      <c r="H30" s="2">
        <v>0.26640923570000002</v>
      </c>
      <c r="I30" s="2">
        <v>0.14622794119999999</v>
      </c>
      <c r="J30" s="2">
        <v>0.2485748408</v>
      </c>
      <c r="K30" s="2">
        <v>0.1242405063</v>
      </c>
      <c r="L30" s="2">
        <v>0.1679113924</v>
      </c>
      <c r="M30" s="2">
        <v>0.22288011699999999</v>
      </c>
      <c r="N30" s="2">
        <v>0.2096835443</v>
      </c>
      <c r="O30" s="2">
        <v>0.29953025480000001</v>
      </c>
      <c r="P30" s="2">
        <v>0.20749203820000001</v>
      </c>
      <c r="Q30" s="2">
        <v>0.13456210190000001</v>
      </c>
      <c r="R30" s="2">
        <v>5.3351910830000002E-2</v>
      </c>
      <c r="S30" s="2">
        <v>0.16099522290000001</v>
      </c>
      <c r="T30" s="2">
        <v>0.1864729299</v>
      </c>
      <c r="U30" s="36">
        <v>0.229156051</v>
      </c>
      <c r="V30" s="2">
        <v>0.16609872610000001</v>
      </c>
      <c r="W30" s="2">
        <v>0.14412420379999999</v>
      </c>
      <c r="X30" s="2">
        <v>0.29507961780000003</v>
      </c>
      <c r="Y30" s="2">
        <v>0.19123529410000001</v>
      </c>
      <c r="Z30" s="28">
        <v>0.18584394900000001</v>
      </c>
      <c r="AA30" s="2">
        <v>0.32979299359999997</v>
      </c>
      <c r="AB30" s="2">
        <v>0.23297770700000001</v>
      </c>
      <c r="AC30" s="2">
        <v>0.2262898089</v>
      </c>
      <c r="AD30" s="2">
        <v>0.20017515920000001</v>
      </c>
      <c r="AE30" s="2">
        <v>0.2073012232</v>
      </c>
      <c r="AF30" s="2">
        <v>0.22246815289999999</v>
      </c>
      <c r="AG30" s="2">
        <v>0.1718312102</v>
      </c>
      <c r="AH30" s="2">
        <v>0.280111465</v>
      </c>
      <c r="AI30" s="2">
        <v>0.1635233918</v>
      </c>
      <c r="AJ30" s="2">
        <v>0.24699044589999999</v>
      </c>
      <c r="AK30" s="2">
        <v>0.40017515920000002</v>
      </c>
      <c r="AL30" s="2">
        <v>6.0047770700000003E-2</v>
      </c>
      <c r="AM30" s="2">
        <v>0.2696865443</v>
      </c>
      <c r="AN30" s="2">
        <v>0.14699044589999999</v>
      </c>
      <c r="AO30" s="2">
        <v>0.2018161765</v>
      </c>
      <c r="AP30" s="2">
        <v>0.2119585987</v>
      </c>
      <c r="AQ30" s="2">
        <v>6.5445859870000003E-3</v>
      </c>
      <c r="AR30" s="2">
        <v>0.204633758</v>
      </c>
      <c r="AS30" s="2">
        <v>0.28234076429999999</v>
      </c>
      <c r="AT30" s="2">
        <v>0.10463375799999999</v>
      </c>
      <c r="AU30" s="2">
        <v>0.23252923980000001</v>
      </c>
      <c r="AV30" s="2">
        <v>0.24699044589999999</v>
      </c>
      <c r="AW30" s="2">
        <v>0.32613924049999998</v>
      </c>
      <c r="AX30" s="2">
        <v>0.33373417719999998</v>
      </c>
      <c r="AY30" s="2">
        <v>0.27687689970000001</v>
      </c>
      <c r="AZ30" s="2">
        <v>0.20841772150000001</v>
      </c>
      <c r="BA30" s="2">
        <v>0.3683586626</v>
      </c>
      <c r="BB30" s="2">
        <v>0.14449367090000001</v>
      </c>
      <c r="BC30" s="2">
        <v>0.36164012740000001</v>
      </c>
      <c r="BD30" s="2">
        <v>0.19062101910000001</v>
      </c>
      <c r="BE30" s="2">
        <v>0.17824923549999999</v>
      </c>
      <c r="BF30" s="2">
        <v>0.17469745219999999</v>
      </c>
      <c r="BG30" s="2">
        <v>0.18833333329999999</v>
      </c>
      <c r="BH30" s="2">
        <v>0.26418789809999998</v>
      </c>
      <c r="BI30" s="2">
        <v>2.3742038220000001E-2</v>
      </c>
      <c r="BJ30" s="2">
        <v>0.204633758</v>
      </c>
      <c r="BK30" s="2">
        <v>0.14344224920000001</v>
      </c>
      <c r="BL30" s="2">
        <v>0.20017515920000001</v>
      </c>
      <c r="BM30" s="2">
        <v>0.30119300910000002</v>
      </c>
      <c r="BN30" s="2">
        <v>0.17469745219999999</v>
      </c>
      <c r="BO30" s="2">
        <v>0.38234076430000002</v>
      </c>
      <c r="BP30" s="2">
        <v>0.31800955409999998</v>
      </c>
      <c r="BQ30" s="2">
        <v>0.28679936309999998</v>
      </c>
      <c r="BR30" s="2">
        <v>0.1903025478</v>
      </c>
      <c r="BS30" s="2">
        <v>0.1611238532</v>
      </c>
      <c r="BT30" s="2">
        <v>0.15877388540000001</v>
      </c>
      <c r="BU30" s="2">
        <v>0.155589172</v>
      </c>
      <c r="BV30" s="2">
        <v>0.2036783439</v>
      </c>
      <c r="BW30" s="2">
        <v>0.17851910830000001</v>
      </c>
      <c r="BX30" s="2">
        <v>0.27851910829999998</v>
      </c>
      <c r="BY30" s="2">
        <v>0.18314220179999999</v>
      </c>
      <c r="BZ30" s="2">
        <v>0.16514331209999999</v>
      </c>
      <c r="CA30" s="2">
        <v>0.41348101269999998</v>
      </c>
      <c r="CB30" s="2">
        <v>0.1603164557</v>
      </c>
      <c r="CC30" s="2">
        <v>0.27803797470000002</v>
      </c>
      <c r="CD30" s="2">
        <v>0.14955696199999999</v>
      </c>
      <c r="CE30" s="2">
        <v>0.24283434649999999</v>
      </c>
      <c r="CF30" s="2">
        <v>0.18563291139999999</v>
      </c>
      <c r="CG30" s="2">
        <v>0.30462579620000002</v>
      </c>
      <c r="CH30" s="2">
        <v>0.22246019110000001</v>
      </c>
      <c r="CI30" s="2">
        <v>0.18679140129999999</v>
      </c>
      <c r="CJ30" s="2">
        <v>0.17882961780000001</v>
      </c>
      <c r="CK30" s="2">
        <v>0.2073024316</v>
      </c>
      <c r="CL30" s="4">
        <v>0.20940286620000001</v>
      </c>
      <c r="CM30" s="4">
        <v>0.29953821660000002</v>
      </c>
      <c r="CN30" s="4">
        <v>0.15476470589999999</v>
      </c>
      <c r="CO30" s="2">
        <v>0.21386942680000001</v>
      </c>
      <c r="CP30" s="2">
        <v>0.2437977707</v>
      </c>
      <c r="CQ30" s="2">
        <v>0.31386146500000001</v>
      </c>
      <c r="CR30" s="2">
        <v>0.34156847130000001</v>
      </c>
      <c r="CS30" s="2">
        <v>0.1613136943</v>
      </c>
      <c r="CT30" s="2">
        <v>0.1932867647</v>
      </c>
      <c r="CU30" s="2">
        <v>0.24730095539999999</v>
      </c>
      <c r="CV30" s="2">
        <v>0.40494426750000001</v>
      </c>
      <c r="CW30" s="2">
        <v>0.2170461783</v>
      </c>
      <c r="CX30" s="2">
        <v>0.1205493631</v>
      </c>
      <c r="CY30" s="2">
        <v>0.17819267520000001</v>
      </c>
      <c r="CZ30" s="2">
        <v>0.14429663609999999</v>
      </c>
      <c r="DA30" s="2">
        <v>0.19284235669999999</v>
      </c>
      <c r="DB30" s="2">
        <v>0.2304299363</v>
      </c>
      <c r="DC30" s="2">
        <v>0.15240445859999999</v>
      </c>
      <c r="DD30" s="2">
        <v>0.17213302750000001</v>
      </c>
      <c r="DE30" s="2">
        <v>0.21100318470000001</v>
      </c>
      <c r="DF30" s="2">
        <v>0.12882961779999999</v>
      </c>
      <c r="DG30" s="2">
        <v>0.14761942680000001</v>
      </c>
      <c r="DH30" s="2">
        <v>0.1689570064</v>
      </c>
      <c r="DI30" s="2">
        <v>0.29570859869999999</v>
      </c>
      <c r="DJ30" s="2">
        <v>0.19353211009999999</v>
      </c>
      <c r="DK30" s="2">
        <v>0.18137738849999999</v>
      </c>
      <c r="DL30" s="2">
        <v>0.42660828029999998</v>
      </c>
      <c r="DM30" s="2">
        <v>0.26514331209999997</v>
      </c>
      <c r="DN30" s="2">
        <v>0.280111465</v>
      </c>
      <c r="DO30" s="2">
        <v>0.1976273885</v>
      </c>
      <c r="DP30" s="2">
        <v>0.22320336390000001</v>
      </c>
      <c r="DQ30" s="2">
        <v>0.26737261150000002</v>
      </c>
      <c r="DR30" s="2">
        <v>7.4052547770000005E-2</v>
      </c>
      <c r="DS30" s="2">
        <v>0.27610091739999998</v>
      </c>
      <c r="DT30" s="2">
        <v>0.21545382169999999</v>
      </c>
      <c r="DU30" s="2">
        <v>0.1660907643</v>
      </c>
      <c r="DV30" s="2">
        <v>0.20940286620000001</v>
      </c>
      <c r="DW30" s="2">
        <v>0.20812898090000001</v>
      </c>
      <c r="DX30" s="2">
        <v>0.19513157889999999</v>
      </c>
      <c r="DY30" s="2">
        <v>0.14889331210000001</v>
      </c>
      <c r="DZ30" s="2">
        <v>0.37278662420000003</v>
      </c>
      <c r="EA30" s="2">
        <v>0.1116401274</v>
      </c>
      <c r="EB30" s="2">
        <v>0.1562308869</v>
      </c>
      <c r="EC30" s="2">
        <v>0.21100318470000001</v>
      </c>
      <c r="ED30" s="2">
        <v>0.24826433119999999</v>
      </c>
      <c r="EE30" s="2">
        <v>0.21386942680000001</v>
      </c>
      <c r="EF30" s="2">
        <v>0.18871019110000001</v>
      </c>
      <c r="EG30" s="2">
        <v>0.1568630573</v>
      </c>
      <c r="EH30" s="2">
        <v>0.31882218839999998</v>
      </c>
      <c r="EI30" s="2">
        <v>0.1473089172</v>
      </c>
      <c r="EJ30" s="2">
        <v>0.30654458600000001</v>
      </c>
      <c r="EK30" s="2">
        <v>0.11482484079999999</v>
      </c>
      <c r="EL30" s="2">
        <v>0.1610031847</v>
      </c>
      <c r="EM30" s="2">
        <v>0.1813853503</v>
      </c>
      <c r="EN30" s="2">
        <v>0.1134174312</v>
      </c>
      <c r="EO30" s="2">
        <v>0.2113216561</v>
      </c>
      <c r="EP30" s="2">
        <v>0.30972929939999999</v>
      </c>
      <c r="EQ30" s="2">
        <v>0.17628980890000001</v>
      </c>
      <c r="ER30" s="2">
        <v>0.23743630569999999</v>
      </c>
      <c r="ES30" s="2">
        <v>0.18648089170000001</v>
      </c>
      <c r="ET30" s="2">
        <v>0.20210486320000001</v>
      </c>
      <c r="EU30" s="2">
        <v>0.16132165609999999</v>
      </c>
      <c r="EV30" s="2">
        <v>0.31673566879999998</v>
      </c>
      <c r="EW30" s="2">
        <v>0.17214968150000001</v>
      </c>
      <c r="EX30" s="2">
        <v>0.23807324839999999</v>
      </c>
      <c r="EY30" s="2">
        <v>0.1218312102</v>
      </c>
      <c r="EZ30" s="2">
        <v>0.16329411760000001</v>
      </c>
      <c r="FA30" s="2">
        <v>0.2256528662</v>
      </c>
    </row>
    <row r="31" spans="1:157">
      <c r="A31" s="2">
        <v>4</v>
      </c>
      <c r="B31" s="2">
        <v>2.529458599E-2</v>
      </c>
      <c r="C31" s="2">
        <v>0.1001353503</v>
      </c>
      <c r="D31" s="2">
        <v>5.6504777069999998E-2</v>
      </c>
      <c r="E31" s="2">
        <v>4.1536624199999997E-2</v>
      </c>
      <c r="F31" s="2">
        <v>4.8224522290000002E-2</v>
      </c>
      <c r="G31" s="2">
        <v>0.1170143312</v>
      </c>
      <c r="H31" s="2">
        <v>2.2428343949999999E-2</v>
      </c>
      <c r="I31" s="2">
        <v>9.6250000000000002E-2</v>
      </c>
      <c r="J31" s="2">
        <v>0.1103264331</v>
      </c>
      <c r="K31" s="2">
        <v>8.5316455700000002E-2</v>
      </c>
      <c r="L31" s="2">
        <v>8.3417721520000002E-2</v>
      </c>
      <c r="M31" s="2">
        <v>9.1301169589999995E-2</v>
      </c>
      <c r="N31" s="2">
        <v>0.13848101269999999</v>
      </c>
      <c r="O31" s="2">
        <v>5.942675159E-2</v>
      </c>
      <c r="P31" s="2">
        <v>5.1783439489999999E-2</v>
      </c>
      <c r="Q31" s="2">
        <v>9.0636942679999999E-2</v>
      </c>
      <c r="R31" s="2">
        <v>0.16834394899999999</v>
      </c>
      <c r="S31" s="2">
        <v>9.7643312100000004E-2</v>
      </c>
      <c r="T31" s="2">
        <v>0.1415923567</v>
      </c>
      <c r="U31" s="36">
        <v>6.6377388539999999E-2</v>
      </c>
      <c r="V31" s="2">
        <v>0.1590525478</v>
      </c>
      <c r="W31" s="2">
        <v>9.9816878979999996E-2</v>
      </c>
      <c r="X31" s="2">
        <v>5.6823248409999999E-2</v>
      </c>
      <c r="Y31" s="2">
        <v>9.3602941179999996E-2</v>
      </c>
      <c r="Z31" s="28">
        <v>0.1128742038</v>
      </c>
      <c r="AA31" s="2">
        <v>0.1237579618</v>
      </c>
      <c r="AB31" s="2">
        <v>8.8089171970000005E-2</v>
      </c>
      <c r="AC31" s="2">
        <v>8.2356687900000003E-2</v>
      </c>
      <c r="AD31" s="2">
        <v>7.9171974519999994E-2</v>
      </c>
      <c r="AE31" s="2">
        <v>5.1659021409999999E-2</v>
      </c>
      <c r="AF31" s="2">
        <v>0.11675159240000001</v>
      </c>
      <c r="AG31" s="2">
        <v>0.1151035032</v>
      </c>
      <c r="AH31" s="2">
        <v>0.1077786624</v>
      </c>
      <c r="AI31" s="2">
        <v>0.11415935670000001</v>
      </c>
      <c r="AJ31" s="2">
        <v>0.12625</v>
      </c>
      <c r="AK31" s="2">
        <v>8.3574840760000005E-2</v>
      </c>
      <c r="AL31" s="2">
        <v>9.7906050960000005E-2</v>
      </c>
      <c r="AM31" s="2">
        <v>7.0259938839999994E-2</v>
      </c>
      <c r="AN31" s="2">
        <v>9.5039808919999996E-2</v>
      </c>
      <c r="AO31" s="2">
        <v>0.12066176469999999</v>
      </c>
      <c r="AP31" s="2">
        <v>9.1218152869999999E-2</v>
      </c>
      <c r="AQ31" s="2">
        <v>0.33320063690000001</v>
      </c>
      <c r="AR31" s="2">
        <v>6.1226114650000003E-2</v>
      </c>
      <c r="AS31" s="2">
        <v>4.3391719750000002E-2</v>
      </c>
      <c r="AT31" s="2">
        <v>0.12746815289999999</v>
      </c>
      <c r="AU31" s="2">
        <v>9.5358187129999994E-2</v>
      </c>
      <c r="AV31" s="2">
        <v>8.6385350319999998E-2</v>
      </c>
      <c r="AW31" s="2">
        <v>0.2112658228</v>
      </c>
      <c r="AX31" s="2">
        <v>0.2017721519</v>
      </c>
      <c r="AY31" s="2">
        <v>0.20484042550000001</v>
      </c>
      <c r="AZ31" s="2">
        <v>0.1334177215</v>
      </c>
      <c r="BA31" s="2">
        <v>0.1586930091</v>
      </c>
      <c r="BB31" s="2">
        <v>7.7088607589999997E-2</v>
      </c>
      <c r="BC31" s="2">
        <v>7.9434713379999994E-2</v>
      </c>
      <c r="BD31" s="2">
        <v>5.2683121020000001E-2</v>
      </c>
      <c r="BE31" s="2">
        <v>8.4327217130000007E-2</v>
      </c>
      <c r="BF31" s="2">
        <v>8.3574840760000005E-2</v>
      </c>
      <c r="BG31" s="2">
        <v>7.7958715600000006E-2</v>
      </c>
      <c r="BH31" s="2">
        <v>5.9371019109999999E-2</v>
      </c>
      <c r="BI31" s="2">
        <v>0.24312898090000001</v>
      </c>
      <c r="BJ31" s="2">
        <v>3.8988853499999997E-2</v>
      </c>
      <c r="BK31" s="2">
        <v>9.9673252279999999E-2</v>
      </c>
      <c r="BL31" s="2">
        <v>6.1281847129999997E-2</v>
      </c>
      <c r="BM31" s="2">
        <v>6.2857142860000007E-2</v>
      </c>
      <c r="BN31" s="2">
        <v>0.1284792994</v>
      </c>
      <c r="BO31" s="2">
        <v>0.29886146499999999</v>
      </c>
      <c r="BP31" s="2">
        <v>9.0262738849999996E-2</v>
      </c>
      <c r="BQ31" s="2">
        <v>8.1982484080000001E-2</v>
      </c>
      <c r="BR31" s="2">
        <v>8.8670382170000006E-2</v>
      </c>
      <c r="BS31" s="2">
        <v>9.1972477060000002E-2</v>
      </c>
      <c r="BT31" s="2">
        <v>8.9625796179999995E-2</v>
      </c>
      <c r="BU31" s="2">
        <v>7.0461783439999995E-2</v>
      </c>
      <c r="BV31" s="2">
        <v>0.1070859873</v>
      </c>
      <c r="BW31" s="2">
        <v>0.10103503179999999</v>
      </c>
      <c r="BX31" s="2">
        <v>1.950636943E-2</v>
      </c>
      <c r="BY31" s="2">
        <v>6.9288990829999994E-2</v>
      </c>
      <c r="BZ31" s="2">
        <v>7.8105095540000002E-2</v>
      </c>
      <c r="CA31" s="2">
        <v>0.32034810130000002</v>
      </c>
      <c r="CB31" s="2">
        <v>9.1867088609999994E-2</v>
      </c>
      <c r="CC31" s="2">
        <v>0.16022151900000001</v>
      </c>
      <c r="CD31" s="2">
        <v>7.7310126579999999E-2</v>
      </c>
      <c r="CE31" s="2">
        <v>0.1059650456</v>
      </c>
      <c r="CF31" s="2">
        <v>7.541139241E-2</v>
      </c>
      <c r="CG31" s="2">
        <v>2.6249999999999999E-2</v>
      </c>
      <c r="CH31" s="2">
        <v>0.1268869427</v>
      </c>
      <c r="CI31" s="2">
        <v>7.6568471339999999E-2</v>
      </c>
      <c r="CJ31" s="2">
        <v>6.2874203820000002E-2</v>
      </c>
      <c r="CK31" s="2">
        <v>0.1191261398</v>
      </c>
      <c r="CL31" s="4">
        <v>0.1284792994</v>
      </c>
      <c r="CM31" s="4">
        <v>4.5995222930000003E-2</v>
      </c>
      <c r="CN31" s="4">
        <v>9.002205882E-2</v>
      </c>
      <c r="CO31" s="2">
        <v>0.12752388540000001</v>
      </c>
      <c r="CP31" s="2">
        <v>2.274681529E-2</v>
      </c>
      <c r="CQ31" s="2">
        <v>0.11255573250000001</v>
      </c>
      <c r="CR31" s="2">
        <v>7.9116242040000007E-2</v>
      </c>
      <c r="CS31" s="2">
        <v>6.8925159240000006E-2</v>
      </c>
      <c r="CT31" s="2">
        <v>0.10247794120000001</v>
      </c>
      <c r="CU31" s="2">
        <v>0.12625</v>
      </c>
      <c r="CV31" s="2">
        <v>0.1205732484</v>
      </c>
      <c r="CW31" s="2">
        <v>8.4904458599999996E-2</v>
      </c>
      <c r="CX31" s="2">
        <v>0.14668789809999999</v>
      </c>
      <c r="CY31" s="2">
        <v>0.12184713379999999</v>
      </c>
      <c r="CZ31" s="2">
        <v>0.11409785930000001</v>
      </c>
      <c r="DA31" s="2">
        <v>9.5732484079999999E-2</v>
      </c>
      <c r="DB31" s="2">
        <v>7.5557324839999995E-2</v>
      </c>
      <c r="DC31" s="2">
        <v>9.3073248410000003E-2</v>
      </c>
      <c r="DD31" s="2">
        <v>7.4541284400000005E-2</v>
      </c>
      <c r="DE31" s="2">
        <v>0.10007961780000001</v>
      </c>
      <c r="DF31" s="2">
        <v>0.1670143312</v>
      </c>
      <c r="DG31" s="2">
        <v>9.5358280249999997E-2</v>
      </c>
      <c r="DH31" s="2">
        <v>0.1268869427</v>
      </c>
      <c r="DI31" s="2">
        <v>1.8606687899999998E-2</v>
      </c>
      <c r="DJ31" s="2">
        <v>3.203363914E-2</v>
      </c>
      <c r="DK31" s="2">
        <v>4.7587579620000001E-2</v>
      </c>
      <c r="DL31" s="2">
        <v>6.3455414010000002E-2</v>
      </c>
      <c r="DM31" s="2">
        <v>3.7659235669999999E-2</v>
      </c>
      <c r="DN31" s="2">
        <v>0.10421974520000001</v>
      </c>
      <c r="DO31" s="2">
        <v>0.15931528659999999</v>
      </c>
      <c r="DP31" s="2">
        <v>0.12285932719999999</v>
      </c>
      <c r="DQ31" s="2">
        <v>0.1086783439</v>
      </c>
      <c r="DR31" s="2">
        <v>0.2332563694</v>
      </c>
      <c r="DS31" s="2">
        <v>2.8669724769999998E-2</v>
      </c>
      <c r="DT31" s="2">
        <v>0.1116003185</v>
      </c>
      <c r="DU31" s="2">
        <v>7.9753184709999994E-2</v>
      </c>
      <c r="DV31" s="2">
        <v>3.8351910830000002E-2</v>
      </c>
      <c r="DW31" s="2">
        <v>7.1472929939999999E-2</v>
      </c>
      <c r="DX31" s="2">
        <v>0.1097222222</v>
      </c>
      <c r="DY31" s="2">
        <v>0.1160589172</v>
      </c>
      <c r="DZ31" s="2">
        <v>6.4785031849999994E-2</v>
      </c>
      <c r="EA31" s="2">
        <v>8.8351910830000005E-2</v>
      </c>
      <c r="EB31" s="2">
        <v>7.0565749240000003E-2</v>
      </c>
      <c r="EC31" s="2">
        <v>9.2173566880000002E-2</v>
      </c>
      <c r="ED31" s="2">
        <v>0.2485987261</v>
      </c>
      <c r="EE31" s="2">
        <v>0.1243949045</v>
      </c>
      <c r="EF31" s="2">
        <v>0.20528662419999999</v>
      </c>
      <c r="EG31" s="2">
        <v>5.3057324840000003E-2</v>
      </c>
      <c r="EH31" s="2">
        <v>6.5075987840000002E-2</v>
      </c>
      <c r="EI31" s="2">
        <v>0.15624203819999999</v>
      </c>
      <c r="EJ31" s="2">
        <v>3.2245222929999998E-2</v>
      </c>
      <c r="EK31" s="2">
        <v>9.0843949039999997E-2</v>
      </c>
      <c r="EL31" s="2">
        <v>7.205414013E-2</v>
      </c>
      <c r="EM31" s="2">
        <v>9.2436305730000001E-2</v>
      </c>
      <c r="EN31" s="2">
        <v>0.11307339449999999</v>
      </c>
      <c r="EO31" s="2">
        <v>8.6066878979999997E-2</v>
      </c>
      <c r="EP31" s="2">
        <v>4.281050955E-2</v>
      </c>
      <c r="EQ31" s="2">
        <v>5.746019108E-2</v>
      </c>
      <c r="ER31" s="2">
        <v>6.701433121E-2</v>
      </c>
      <c r="ES31" s="2">
        <v>8.4848726109999995E-2</v>
      </c>
      <c r="ET31" s="2">
        <v>4.036474164E-2</v>
      </c>
      <c r="EU31" s="2">
        <v>0.1466321656</v>
      </c>
      <c r="EV31" s="2">
        <v>0.1214729299</v>
      </c>
      <c r="EW31" s="2">
        <v>3.8988853499999997E-2</v>
      </c>
      <c r="EX31" s="2">
        <v>0.1106449045</v>
      </c>
      <c r="EY31" s="2">
        <v>0.1214729299</v>
      </c>
      <c r="EZ31" s="2">
        <v>0.12742647060000001</v>
      </c>
      <c r="FA31" s="2">
        <v>5.4275477709999999E-2</v>
      </c>
    </row>
    <row r="32" spans="1:157">
      <c r="A32" s="2">
        <v>5</v>
      </c>
      <c r="B32" s="2">
        <v>0.13220541399999999</v>
      </c>
      <c r="C32" s="2">
        <v>5.0358280249999998E-2</v>
      </c>
      <c r="D32" s="2">
        <v>8.507165605E-2</v>
      </c>
      <c r="E32" s="2">
        <v>0.12742834389999999</v>
      </c>
      <c r="F32" s="2">
        <v>0.10640923569999999</v>
      </c>
      <c r="G32" s="2">
        <v>5.7683121019999999E-2</v>
      </c>
      <c r="H32" s="2">
        <v>0.1637261146</v>
      </c>
      <c r="I32" s="2">
        <v>6.0860294119999998E-2</v>
      </c>
      <c r="J32" s="2">
        <v>0.12869426749999999</v>
      </c>
      <c r="K32" s="2">
        <v>0.1003164557</v>
      </c>
      <c r="L32" s="2">
        <v>5.8544303800000003E-2</v>
      </c>
      <c r="M32" s="2">
        <v>7.4853801169999998E-2</v>
      </c>
      <c r="N32" s="2">
        <v>0.1003164557</v>
      </c>
      <c r="O32" s="2">
        <v>0.2410589172</v>
      </c>
      <c r="P32" s="2">
        <v>0.1146257962</v>
      </c>
      <c r="Q32" s="2">
        <v>5.8893312099999998E-2</v>
      </c>
      <c r="R32" s="2">
        <v>2.9275477710000001E-2</v>
      </c>
      <c r="S32" s="2">
        <v>5.0931528660000003E-2</v>
      </c>
      <c r="T32" s="2">
        <v>7.6409235670000006E-2</v>
      </c>
      <c r="U32" s="36">
        <v>0.14940286620000001</v>
      </c>
      <c r="V32" s="2">
        <v>6.054936306E-2</v>
      </c>
      <c r="W32" s="2">
        <v>0.10736464969999999</v>
      </c>
      <c r="X32" s="2">
        <v>0.14653662419999999</v>
      </c>
      <c r="Y32" s="2">
        <v>5.5573529410000003E-2</v>
      </c>
      <c r="Z32" s="28">
        <v>5.4498407640000003E-2</v>
      </c>
      <c r="AA32" s="2">
        <v>0.23692675160000001</v>
      </c>
      <c r="AB32" s="2">
        <v>0.15730891720000001</v>
      </c>
      <c r="AC32" s="2">
        <v>0.13342356690000001</v>
      </c>
      <c r="AD32" s="2">
        <v>0.10730891720000001</v>
      </c>
      <c r="AE32" s="2">
        <v>0.1307186544</v>
      </c>
      <c r="AF32" s="2">
        <v>9.520700637E-2</v>
      </c>
      <c r="AG32" s="2">
        <v>6.054936306E-2</v>
      </c>
      <c r="AH32" s="2">
        <v>0.10863853499999999</v>
      </c>
      <c r="AI32" s="2">
        <v>5.8720760230000002E-2</v>
      </c>
      <c r="AJ32" s="2">
        <v>0.12710987260000001</v>
      </c>
      <c r="AK32" s="2">
        <v>0.22010350319999999</v>
      </c>
      <c r="AL32" s="2">
        <v>4.335191083E-2</v>
      </c>
      <c r="AM32" s="2">
        <v>9.0099388380000006E-2</v>
      </c>
      <c r="AN32" s="2">
        <v>8.1568471340000004E-2</v>
      </c>
      <c r="AO32" s="2">
        <v>8.733088235E-2</v>
      </c>
      <c r="AP32" s="2">
        <v>0.129339172</v>
      </c>
      <c r="AQ32" s="2">
        <v>0.14054140130000001</v>
      </c>
      <c r="AR32" s="2">
        <v>6.9203821659999998E-2</v>
      </c>
      <c r="AS32" s="2">
        <v>0.10678343949999999</v>
      </c>
      <c r="AT32" s="2">
        <v>4.3726114650000002E-2</v>
      </c>
      <c r="AU32" s="2">
        <v>9.2726608190000004E-2</v>
      </c>
      <c r="AV32" s="2">
        <v>0.10296178340000001</v>
      </c>
      <c r="AW32" s="2">
        <v>0.19968354429999999</v>
      </c>
      <c r="AX32" s="2">
        <v>0.24145569619999999</v>
      </c>
      <c r="AY32" s="2">
        <v>0.18708206690000001</v>
      </c>
      <c r="AZ32" s="2">
        <v>0.15031645569999999</v>
      </c>
      <c r="BA32" s="2">
        <v>0.21407294830000001</v>
      </c>
      <c r="BB32" s="2">
        <v>8.6392405059999997E-2</v>
      </c>
      <c r="BC32" s="2">
        <v>0.21023089170000001</v>
      </c>
      <c r="BD32" s="2">
        <v>0.11373407639999999</v>
      </c>
      <c r="BE32" s="2">
        <v>0.14728593270000001</v>
      </c>
      <c r="BF32" s="2">
        <v>4.335191083E-2</v>
      </c>
      <c r="BG32" s="2">
        <v>7.3218654430000002E-2</v>
      </c>
      <c r="BH32" s="2">
        <v>0.1443073248</v>
      </c>
      <c r="BI32" s="2">
        <v>3.857484076E-2</v>
      </c>
      <c r="BJ32" s="2">
        <v>7.3288216559999994E-2</v>
      </c>
      <c r="BK32" s="2">
        <v>8.9209726439999998E-2</v>
      </c>
      <c r="BL32" s="2">
        <v>8.029458599E-2</v>
      </c>
      <c r="BM32" s="2">
        <v>0.15702887539999999</v>
      </c>
      <c r="BN32" s="2">
        <v>9.2078025480000006E-2</v>
      </c>
      <c r="BO32" s="2">
        <v>0.27965764329999998</v>
      </c>
      <c r="BP32" s="2">
        <v>0.14940286620000001</v>
      </c>
      <c r="BQ32" s="2">
        <v>0.1009952229</v>
      </c>
      <c r="BR32" s="2">
        <v>8.7619426750000007E-2</v>
      </c>
      <c r="BS32" s="2">
        <v>4.7591743120000002E-2</v>
      </c>
      <c r="BT32" s="2">
        <v>7.6154458600000002E-2</v>
      </c>
      <c r="BU32" s="2">
        <v>0.12334394899999999</v>
      </c>
      <c r="BV32" s="2">
        <v>5.3917197450000003E-2</v>
      </c>
      <c r="BW32" s="2">
        <v>8.8949044589999998E-2</v>
      </c>
      <c r="BX32" s="2">
        <v>0.1488216561</v>
      </c>
      <c r="BY32" s="2">
        <v>5.7431192659999998E-2</v>
      </c>
      <c r="BZ32" s="2">
        <v>8.7038216560000006E-2</v>
      </c>
      <c r="CA32" s="2">
        <v>0.34313291140000002</v>
      </c>
      <c r="CB32" s="2">
        <v>0.1127531646</v>
      </c>
      <c r="CC32" s="2">
        <v>0.12794303800000001</v>
      </c>
      <c r="CD32" s="2">
        <v>4.5031645570000001E-2</v>
      </c>
      <c r="CE32" s="2">
        <v>8.6565349540000003E-2</v>
      </c>
      <c r="CF32" s="2">
        <v>0.1323734177</v>
      </c>
      <c r="CG32" s="2">
        <v>0.18474522290000001</v>
      </c>
      <c r="CH32" s="2">
        <v>9.1114649680000007E-2</v>
      </c>
      <c r="CI32" s="2">
        <v>7.2643312099999996E-2</v>
      </c>
      <c r="CJ32" s="2">
        <v>7.901273885E-2</v>
      </c>
      <c r="CK32" s="2">
        <v>9.2887537990000005E-2</v>
      </c>
      <c r="CL32" s="4">
        <v>9.2388535029999996E-2</v>
      </c>
      <c r="CM32" s="4">
        <v>0.1681926752</v>
      </c>
      <c r="CN32" s="4">
        <v>9.7389705879999997E-2</v>
      </c>
      <c r="CO32" s="2">
        <v>0.1111863057</v>
      </c>
      <c r="CP32" s="2">
        <v>0.12678343950000001</v>
      </c>
      <c r="CQ32" s="2">
        <v>0.14525477710000001</v>
      </c>
      <c r="CR32" s="2">
        <v>0.18729299360000001</v>
      </c>
      <c r="CS32" s="2">
        <v>9.875796178E-2</v>
      </c>
      <c r="CT32" s="2">
        <v>8.5220588240000006E-2</v>
      </c>
      <c r="CU32" s="2">
        <v>0.12742038219999999</v>
      </c>
      <c r="CV32" s="2">
        <v>0.26048566880000001</v>
      </c>
      <c r="CW32" s="2">
        <v>7.2587579619999995E-2</v>
      </c>
      <c r="CX32" s="2">
        <v>2.768312102E-2</v>
      </c>
      <c r="CY32" s="2">
        <v>0.1025238854</v>
      </c>
      <c r="CZ32" s="2">
        <v>0.1046636086</v>
      </c>
      <c r="DA32" s="2">
        <v>8.2778662419999996E-2</v>
      </c>
      <c r="DB32" s="2">
        <v>0.11506369430000001</v>
      </c>
      <c r="DC32" s="2">
        <v>0.1144267516</v>
      </c>
      <c r="DD32" s="2">
        <v>9.9885321099999994E-2</v>
      </c>
      <c r="DE32" s="2">
        <v>0.1386305732</v>
      </c>
      <c r="DF32" s="2">
        <v>7.2006369429999995E-2</v>
      </c>
      <c r="DG32" s="2">
        <v>8.7929936309999998E-2</v>
      </c>
      <c r="DH32" s="2">
        <v>7.2006369429999995E-2</v>
      </c>
      <c r="DI32" s="2">
        <v>0.15863057320000001</v>
      </c>
      <c r="DJ32" s="2">
        <v>0.1047706422</v>
      </c>
      <c r="DK32" s="2">
        <v>6.436305732E-2</v>
      </c>
      <c r="DL32" s="2">
        <v>0.25391719750000002</v>
      </c>
      <c r="DM32" s="2">
        <v>0.1870382166</v>
      </c>
      <c r="DN32" s="2">
        <v>0.1188853503</v>
      </c>
      <c r="DO32" s="2">
        <v>0.12525477709999999</v>
      </c>
      <c r="DP32" s="2">
        <v>0.1399464832</v>
      </c>
      <c r="DQ32" s="2">
        <v>0.12334394899999999</v>
      </c>
      <c r="DR32" s="2">
        <v>5.1624203819999999E-2</v>
      </c>
      <c r="DS32" s="2">
        <v>0.13779816510000001</v>
      </c>
      <c r="DT32" s="2">
        <v>0.1127707006</v>
      </c>
      <c r="DU32" s="2">
        <v>9.4936305730000003E-2</v>
      </c>
      <c r="DV32" s="2">
        <v>8.6656050959999995E-2</v>
      </c>
      <c r="DW32" s="2">
        <v>6.8184713379999998E-2</v>
      </c>
      <c r="DX32" s="2">
        <v>0.1023684211</v>
      </c>
      <c r="DY32" s="2">
        <v>0.10066878980000001</v>
      </c>
      <c r="DZ32" s="2">
        <v>0.25290605100000002</v>
      </c>
      <c r="EA32" s="2">
        <v>6.054936306E-2</v>
      </c>
      <c r="EB32" s="2">
        <v>8.1230886850000003E-2</v>
      </c>
      <c r="EC32" s="2">
        <v>0.1083200637</v>
      </c>
      <c r="ED32" s="2">
        <v>0.15539808920000001</v>
      </c>
      <c r="EE32" s="2">
        <v>0.1038057325</v>
      </c>
      <c r="EF32" s="2">
        <v>9.5843949040000001E-2</v>
      </c>
      <c r="EG32" s="2">
        <v>0.115589172</v>
      </c>
      <c r="EH32" s="2">
        <v>0.180949848</v>
      </c>
      <c r="EI32" s="2">
        <v>0.1060350318</v>
      </c>
      <c r="EJ32" s="2">
        <v>0.19977707010000001</v>
      </c>
      <c r="EK32" s="2">
        <v>2.5254777070000001E-2</v>
      </c>
      <c r="EL32" s="2">
        <v>8.5764331210000003E-2</v>
      </c>
      <c r="EM32" s="2">
        <v>5.4554140129999998E-2</v>
      </c>
      <c r="EN32" s="2">
        <v>8.2454128439999996E-2</v>
      </c>
      <c r="EO32" s="2">
        <v>0.10168789809999999</v>
      </c>
      <c r="EP32" s="2">
        <v>0.23857484079999999</v>
      </c>
      <c r="EQ32" s="2">
        <v>8.7937898089999994E-2</v>
      </c>
      <c r="ER32" s="2">
        <v>8.029458599E-2</v>
      </c>
      <c r="ES32" s="2">
        <v>8.0931528660000002E-2</v>
      </c>
      <c r="ET32" s="2">
        <v>0.12906534950000001</v>
      </c>
      <c r="EU32" s="2">
        <v>5.0039808919999998E-2</v>
      </c>
      <c r="EV32" s="2">
        <v>0.1796576433</v>
      </c>
      <c r="EW32" s="2">
        <v>0.1239251592</v>
      </c>
      <c r="EX32" s="2">
        <v>8.9530254779999999E-2</v>
      </c>
      <c r="EY32" s="2">
        <v>4.7810509549999998E-2</v>
      </c>
      <c r="EZ32" s="2">
        <v>0.11233823530000001</v>
      </c>
      <c r="FA32" s="2">
        <v>0.12583598730000001</v>
      </c>
    </row>
    <row r="33" spans="1:157">
      <c r="A33" s="2">
        <v>6</v>
      </c>
      <c r="B33" s="2">
        <v>4.2993630569999997E-2</v>
      </c>
      <c r="C33" s="2">
        <v>4.6178343949999999E-2</v>
      </c>
      <c r="D33" s="2">
        <v>6.847133758E-2</v>
      </c>
      <c r="E33" s="2">
        <v>0.14808917199999999</v>
      </c>
      <c r="F33" s="2">
        <v>0.1003184713</v>
      </c>
      <c r="G33" s="2">
        <v>0.12898089169999999</v>
      </c>
      <c r="H33" s="2">
        <v>0.12898089169999999</v>
      </c>
      <c r="I33" s="2">
        <v>0.13529411760000001</v>
      </c>
      <c r="J33" s="2">
        <v>0.23407643310000001</v>
      </c>
      <c r="K33" s="2">
        <v>0.12974683540000001</v>
      </c>
      <c r="L33" s="2">
        <v>0.1107594937</v>
      </c>
      <c r="M33" s="2">
        <v>0.13011695910000001</v>
      </c>
      <c r="N33" s="2">
        <v>0.23417721520000001</v>
      </c>
      <c r="O33" s="2">
        <v>0.13853503180000001</v>
      </c>
      <c r="P33" s="2">
        <v>6.2101910830000003E-2</v>
      </c>
      <c r="Q33" s="2">
        <v>4.9363057320000001E-2</v>
      </c>
      <c r="R33" s="2">
        <v>0.10987261149999999</v>
      </c>
      <c r="S33" s="2">
        <v>9.0764331209999993E-2</v>
      </c>
      <c r="T33" s="2">
        <v>0.1003184713</v>
      </c>
      <c r="U33" s="37">
        <v>8.1210191079999994E-2</v>
      </c>
      <c r="V33" s="40">
        <v>6.2101910830000003E-2</v>
      </c>
      <c r="W33" s="40">
        <v>7.1656050959999995E-2</v>
      </c>
      <c r="X33" s="40">
        <v>7.1656050959999995E-2</v>
      </c>
      <c r="Y33" s="40">
        <v>0.10882352939999999</v>
      </c>
      <c r="Z33" s="39">
        <v>0.14490445860000001</v>
      </c>
      <c r="AA33" s="2">
        <v>6.5286624200000004E-2</v>
      </c>
      <c r="AB33" s="2">
        <v>8.1210191079999994E-2</v>
      </c>
      <c r="AC33" s="2">
        <v>2.3885350319999998E-2</v>
      </c>
      <c r="AD33" s="2">
        <v>2.0700636939999999E-2</v>
      </c>
      <c r="AE33" s="2">
        <v>3.2874617740000001E-2</v>
      </c>
      <c r="AF33" s="2">
        <v>2.3885350319999998E-2</v>
      </c>
      <c r="AG33" s="2">
        <v>2.3885350319999998E-2</v>
      </c>
      <c r="AH33" s="2">
        <v>0.17993630569999999</v>
      </c>
      <c r="AI33" s="2">
        <v>0.15935672510000001</v>
      </c>
      <c r="AJ33" s="2">
        <v>0.25</v>
      </c>
      <c r="AK33" s="2">
        <v>0.10987261149999999</v>
      </c>
      <c r="AL33" s="2">
        <v>8.1210191079999994E-2</v>
      </c>
      <c r="AM33" s="2">
        <v>0.12461773700000001</v>
      </c>
      <c r="AN33" s="2">
        <v>0.16719745220000001</v>
      </c>
      <c r="AO33" s="2">
        <v>0.19411764710000001</v>
      </c>
      <c r="AP33" s="2">
        <v>0.21496815289999999</v>
      </c>
      <c r="AQ33" s="2">
        <v>0.18630573249999999</v>
      </c>
      <c r="AR33" s="2">
        <v>4.6178343949999999E-2</v>
      </c>
      <c r="AS33" s="2">
        <v>6.847133758E-2</v>
      </c>
      <c r="AT33" s="2">
        <v>0.1066878981</v>
      </c>
      <c r="AU33" s="2">
        <v>0.17397660819999999</v>
      </c>
      <c r="AV33" s="2">
        <v>0.1831210191</v>
      </c>
      <c r="AW33" s="2">
        <v>5.063291139E-2</v>
      </c>
      <c r="AX33" s="2">
        <v>4.1139240510000001E-2</v>
      </c>
      <c r="AY33" s="2">
        <v>4.9392097259999997E-2</v>
      </c>
      <c r="AZ33" s="2">
        <v>4.1139240510000001E-2</v>
      </c>
      <c r="BA33" s="2">
        <v>3.7234042549999999E-2</v>
      </c>
      <c r="BB33" s="2">
        <v>1.8987341769999999E-2</v>
      </c>
      <c r="BC33" s="2">
        <v>9.7133757959999997E-2</v>
      </c>
      <c r="BD33" s="2">
        <v>3.0254777069999999E-2</v>
      </c>
      <c r="BE33" s="2">
        <v>7.2629969419999996E-2</v>
      </c>
      <c r="BF33" s="2">
        <v>8.1210191079999994E-2</v>
      </c>
      <c r="BG33" s="2">
        <v>0.13073394499999999</v>
      </c>
      <c r="BH33" s="2">
        <v>0.1831210191</v>
      </c>
      <c r="BI33" s="2">
        <v>0.12898089169999999</v>
      </c>
      <c r="BJ33" s="2">
        <v>3.6624203819999999E-2</v>
      </c>
      <c r="BK33" s="2">
        <v>9.1945288750000007E-2</v>
      </c>
      <c r="BL33" s="2">
        <v>0.11624203819999999</v>
      </c>
      <c r="BM33" s="2">
        <v>0.1922492401</v>
      </c>
      <c r="BN33" s="2">
        <v>0.21496815289999999</v>
      </c>
      <c r="BO33" s="2">
        <v>0.199044586</v>
      </c>
      <c r="BP33" s="2">
        <v>9.0764331209999993E-2</v>
      </c>
      <c r="BQ33" s="2">
        <v>6.5286624200000004E-2</v>
      </c>
      <c r="BR33" s="2">
        <v>0.1608280255</v>
      </c>
      <c r="BS33" s="2">
        <v>9.4036697249999995E-2</v>
      </c>
      <c r="BT33" s="2">
        <v>0.1417197452</v>
      </c>
      <c r="BU33" s="2">
        <v>5.2547770700000003E-2</v>
      </c>
      <c r="BV33" s="2">
        <v>1.7515923570000001E-2</v>
      </c>
      <c r="BW33" s="2">
        <v>7.1656050959999995E-2</v>
      </c>
      <c r="BX33" s="2">
        <v>5.891719745E-2</v>
      </c>
      <c r="BY33" s="2">
        <v>2.0642201830000002E-2</v>
      </c>
      <c r="BZ33" s="2">
        <v>0.1003184713</v>
      </c>
      <c r="CA33" s="2">
        <v>0.25</v>
      </c>
      <c r="CB33" s="2">
        <v>4.4303797470000003E-2</v>
      </c>
      <c r="CC33" s="2">
        <v>4.4303797470000003E-2</v>
      </c>
      <c r="CD33" s="2">
        <v>4.1139240510000001E-2</v>
      </c>
      <c r="CE33" s="2">
        <v>0.146656535</v>
      </c>
      <c r="CF33" s="2">
        <v>0.1930379747</v>
      </c>
      <c r="CG33" s="2">
        <v>8.1210191079999994E-2</v>
      </c>
      <c r="CH33" s="2">
        <v>5.5732484079999998E-2</v>
      </c>
      <c r="CI33" s="2">
        <v>0.12579617830000001</v>
      </c>
      <c r="CJ33" s="2">
        <v>0.1321656051</v>
      </c>
      <c r="CK33" s="2">
        <v>0.2044072948</v>
      </c>
      <c r="CL33" s="4">
        <v>0.21496815289999999</v>
      </c>
      <c r="CM33" s="4">
        <v>7.8025477709999999E-2</v>
      </c>
      <c r="CN33" s="4">
        <v>0.1147058824</v>
      </c>
      <c r="CO33" s="2">
        <v>0.23407643310000001</v>
      </c>
      <c r="CP33" s="2">
        <v>7.4840764330000004E-2</v>
      </c>
      <c r="CQ33" s="2">
        <v>0.1130573248</v>
      </c>
      <c r="CR33" s="2">
        <v>6.5286624200000004E-2</v>
      </c>
      <c r="CS33" s="2">
        <v>0.13535031850000001</v>
      </c>
      <c r="CT33" s="2">
        <v>0.18235294120000001</v>
      </c>
      <c r="CU33" s="2">
        <v>0.25</v>
      </c>
      <c r="CV33" s="2">
        <v>0.14808917199999999</v>
      </c>
      <c r="CW33" s="2">
        <v>7.8025477709999999E-2</v>
      </c>
      <c r="CX33" s="2">
        <v>0.122611465</v>
      </c>
      <c r="CY33" s="2">
        <v>0.21815286619999999</v>
      </c>
      <c r="CZ33" s="2">
        <v>0.17354740060000001</v>
      </c>
      <c r="DA33" s="2">
        <v>0.15764331209999999</v>
      </c>
      <c r="DB33" s="2">
        <v>0.1321656051</v>
      </c>
      <c r="DC33" s="2">
        <v>0.1926751592</v>
      </c>
      <c r="DD33" s="2">
        <v>0.16743119270000001</v>
      </c>
      <c r="DE33" s="2">
        <v>0.23407643310000001</v>
      </c>
      <c r="DF33" s="2">
        <v>5.5732484079999998E-2</v>
      </c>
      <c r="DG33" s="2">
        <v>5.5732484079999998E-2</v>
      </c>
      <c r="DH33" s="2">
        <v>5.5732484079999998E-2</v>
      </c>
      <c r="DI33" s="2">
        <v>9.0764331209999993E-2</v>
      </c>
      <c r="DJ33" s="2">
        <v>7.2629969419999996E-2</v>
      </c>
      <c r="DK33" s="2">
        <v>6.5286624200000004E-2</v>
      </c>
      <c r="DL33" s="2">
        <v>9.7133757959999997E-2</v>
      </c>
      <c r="DM33" s="2">
        <v>9.7133757959999997E-2</v>
      </c>
      <c r="DN33" s="2">
        <v>4.6178343949999999E-2</v>
      </c>
      <c r="DO33" s="2">
        <v>5.2547770700000003E-2</v>
      </c>
      <c r="DP33" s="2">
        <v>7.2629969419999996E-2</v>
      </c>
      <c r="DQ33" s="2">
        <v>3.3439490449999998E-2</v>
      </c>
      <c r="DR33" s="2">
        <v>8.7579617829999998E-2</v>
      </c>
      <c r="DS33" s="2">
        <v>0.121559633</v>
      </c>
      <c r="DT33" s="2">
        <v>0.21815286619999999</v>
      </c>
      <c r="DU33" s="2">
        <v>4.2993630569999997E-2</v>
      </c>
      <c r="DV33" s="2">
        <v>8.7579617829999998E-2</v>
      </c>
      <c r="DW33" s="2">
        <v>0.1035031847</v>
      </c>
      <c r="DX33" s="2">
        <v>7.7485380120000003E-2</v>
      </c>
      <c r="DY33" s="2">
        <v>0.20541401270000001</v>
      </c>
      <c r="DZ33" s="2">
        <v>0.1512738854</v>
      </c>
      <c r="EA33" s="2">
        <v>7.1656050959999995E-2</v>
      </c>
      <c r="EB33" s="2">
        <v>0.12767584100000001</v>
      </c>
      <c r="EC33" s="2">
        <v>0.19585987260000001</v>
      </c>
      <c r="ED33" s="2">
        <v>5.2547770700000003E-2</v>
      </c>
      <c r="EE33" s="2">
        <v>1.4331210190000001E-2</v>
      </c>
      <c r="EF33" s="2">
        <v>7.8025477709999999E-2</v>
      </c>
      <c r="EG33" s="2">
        <v>4.6178343949999999E-2</v>
      </c>
      <c r="EH33" s="2">
        <v>5.8510638300000001E-2</v>
      </c>
      <c r="EI33" s="2">
        <v>4.6178343949999999E-2</v>
      </c>
      <c r="EJ33" s="2">
        <v>0.12898089169999999</v>
      </c>
      <c r="EK33" s="2">
        <v>5.5732484079999998E-2</v>
      </c>
      <c r="EL33" s="2">
        <v>9.7133757959999997E-2</v>
      </c>
      <c r="EM33" s="2">
        <v>0.1003184713</v>
      </c>
      <c r="EN33" s="2">
        <v>0.16743119270000001</v>
      </c>
      <c r="EO33" s="2">
        <v>0.17993630569999999</v>
      </c>
      <c r="EP33" s="2">
        <v>7.4840764330000004E-2</v>
      </c>
      <c r="EQ33" s="2">
        <v>0.1066878981</v>
      </c>
      <c r="ER33" s="2">
        <v>0.11624203819999999</v>
      </c>
      <c r="ES33" s="2">
        <v>0.1512738854</v>
      </c>
      <c r="ET33" s="2">
        <v>0.1314589666</v>
      </c>
      <c r="EU33" s="2">
        <v>0.13853503180000001</v>
      </c>
      <c r="EV33" s="2">
        <v>8.7579617829999998E-2</v>
      </c>
      <c r="EW33" s="2">
        <v>9.3949044590000003E-2</v>
      </c>
      <c r="EX33" s="2">
        <v>6.5286624200000004E-2</v>
      </c>
      <c r="EY33" s="2">
        <v>0.11624203819999999</v>
      </c>
      <c r="EZ33" s="2">
        <v>0.23529411759999999</v>
      </c>
      <c r="FA33" s="2">
        <v>0.1608280255</v>
      </c>
    </row>
    <row r="34" spans="1:157">
      <c r="CL34" s="4"/>
      <c r="CM34" s="4"/>
      <c r="CN34" s="4"/>
    </row>
    <row r="35" spans="1:157">
      <c r="CL35" s="4"/>
      <c r="CM35" s="4"/>
      <c r="CN35" s="4"/>
    </row>
    <row r="36" spans="1:157">
      <c r="CL36" s="4"/>
      <c r="CM36" s="4"/>
      <c r="CN36" s="4"/>
    </row>
    <row r="37" spans="1:157">
      <c r="B37" s="54" t="s">
        <v>19</v>
      </c>
      <c r="C37" s="55"/>
      <c r="D37" s="56" t="s">
        <v>21</v>
      </c>
      <c r="E37" s="55"/>
      <c r="F37" s="54" t="s">
        <v>22</v>
      </c>
      <c r="G37" s="55"/>
      <c r="H37" s="56" t="s">
        <v>22</v>
      </c>
      <c r="I37" s="55"/>
      <c r="J37" s="54" t="s">
        <v>23</v>
      </c>
      <c r="K37" s="55"/>
      <c r="L37" s="56" t="s">
        <v>24</v>
      </c>
      <c r="M37" s="55"/>
      <c r="N37" s="54" t="s">
        <v>25</v>
      </c>
      <c r="O37" s="55"/>
      <c r="P37" s="56" t="s">
        <v>26</v>
      </c>
      <c r="Q37" s="55"/>
      <c r="R37" s="56" t="s">
        <v>27</v>
      </c>
      <c r="S37" s="55"/>
      <c r="T37" s="56" t="s">
        <v>28</v>
      </c>
      <c r="U37" s="55"/>
      <c r="V37" s="56" t="s">
        <v>29</v>
      </c>
      <c r="W37" s="55"/>
      <c r="X37" s="56" t="s">
        <v>30</v>
      </c>
      <c r="Y37" s="55"/>
      <c r="Z37" s="58" t="s">
        <v>31</v>
      </c>
      <c r="AA37" s="55"/>
      <c r="AB37" s="11" t="s">
        <v>32</v>
      </c>
      <c r="AD37" s="54" t="s">
        <v>33</v>
      </c>
      <c r="AE37" s="55"/>
      <c r="AF37" s="56" t="s">
        <v>34</v>
      </c>
      <c r="AG37" s="55"/>
      <c r="AH37" s="56" t="s">
        <v>35</v>
      </c>
      <c r="AI37" s="55"/>
      <c r="AJ37" s="57" t="s">
        <v>36</v>
      </c>
      <c r="AK37" s="55"/>
      <c r="AL37" s="56" t="s">
        <v>37</v>
      </c>
      <c r="AM37" s="55"/>
      <c r="AN37" s="56" t="s">
        <v>38</v>
      </c>
      <c r="AO37" s="55"/>
      <c r="AP37" s="56" t="s">
        <v>39</v>
      </c>
      <c r="AQ37" s="55"/>
      <c r="AR37" s="56" t="s">
        <v>40</v>
      </c>
      <c r="AS37" s="55"/>
      <c r="AT37" s="56" t="s">
        <v>41</v>
      </c>
      <c r="AU37" s="55"/>
      <c r="AV37" s="57" t="s">
        <v>79</v>
      </c>
      <c r="AW37" s="55"/>
      <c r="AX37" s="57" t="s">
        <v>42</v>
      </c>
      <c r="AY37" s="55"/>
      <c r="AZ37" s="56" t="s">
        <v>43</v>
      </c>
      <c r="BA37" s="55"/>
      <c r="BB37" s="57" t="s">
        <v>44</v>
      </c>
      <c r="BC37" s="55"/>
      <c r="BD37" s="56" t="s">
        <v>45</v>
      </c>
      <c r="BE37" s="55"/>
      <c r="BF37" s="56" t="s">
        <v>47</v>
      </c>
      <c r="BG37" s="55"/>
      <c r="BH37" s="56" t="s">
        <v>46</v>
      </c>
      <c r="BI37" s="55"/>
      <c r="CL37" s="4"/>
      <c r="CM37" s="4"/>
      <c r="CN37" s="4"/>
    </row>
    <row r="38" spans="1:157">
      <c r="B38" s="2" t="s">
        <v>101</v>
      </c>
      <c r="C38" s="2" t="s">
        <v>102</v>
      </c>
      <c r="D38" s="2" t="s">
        <v>101</v>
      </c>
      <c r="E38" s="2" t="s">
        <v>102</v>
      </c>
      <c r="F38" s="2" t="s">
        <v>101</v>
      </c>
      <c r="G38" s="2" t="s">
        <v>102</v>
      </c>
      <c r="H38" s="2" t="s">
        <v>101</v>
      </c>
      <c r="I38" s="2" t="s">
        <v>102</v>
      </c>
      <c r="J38" s="2" t="s">
        <v>101</v>
      </c>
      <c r="K38" s="2" t="s">
        <v>102</v>
      </c>
      <c r="L38" s="2" t="s">
        <v>101</v>
      </c>
      <c r="M38" s="2" t="s">
        <v>102</v>
      </c>
      <c r="N38" s="2" t="s">
        <v>101</v>
      </c>
      <c r="O38" s="2" t="s">
        <v>102</v>
      </c>
      <c r="P38" s="2" t="s">
        <v>101</v>
      </c>
      <c r="Q38" s="2" t="s">
        <v>102</v>
      </c>
      <c r="R38" s="2" t="s">
        <v>101</v>
      </c>
      <c r="S38" s="2" t="s">
        <v>102</v>
      </c>
      <c r="T38" s="2" t="s">
        <v>101</v>
      </c>
      <c r="U38" s="2" t="s">
        <v>102</v>
      </c>
      <c r="V38" s="2" t="s">
        <v>101</v>
      </c>
      <c r="W38" s="2" t="s">
        <v>102</v>
      </c>
      <c r="X38" s="2" t="s">
        <v>101</v>
      </c>
      <c r="Y38" s="2" t="s">
        <v>102</v>
      </c>
      <c r="Z38" s="2" t="s">
        <v>101</v>
      </c>
      <c r="AA38" s="2" t="s">
        <v>102</v>
      </c>
      <c r="AB38" s="2" t="s">
        <v>101</v>
      </c>
      <c r="AC38" s="2" t="s">
        <v>102</v>
      </c>
      <c r="AD38" s="2" t="s">
        <v>101</v>
      </c>
      <c r="AE38" s="2" t="s">
        <v>102</v>
      </c>
      <c r="AF38" s="2" t="s">
        <v>101</v>
      </c>
      <c r="AG38" s="2" t="s">
        <v>102</v>
      </c>
      <c r="AH38" s="2" t="s">
        <v>101</v>
      </c>
      <c r="AI38" s="2" t="s">
        <v>102</v>
      </c>
      <c r="AJ38" s="2" t="s">
        <v>101</v>
      </c>
      <c r="AK38" s="2" t="s">
        <v>102</v>
      </c>
      <c r="AL38" s="2" t="s">
        <v>101</v>
      </c>
      <c r="AM38" s="2" t="s">
        <v>102</v>
      </c>
      <c r="AN38" s="2" t="s">
        <v>101</v>
      </c>
      <c r="AO38" s="2" t="s">
        <v>102</v>
      </c>
      <c r="AP38" s="2" t="s">
        <v>101</v>
      </c>
      <c r="AQ38" s="2" t="s">
        <v>102</v>
      </c>
      <c r="AR38" s="2" t="s">
        <v>101</v>
      </c>
      <c r="AS38" s="2" t="s">
        <v>102</v>
      </c>
      <c r="AT38" s="2" t="s">
        <v>101</v>
      </c>
      <c r="AU38" s="2" t="s">
        <v>102</v>
      </c>
      <c r="AV38" s="2" t="s">
        <v>101</v>
      </c>
      <c r="AW38" s="2" t="s">
        <v>102</v>
      </c>
      <c r="AX38" s="2" t="s">
        <v>101</v>
      </c>
      <c r="AY38" s="2" t="s">
        <v>102</v>
      </c>
      <c r="AZ38" s="2" t="s">
        <v>101</v>
      </c>
      <c r="BA38" s="2" t="s">
        <v>102</v>
      </c>
      <c r="BB38" s="2" t="s">
        <v>101</v>
      </c>
      <c r="BC38" s="2" t="s">
        <v>102</v>
      </c>
      <c r="BD38" s="2" t="s">
        <v>101</v>
      </c>
      <c r="BE38" s="2" t="s">
        <v>102</v>
      </c>
      <c r="BF38" s="2" t="s">
        <v>101</v>
      </c>
      <c r="BG38" s="2" t="s">
        <v>102</v>
      </c>
      <c r="BH38" s="2" t="s">
        <v>101</v>
      </c>
      <c r="BI38" s="2" t="s">
        <v>102</v>
      </c>
      <c r="CL38" s="4"/>
      <c r="CM38" s="4"/>
      <c r="CN38" s="4"/>
    </row>
    <row r="39" spans="1:157">
      <c r="A39" s="2">
        <v>1</v>
      </c>
      <c r="B39" s="4">
        <v>8.8976810409999996E-2</v>
      </c>
      <c r="C39" s="4">
        <v>3.175839188E-2</v>
      </c>
      <c r="D39" s="4">
        <v>2.612261146E-2</v>
      </c>
      <c r="E39" s="4">
        <v>3.8074272590000002E-3</v>
      </c>
      <c r="F39" s="4">
        <v>6.7538226300000004E-2</v>
      </c>
      <c r="G39" s="4">
        <v>8.982115677E-3</v>
      </c>
      <c r="H39" s="4">
        <v>2.930379747E-2</v>
      </c>
      <c r="I39" s="4">
        <v>8.982115677E-3</v>
      </c>
      <c r="J39" s="4">
        <v>0.11800159239999999</v>
      </c>
      <c r="K39" s="2">
        <v>5.548638132E-2</v>
      </c>
      <c r="L39" s="2">
        <v>0.1062261146</v>
      </c>
      <c r="M39" s="2">
        <v>2.6636676880000001E-2</v>
      </c>
      <c r="N39" s="2">
        <v>0.19714968150000001</v>
      </c>
      <c r="O39" s="2">
        <v>0.15759757999999999</v>
      </c>
      <c r="P39" s="2">
        <v>5.192675159E-2</v>
      </c>
      <c r="Q39" s="2">
        <v>2.738549618E-3</v>
      </c>
      <c r="R39" s="2">
        <v>8.1544585990000001E-2</v>
      </c>
      <c r="S39" s="2">
        <v>3.6619448699999999E-3</v>
      </c>
      <c r="T39" s="2">
        <v>0.13329617830000001</v>
      </c>
      <c r="U39" s="2">
        <v>8.2423664119999993E-3</v>
      </c>
      <c r="V39" s="2">
        <v>0.3725</v>
      </c>
      <c r="W39" s="2">
        <v>0.2162063615</v>
      </c>
      <c r="X39" s="2">
        <v>0.15001592359999999</v>
      </c>
      <c r="Y39" s="2">
        <v>1.0515222479999999E-2</v>
      </c>
      <c r="Z39" s="2">
        <v>8.1544585990000001E-2</v>
      </c>
      <c r="AA39" s="2">
        <v>5.1303501950000002E-3</v>
      </c>
      <c r="AB39" s="2">
        <v>0.23074840760000001</v>
      </c>
      <c r="AC39" s="2">
        <v>3.043130367E-2</v>
      </c>
      <c r="AD39" s="2">
        <v>0.12326433119999999</v>
      </c>
      <c r="AE39" s="2">
        <v>7.4147150659999994E-2</v>
      </c>
      <c r="AF39" s="2">
        <v>0.2354746835</v>
      </c>
      <c r="AG39" s="2">
        <v>1.388867339E-2</v>
      </c>
      <c r="AH39" s="2">
        <v>0.1245302548</v>
      </c>
      <c r="AI39" s="2">
        <v>2.8793774319999998E-3</v>
      </c>
      <c r="AJ39" s="2">
        <v>8.1385350319999994E-2</v>
      </c>
      <c r="AK39" s="2">
        <v>1.6521822360000001E-2</v>
      </c>
      <c r="AL39" s="2">
        <v>7.6281847129999997E-2</v>
      </c>
      <c r="AM39" s="2">
        <v>1.514165391E-3</v>
      </c>
      <c r="AN39" s="2">
        <v>0.1092436306</v>
      </c>
      <c r="AO39" s="2">
        <v>1.8479703359999999E-2</v>
      </c>
      <c r="AP39" s="2">
        <v>1.2754777070000001E-2</v>
      </c>
      <c r="AQ39" s="2">
        <v>2.718579235E-3</v>
      </c>
      <c r="AR39" s="2">
        <v>0.140294586</v>
      </c>
      <c r="AS39" s="2">
        <v>5.3218188909999999E-2</v>
      </c>
      <c r="AT39" s="2">
        <v>0.14603503179999999</v>
      </c>
      <c r="AU39" s="2">
        <v>0.18491998439999999</v>
      </c>
      <c r="AV39" s="2">
        <v>6.6568471340000004E-2</v>
      </c>
      <c r="AW39" s="2">
        <v>1.348360656E-2</v>
      </c>
      <c r="AX39" s="2">
        <v>6.5453821659999994E-2</v>
      </c>
      <c r="AY39" s="2">
        <v>3.4024809160000002E-2</v>
      </c>
      <c r="AZ39" s="2">
        <v>7.4856687899999996E-2</v>
      </c>
      <c r="BA39" s="2">
        <v>7.636612022E-3</v>
      </c>
      <c r="BB39" s="2">
        <v>0.26673566879999999</v>
      </c>
      <c r="BC39" s="2">
        <v>0.17151167319999999</v>
      </c>
      <c r="BD39" s="2">
        <v>5.7022292990000001E-2</v>
      </c>
      <c r="BE39" s="2">
        <v>1.3491412959999999E-2</v>
      </c>
      <c r="BF39" s="2">
        <v>9.1576433119999995E-2</v>
      </c>
      <c r="BG39" s="2">
        <v>2.5830739299999999E-2</v>
      </c>
      <c r="BH39" s="2">
        <v>0.1141878981</v>
      </c>
      <c r="BI39" s="2">
        <v>1.8204441040000001E-3</v>
      </c>
      <c r="CL39" s="4"/>
      <c r="CM39" s="4"/>
      <c r="CN39" s="4"/>
    </row>
    <row r="40" spans="1:157">
      <c r="A40" s="2">
        <v>2</v>
      </c>
      <c r="B40" s="3">
        <v>0.15224776239999999</v>
      </c>
      <c r="C40" s="3">
        <v>0.1767701015</v>
      </c>
      <c r="D40" s="3">
        <v>0.1146894904</v>
      </c>
      <c r="E40" s="3">
        <v>0.19924387439999999</v>
      </c>
      <c r="F40" s="3">
        <v>8.1024464830000004E-2</v>
      </c>
      <c r="G40" s="3">
        <v>0.183228691</v>
      </c>
      <c r="H40" s="3">
        <v>0.1079113924</v>
      </c>
      <c r="I40" s="3">
        <v>0.183228691</v>
      </c>
      <c r="J40" s="4">
        <v>7.758757962E-2</v>
      </c>
      <c r="K40" s="2">
        <v>0.23723735409999999</v>
      </c>
      <c r="L40" s="2">
        <v>0.15667197450000001</v>
      </c>
      <c r="M40" s="2">
        <v>0.19919410409999999</v>
      </c>
      <c r="N40" s="2">
        <v>0.17307324839999999</v>
      </c>
      <c r="O40" s="2">
        <v>0.16771467600000001</v>
      </c>
      <c r="P40" s="2">
        <v>0.18262738849999999</v>
      </c>
      <c r="Q40" s="2">
        <v>0.19400572520000001</v>
      </c>
      <c r="R40" s="2">
        <v>9.1863057319999997E-2</v>
      </c>
      <c r="S40" s="2">
        <v>0.22859303219999999</v>
      </c>
      <c r="T40" s="2">
        <v>0.2467993631</v>
      </c>
      <c r="U40" s="2">
        <v>0.13836450380000001</v>
      </c>
      <c r="V40" s="2">
        <v>0.365664557</v>
      </c>
      <c r="W40" s="2">
        <v>0.23568657870000001</v>
      </c>
      <c r="X40" s="2">
        <v>9.1544585989999996E-2</v>
      </c>
      <c r="Y40" s="2">
        <v>0.13690866509999999</v>
      </c>
      <c r="Z40" s="2">
        <v>0.2122452229</v>
      </c>
      <c r="AA40" s="2">
        <v>0.16650000000000001</v>
      </c>
      <c r="AB40" s="2">
        <v>0.28692675159999997</v>
      </c>
      <c r="AC40" s="2">
        <v>0.20073575330000001</v>
      </c>
      <c r="AD40" s="2">
        <v>0.18517515919999999</v>
      </c>
      <c r="AE40" s="2">
        <v>0.18543520690000001</v>
      </c>
      <c r="AF40" s="2">
        <v>0.24572784810000001</v>
      </c>
      <c r="AG40" s="2">
        <v>0.15800038790000001</v>
      </c>
      <c r="AH40" s="2">
        <v>8.1250000000000003E-2</v>
      </c>
      <c r="AI40" s="2">
        <v>0.27708171209999999</v>
      </c>
      <c r="AJ40" s="2">
        <v>0.14329617829999999</v>
      </c>
      <c r="AK40" s="2">
        <v>0.1422186064</v>
      </c>
      <c r="AL40" s="2">
        <v>0.1849124204</v>
      </c>
      <c r="AM40" s="2">
        <v>0.23002871359999999</v>
      </c>
      <c r="AN40" s="2">
        <v>8.3160828029999995E-2</v>
      </c>
      <c r="AO40" s="2">
        <v>0.1903298205</v>
      </c>
      <c r="AP40" s="2">
        <v>0.12625796180000001</v>
      </c>
      <c r="AQ40" s="2">
        <v>0.1814539422</v>
      </c>
      <c r="AR40" s="2">
        <v>0.25465764330000001</v>
      </c>
      <c r="AS40" s="2">
        <v>0.14286690090000001</v>
      </c>
      <c r="AT40" s="2">
        <v>0.139156051</v>
      </c>
      <c r="AU40" s="2">
        <v>0.25475605000000001</v>
      </c>
      <c r="AV40" s="2">
        <v>0.2267914013</v>
      </c>
      <c r="AW40" s="2">
        <v>0.1902517564</v>
      </c>
      <c r="AX40" s="2">
        <v>0.15115445860000001</v>
      </c>
      <c r="AY40" s="2">
        <v>0.1903912214</v>
      </c>
      <c r="AZ40" s="2">
        <v>0.1023726115</v>
      </c>
      <c r="BA40" s="2">
        <v>0.186371975</v>
      </c>
      <c r="BB40" s="2">
        <v>0.23692675160000001</v>
      </c>
      <c r="BC40" s="2">
        <v>0.1164610895</v>
      </c>
      <c r="BD40" s="2">
        <v>8.4538216560000004E-2</v>
      </c>
      <c r="BE40" s="2">
        <v>0.19222677599999999</v>
      </c>
      <c r="BF40" s="2">
        <v>0.1362898089</v>
      </c>
      <c r="BG40" s="2">
        <v>0.18439883269999999</v>
      </c>
      <c r="BH40" s="2">
        <v>0.10730891720000001</v>
      </c>
      <c r="BI40" s="2">
        <v>0.1764452527</v>
      </c>
      <c r="CL40" s="4"/>
      <c r="CM40" s="4"/>
      <c r="CN40" s="4"/>
    </row>
    <row r="41" spans="1:157">
      <c r="A41" s="2">
        <v>3</v>
      </c>
      <c r="B41" s="3">
        <v>0.15927786820000001</v>
      </c>
      <c r="C41" s="3">
        <v>0.16665300550000001</v>
      </c>
      <c r="D41" s="3">
        <v>0.19809713379999999</v>
      </c>
      <c r="E41" s="3">
        <v>0.18573698320000001</v>
      </c>
      <c r="F41" s="3">
        <v>0.2684556575</v>
      </c>
      <c r="G41" s="3">
        <v>0.20555745810000001</v>
      </c>
      <c r="H41" s="3">
        <v>0.131835443</v>
      </c>
      <c r="I41" s="3">
        <v>0.20555745810000001</v>
      </c>
      <c r="J41" s="4">
        <v>0.238383758</v>
      </c>
      <c r="K41" s="2">
        <v>0.1395330739</v>
      </c>
      <c r="L41" s="2">
        <v>0.15781847130000001</v>
      </c>
      <c r="M41" s="2">
        <v>0.18375765699999999</v>
      </c>
      <c r="N41" s="2">
        <v>0.24874203819999999</v>
      </c>
      <c r="O41" s="2">
        <v>0.20326502730000001</v>
      </c>
      <c r="P41" s="2">
        <v>0.1837738854</v>
      </c>
      <c r="Q41" s="2">
        <v>0.18205152669999999</v>
      </c>
      <c r="R41" s="2">
        <v>0.18472929939999999</v>
      </c>
      <c r="S41" s="2">
        <v>0.2014414242</v>
      </c>
      <c r="T41" s="2">
        <v>5.3041401270000003E-2</v>
      </c>
      <c r="U41" s="2">
        <v>0.23702099239999999</v>
      </c>
      <c r="V41" s="2">
        <v>0.32123417720000003</v>
      </c>
      <c r="W41" s="2">
        <v>0.23296353759999999</v>
      </c>
      <c r="X41" s="2">
        <v>0.26179936310000002</v>
      </c>
      <c r="Y41" s="2">
        <v>0.21566744730000001</v>
      </c>
      <c r="Z41" s="2">
        <v>8.1544585990000001E-2</v>
      </c>
      <c r="AA41" s="2">
        <v>0.22575291829999999</v>
      </c>
      <c r="AB41" s="2">
        <v>0.31673566879999998</v>
      </c>
      <c r="AC41" s="2">
        <v>0.15619242780000001</v>
      </c>
      <c r="AD41" s="2">
        <v>0.1605254777</v>
      </c>
      <c r="AE41" s="2">
        <v>0.16056401249999999</v>
      </c>
      <c r="AF41" s="2">
        <v>0.2354746835</v>
      </c>
      <c r="AG41" s="2">
        <v>0.19821761060000001</v>
      </c>
      <c r="AH41" s="2">
        <v>0.2420461783</v>
      </c>
      <c r="AI41" s="2">
        <v>0.20459143969999999</v>
      </c>
      <c r="AJ41" s="2">
        <v>0.20749999999999999</v>
      </c>
      <c r="AK41" s="2">
        <v>0.1598602603</v>
      </c>
      <c r="AL41" s="2">
        <v>0.24539012739999999</v>
      </c>
      <c r="AM41" s="2">
        <v>0.21652182240000001</v>
      </c>
      <c r="AN41" s="2">
        <v>0.26402070059999999</v>
      </c>
      <c r="AO41" s="2">
        <v>0.1533743169</v>
      </c>
      <c r="AP41" s="2">
        <v>0.16753184709999999</v>
      </c>
      <c r="AQ41" s="2">
        <v>0.1881986729</v>
      </c>
      <c r="AR41" s="2">
        <v>0.12309713379999999</v>
      </c>
      <c r="AS41" s="2">
        <v>0.18530249800000001</v>
      </c>
      <c r="AT41" s="2">
        <v>0.31800955409999998</v>
      </c>
      <c r="AU41" s="2">
        <v>0.23550546450000001</v>
      </c>
      <c r="AV41" s="2">
        <v>0.1267595541</v>
      </c>
      <c r="AW41" s="2">
        <v>0.2333899297</v>
      </c>
      <c r="AX41" s="2">
        <v>0.16863853500000001</v>
      </c>
      <c r="AY41" s="2">
        <v>0.12952099240000001</v>
      </c>
      <c r="AZ41" s="2">
        <v>0.1952388535</v>
      </c>
      <c r="BA41" s="2">
        <v>0.176254879</v>
      </c>
      <c r="BB41" s="2">
        <v>0.21514331210000001</v>
      </c>
      <c r="BC41" s="2">
        <v>0.20513035020000001</v>
      </c>
      <c r="BD41" s="2">
        <v>0.18600318469999999</v>
      </c>
      <c r="BE41" s="2">
        <v>0.15681693990000001</v>
      </c>
      <c r="BF41" s="2">
        <v>0.2119585987</v>
      </c>
      <c r="BG41" s="2">
        <v>0.1603054475</v>
      </c>
      <c r="BH41" s="2">
        <v>0.21737261150000001</v>
      </c>
      <c r="BI41" s="2">
        <v>0.18375</v>
      </c>
      <c r="CL41" s="4"/>
      <c r="CM41" s="4"/>
      <c r="CN41" s="4"/>
    </row>
    <row r="42" spans="1:157">
      <c r="A42" s="2">
        <v>4</v>
      </c>
      <c r="B42" s="3">
        <v>5.0463791700000003E-2</v>
      </c>
      <c r="C42" s="3">
        <v>6.3725605000000005E-2</v>
      </c>
      <c r="D42" s="3">
        <v>4.3925159239999997E-2</v>
      </c>
      <c r="E42" s="3">
        <v>9.2358346090000001E-2</v>
      </c>
      <c r="F42" s="3">
        <v>1.9243119270000001E-2</v>
      </c>
      <c r="G42" s="3">
        <v>0.1021328006</v>
      </c>
      <c r="H42" s="3">
        <v>7.0126582280000002E-2</v>
      </c>
      <c r="I42" s="3">
        <v>0.1021328006</v>
      </c>
      <c r="J42" s="4">
        <v>4.0477707010000002E-2</v>
      </c>
      <c r="K42" s="2">
        <v>9.0809338520000005E-2</v>
      </c>
      <c r="L42" s="2">
        <v>7.2906050959999996E-2</v>
      </c>
      <c r="M42" s="2">
        <v>9.4665007659999995E-2</v>
      </c>
      <c r="N42" s="2">
        <v>7.3280254779999998E-2</v>
      </c>
      <c r="O42" s="2">
        <v>7.2679547230000002E-2</v>
      </c>
      <c r="P42" s="2">
        <v>6.9243630570000006E-2</v>
      </c>
      <c r="Q42" s="2">
        <v>0.11450572520000001</v>
      </c>
      <c r="R42" s="2">
        <v>4.5358280250000001E-2</v>
      </c>
      <c r="S42" s="2">
        <v>9.5660413479999998E-2</v>
      </c>
      <c r="T42" s="2">
        <v>0.14466560510000001</v>
      </c>
      <c r="U42" s="2">
        <v>8.6620229009999994E-2</v>
      </c>
      <c r="V42" s="2">
        <v>0.1978164557</v>
      </c>
      <c r="W42" s="2">
        <v>9.4561675720000002E-2</v>
      </c>
      <c r="X42" s="2">
        <v>5.1727707009999999E-2</v>
      </c>
      <c r="Y42" s="2">
        <v>5.9344262299999999E-2</v>
      </c>
      <c r="Z42" s="2">
        <v>0.10841560510000001</v>
      </c>
      <c r="AA42" s="2">
        <v>8.3223735409999999E-2</v>
      </c>
      <c r="AB42" s="2">
        <v>0.16112261150000001</v>
      </c>
      <c r="AC42" s="2">
        <v>8.6286104609999997E-2</v>
      </c>
      <c r="AD42" s="2">
        <v>6.96656051E-2</v>
      </c>
      <c r="AE42" s="2">
        <v>6.1875487899999998E-2</v>
      </c>
      <c r="AF42" s="2">
        <v>0.1546835443</v>
      </c>
      <c r="AG42" s="2">
        <v>7.4307602789999996E-2</v>
      </c>
      <c r="AH42" s="2">
        <v>5.5071656050000001E-2</v>
      </c>
      <c r="AI42" s="2">
        <v>0.1197042802</v>
      </c>
      <c r="AJ42" s="2">
        <v>4.5676751590000002E-2</v>
      </c>
      <c r="AK42" s="2">
        <v>8.0202909650000001E-2</v>
      </c>
      <c r="AL42" s="2">
        <v>3.4211783439999997E-2</v>
      </c>
      <c r="AM42" s="2">
        <v>0.1113418836</v>
      </c>
      <c r="AN42" s="2">
        <v>5.5764331209999997E-2</v>
      </c>
      <c r="AO42" s="2">
        <v>9.0156128020000004E-2</v>
      </c>
      <c r="AP42" s="2">
        <v>6.0429936310000001E-2</v>
      </c>
      <c r="AQ42" s="2">
        <v>8.3801717410000004E-2</v>
      </c>
      <c r="AR42" s="2">
        <v>0.1160589172</v>
      </c>
      <c r="AS42" s="2">
        <v>3.7261904759999999E-2</v>
      </c>
      <c r="AT42" s="2">
        <v>2.2691082800000002E-2</v>
      </c>
      <c r="AU42" s="2">
        <v>0.1048790008</v>
      </c>
      <c r="AV42" s="2">
        <v>7.6090764330000005E-2</v>
      </c>
      <c r="AW42" s="2">
        <v>5.6855971900000003E-2</v>
      </c>
      <c r="AX42" s="2">
        <v>3.994426752E-2</v>
      </c>
      <c r="AY42" s="2">
        <v>6.8192748090000005E-2</v>
      </c>
      <c r="AZ42" s="2">
        <v>2.9593949040000001E-2</v>
      </c>
      <c r="BA42" s="2">
        <v>7.4264246680000007E-2</v>
      </c>
      <c r="BB42" s="2">
        <v>0.17057324839999999</v>
      </c>
      <c r="BC42" s="2">
        <v>8.1470817119999997E-2</v>
      </c>
      <c r="BD42" s="2">
        <v>3.6863057320000003E-2</v>
      </c>
      <c r="BE42" s="2">
        <v>9.5042935209999999E-2</v>
      </c>
      <c r="BF42" s="2">
        <v>1.9084394899999999E-2</v>
      </c>
      <c r="BG42" s="2">
        <v>7.0305447470000004E-2</v>
      </c>
      <c r="BH42" s="2">
        <v>5.3160828030000003E-2</v>
      </c>
      <c r="BI42" s="2">
        <v>8.7008039819999994E-2</v>
      </c>
      <c r="CL42" s="4"/>
      <c r="CM42" s="4"/>
      <c r="CN42" s="4"/>
    </row>
    <row r="43" spans="1:157">
      <c r="A43" s="2">
        <v>5</v>
      </c>
      <c r="B43" s="3">
        <v>7.0449552479999997E-2</v>
      </c>
      <c r="C43" s="3">
        <v>6.6588602649999995E-2</v>
      </c>
      <c r="D43" s="3">
        <v>9.6847133759999995E-2</v>
      </c>
      <c r="E43" s="3">
        <v>8.0093797859999996E-2</v>
      </c>
      <c r="F43" s="3">
        <v>0.16985474010000001</v>
      </c>
      <c r="G43" s="3">
        <v>7.2184170470000003E-2</v>
      </c>
      <c r="H43" s="3">
        <v>6.5189873420000002E-2</v>
      </c>
      <c r="I43" s="3">
        <v>7.2184170470000003E-2</v>
      </c>
      <c r="J43" s="4">
        <v>0.1627149682</v>
      </c>
      <c r="K43" s="2">
        <v>4.0357976650000002E-2</v>
      </c>
      <c r="L43" s="2">
        <v>6.5167197450000006E-2</v>
      </c>
      <c r="M43" s="2">
        <v>5.046324655E-2</v>
      </c>
      <c r="N43" s="2">
        <v>0.16447452230000001</v>
      </c>
      <c r="O43" s="2">
        <v>0.1022872756</v>
      </c>
      <c r="P43" s="2">
        <v>4.2396496819999997E-2</v>
      </c>
      <c r="Q43" s="2">
        <v>8.1935114500000003E-2</v>
      </c>
      <c r="R43" s="2">
        <v>8.6345541400000003E-2</v>
      </c>
      <c r="S43" s="2">
        <v>0.101914242</v>
      </c>
      <c r="T43" s="2">
        <v>5.2324840759999998E-2</v>
      </c>
      <c r="U43" s="2">
        <v>9.5477099240000002E-2</v>
      </c>
      <c r="V43" s="2">
        <v>0.2118670886</v>
      </c>
      <c r="W43" s="2">
        <v>0.1257176106</v>
      </c>
      <c r="X43" s="2">
        <v>0.14765127389999999</v>
      </c>
      <c r="Y43" s="2">
        <v>9.81264637E-2</v>
      </c>
      <c r="Z43" s="2">
        <v>2.3288216560000002E-2</v>
      </c>
      <c r="AA43" s="2">
        <v>0.1127626459</v>
      </c>
      <c r="AB43" s="2">
        <v>0.18109076430000001</v>
      </c>
      <c r="AC43" s="2">
        <v>5.7533177210000001E-2</v>
      </c>
      <c r="AD43" s="2">
        <v>6.9522292989999998E-2</v>
      </c>
      <c r="AE43" s="2">
        <v>5.9305230289999997E-2</v>
      </c>
      <c r="AF43" s="2">
        <v>0.17651898730000001</v>
      </c>
      <c r="AG43" s="2">
        <v>9.4934057409999995E-2</v>
      </c>
      <c r="AH43" s="2">
        <v>0.116433121</v>
      </c>
      <c r="AI43" s="2">
        <v>8.8817120619999995E-2</v>
      </c>
      <c r="AJ43" s="2">
        <v>0.10338375800000001</v>
      </c>
      <c r="AK43" s="2">
        <v>8.1609877489999996E-2</v>
      </c>
      <c r="AL43" s="2">
        <v>0.10257961779999999</v>
      </c>
      <c r="AM43" s="2">
        <v>9.8250382849999998E-2</v>
      </c>
      <c r="AN43" s="2">
        <v>0.1195621019</v>
      </c>
      <c r="AO43" s="2">
        <v>7.9182279470000005E-2</v>
      </c>
      <c r="AP43" s="2">
        <v>9.0859872610000003E-2</v>
      </c>
      <c r="AQ43" s="2">
        <v>0.11583333329999999</v>
      </c>
      <c r="AR43" s="2">
        <v>6.4840764329999995E-2</v>
      </c>
      <c r="AS43" s="2">
        <v>8.1725214680000005E-2</v>
      </c>
      <c r="AT43" s="2">
        <v>0.19261146500000001</v>
      </c>
      <c r="AU43" s="2">
        <v>0.12239071040000001</v>
      </c>
      <c r="AV43" s="2">
        <v>4.700636943E-2</v>
      </c>
      <c r="AW43" s="2">
        <v>0.1129508197</v>
      </c>
      <c r="AX43" s="2">
        <v>7.1687898089999993E-2</v>
      </c>
      <c r="AY43" s="2">
        <v>5.9152671759999997E-2</v>
      </c>
      <c r="AZ43" s="2">
        <v>0.10975318470000001</v>
      </c>
      <c r="BA43" s="2">
        <v>8.8134270099999995E-2</v>
      </c>
      <c r="BB43" s="2">
        <v>0.11367834390000001</v>
      </c>
      <c r="BC43" s="2">
        <v>0.11435992220000001</v>
      </c>
      <c r="BD43" s="2">
        <v>8.7834394900000001E-2</v>
      </c>
      <c r="BE43" s="2">
        <v>8.7261904759999995E-2</v>
      </c>
      <c r="BF43" s="2">
        <v>0.13220541399999999</v>
      </c>
      <c r="BG43" s="2">
        <v>6.6225680930000003E-2</v>
      </c>
      <c r="BH43" s="2">
        <v>0.1247213376</v>
      </c>
      <c r="BI43" s="2">
        <v>0.10834226650000001</v>
      </c>
      <c r="CL43" s="4"/>
      <c r="CM43" s="4"/>
      <c r="CN43" s="4"/>
    </row>
    <row r="44" spans="1:157">
      <c r="A44" s="2">
        <v>6</v>
      </c>
      <c r="B44" s="3">
        <v>3.1936533769999997E-2</v>
      </c>
      <c r="C44" s="3">
        <v>9.8555815769999999E-2</v>
      </c>
      <c r="D44" s="3">
        <v>0.1146496815</v>
      </c>
      <c r="E44" s="3">
        <v>0.1686447167</v>
      </c>
      <c r="F44" s="3">
        <v>0.121559633</v>
      </c>
      <c r="G44" s="3">
        <v>0.16533485540000001</v>
      </c>
      <c r="H44" s="3">
        <v>0.1060126582</v>
      </c>
      <c r="I44" s="3">
        <v>0.16533485540000001</v>
      </c>
      <c r="J44" s="4">
        <v>8.5191082799999998E-2</v>
      </c>
      <c r="K44" s="2">
        <v>7.5680933850000007E-2</v>
      </c>
      <c r="L44" s="2">
        <v>3.184713376E-2</v>
      </c>
      <c r="M44" s="2">
        <v>0.1184915773</v>
      </c>
      <c r="N44" s="2">
        <v>4.0605095539999997E-2</v>
      </c>
      <c r="O44" s="2">
        <v>1.7369242779999999E-2</v>
      </c>
      <c r="P44" s="2">
        <v>5.9713375800000003E-2</v>
      </c>
      <c r="Q44" s="2">
        <v>0.19370229010000001</v>
      </c>
      <c r="R44" s="2">
        <v>5.0159235670000003E-2</v>
      </c>
      <c r="S44" s="2">
        <v>0.19391271060000001</v>
      </c>
      <c r="T44" s="2">
        <v>6.369426752E-2</v>
      </c>
      <c r="U44" s="2">
        <v>0.17385496180000001</v>
      </c>
      <c r="V44" s="2">
        <v>3.7183544300000003E-2</v>
      </c>
      <c r="W44" s="2">
        <v>4.0729247479999999E-3</v>
      </c>
      <c r="X44" s="2">
        <v>4.9363057320000001E-2</v>
      </c>
      <c r="Y44" s="2">
        <v>0.1469555035</v>
      </c>
      <c r="Z44" s="2">
        <v>5.0159235670000003E-2</v>
      </c>
      <c r="AA44" s="2">
        <v>0.19085603109999999</v>
      </c>
      <c r="AB44" s="2">
        <v>0.1114649682</v>
      </c>
      <c r="AC44" s="2">
        <v>0.11338797809999999</v>
      </c>
      <c r="AD44" s="2">
        <v>1.592356688E-2</v>
      </c>
      <c r="AE44" s="2">
        <v>4.7033567530000001E-2</v>
      </c>
      <c r="AF44" s="2">
        <v>9.5727848099999999E-2</v>
      </c>
      <c r="AG44" s="2">
        <v>0.15535298680000001</v>
      </c>
      <c r="AH44" s="2">
        <v>4.6974522290000001E-2</v>
      </c>
      <c r="AI44" s="2">
        <v>0.2056420233</v>
      </c>
      <c r="AJ44" s="2">
        <v>6.7675159240000005E-2</v>
      </c>
      <c r="AK44" s="2">
        <v>0.14529096480000001</v>
      </c>
      <c r="AL44" s="2">
        <v>6.0509554139999998E-2</v>
      </c>
      <c r="AM44" s="2">
        <v>0.2080781011</v>
      </c>
      <c r="AN44" s="2">
        <v>6.608280255E-2</v>
      </c>
      <c r="AO44" s="2">
        <v>0.15085870409999999</v>
      </c>
      <c r="AP44" s="2">
        <v>0.13853503180000001</v>
      </c>
      <c r="AQ44" s="2">
        <v>0.1969164715</v>
      </c>
      <c r="AR44" s="2">
        <v>4.0605095539999997E-2</v>
      </c>
      <c r="AS44" s="2">
        <v>6.5768930520000005E-2</v>
      </c>
      <c r="AT44" s="2">
        <v>6.9267515919999995E-2</v>
      </c>
      <c r="AU44" s="2">
        <v>4.2349726779999999E-2</v>
      </c>
      <c r="AV44" s="2">
        <v>5.652866242E-2</v>
      </c>
      <c r="AW44" s="2">
        <v>0.156323185</v>
      </c>
      <c r="AX44" s="2">
        <v>4.6178343949999999E-2</v>
      </c>
      <c r="AY44" s="2">
        <v>9.332061069E-2</v>
      </c>
      <c r="AZ44" s="2">
        <v>6.4490445859999995E-2</v>
      </c>
      <c r="BA44" s="2">
        <v>0.15476190479999999</v>
      </c>
      <c r="BB44" s="2">
        <v>1.7515923570000001E-2</v>
      </c>
      <c r="BC44" s="2">
        <v>2.4319066149999999E-2</v>
      </c>
      <c r="BD44" s="2">
        <v>6.7675159240000005E-2</v>
      </c>
      <c r="BE44" s="2">
        <v>0.16881342699999999</v>
      </c>
      <c r="BF44" s="2">
        <v>5.9713375800000003E-2</v>
      </c>
      <c r="BG44" s="2">
        <v>0.1107003891</v>
      </c>
      <c r="BH44" s="2">
        <v>6.369426752E-2</v>
      </c>
      <c r="BI44" s="2">
        <v>0.19352986220000001</v>
      </c>
      <c r="CL44" s="4"/>
      <c r="CM44" s="4"/>
      <c r="CN44" s="4"/>
    </row>
    <row r="45" spans="1:157">
      <c r="B45" s="3"/>
      <c r="C45" s="3"/>
      <c r="D45" s="3"/>
      <c r="E45" s="3"/>
      <c r="F45" s="3"/>
      <c r="G45" s="3"/>
      <c r="H45" s="3"/>
      <c r="I45" s="3"/>
      <c r="J45" s="4"/>
      <c r="CL45" s="4"/>
      <c r="CM45" s="4"/>
      <c r="CN45" s="4"/>
    </row>
    <row r="46" spans="1:157">
      <c r="B46" s="4"/>
      <c r="C46" s="4"/>
      <c r="D46" s="4"/>
      <c r="E46" s="4"/>
      <c r="F46" s="4"/>
      <c r="G46" s="4"/>
      <c r="H46" s="4"/>
      <c r="I46" s="4"/>
      <c r="J46" s="4"/>
      <c r="CL46" s="4"/>
      <c r="CM46" s="4"/>
      <c r="CN46" s="4"/>
    </row>
    <row r="47" spans="1:157">
      <c r="B47" s="4"/>
      <c r="C47" s="4"/>
      <c r="D47" s="4"/>
      <c r="E47" s="4"/>
      <c r="F47" s="4"/>
      <c r="G47" s="4"/>
      <c r="H47" s="4"/>
      <c r="I47" s="4"/>
      <c r="J47" s="4"/>
      <c r="CL47" s="4"/>
      <c r="CM47" s="4"/>
      <c r="CN47" s="4"/>
    </row>
    <row r="48" spans="1:157">
      <c r="B48" s="4"/>
      <c r="C48" s="4"/>
      <c r="D48" s="4"/>
      <c r="E48" s="4"/>
      <c r="F48" s="4"/>
      <c r="G48" s="4"/>
      <c r="H48" s="4"/>
      <c r="I48" s="4"/>
      <c r="J48" s="4"/>
      <c r="CL48" s="4"/>
      <c r="CM48" s="4"/>
      <c r="CN48" s="4"/>
    </row>
    <row r="49" spans="2:92">
      <c r="B49" s="4"/>
      <c r="C49" s="4"/>
      <c r="D49" s="4"/>
      <c r="E49" s="4"/>
      <c r="F49" s="4"/>
      <c r="G49" s="4"/>
      <c r="H49" s="4"/>
      <c r="I49" s="4"/>
      <c r="J49" s="4"/>
      <c r="CL49" s="4"/>
      <c r="CM49" s="4"/>
      <c r="CN49" s="4"/>
    </row>
    <row r="50" spans="2:92">
      <c r="B50" s="4"/>
      <c r="C50" s="4"/>
      <c r="D50" s="4"/>
      <c r="E50" s="4"/>
      <c r="F50" s="4"/>
      <c r="G50" s="4"/>
      <c r="H50" s="4"/>
      <c r="I50" s="4"/>
      <c r="J50" s="4"/>
      <c r="CL50" s="4"/>
      <c r="CM50" s="4"/>
      <c r="CN50" s="4"/>
    </row>
    <row r="51" spans="2:92">
      <c r="B51" s="4"/>
      <c r="C51" s="4"/>
      <c r="D51" s="4"/>
      <c r="E51" s="4"/>
      <c r="F51" s="4"/>
      <c r="G51" s="4"/>
      <c r="H51" s="4"/>
      <c r="I51" s="4"/>
      <c r="J51" s="4"/>
      <c r="CL51" s="4"/>
      <c r="CM51" s="4"/>
      <c r="CN51" s="4"/>
    </row>
    <row r="52" spans="2:92">
      <c r="B52" s="4"/>
      <c r="C52" s="4"/>
      <c r="D52" s="4"/>
      <c r="E52" s="4"/>
      <c r="F52" s="4"/>
      <c r="G52" s="4"/>
      <c r="H52" s="4"/>
      <c r="I52" s="4"/>
      <c r="J52" s="4"/>
      <c r="CL52" s="4"/>
      <c r="CM52" s="4"/>
      <c r="CN52" s="4"/>
    </row>
    <row r="53" spans="2:92">
      <c r="B53" s="4"/>
      <c r="C53" s="4"/>
      <c r="D53" s="4"/>
      <c r="E53" s="4"/>
      <c r="F53" s="4"/>
      <c r="G53" s="4"/>
      <c r="H53" s="4"/>
      <c r="I53" s="4"/>
      <c r="J53" s="4"/>
      <c r="CL53" s="4"/>
      <c r="CM53" s="4"/>
      <c r="CN53" s="4"/>
    </row>
    <row r="54" spans="2:92">
      <c r="B54" s="4"/>
      <c r="C54" s="4"/>
      <c r="D54" s="4"/>
      <c r="E54" s="4"/>
      <c r="F54" s="4"/>
      <c r="G54" s="4"/>
      <c r="H54" s="4"/>
      <c r="I54" s="4"/>
      <c r="J54" s="4"/>
      <c r="CL54" s="4"/>
      <c r="CM54" s="4"/>
      <c r="CN54" s="4"/>
    </row>
    <row r="55" spans="2:92">
      <c r="B55" s="4"/>
      <c r="C55" s="4"/>
      <c r="D55" s="4"/>
      <c r="E55" s="4"/>
      <c r="F55" s="4"/>
      <c r="G55" s="4"/>
      <c r="H55" s="4"/>
      <c r="I55" s="4"/>
      <c r="J55" s="4"/>
      <c r="CL55" s="4"/>
      <c r="CM55" s="4"/>
      <c r="CN55" s="4"/>
    </row>
    <row r="56" spans="2:92">
      <c r="B56" s="4"/>
      <c r="C56" s="4"/>
      <c r="D56" s="4"/>
      <c r="E56" s="4"/>
      <c r="F56" s="4"/>
      <c r="G56" s="4"/>
      <c r="H56" s="4"/>
      <c r="I56" s="4"/>
      <c r="J56" s="4"/>
      <c r="CL56" s="4"/>
      <c r="CM56" s="4"/>
      <c r="CN56" s="4"/>
    </row>
    <row r="57" spans="2:92">
      <c r="B57" s="4"/>
      <c r="C57" s="4"/>
      <c r="D57" s="4"/>
      <c r="E57" s="4"/>
      <c r="F57" s="4"/>
      <c r="G57" s="4"/>
      <c r="H57" s="4"/>
      <c r="I57" s="4"/>
      <c r="J57" s="4"/>
      <c r="CL57" s="4"/>
      <c r="CM57" s="4"/>
      <c r="CN57" s="4"/>
    </row>
    <row r="58" spans="2:92">
      <c r="B58" s="4"/>
      <c r="C58" s="4"/>
      <c r="D58" s="4"/>
      <c r="E58" s="4"/>
      <c r="F58" s="4"/>
      <c r="G58" s="4"/>
      <c r="H58" s="4"/>
      <c r="I58" s="4"/>
      <c r="J58" s="4"/>
      <c r="CL58" s="4"/>
      <c r="CM58" s="4"/>
      <c r="CN58" s="4"/>
    </row>
    <row r="59" spans="2:92">
      <c r="B59" s="4"/>
      <c r="C59" s="4"/>
      <c r="D59" s="4"/>
      <c r="E59" s="4"/>
      <c r="F59" s="4"/>
      <c r="G59" s="4"/>
      <c r="H59" s="4"/>
      <c r="I59" s="4"/>
      <c r="J59" s="4"/>
      <c r="CL59" s="4"/>
      <c r="CM59" s="4"/>
      <c r="CN59" s="4"/>
    </row>
    <row r="60" spans="2:92">
      <c r="B60" s="4"/>
      <c r="C60" s="4"/>
      <c r="D60" s="4"/>
      <c r="E60" s="4"/>
      <c r="F60" s="4"/>
      <c r="G60" s="4"/>
      <c r="H60" s="4"/>
      <c r="I60" s="4"/>
      <c r="J60" s="4"/>
      <c r="CL60" s="4"/>
      <c r="CM60" s="4"/>
      <c r="CN60" s="4"/>
    </row>
    <row r="61" spans="2:92">
      <c r="B61" s="4"/>
      <c r="C61" s="4"/>
      <c r="D61" s="4"/>
      <c r="E61" s="4"/>
      <c r="F61" s="4"/>
      <c r="G61" s="4"/>
      <c r="H61" s="4"/>
      <c r="I61" s="4"/>
      <c r="J61" s="4"/>
      <c r="CL61" s="4"/>
      <c r="CM61" s="4"/>
      <c r="CN61" s="4"/>
    </row>
    <row r="62" spans="2:92">
      <c r="B62" s="4"/>
      <c r="C62" s="4"/>
      <c r="D62" s="4"/>
      <c r="E62" s="4"/>
      <c r="F62" s="4"/>
      <c r="G62" s="4"/>
      <c r="H62" s="4"/>
      <c r="I62" s="4"/>
      <c r="J62" s="4"/>
      <c r="CL62" s="4"/>
      <c r="CM62" s="4"/>
      <c r="CN62" s="4"/>
    </row>
    <row r="63" spans="2:92">
      <c r="B63" s="4"/>
      <c r="C63" s="4"/>
      <c r="D63" s="4"/>
      <c r="E63" s="4"/>
      <c r="F63" s="4"/>
      <c r="G63" s="4"/>
      <c r="H63" s="4"/>
      <c r="I63" s="4"/>
      <c r="J63" s="4"/>
      <c r="CL63" s="4"/>
      <c r="CM63" s="4"/>
      <c r="CN63" s="4"/>
    </row>
    <row r="64" spans="2:92">
      <c r="B64" s="4"/>
      <c r="C64" s="4"/>
      <c r="D64" s="4"/>
      <c r="E64" s="4"/>
      <c r="F64" s="4"/>
      <c r="G64" s="4"/>
      <c r="H64" s="4"/>
      <c r="I64" s="4"/>
      <c r="J64" s="4"/>
      <c r="CL64" s="4"/>
      <c r="CM64" s="4"/>
      <c r="CN64" s="4"/>
    </row>
    <row r="65" spans="2:92">
      <c r="B65" s="4"/>
      <c r="C65" s="4"/>
      <c r="D65" s="4"/>
      <c r="E65" s="4"/>
      <c r="F65" s="4"/>
      <c r="G65" s="4"/>
      <c r="H65" s="4"/>
      <c r="I65" s="4"/>
      <c r="J65" s="4"/>
      <c r="CL65" s="4"/>
      <c r="CM65" s="4"/>
      <c r="CN65" s="4"/>
    </row>
    <row r="66" spans="2:92">
      <c r="CL66" s="4"/>
      <c r="CM66" s="4"/>
      <c r="CN66" s="4"/>
    </row>
    <row r="67" spans="2:92">
      <c r="CL67" s="4"/>
      <c r="CM67" s="4"/>
      <c r="CN67" s="4"/>
    </row>
    <row r="68" spans="2:92">
      <c r="CL68" s="4"/>
      <c r="CM68" s="4"/>
      <c r="CN68" s="4"/>
    </row>
    <row r="69" spans="2:92">
      <c r="CL69" s="4"/>
      <c r="CM69" s="4"/>
      <c r="CN69" s="4"/>
    </row>
    <row r="70" spans="2:92">
      <c r="CL70" s="4"/>
      <c r="CM70" s="4"/>
      <c r="CN70" s="4"/>
    </row>
    <row r="71" spans="2:92">
      <c r="CL71" s="4"/>
      <c r="CM71" s="4"/>
      <c r="CN71" s="4"/>
    </row>
    <row r="72" spans="2:92">
      <c r="CL72" s="4"/>
      <c r="CM72" s="4"/>
      <c r="CN72" s="4"/>
    </row>
    <row r="73" spans="2:92">
      <c r="CL73" s="4"/>
      <c r="CM73" s="4"/>
      <c r="CN73" s="4"/>
    </row>
    <row r="74" spans="2:92">
      <c r="CL74" s="4"/>
      <c r="CM74" s="4"/>
      <c r="CN74" s="4"/>
    </row>
    <row r="75" spans="2:92">
      <c r="CL75" s="4"/>
      <c r="CM75" s="4"/>
      <c r="CN75" s="4"/>
    </row>
    <row r="76" spans="2:92">
      <c r="CL76" s="4"/>
      <c r="CM76" s="4"/>
      <c r="CN76" s="4"/>
    </row>
    <row r="77" spans="2:92">
      <c r="CL77" s="4"/>
      <c r="CM77" s="4"/>
      <c r="CN77" s="4"/>
    </row>
    <row r="78" spans="2:92">
      <c r="CL78" s="4"/>
      <c r="CM78" s="4"/>
      <c r="CN78" s="4"/>
    </row>
    <row r="79" spans="2:92">
      <c r="CL79" s="4"/>
      <c r="CM79" s="4"/>
      <c r="CN79" s="4"/>
    </row>
    <row r="80" spans="2:92">
      <c r="CL80" s="4"/>
      <c r="CM80" s="4"/>
      <c r="CN80" s="4"/>
    </row>
    <row r="81" spans="90:92">
      <c r="CL81" s="4"/>
      <c r="CM81" s="4"/>
      <c r="CN81" s="4"/>
    </row>
    <row r="82" spans="90:92">
      <c r="CL82" s="4"/>
      <c r="CM82" s="4"/>
      <c r="CN82" s="4"/>
    </row>
    <row r="83" spans="90:92">
      <c r="CL83" s="4"/>
      <c r="CM83" s="4"/>
      <c r="CN83" s="4"/>
    </row>
    <row r="84" spans="90:92">
      <c r="CL84" s="4"/>
      <c r="CM84" s="4"/>
      <c r="CN84" s="4"/>
    </row>
    <row r="85" spans="90:92">
      <c r="CL85" s="4"/>
      <c r="CM85" s="4"/>
      <c r="CN85" s="4"/>
    </row>
    <row r="86" spans="90:92">
      <c r="CL86" s="4"/>
      <c r="CM86" s="4"/>
      <c r="CN86" s="4"/>
    </row>
    <row r="87" spans="90:92">
      <c r="CL87" s="4"/>
      <c r="CM87" s="4"/>
      <c r="CN87" s="4"/>
    </row>
    <row r="88" spans="90:92">
      <c r="CL88" s="4"/>
      <c r="CM88" s="4"/>
      <c r="CN88" s="4"/>
    </row>
    <row r="89" spans="90:92">
      <c r="CL89" s="4"/>
      <c r="CM89" s="4"/>
      <c r="CN89" s="4"/>
    </row>
    <row r="90" spans="90:92">
      <c r="CL90" s="4"/>
      <c r="CM90" s="4"/>
      <c r="CN90" s="4"/>
    </row>
    <row r="91" spans="90:92">
      <c r="CL91" s="4"/>
      <c r="CM91" s="4"/>
      <c r="CN91" s="4"/>
    </row>
    <row r="92" spans="90:92">
      <c r="CL92" s="4"/>
      <c r="CM92" s="4"/>
      <c r="CN92" s="4"/>
    </row>
    <row r="93" spans="90:92">
      <c r="CL93" s="4"/>
      <c r="CM93" s="4"/>
      <c r="CN93" s="4"/>
    </row>
    <row r="94" spans="90:92">
      <c r="CL94" s="4"/>
      <c r="CM94" s="4"/>
      <c r="CN94" s="4"/>
    </row>
    <row r="95" spans="90:92">
      <c r="CL95" s="4"/>
      <c r="CM95" s="4"/>
      <c r="CN95" s="4"/>
    </row>
    <row r="96" spans="90:92">
      <c r="CL96" s="4"/>
      <c r="CM96" s="4"/>
      <c r="CN96" s="4"/>
    </row>
    <row r="97" spans="90:92">
      <c r="CL97" s="4"/>
      <c r="CM97" s="4"/>
      <c r="CN97" s="4"/>
    </row>
    <row r="98" spans="90:92">
      <c r="CL98" s="4"/>
      <c r="CM98" s="4"/>
      <c r="CN98" s="4"/>
    </row>
    <row r="99" spans="90:92">
      <c r="CL99" s="4"/>
      <c r="CM99" s="4"/>
      <c r="CN99" s="4"/>
    </row>
    <row r="100" spans="90:92">
      <c r="CL100" s="4"/>
      <c r="CM100" s="4"/>
      <c r="CN100" s="4"/>
    </row>
    <row r="101" spans="90:92">
      <c r="CL101" s="4"/>
      <c r="CM101" s="4"/>
      <c r="CN101" s="4"/>
    </row>
    <row r="102" spans="90:92">
      <c r="CL102" s="4"/>
      <c r="CM102" s="4"/>
      <c r="CN102" s="4"/>
    </row>
    <row r="103" spans="90:92">
      <c r="CL103" s="4"/>
      <c r="CM103" s="4"/>
      <c r="CN103" s="4"/>
    </row>
    <row r="104" spans="90:92">
      <c r="CL104" s="4"/>
      <c r="CM104" s="4"/>
      <c r="CN104" s="4"/>
    </row>
    <row r="105" spans="90:92">
      <c r="CL105" s="4"/>
      <c r="CM105" s="4"/>
      <c r="CN105" s="4"/>
    </row>
    <row r="106" spans="90:92">
      <c r="CL106" s="4"/>
      <c r="CM106" s="4"/>
      <c r="CN106" s="4"/>
    </row>
    <row r="107" spans="90:92">
      <c r="CL107" s="4"/>
      <c r="CM107" s="4"/>
      <c r="CN107" s="4"/>
    </row>
    <row r="108" spans="90:92">
      <c r="CL108" s="4"/>
      <c r="CM108" s="4"/>
      <c r="CN108" s="4"/>
    </row>
    <row r="109" spans="90:92">
      <c r="CL109" s="4"/>
      <c r="CM109" s="4"/>
      <c r="CN109" s="4"/>
    </row>
    <row r="110" spans="90:92">
      <c r="CL110" s="4"/>
      <c r="CM110" s="4"/>
      <c r="CN110" s="4"/>
    </row>
    <row r="111" spans="90:92">
      <c r="CL111" s="4"/>
      <c r="CM111" s="4"/>
      <c r="CN111" s="4"/>
    </row>
    <row r="112" spans="90:92">
      <c r="CL112" s="4"/>
      <c r="CM112" s="4"/>
      <c r="CN112" s="4"/>
    </row>
    <row r="113" spans="90:92">
      <c r="CL113" s="4"/>
      <c r="CM113" s="4"/>
      <c r="CN113" s="4"/>
    </row>
    <row r="114" spans="90:92">
      <c r="CL114" s="4"/>
      <c r="CM114" s="4"/>
      <c r="CN114" s="4"/>
    </row>
    <row r="115" spans="90:92">
      <c r="CL115" s="4"/>
      <c r="CM115" s="4"/>
      <c r="CN115" s="4"/>
    </row>
    <row r="116" spans="90:92">
      <c r="CL116" s="4"/>
      <c r="CM116" s="4"/>
      <c r="CN116" s="4"/>
    </row>
    <row r="117" spans="90:92">
      <c r="CL117" s="4"/>
      <c r="CM117" s="4"/>
      <c r="CN117" s="4"/>
    </row>
    <row r="118" spans="90:92">
      <c r="CL118" s="4"/>
      <c r="CM118" s="4"/>
      <c r="CN118" s="4"/>
    </row>
    <row r="119" spans="90:92">
      <c r="CL119" s="4"/>
      <c r="CM119" s="4"/>
      <c r="CN119" s="4"/>
    </row>
    <row r="120" spans="90:92">
      <c r="CL120" s="4"/>
      <c r="CM120" s="4"/>
      <c r="CN120" s="4"/>
    </row>
    <row r="121" spans="90:92">
      <c r="CL121" s="4"/>
      <c r="CM121" s="4"/>
      <c r="CN121" s="4"/>
    </row>
    <row r="122" spans="90:92">
      <c r="CL122" s="4"/>
      <c r="CM122" s="4"/>
      <c r="CN122" s="4"/>
    </row>
    <row r="123" spans="90:92">
      <c r="CL123" s="4"/>
      <c r="CM123" s="4"/>
      <c r="CN123" s="4"/>
    </row>
    <row r="124" spans="90:92">
      <c r="CL124" s="4"/>
      <c r="CM124" s="4"/>
      <c r="CN124" s="4"/>
    </row>
    <row r="125" spans="90:92">
      <c r="CL125" s="4"/>
      <c r="CM125" s="4"/>
      <c r="CN125" s="4"/>
    </row>
    <row r="126" spans="90:92">
      <c r="CL126" s="4"/>
      <c r="CM126" s="4"/>
      <c r="CN126" s="4"/>
    </row>
    <row r="127" spans="90:92">
      <c r="CL127" s="4"/>
      <c r="CM127" s="4"/>
      <c r="CN127" s="4"/>
    </row>
    <row r="128" spans="90:92">
      <c r="CL128" s="4"/>
      <c r="CM128" s="4"/>
      <c r="CN128" s="4"/>
    </row>
    <row r="129" spans="90:92">
      <c r="CL129" s="4"/>
      <c r="CM129" s="4"/>
      <c r="CN129" s="4"/>
    </row>
    <row r="130" spans="90:92">
      <c r="CL130" s="4"/>
      <c r="CM130" s="4"/>
      <c r="CN130" s="4"/>
    </row>
    <row r="131" spans="90:92">
      <c r="CL131" s="4"/>
      <c r="CM131" s="4"/>
      <c r="CN131" s="4"/>
    </row>
    <row r="132" spans="90:92">
      <c r="CL132" s="4"/>
      <c r="CM132" s="4"/>
      <c r="CN132" s="4"/>
    </row>
    <row r="133" spans="90:92">
      <c r="CL133" s="4"/>
      <c r="CM133" s="4"/>
      <c r="CN133" s="4"/>
    </row>
    <row r="134" spans="90:92">
      <c r="CL134" s="4"/>
      <c r="CM134" s="4"/>
      <c r="CN134" s="4"/>
    </row>
    <row r="135" spans="90:92">
      <c r="CL135" s="4"/>
      <c r="CM135" s="4"/>
      <c r="CN135" s="4"/>
    </row>
    <row r="136" spans="90:92">
      <c r="CL136" s="4"/>
      <c r="CM136" s="4"/>
      <c r="CN136" s="4"/>
    </row>
    <row r="137" spans="90:92">
      <c r="CL137" s="4"/>
      <c r="CM137" s="4"/>
      <c r="CN137" s="4"/>
    </row>
    <row r="138" spans="90:92">
      <c r="CL138" s="4"/>
      <c r="CM138" s="4"/>
      <c r="CN138" s="4"/>
    </row>
    <row r="139" spans="90:92">
      <c r="CL139" s="4"/>
      <c r="CM139" s="4"/>
      <c r="CN139" s="4"/>
    </row>
    <row r="140" spans="90:92">
      <c r="CL140" s="4"/>
      <c r="CM140" s="4"/>
      <c r="CN140" s="4"/>
    </row>
    <row r="141" spans="90:92">
      <c r="CL141" s="4"/>
      <c r="CM141" s="4"/>
      <c r="CN141" s="4"/>
    </row>
    <row r="142" spans="90:92">
      <c r="CL142" s="4"/>
      <c r="CM142" s="4"/>
      <c r="CN142" s="4"/>
    </row>
    <row r="143" spans="90:92">
      <c r="CL143" s="4"/>
      <c r="CM143" s="4"/>
      <c r="CN143" s="4"/>
    </row>
    <row r="144" spans="90:92">
      <c r="CL144" s="4"/>
      <c r="CM144" s="4"/>
      <c r="CN144" s="4"/>
    </row>
    <row r="145" spans="90:92">
      <c r="CL145" s="4"/>
      <c r="CM145" s="4"/>
      <c r="CN145" s="4"/>
    </row>
    <row r="146" spans="90:92">
      <c r="CL146" s="4"/>
      <c r="CM146" s="4"/>
      <c r="CN146" s="4"/>
    </row>
    <row r="147" spans="90:92">
      <c r="CL147" s="4"/>
      <c r="CM147" s="4"/>
      <c r="CN147" s="4"/>
    </row>
    <row r="148" spans="90:92">
      <c r="CL148" s="4"/>
      <c r="CM148" s="4"/>
      <c r="CN148" s="4"/>
    </row>
    <row r="149" spans="90:92">
      <c r="CL149" s="4"/>
      <c r="CM149" s="4"/>
      <c r="CN149" s="4"/>
    </row>
    <row r="150" spans="90:92">
      <c r="CL150" s="4"/>
      <c r="CM150" s="4"/>
      <c r="CN150" s="4"/>
    </row>
    <row r="151" spans="90:92">
      <c r="CL151" s="4"/>
      <c r="CM151" s="4"/>
      <c r="CN151" s="4"/>
    </row>
    <row r="152" spans="90:92">
      <c r="CL152" s="4"/>
      <c r="CM152" s="4"/>
      <c r="CN152" s="4"/>
    </row>
    <row r="153" spans="90:92">
      <c r="CL153" s="4"/>
      <c r="CM153" s="4"/>
      <c r="CN153" s="4"/>
    </row>
    <row r="154" spans="90:92">
      <c r="CL154" s="4"/>
      <c r="CM154" s="4"/>
      <c r="CN154" s="4"/>
    </row>
    <row r="155" spans="90:92">
      <c r="CL155" s="4"/>
      <c r="CM155" s="4"/>
      <c r="CN155" s="4"/>
    </row>
    <row r="156" spans="90:92">
      <c r="CL156" s="4"/>
      <c r="CM156" s="4"/>
      <c r="CN156" s="4"/>
    </row>
    <row r="157" spans="90:92">
      <c r="CL157" s="4"/>
      <c r="CM157" s="4"/>
      <c r="CN157" s="4"/>
    </row>
    <row r="158" spans="90:92">
      <c r="CL158" s="4"/>
      <c r="CM158" s="4"/>
      <c r="CN158" s="4"/>
    </row>
    <row r="159" spans="90:92">
      <c r="CL159" s="4"/>
      <c r="CM159" s="4"/>
      <c r="CN159" s="4"/>
    </row>
    <row r="160" spans="90:92">
      <c r="CL160" s="4"/>
      <c r="CM160" s="4"/>
      <c r="CN160" s="4"/>
    </row>
    <row r="161" spans="90:92">
      <c r="CL161" s="4"/>
      <c r="CM161" s="4"/>
      <c r="CN161" s="4"/>
    </row>
    <row r="162" spans="90:92">
      <c r="CL162" s="4"/>
      <c r="CM162" s="4"/>
      <c r="CN162" s="4"/>
    </row>
    <row r="163" spans="90:92">
      <c r="CL163" s="4"/>
      <c r="CM163" s="4"/>
      <c r="CN163" s="4"/>
    </row>
    <row r="164" spans="90:92">
      <c r="CL164" s="4"/>
      <c r="CM164" s="4"/>
      <c r="CN164" s="4"/>
    </row>
    <row r="165" spans="90:92">
      <c r="CL165" s="4"/>
      <c r="CM165" s="4"/>
      <c r="CN165" s="4"/>
    </row>
    <row r="166" spans="90:92">
      <c r="CL166" s="4"/>
      <c r="CM166" s="4"/>
      <c r="CN166" s="4"/>
    </row>
    <row r="167" spans="90:92">
      <c r="CL167" s="4"/>
      <c r="CM167" s="4"/>
      <c r="CN167" s="4"/>
    </row>
    <row r="168" spans="90:92">
      <c r="CL168" s="4"/>
      <c r="CM168" s="4"/>
      <c r="CN168" s="4"/>
    </row>
    <row r="169" spans="90:92">
      <c r="CL169" s="4"/>
      <c r="CM169" s="4"/>
      <c r="CN169" s="4"/>
    </row>
    <row r="170" spans="90:92">
      <c r="CL170" s="4"/>
      <c r="CM170" s="4"/>
      <c r="CN170" s="4"/>
    </row>
    <row r="171" spans="90:92">
      <c r="CL171" s="4"/>
      <c r="CM171" s="4"/>
      <c r="CN171" s="4"/>
    </row>
    <row r="172" spans="90:92">
      <c r="CL172" s="4"/>
      <c r="CM172" s="4"/>
      <c r="CN172" s="4"/>
    </row>
    <row r="173" spans="90:92">
      <c r="CL173" s="4"/>
      <c r="CM173" s="4"/>
      <c r="CN173" s="4"/>
    </row>
    <row r="174" spans="90:92">
      <c r="CL174" s="4"/>
      <c r="CM174" s="4"/>
      <c r="CN174" s="4"/>
    </row>
    <row r="175" spans="90:92">
      <c r="CL175" s="4"/>
      <c r="CM175" s="4"/>
      <c r="CN175" s="4"/>
    </row>
    <row r="176" spans="90:92">
      <c r="CL176" s="4"/>
      <c r="CM176" s="4"/>
      <c r="CN176" s="4"/>
    </row>
    <row r="177" spans="90:92">
      <c r="CL177" s="4"/>
      <c r="CM177" s="4"/>
      <c r="CN177" s="4"/>
    </row>
    <row r="178" spans="90:92">
      <c r="CL178" s="4"/>
      <c r="CM178" s="4"/>
      <c r="CN178" s="4"/>
    </row>
    <row r="179" spans="90:92">
      <c r="CL179" s="4"/>
      <c r="CM179" s="4"/>
      <c r="CN179" s="4"/>
    </row>
    <row r="180" spans="90:92">
      <c r="CL180" s="4"/>
      <c r="CM180" s="4"/>
      <c r="CN180" s="4"/>
    </row>
    <row r="181" spans="90:92">
      <c r="CL181" s="4"/>
      <c r="CM181" s="4"/>
      <c r="CN181" s="4"/>
    </row>
    <row r="182" spans="90:92">
      <c r="CL182" s="4"/>
      <c r="CM182" s="4"/>
      <c r="CN182" s="4"/>
    </row>
    <row r="183" spans="90:92">
      <c r="CL183" s="4"/>
      <c r="CM183" s="4"/>
      <c r="CN183" s="4"/>
    </row>
    <row r="184" spans="90:92">
      <c r="CL184" s="4"/>
      <c r="CM184" s="4"/>
      <c r="CN184" s="4"/>
    </row>
    <row r="185" spans="90:92">
      <c r="CL185" s="4"/>
      <c r="CM185" s="4"/>
      <c r="CN185" s="4"/>
    </row>
    <row r="186" spans="90:92">
      <c r="CL186" s="4"/>
      <c r="CM186" s="4"/>
      <c r="CN186" s="4"/>
    </row>
    <row r="187" spans="90:92">
      <c r="CL187" s="4"/>
      <c r="CM187" s="4"/>
      <c r="CN187" s="4"/>
    </row>
    <row r="188" spans="90:92">
      <c r="CL188" s="4"/>
      <c r="CM188" s="4"/>
      <c r="CN188" s="4"/>
    </row>
    <row r="189" spans="90:92">
      <c r="CL189" s="4"/>
      <c r="CM189" s="4"/>
      <c r="CN189" s="4"/>
    </row>
    <row r="190" spans="90:92">
      <c r="CL190" s="4"/>
      <c r="CM190" s="4"/>
      <c r="CN190" s="4"/>
    </row>
    <row r="191" spans="90:92">
      <c r="CL191" s="4"/>
      <c r="CM191" s="4"/>
      <c r="CN191" s="4"/>
    </row>
    <row r="192" spans="90:92">
      <c r="CL192" s="4"/>
      <c r="CM192" s="4"/>
      <c r="CN192" s="4"/>
    </row>
    <row r="193" spans="90:92">
      <c r="CL193" s="4"/>
      <c r="CM193" s="4"/>
      <c r="CN193" s="4"/>
    </row>
    <row r="194" spans="90:92">
      <c r="CL194" s="4"/>
      <c r="CM194" s="4"/>
      <c r="CN194" s="4"/>
    </row>
    <row r="195" spans="90:92">
      <c r="CL195" s="4"/>
      <c r="CM195" s="4"/>
      <c r="CN195" s="4"/>
    </row>
    <row r="196" spans="90:92">
      <c r="CL196" s="4"/>
      <c r="CM196" s="4"/>
      <c r="CN196" s="4"/>
    </row>
    <row r="197" spans="90:92">
      <c r="CL197" s="4"/>
      <c r="CM197" s="4"/>
      <c r="CN197" s="4"/>
    </row>
    <row r="198" spans="90:92">
      <c r="CL198" s="4"/>
      <c r="CM198" s="4"/>
      <c r="CN198" s="4"/>
    </row>
    <row r="199" spans="90:92">
      <c r="CL199" s="4"/>
      <c r="CM199" s="4"/>
      <c r="CN199" s="4"/>
    </row>
    <row r="200" spans="90:92">
      <c r="CL200" s="4"/>
      <c r="CM200" s="4"/>
      <c r="CN200" s="4"/>
    </row>
    <row r="201" spans="90:92">
      <c r="CL201" s="4"/>
      <c r="CM201" s="4"/>
      <c r="CN201" s="4"/>
    </row>
    <row r="202" spans="90:92">
      <c r="CL202" s="4"/>
      <c r="CM202" s="4"/>
      <c r="CN202" s="4"/>
    </row>
    <row r="203" spans="90:92">
      <c r="CL203" s="4"/>
      <c r="CM203" s="4"/>
      <c r="CN203" s="4"/>
    </row>
    <row r="204" spans="90:92">
      <c r="CL204" s="4"/>
      <c r="CM204" s="4"/>
      <c r="CN204" s="4"/>
    </row>
    <row r="205" spans="90:92">
      <c r="CL205" s="4"/>
      <c r="CM205" s="4"/>
      <c r="CN205" s="4"/>
    </row>
    <row r="206" spans="90:92">
      <c r="CL206" s="4"/>
      <c r="CM206" s="4"/>
      <c r="CN206" s="4"/>
    </row>
    <row r="207" spans="90:92">
      <c r="CL207" s="4"/>
      <c r="CM207" s="4"/>
      <c r="CN207" s="4"/>
    </row>
    <row r="208" spans="90:92">
      <c r="CL208" s="4"/>
      <c r="CM208" s="4"/>
      <c r="CN208" s="4"/>
    </row>
    <row r="209" spans="90:92">
      <c r="CL209" s="4"/>
      <c r="CM209" s="4"/>
      <c r="CN209" s="4"/>
    </row>
    <row r="210" spans="90:92">
      <c r="CL210" s="4"/>
      <c r="CM210" s="4"/>
      <c r="CN210" s="4"/>
    </row>
    <row r="211" spans="90:92">
      <c r="CL211" s="4"/>
      <c r="CM211" s="4"/>
      <c r="CN211" s="4"/>
    </row>
    <row r="212" spans="90:92">
      <c r="CL212" s="4"/>
      <c r="CM212" s="4"/>
      <c r="CN212" s="4"/>
    </row>
    <row r="213" spans="90:92">
      <c r="CL213" s="4"/>
      <c r="CM213" s="4"/>
      <c r="CN213" s="4"/>
    </row>
    <row r="214" spans="90:92">
      <c r="CL214" s="4"/>
      <c r="CM214" s="4"/>
      <c r="CN214" s="4"/>
    </row>
    <row r="215" spans="90:92">
      <c r="CL215" s="4"/>
      <c r="CM215" s="4"/>
      <c r="CN215" s="4"/>
    </row>
    <row r="216" spans="90:92">
      <c r="CL216" s="4"/>
      <c r="CM216" s="4"/>
      <c r="CN216" s="4"/>
    </row>
    <row r="217" spans="90:92">
      <c r="CL217" s="4"/>
      <c r="CM217" s="4"/>
      <c r="CN217" s="4"/>
    </row>
    <row r="218" spans="90:92">
      <c r="CL218" s="4"/>
      <c r="CM218" s="4"/>
      <c r="CN218" s="4"/>
    </row>
    <row r="219" spans="90:92">
      <c r="CL219" s="4"/>
      <c r="CM219" s="4"/>
      <c r="CN219" s="4"/>
    </row>
    <row r="220" spans="90:92">
      <c r="CL220" s="4"/>
      <c r="CM220" s="4"/>
      <c r="CN220" s="4"/>
    </row>
    <row r="221" spans="90:92">
      <c r="CL221" s="4"/>
      <c r="CM221" s="4"/>
      <c r="CN221" s="4"/>
    </row>
    <row r="222" spans="90:92">
      <c r="CL222" s="4"/>
      <c r="CM222" s="4"/>
      <c r="CN222" s="4"/>
    </row>
    <row r="223" spans="90:92">
      <c r="CL223" s="4"/>
      <c r="CM223" s="4"/>
      <c r="CN223" s="4"/>
    </row>
    <row r="224" spans="90:92">
      <c r="CL224" s="4"/>
      <c r="CM224" s="4"/>
      <c r="CN224" s="4"/>
    </row>
    <row r="225" spans="90:92">
      <c r="CL225" s="4"/>
      <c r="CM225" s="4"/>
      <c r="CN225" s="4"/>
    </row>
    <row r="226" spans="90:92">
      <c r="CL226" s="4"/>
      <c r="CM226" s="4"/>
      <c r="CN226" s="4"/>
    </row>
    <row r="227" spans="90:92">
      <c r="CL227" s="4"/>
      <c r="CM227" s="4"/>
      <c r="CN227" s="4"/>
    </row>
    <row r="228" spans="90:92">
      <c r="CL228" s="4"/>
      <c r="CM228" s="4"/>
      <c r="CN228" s="4"/>
    </row>
    <row r="229" spans="90:92">
      <c r="CL229" s="4"/>
      <c r="CM229" s="4"/>
      <c r="CN229" s="4"/>
    </row>
    <row r="230" spans="90:92">
      <c r="CL230" s="4"/>
      <c r="CM230" s="4"/>
      <c r="CN230" s="4"/>
    </row>
    <row r="231" spans="90:92">
      <c r="CL231" s="4"/>
      <c r="CM231" s="4"/>
      <c r="CN231" s="4"/>
    </row>
    <row r="232" spans="90:92">
      <c r="CL232" s="4"/>
      <c r="CM232" s="4"/>
      <c r="CN232" s="4"/>
    </row>
    <row r="233" spans="90:92">
      <c r="CL233" s="4"/>
      <c r="CM233" s="4"/>
      <c r="CN233" s="4"/>
    </row>
    <row r="234" spans="90:92">
      <c r="CL234" s="4"/>
      <c r="CM234" s="4"/>
      <c r="CN234" s="4"/>
    </row>
    <row r="235" spans="90:92">
      <c r="CL235" s="4"/>
      <c r="CM235" s="4"/>
      <c r="CN235" s="4"/>
    </row>
    <row r="236" spans="90:92">
      <c r="CL236" s="4"/>
      <c r="CM236" s="4"/>
      <c r="CN236" s="4"/>
    </row>
    <row r="237" spans="90:92">
      <c r="CL237" s="4"/>
      <c r="CM237" s="4"/>
      <c r="CN237" s="4"/>
    </row>
    <row r="238" spans="90:92">
      <c r="CL238" s="4"/>
      <c r="CM238" s="4"/>
      <c r="CN238" s="4"/>
    </row>
    <row r="239" spans="90:92">
      <c r="CL239" s="4"/>
      <c r="CM239" s="4"/>
      <c r="CN239" s="4"/>
    </row>
    <row r="240" spans="90:92">
      <c r="CL240" s="4"/>
      <c r="CM240" s="4"/>
      <c r="CN240" s="4"/>
    </row>
    <row r="241" spans="90:92">
      <c r="CL241" s="4"/>
      <c r="CM241" s="4"/>
      <c r="CN241" s="4"/>
    </row>
    <row r="242" spans="90:92">
      <c r="CL242" s="4"/>
      <c r="CM242" s="4"/>
      <c r="CN242" s="4"/>
    </row>
    <row r="243" spans="90:92">
      <c r="CL243" s="4"/>
      <c r="CM243" s="4"/>
      <c r="CN243" s="4"/>
    </row>
    <row r="244" spans="90:92">
      <c r="CL244" s="4"/>
      <c r="CM244" s="4"/>
      <c r="CN244" s="4"/>
    </row>
    <row r="245" spans="90:92">
      <c r="CL245" s="4"/>
      <c r="CM245" s="4"/>
      <c r="CN245" s="4"/>
    </row>
    <row r="246" spans="90:92">
      <c r="CL246" s="4"/>
      <c r="CM246" s="4"/>
      <c r="CN246" s="4"/>
    </row>
    <row r="247" spans="90:92">
      <c r="CL247" s="4"/>
      <c r="CM247" s="4"/>
      <c r="CN247" s="4"/>
    </row>
    <row r="248" spans="90:92">
      <c r="CL248" s="4"/>
      <c r="CM248" s="4"/>
      <c r="CN248" s="4"/>
    </row>
    <row r="249" spans="90:92">
      <c r="CL249" s="4"/>
      <c r="CM249" s="4"/>
      <c r="CN249" s="4"/>
    </row>
    <row r="250" spans="90:92">
      <c r="CL250" s="4"/>
      <c r="CM250" s="4"/>
      <c r="CN250" s="4"/>
    </row>
    <row r="251" spans="90:92">
      <c r="CL251" s="4"/>
      <c r="CM251" s="4"/>
      <c r="CN251" s="4"/>
    </row>
    <row r="252" spans="90:92">
      <c r="CL252" s="4"/>
      <c r="CM252" s="4"/>
      <c r="CN252" s="4"/>
    </row>
    <row r="253" spans="90:92">
      <c r="CL253" s="4"/>
      <c r="CM253" s="4"/>
      <c r="CN253" s="4"/>
    </row>
    <row r="254" spans="90:92">
      <c r="CL254" s="4"/>
      <c r="CM254" s="4"/>
      <c r="CN254" s="4"/>
    </row>
    <row r="255" spans="90:92">
      <c r="CL255" s="4"/>
      <c r="CM255" s="4"/>
      <c r="CN255" s="4"/>
    </row>
    <row r="256" spans="90:92">
      <c r="CL256" s="4"/>
      <c r="CM256" s="4"/>
      <c r="CN256" s="4"/>
    </row>
    <row r="257" spans="90:92">
      <c r="CL257" s="4"/>
      <c r="CM257" s="4"/>
      <c r="CN257" s="4"/>
    </row>
    <row r="258" spans="90:92">
      <c r="CL258" s="4"/>
      <c r="CM258" s="4"/>
      <c r="CN258" s="4"/>
    </row>
    <row r="259" spans="90:92">
      <c r="CL259" s="4"/>
      <c r="CM259" s="4"/>
      <c r="CN259" s="4"/>
    </row>
    <row r="260" spans="90:92">
      <c r="CL260" s="4"/>
      <c r="CM260" s="4"/>
      <c r="CN260" s="4"/>
    </row>
    <row r="261" spans="90:92">
      <c r="CL261" s="4"/>
      <c r="CM261" s="4"/>
      <c r="CN261" s="4"/>
    </row>
    <row r="262" spans="90:92">
      <c r="CL262" s="4"/>
      <c r="CM262" s="4"/>
      <c r="CN262" s="4"/>
    </row>
    <row r="263" spans="90:92">
      <c r="CL263" s="4"/>
      <c r="CM263" s="4"/>
      <c r="CN263" s="4"/>
    </row>
    <row r="264" spans="90:92">
      <c r="CL264" s="4"/>
      <c r="CM264" s="4"/>
      <c r="CN264" s="4"/>
    </row>
    <row r="265" spans="90:92">
      <c r="CL265" s="4"/>
      <c r="CM265" s="4"/>
      <c r="CN265" s="4"/>
    </row>
    <row r="266" spans="90:92">
      <c r="CL266" s="4"/>
      <c r="CM266" s="4"/>
      <c r="CN266" s="4"/>
    </row>
    <row r="267" spans="90:92">
      <c r="CL267" s="4"/>
      <c r="CM267" s="4"/>
      <c r="CN267" s="4"/>
    </row>
    <row r="268" spans="90:92">
      <c r="CL268" s="4"/>
      <c r="CM268" s="4"/>
      <c r="CN268" s="4"/>
    </row>
    <row r="269" spans="90:92">
      <c r="CL269" s="4"/>
      <c r="CM269" s="4"/>
      <c r="CN269" s="4"/>
    </row>
    <row r="270" spans="90:92">
      <c r="CL270" s="4"/>
      <c r="CM270" s="4"/>
      <c r="CN270" s="4"/>
    </row>
    <row r="271" spans="90:92">
      <c r="CL271" s="4"/>
      <c r="CM271" s="4"/>
      <c r="CN271" s="4"/>
    </row>
    <row r="272" spans="90:92">
      <c r="CL272" s="4"/>
      <c r="CM272" s="4"/>
      <c r="CN272" s="4"/>
    </row>
    <row r="273" spans="90:92">
      <c r="CL273" s="4"/>
      <c r="CM273" s="4"/>
      <c r="CN273" s="4"/>
    </row>
    <row r="274" spans="90:92">
      <c r="CL274" s="4"/>
      <c r="CM274" s="4"/>
      <c r="CN274" s="4"/>
    </row>
    <row r="275" spans="90:92">
      <c r="CL275" s="4"/>
      <c r="CM275" s="4"/>
      <c r="CN275" s="4"/>
    </row>
    <row r="276" spans="90:92">
      <c r="CL276" s="4"/>
      <c r="CM276" s="4"/>
      <c r="CN276" s="4"/>
    </row>
    <row r="277" spans="90:92">
      <c r="CL277" s="4"/>
      <c r="CM277" s="4"/>
      <c r="CN277" s="4"/>
    </row>
    <row r="278" spans="90:92">
      <c r="CL278" s="4"/>
      <c r="CM278" s="4"/>
      <c r="CN278" s="4"/>
    </row>
    <row r="279" spans="90:92">
      <c r="CL279" s="4"/>
      <c r="CM279" s="4"/>
      <c r="CN279" s="4"/>
    </row>
    <row r="280" spans="90:92">
      <c r="CL280" s="4"/>
      <c r="CM280" s="4"/>
      <c r="CN280" s="4"/>
    </row>
    <row r="281" spans="90:92">
      <c r="CL281" s="4"/>
      <c r="CM281" s="4"/>
      <c r="CN281" s="4"/>
    </row>
    <row r="282" spans="90:92">
      <c r="CL282" s="4"/>
      <c r="CM282" s="4"/>
      <c r="CN282" s="4"/>
    </row>
    <row r="283" spans="90:92">
      <c r="CL283" s="4"/>
      <c r="CM283" s="4"/>
      <c r="CN283" s="4"/>
    </row>
    <row r="284" spans="90:92">
      <c r="CL284" s="4"/>
      <c r="CM284" s="4"/>
      <c r="CN284" s="4"/>
    </row>
    <row r="285" spans="90:92">
      <c r="CL285" s="4"/>
      <c r="CM285" s="4"/>
      <c r="CN285" s="4"/>
    </row>
    <row r="286" spans="90:92">
      <c r="CL286" s="4"/>
      <c r="CM286" s="4"/>
      <c r="CN286" s="4"/>
    </row>
    <row r="287" spans="90:92">
      <c r="CL287" s="4"/>
      <c r="CM287" s="4"/>
      <c r="CN287" s="4"/>
    </row>
    <row r="288" spans="90:92">
      <c r="CL288" s="4"/>
      <c r="CM288" s="4"/>
      <c r="CN288" s="4"/>
    </row>
    <row r="289" spans="90:92">
      <c r="CL289" s="4"/>
      <c r="CM289" s="4"/>
      <c r="CN289" s="4"/>
    </row>
    <row r="290" spans="90:92">
      <c r="CL290" s="4"/>
      <c r="CM290" s="4"/>
      <c r="CN290" s="4"/>
    </row>
    <row r="291" spans="90:92">
      <c r="CL291" s="4"/>
      <c r="CM291" s="4"/>
      <c r="CN291" s="4"/>
    </row>
    <row r="292" spans="90:92">
      <c r="CL292" s="4"/>
      <c r="CM292" s="4"/>
      <c r="CN292" s="4"/>
    </row>
    <row r="293" spans="90:92">
      <c r="CL293" s="4"/>
      <c r="CM293" s="4"/>
      <c r="CN293" s="4"/>
    </row>
    <row r="294" spans="90:92">
      <c r="CL294" s="4"/>
      <c r="CM294" s="4"/>
      <c r="CN294" s="4"/>
    </row>
    <row r="295" spans="90:92">
      <c r="CL295" s="4"/>
      <c r="CM295" s="4"/>
      <c r="CN295" s="4"/>
    </row>
    <row r="296" spans="90:92">
      <c r="CL296" s="4"/>
      <c r="CM296" s="4"/>
      <c r="CN296" s="4"/>
    </row>
    <row r="297" spans="90:92">
      <c r="CL297" s="4"/>
      <c r="CM297" s="4"/>
      <c r="CN297" s="4"/>
    </row>
    <row r="298" spans="90:92">
      <c r="CL298" s="4"/>
      <c r="CM298" s="4"/>
      <c r="CN298" s="4"/>
    </row>
    <row r="299" spans="90:92">
      <c r="CL299" s="4"/>
      <c r="CM299" s="4"/>
      <c r="CN299" s="4"/>
    </row>
    <row r="300" spans="90:92">
      <c r="CL300" s="4"/>
      <c r="CM300" s="4"/>
      <c r="CN300" s="4"/>
    </row>
    <row r="301" spans="90:92">
      <c r="CL301" s="4"/>
      <c r="CM301" s="4"/>
      <c r="CN301" s="4"/>
    </row>
    <row r="302" spans="90:92">
      <c r="CL302" s="4"/>
      <c r="CM302" s="4"/>
      <c r="CN302" s="4"/>
    </row>
    <row r="303" spans="90:92">
      <c r="CL303" s="4"/>
      <c r="CM303" s="4"/>
      <c r="CN303" s="4"/>
    </row>
    <row r="304" spans="90:92">
      <c r="CL304" s="4"/>
      <c r="CM304" s="4"/>
      <c r="CN304" s="4"/>
    </row>
    <row r="305" spans="90:92">
      <c r="CL305" s="4"/>
      <c r="CM305" s="4"/>
      <c r="CN305" s="4"/>
    </row>
    <row r="306" spans="90:92">
      <c r="CL306" s="4"/>
      <c r="CM306" s="4"/>
      <c r="CN306" s="4"/>
    </row>
    <row r="307" spans="90:92">
      <c r="CL307" s="4"/>
      <c r="CM307" s="4"/>
      <c r="CN307" s="4"/>
    </row>
    <row r="308" spans="90:92">
      <c r="CL308" s="4"/>
      <c r="CM308" s="4"/>
      <c r="CN308" s="4"/>
    </row>
    <row r="309" spans="90:92">
      <c r="CL309" s="4"/>
      <c r="CM309" s="4"/>
      <c r="CN309" s="4"/>
    </row>
    <row r="310" spans="90:92">
      <c r="CL310" s="4"/>
      <c r="CM310" s="4"/>
      <c r="CN310" s="4"/>
    </row>
    <row r="311" spans="90:92">
      <c r="CL311" s="4"/>
      <c r="CM311" s="4"/>
      <c r="CN311" s="4"/>
    </row>
    <row r="312" spans="90:92">
      <c r="CL312" s="4"/>
      <c r="CM312" s="4"/>
      <c r="CN312" s="4"/>
    </row>
    <row r="313" spans="90:92">
      <c r="CL313" s="4"/>
      <c r="CM313" s="4"/>
      <c r="CN313" s="4"/>
    </row>
    <row r="314" spans="90:92">
      <c r="CL314" s="4"/>
      <c r="CM314" s="4"/>
      <c r="CN314" s="4"/>
    </row>
    <row r="315" spans="90:92">
      <c r="CL315" s="4"/>
      <c r="CM315" s="4"/>
      <c r="CN315" s="4"/>
    </row>
    <row r="316" spans="90:92">
      <c r="CL316" s="4"/>
      <c r="CM316" s="4"/>
      <c r="CN316" s="4"/>
    </row>
    <row r="317" spans="90:92">
      <c r="CL317" s="4"/>
      <c r="CM317" s="4"/>
      <c r="CN317" s="4"/>
    </row>
    <row r="318" spans="90:92">
      <c r="CL318" s="4"/>
      <c r="CM318" s="4"/>
      <c r="CN318" s="4"/>
    </row>
    <row r="319" spans="90:92">
      <c r="CL319" s="4"/>
      <c r="CM319" s="4"/>
      <c r="CN319" s="4"/>
    </row>
    <row r="320" spans="90:92">
      <c r="CL320" s="4"/>
      <c r="CM320" s="4"/>
      <c r="CN320" s="4"/>
    </row>
    <row r="321" spans="90:92">
      <c r="CL321" s="4"/>
      <c r="CM321" s="4"/>
      <c r="CN321" s="4"/>
    </row>
    <row r="322" spans="90:92">
      <c r="CL322" s="4"/>
      <c r="CM322" s="4"/>
      <c r="CN322" s="4"/>
    </row>
    <row r="323" spans="90:92">
      <c r="CL323" s="4"/>
      <c r="CM323" s="4"/>
      <c r="CN323" s="4"/>
    </row>
    <row r="324" spans="90:92">
      <c r="CL324" s="4"/>
      <c r="CM324" s="4"/>
      <c r="CN324" s="4"/>
    </row>
    <row r="325" spans="90:92">
      <c r="CL325" s="4"/>
      <c r="CM325" s="4"/>
      <c r="CN325" s="4"/>
    </row>
    <row r="326" spans="90:92">
      <c r="CL326" s="4"/>
      <c r="CM326" s="4"/>
      <c r="CN326" s="4"/>
    </row>
    <row r="327" spans="90:92">
      <c r="CL327" s="4"/>
      <c r="CM327" s="4"/>
      <c r="CN327" s="4"/>
    </row>
    <row r="328" spans="90:92">
      <c r="CL328" s="4"/>
      <c r="CM328" s="4"/>
      <c r="CN328" s="4"/>
    </row>
    <row r="329" spans="90:92">
      <c r="CL329" s="4"/>
      <c r="CM329" s="4"/>
      <c r="CN329" s="4"/>
    </row>
    <row r="330" spans="90:92">
      <c r="CL330" s="4"/>
      <c r="CM330" s="4"/>
      <c r="CN330" s="4"/>
    </row>
    <row r="331" spans="90:92">
      <c r="CL331" s="4"/>
      <c r="CM331" s="4"/>
      <c r="CN331" s="4"/>
    </row>
    <row r="332" spans="90:92">
      <c r="CL332" s="4"/>
      <c r="CM332" s="4"/>
      <c r="CN332" s="4"/>
    </row>
    <row r="333" spans="90:92">
      <c r="CL333" s="4"/>
      <c r="CM333" s="4"/>
      <c r="CN333" s="4"/>
    </row>
    <row r="334" spans="90:92">
      <c r="CL334" s="4"/>
      <c r="CM334" s="4"/>
      <c r="CN334" s="4"/>
    </row>
    <row r="335" spans="90:92">
      <c r="CL335" s="4"/>
      <c r="CM335" s="4"/>
      <c r="CN335" s="4"/>
    </row>
    <row r="336" spans="90:92">
      <c r="CL336" s="4"/>
      <c r="CM336" s="4"/>
      <c r="CN336" s="4"/>
    </row>
    <row r="337" spans="90:92">
      <c r="CL337" s="4"/>
      <c r="CM337" s="4"/>
      <c r="CN337" s="4"/>
    </row>
    <row r="338" spans="90:92">
      <c r="CL338" s="4"/>
      <c r="CM338" s="4"/>
      <c r="CN338" s="4"/>
    </row>
    <row r="339" spans="90:92">
      <c r="CL339" s="4"/>
      <c r="CM339" s="4"/>
      <c r="CN339" s="4"/>
    </row>
    <row r="340" spans="90:92">
      <c r="CL340" s="4"/>
      <c r="CM340" s="4"/>
      <c r="CN340" s="4"/>
    </row>
    <row r="341" spans="90:92">
      <c r="CL341" s="4"/>
      <c r="CM341" s="4"/>
      <c r="CN341" s="4"/>
    </row>
    <row r="342" spans="90:92">
      <c r="CL342" s="4"/>
      <c r="CM342" s="4"/>
      <c r="CN342" s="4"/>
    </row>
    <row r="343" spans="90:92">
      <c r="CL343" s="4"/>
      <c r="CM343" s="4"/>
      <c r="CN343" s="4"/>
    </row>
    <row r="344" spans="90:92">
      <c r="CL344" s="4"/>
      <c r="CM344" s="4"/>
      <c r="CN344" s="4"/>
    </row>
    <row r="345" spans="90:92">
      <c r="CL345" s="4"/>
      <c r="CM345" s="4"/>
      <c r="CN345" s="4"/>
    </row>
    <row r="346" spans="90:92">
      <c r="CL346" s="4"/>
      <c r="CM346" s="4"/>
      <c r="CN346" s="4"/>
    </row>
    <row r="347" spans="90:92">
      <c r="CL347" s="4"/>
      <c r="CM347" s="4"/>
      <c r="CN347" s="4"/>
    </row>
    <row r="348" spans="90:92">
      <c r="CL348" s="4"/>
      <c r="CM348" s="4"/>
      <c r="CN348" s="4"/>
    </row>
    <row r="349" spans="90:92">
      <c r="CL349" s="4"/>
      <c r="CM349" s="4"/>
      <c r="CN349" s="4"/>
    </row>
    <row r="350" spans="90:92">
      <c r="CL350" s="4"/>
      <c r="CM350" s="4"/>
      <c r="CN350" s="4"/>
    </row>
    <row r="351" spans="90:92">
      <c r="CL351" s="4"/>
      <c r="CM351" s="4"/>
      <c r="CN351" s="4"/>
    </row>
    <row r="352" spans="90:92">
      <c r="CL352" s="4"/>
      <c r="CM352" s="4"/>
      <c r="CN352" s="4"/>
    </row>
    <row r="353" spans="90:92">
      <c r="CL353" s="4"/>
      <c r="CM353" s="4"/>
      <c r="CN353" s="4"/>
    </row>
    <row r="354" spans="90:92">
      <c r="CL354" s="4"/>
      <c r="CM354" s="4"/>
      <c r="CN354" s="4"/>
    </row>
    <row r="355" spans="90:92">
      <c r="CL355" s="4"/>
      <c r="CM355" s="4"/>
      <c r="CN355" s="4"/>
    </row>
    <row r="356" spans="90:92">
      <c r="CL356" s="4"/>
      <c r="CM356" s="4"/>
      <c r="CN356" s="4"/>
    </row>
    <row r="357" spans="90:92">
      <c r="CL357" s="4"/>
      <c r="CM357" s="4"/>
      <c r="CN357" s="4"/>
    </row>
    <row r="358" spans="90:92">
      <c r="CL358" s="4"/>
      <c r="CM358" s="4"/>
      <c r="CN358" s="4"/>
    </row>
    <row r="359" spans="90:92">
      <c r="CL359" s="4"/>
      <c r="CM359" s="4"/>
      <c r="CN359" s="4"/>
    </row>
    <row r="360" spans="90:92">
      <c r="CL360" s="4"/>
      <c r="CM360" s="4"/>
      <c r="CN360" s="4"/>
    </row>
    <row r="361" spans="90:92">
      <c r="CL361" s="4"/>
      <c r="CM361" s="4"/>
      <c r="CN361" s="4"/>
    </row>
    <row r="362" spans="90:92">
      <c r="CL362" s="4"/>
      <c r="CM362" s="4"/>
      <c r="CN362" s="4"/>
    </row>
    <row r="363" spans="90:92">
      <c r="CL363" s="4"/>
      <c r="CM363" s="4"/>
      <c r="CN363" s="4"/>
    </row>
    <row r="364" spans="90:92">
      <c r="CL364" s="4"/>
      <c r="CM364" s="4"/>
      <c r="CN364" s="4"/>
    </row>
    <row r="365" spans="90:92">
      <c r="CL365" s="4"/>
      <c r="CM365" s="4"/>
      <c r="CN365" s="4"/>
    </row>
    <row r="366" spans="90:92">
      <c r="CL366" s="4"/>
      <c r="CM366" s="4"/>
      <c r="CN366" s="4"/>
    </row>
    <row r="367" spans="90:92">
      <c r="CL367" s="4"/>
      <c r="CM367" s="4"/>
      <c r="CN367" s="4"/>
    </row>
    <row r="368" spans="90:92">
      <c r="CL368" s="4"/>
      <c r="CM368" s="4"/>
      <c r="CN368" s="4"/>
    </row>
    <row r="369" spans="90:92">
      <c r="CL369" s="4"/>
      <c r="CM369" s="4"/>
      <c r="CN369" s="4"/>
    </row>
    <row r="370" spans="90:92">
      <c r="CL370" s="4"/>
      <c r="CM370" s="4"/>
      <c r="CN370" s="4"/>
    </row>
    <row r="371" spans="90:92">
      <c r="CL371" s="4"/>
      <c r="CM371" s="4"/>
      <c r="CN371" s="4"/>
    </row>
    <row r="372" spans="90:92">
      <c r="CL372" s="4"/>
      <c r="CM372" s="4"/>
      <c r="CN372" s="4"/>
    </row>
    <row r="373" spans="90:92">
      <c r="CL373" s="4"/>
      <c r="CM373" s="4"/>
      <c r="CN373" s="4"/>
    </row>
    <row r="374" spans="90:92">
      <c r="CL374" s="4"/>
      <c r="CM374" s="4"/>
      <c r="CN374" s="4"/>
    </row>
    <row r="375" spans="90:92">
      <c r="CL375" s="4"/>
      <c r="CM375" s="4"/>
      <c r="CN375" s="4"/>
    </row>
    <row r="376" spans="90:92">
      <c r="CL376" s="4"/>
      <c r="CM376" s="4"/>
      <c r="CN376" s="4"/>
    </row>
    <row r="377" spans="90:92">
      <c r="CL377" s="4"/>
      <c r="CM377" s="4"/>
      <c r="CN377" s="4"/>
    </row>
    <row r="378" spans="90:92">
      <c r="CL378" s="4"/>
      <c r="CM378" s="4"/>
      <c r="CN378" s="4"/>
    </row>
    <row r="379" spans="90:92">
      <c r="CL379" s="4"/>
      <c r="CM379" s="4"/>
      <c r="CN379" s="4"/>
    </row>
    <row r="380" spans="90:92">
      <c r="CL380" s="4"/>
      <c r="CM380" s="4"/>
      <c r="CN380" s="4"/>
    </row>
    <row r="381" spans="90:92">
      <c r="CL381" s="4"/>
      <c r="CM381" s="4"/>
      <c r="CN381" s="4"/>
    </row>
    <row r="382" spans="90:92">
      <c r="CL382" s="4"/>
      <c r="CM382" s="4"/>
      <c r="CN382" s="4"/>
    </row>
    <row r="383" spans="90:92">
      <c r="CL383" s="4"/>
      <c r="CM383" s="4"/>
      <c r="CN383" s="4"/>
    </row>
    <row r="384" spans="90:92">
      <c r="CL384" s="4"/>
      <c r="CM384" s="4"/>
      <c r="CN384" s="4"/>
    </row>
    <row r="385" spans="90:92">
      <c r="CL385" s="4"/>
      <c r="CM385" s="4"/>
      <c r="CN385" s="4"/>
    </row>
    <row r="386" spans="90:92">
      <c r="CL386" s="4"/>
      <c r="CM386" s="4"/>
      <c r="CN386" s="4"/>
    </row>
    <row r="387" spans="90:92">
      <c r="CL387" s="4"/>
      <c r="CM387" s="4"/>
      <c r="CN387" s="4"/>
    </row>
    <row r="388" spans="90:92">
      <c r="CL388" s="4"/>
      <c r="CM388" s="4"/>
      <c r="CN388" s="4"/>
    </row>
    <row r="389" spans="90:92">
      <c r="CL389" s="4"/>
      <c r="CM389" s="4"/>
      <c r="CN389" s="4"/>
    </row>
    <row r="390" spans="90:92">
      <c r="CL390" s="4"/>
      <c r="CM390" s="4"/>
      <c r="CN390" s="4"/>
    </row>
    <row r="391" spans="90:92">
      <c r="CL391" s="4"/>
      <c r="CM391" s="4"/>
      <c r="CN391" s="4"/>
    </row>
    <row r="392" spans="90:92">
      <c r="CL392" s="4"/>
      <c r="CM392" s="4"/>
      <c r="CN392" s="4"/>
    </row>
    <row r="393" spans="90:92">
      <c r="CL393" s="4"/>
      <c r="CM393" s="4"/>
      <c r="CN393" s="4"/>
    </row>
    <row r="394" spans="90:92">
      <c r="CL394" s="4"/>
      <c r="CM394" s="4"/>
      <c r="CN394" s="4"/>
    </row>
    <row r="395" spans="90:92">
      <c r="CL395" s="4"/>
      <c r="CM395" s="4"/>
      <c r="CN395" s="4"/>
    </row>
    <row r="396" spans="90:92">
      <c r="CL396" s="4"/>
      <c r="CM396" s="4"/>
      <c r="CN396" s="4"/>
    </row>
    <row r="397" spans="90:92">
      <c r="CL397" s="4"/>
      <c r="CM397" s="4"/>
      <c r="CN397" s="4"/>
    </row>
    <row r="398" spans="90:92">
      <c r="CL398" s="4"/>
      <c r="CM398" s="4"/>
      <c r="CN398" s="4"/>
    </row>
    <row r="399" spans="90:92">
      <c r="CL399" s="4"/>
      <c r="CM399" s="4"/>
      <c r="CN399" s="4"/>
    </row>
    <row r="400" spans="90:92">
      <c r="CL400" s="4"/>
      <c r="CM400" s="4"/>
      <c r="CN400" s="4"/>
    </row>
    <row r="401" spans="90:92">
      <c r="CL401" s="4"/>
      <c r="CM401" s="4"/>
      <c r="CN401" s="4"/>
    </row>
    <row r="402" spans="90:92">
      <c r="CL402" s="4"/>
      <c r="CM402" s="4"/>
      <c r="CN402" s="4"/>
    </row>
    <row r="403" spans="90:92">
      <c r="CL403" s="4"/>
      <c r="CM403" s="4"/>
      <c r="CN403" s="4"/>
    </row>
    <row r="404" spans="90:92">
      <c r="CL404" s="4"/>
      <c r="CM404" s="4"/>
      <c r="CN404" s="4"/>
    </row>
    <row r="405" spans="90:92">
      <c r="CL405" s="4"/>
      <c r="CM405" s="4"/>
      <c r="CN405" s="4"/>
    </row>
    <row r="406" spans="90:92">
      <c r="CL406" s="4"/>
      <c r="CM406" s="4"/>
      <c r="CN406" s="4"/>
    </row>
    <row r="407" spans="90:92">
      <c r="CL407" s="4"/>
      <c r="CM407" s="4"/>
      <c r="CN407" s="4"/>
    </row>
    <row r="408" spans="90:92">
      <c r="CL408" s="4"/>
      <c r="CM408" s="4"/>
      <c r="CN408" s="4"/>
    </row>
    <row r="409" spans="90:92">
      <c r="CL409" s="4"/>
      <c r="CM409" s="4"/>
      <c r="CN409" s="4"/>
    </row>
    <row r="410" spans="90:92">
      <c r="CL410" s="4"/>
      <c r="CM410" s="4"/>
      <c r="CN410" s="4"/>
    </row>
    <row r="411" spans="90:92">
      <c r="CL411" s="4"/>
      <c r="CM411" s="4"/>
      <c r="CN411" s="4"/>
    </row>
    <row r="412" spans="90:92">
      <c r="CL412" s="4"/>
      <c r="CM412" s="4"/>
      <c r="CN412" s="4"/>
    </row>
    <row r="413" spans="90:92">
      <c r="CL413" s="4"/>
      <c r="CM413" s="4"/>
      <c r="CN413" s="4"/>
    </row>
    <row r="414" spans="90:92">
      <c r="CL414" s="4"/>
      <c r="CM414" s="4"/>
      <c r="CN414" s="4"/>
    </row>
    <row r="415" spans="90:92">
      <c r="CL415" s="4"/>
      <c r="CM415" s="4"/>
      <c r="CN415" s="4"/>
    </row>
    <row r="416" spans="90:92">
      <c r="CL416" s="4"/>
      <c r="CM416" s="4"/>
      <c r="CN416" s="4"/>
    </row>
    <row r="417" spans="90:92">
      <c r="CL417" s="4"/>
      <c r="CM417" s="4"/>
      <c r="CN417" s="4"/>
    </row>
    <row r="418" spans="90:92">
      <c r="CL418" s="4"/>
      <c r="CM418" s="4"/>
      <c r="CN418" s="4"/>
    </row>
    <row r="419" spans="90:92">
      <c r="CL419" s="4"/>
      <c r="CM419" s="4"/>
      <c r="CN419" s="4"/>
    </row>
    <row r="420" spans="90:92">
      <c r="CL420" s="4"/>
      <c r="CM420" s="4"/>
      <c r="CN420" s="4"/>
    </row>
    <row r="421" spans="90:92">
      <c r="CL421" s="4"/>
      <c r="CM421" s="4"/>
      <c r="CN421" s="4"/>
    </row>
    <row r="422" spans="90:92">
      <c r="CL422" s="4"/>
      <c r="CM422" s="4"/>
      <c r="CN422" s="4"/>
    </row>
    <row r="423" spans="90:92">
      <c r="CL423" s="4"/>
      <c r="CM423" s="4"/>
      <c r="CN423" s="4"/>
    </row>
    <row r="424" spans="90:92">
      <c r="CL424" s="4"/>
      <c r="CM424" s="4"/>
      <c r="CN424" s="4"/>
    </row>
    <row r="425" spans="90:92">
      <c r="CL425" s="4"/>
      <c r="CM425" s="4"/>
      <c r="CN425" s="4"/>
    </row>
    <row r="426" spans="90:92">
      <c r="CL426" s="4"/>
      <c r="CM426" s="4"/>
      <c r="CN426" s="4"/>
    </row>
    <row r="427" spans="90:92">
      <c r="CL427" s="4"/>
      <c r="CM427" s="4"/>
      <c r="CN427" s="4"/>
    </row>
    <row r="428" spans="90:92">
      <c r="CL428" s="4"/>
      <c r="CM428" s="4"/>
      <c r="CN428" s="4"/>
    </row>
    <row r="429" spans="90:92">
      <c r="CL429" s="4"/>
      <c r="CM429" s="4"/>
      <c r="CN429" s="4"/>
    </row>
    <row r="430" spans="90:92">
      <c r="CL430" s="4"/>
      <c r="CM430" s="4"/>
      <c r="CN430" s="4"/>
    </row>
    <row r="431" spans="90:92">
      <c r="CL431" s="4"/>
      <c r="CM431" s="4"/>
      <c r="CN431" s="4"/>
    </row>
    <row r="432" spans="90:92">
      <c r="CL432" s="4"/>
      <c r="CM432" s="4"/>
      <c r="CN432" s="4"/>
    </row>
    <row r="433" spans="90:92">
      <c r="CL433" s="4"/>
      <c r="CM433" s="4"/>
      <c r="CN433" s="4"/>
    </row>
    <row r="434" spans="90:92">
      <c r="CL434" s="4"/>
      <c r="CM434" s="4"/>
      <c r="CN434" s="4"/>
    </row>
    <row r="435" spans="90:92">
      <c r="CL435" s="4"/>
      <c r="CM435" s="4"/>
      <c r="CN435" s="4"/>
    </row>
    <row r="436" spans="90:92">
      <c r="CL436" s="4"/>
      <c r="CM436" s="4"/>
      <c r="CN436" s="4"/>
    </row>
    <row r="437" spans="90:92">
      <c r="CL437" s="4"/>
      <c r="CM437" s="4"/>
      <c r="CN437" s="4"/>
    </row>
    <row r="438" spans="90:92">
      <c r="CL438" s="4"/>
      <c r="CM438" s="4"/>
      <c r="CN438" s="4"/>
    </row>
    <row r="439" spans="90:92">
      <c r="CL439" s="4"/>
      <c r="CM439" s="4"/>
      <c r="CN439" s="4"/>
    </row>
    <row r="440" spans="90:92">
      <c r="CL440" s="4"/>
      <c r="CM440" s="4"/>
      <c r="CN440" s="4"/>
    </row>
    <row r="441" spans="90:92">
      <c r="CL441" s="4"/>
      <c r="CM441" s="4"/>
      <c r="CN441" s="4"/>
    </row>
    <row r="442" spans="90:92">
      <c r="CL442" s="4"/>
      <c r="CM442" s="4"/>
      <c r="CN442" s="4"/>
    </row>
    <row r="443" spans="90:92">
      <c r="CL443" s="4"/>
      <c r="CM443" s="4"/>
      <c r="CN443" s="4"/>
    </row>
    <row r="444" spans="90:92">
      <c r="CL444" s="4"/>
      <c r="CM444" s="4"/>
      <c r="CN444" s="4"/>
    </row>
    <row r="445" spans="90:92">
      <c r="CL445" s="4"/>
      <c r="CM445" s="4"/>
      <c r="CN445" s="4"/>
    </row>
    <row r="446" spans="90:92">
      <c r="CL446" s="4"/>
      <c r="CM446" s="4"/>
      <c r="CN446" s="4"/>
    </row>
    <row r="447" spans="90:92">
      <c r="CL447" s="4"/>
      <c r="CM447" s="4"/>
      <c r="CN447" s="4"/>
    </row>
    <row r="448" spans="90:92">
      <c r="CL448" s="4"/>
      <c r="CM448" s="4"/>
      <c r="CN448" s="4"/>
    </row>
    <row r="449" spans="90:92">
      <c r="CL449" s="4"/>
      <c r="CM449" s="4"/>
      <c r="CN449" s="4"/>
    </row>
    <row r="450" spans="90:92">
      <c r="CL450" s="4"/>
      <c r="CM450" s="4"/>
      <c r="CN450" s="4"/>
    </row>
    <row r="451" spans="90:92">
      <c r="CL451" s="4"/>
      <c r="CM451" s="4"/>
      <c r="CN451" s="4"/>
    </row>
    <row r="452" spans="90:92">
      <c r="CL452" s="4"/>
      <c r="CM452" s="4"/>
      <c r="CN452" s="4"/>
    </row>
    <row r="453" spans="90:92">
      <c r="CL453" s="4"/>
      <c r="CM453" s="4"/>
      <c r="CN453" s="4"/>
    </row>
    <row r="454" spans="90:92">
      <c r="CL454" s="4"/>
      <c r="CM454" s="4"/>
      <c r="CN454" s="4"/>
    </row>
    <row r="455" spans="90:92">
      <c r="CL455" s="4"/>
      <c r="CM455" s="4"/>
      <c r="CN455" s="4"/>
    </row>
    <row r="456" spans="90:92">
      <c r="CL456" s="4"/>
      <c r="CM456" s="4"/>
      <c r="CN456" s="4"/>
    </row>
    <row r="457" spans="90:92">
      <c r="CL457" s="4"/>
      <c r="CM457" s="4"/>
      <c r="CN457" s="4"/>
    </row>
    <row r="458" spans="90:92">
      <c r="CL458" s="4"/>
      <c r="CM458" s="4"/>
      <c r="CN458" s="4"/>
    </row>
    <row r="459" spans="90:92">
      <c r="CL459" s="4"/>
      <c r="CM459" s="4"/>
      <c r="CN459" s="4"/>
    </row>
    <row r="460" spans="90:92">
      <c r="CL460" s="4"/>
      <c r="CM460" s="4"/>
      <c r="CN460" s="4"/>
    </row>
    <row r="461" spans="90:92">
      <c r="CL461" s="4"/>
      <c r="CM461" s="4"/>
      <c r="CN461" s="4"/>
    </row>
    <row r="462" spans="90:92">
      <c r="CL462" s="4"/>
      <c r="CM462" s="4"/>
      <c r="CN462" s="4"/>
    </row>
    <row r="463" spans="90:92">
      <c r="CL463" s="4"/>
      <c r="CM463" s="4"/>
      <c r="CN463" s="4"/>
    </row>
    <row r="464" spans="90:92">
      <c r="CL464" s="4"/>
      <c r="CM464" s="4"/>
      <c r="CN464" s="4"/>
    </row>
    <row r="465" spans="90:92">
      <c r="CL465" s="4"/>
      <c r="CM465" s="4"/>
      <c r="CN465" s="4"/>
    </row>
    <row r="466" spans="90:92">
      <c r="CL466" s="4"/>
      <c r="CM466" s="4"/>
      <c r="CN466" s="4"/>
    </row>
    <row r="467" spans="90:92">
      <c r="CL467" s="4"/>
      <c r="CM467" s="4"/>
      <c r="CN467" s="4"/>
    </row>
    <row r="468" spans="90:92">
      <c r="CL468" s="4"/>
      <c r="CM468" s="4"/>
      <c r="CN468" s="4"/>
    </row>
    <row r="469" spans="90:92">
      <c r="CL469" s="4"/>
      <c r="CM469" s="4"/>
      <c r="CN469" s="4"/>
    </row>
    <row r="470" spans="90:92">
      <c r="CL470" s="4"/>
      <c r="CM470" s="4"/>
      <c r="CN470" s="4"/>
    </row>
    <row r="471" spans="90:92">
      <c r="CL471" s="4"/>
      <c r="CM471" s="4"/>
      <c r="CN471" s="4"/>
    </row>
    <row r="472" spans="90:92">
      <c r="CL472" s="4"/>
      <c r="CM472" s="4"/>
      <c r="CN472" s="4"/>
    </row>
    <row r="473" spans="90:92">
      <c r="CL473" s="4"/>
      <c r="CM473" s="4"/>
      <c r="CN473" s="4"/>
    </row>
    <row r="474" spans="90:92">
      <c r="CL474" s="4"/>
      <c r="CM474" s="4"/>
      <c r="CN474" s="4"/>
    </row>
    <row r="475" spans="90:92">
      <c r="CL475" s="4"/>
      <c r="CM475" s="4"/>
      <c r="CN475" s="4"/>
    </row>
    <row r="476" spans="90:92">
      <c r="CL476" s="4"/>
      <c r="CM476" s="4"/>
      <c r="CN476" s="4"/>
    </row>
    <row r="477" spans="90:92">
      <c r="CL477" s="4"/>
      <c r="CM477" s="4"/>
      <c r="CN477" s="4"/>
    </row>
    <row r="478" spans="90:92">
      <c r="CL478" s="4"/>
      <c r="CM478" s="4"/>
      <c r="CN478" s="4"/>
    </row>
    <row r="479" spans="90:92">
      <c r="CL479" s="4"/>
      <c r="CM479" s="4"/>
      <c r="CN479" s="4"/>
    </row>
    <row r="480" spans="90:92">
      <c r="CL480" s="4"/>
      <c r="CM480" s="4"/>
      <c r="CN480" s="4"/>
    </row>
    <row r="481" spans="90:92">
      <c r="CL481" s="4"/>
      <c r="CM481" s="4"/>
      <c r="CN481" s="4"/>
    </row>
    <row r="482" spans="90:92">
      <c r="CL482" s="4"/>
      <c r="CM482" s="4"/>
      <c r="CN482" s="4"/>
    </row>
    <row r="483" spans="90:92">
      <c r="CL483" s="4"/>
      <c r="CM483" s="4"/>
      <c r="CN483" s="4"/>
    </row>
    <row r="484" spans="90:92">
      <c r="CL484" s="4"/>
      <c r="CM484" s="4"/>
      <c r="CN484" s="4"/>
    </row>
    <row r="485" spans="90:92">
      <c r="CL485" s="4"/>
      <c r="CM485" s="4"/>
      <c r="CN485" s="4"/>
    </row>
    <row r="486" spans="90:92">
      <c r="CL486" s="4"/>
      <c r="CM486" s="4"/>
      <c r="CN486" s="4"/>
    </row>
    <row r="487" spans="90:92">
      <c r="CL487" s="4"/>
      <c r="CM487" s="4"/>
      <c r="CN487" s="4"/>
    </row>
    <row r="488" spans="90:92">
      <c r="CL488" s="4"/>
      <c r="CM488" s="4"/>
      <c r="CN488" s="4"/>
    </row>
    <row r="489" spans="90:92">
      <c r="CL489" s="4"/>
      <c r="CM489" s="4"/>
      <c r="CN489" s="4"/>
    </row>
    <row r="490" spans="90:92">
      <c r="CL490" s="4"/>
      <c r="CM490" s="4"/>
      <c r="CN490" s="4"/>
    </row>
    <row r="491" spans="90:92">
      <c r="CL491" s="4"/>
      <c r="CM491" s="4"/>
      <c r="CN491" s="4"/>
    </row>
    <row r="492" spans="90:92">
      <c r="CL492" s="4"/>
      <c r="CM492" s="4"/>
      <c r="CN492" s="4"/>
    </row>
    <row r="493" spans="90:92">
      <c r="CL493" s="4"/>
      <c r="CM493" s="4"/>
      <c r="CN493" s="4"/>
    </row>
    <row r="494" spans="90:92">
      <c r="CL494" s="4"/>
      <c r="CM494" s="4"/>
      <c r="CN494" s="4"/>
    </row>
    <row r="495" spans="90:92">
      <c r="CL495" s="4"/>
      <c r="CM495" s="4"/>
      <c r="CN495" s="4"/>
    </row>
    <row r="496" spans="90:92">
      <c r="CL496" s="4"/>
      <c r="CM496" s="4"/>
      <c r="CN496" s="4"/>
    </row>
    <row r="497" spans="90:92">
      <c r="CL497" s="4"/>
      <c r="CM497" s="4"/>
      <c r="CN497" s="4"/>
    </row>
    <row r="498" spans="90:92">
      <c r="CL498" s="4"/>
      <c r="CM498" s="4"/>
      <c r="CN498" s="4"/>
    </row>
    <row r="499" spans="90:92">
      <c r="CL499" s="4"/>
      <c r="CM499" s="4"/>
      <c r="CN499" s="4"/>
    </row>
    <row r="500" spans="90:92">
      <c r="CL500" s="4"/>
      <c r="CM500" s="4"/>
      <c r="CN500" s="4"/>
    </row>
    <row r="501" spans="90:92">
      <c r="CL501" s="4"/>
      <c r="CM501" s="4"/>
      <c r="CN501" s="4"/>
    </row>
    <row r="502" spans="90:92">
      <c r="CL502" s="4"/>
      <c r="CM502" s="4"/>
      <c r="CN502" s="4"/>
    </row>
    <row r="503" spans="90:92">
      <c r="CL503" s="4"/>
      <c r="CM503" s="4"/>
      <c r="CN503" s="4"/>
    </row>
    <row r="504" spans="90:92">
      <c r="CL504" s="4"/>
      <c r="CM504" s="4"/>
      <c r="CN504" s="4"/>
    </row>
    <row r="505" spans="90:92">
      <c r="CL505" s="4"/>
      <c r="CM505" s="4"/>
      <c r="CN505" s="4"/>
    </row>
    <row r="506" spans="90:92">
      <c r="CL506" s="4"/>
      <c r="CM506" s="4"/>
      <c r="CN506" s="4"/>
    </row>
    <row r="507" spans="90:92">
      <c r="CL507" s="4"/>
      <c r="CM507" s="4"/>
      <c r="CN507" s="4"/>
    </row>
    <row r="508" spans="90:92">
      <c r="CL508" s="4"/>
      <c r="CM508" s="4"/>
      <c r="CN508" s="4"/>
    </row>
    <row r="509" spans="90:92">
      <c r="CL509" s="4"/>
      <c r="CM509" s="4"/>
      <c r="CN509" s="4"/>
    </row>
    <row r="510" spans="90:92">
      <c r="CL510" s="4"/>
      <c r="CM510" s="4"/>
      <c r="CN510" s="4"/>
    </row>
    <row r="511" spans="90:92">
      <c r="CL511" s="4"/>
      <c r="CM511" s="4"/>
      <c r="CN511" s="4"/>
    </row>
    <row r="512" spans="90:92">
      <c r="CL512" s="4"/>
      <c r="CM512" s="4"/>
      <c r="CN512" s="4"/>
    </row>
    <row r="513" spans="90:92">
      <c r="CL513" s="4"/>
      <c r="CM513" s="4"/>
      <c r="CN513" s="4"/>
    </row>
    <row r="514" spans="90:92">
      <c r="CL514" s="4"/>
      <c r="CM514" s="4"/>
      <c r="CN514" s="4"/>
    </row>
    <row r="515" spans="90:92">
      <c r="CL515" s="4"/>
      <c r="CM515" s="4"/>
      <c r="CN515" s="4"/>
    </row>
    <row r="516" spans="90:92">
      <c r="CL516" s="4"/>
      <c r="CM516" s="4"/>
      <c r="CN516" s="4"/>
    </row>
    <row r="517" spans="90:92">
      <c r="CL517" s="4"/>
      <c r="CM517" s="4"/>
      <c r="CN517" s="4"/>
    </row>
    <row r="518" spans="90:92">
      <c r="CL518" s="4"/>
      <c r="CM518" s="4"/>
      <c r="CN518" s="4"/>
    </row>
    <row r="519" spans="90:92">
      <c r="CL519" s="4"/>
      <c r="CM519" s="4"/>
      <c r="CN519" s="4"/>
    </row>
    <row r="520" spans="90:92">
      <c r="CL520" s="4"/>
      <c r="CM520" s="4"/>
      <c r="CN520" s="4"/>
    </row>
    <row r="521" spans="90:92">
      <c r="CL521" s="4"/>
      <c r="CM521" s="4"/>
      <c r="CN521" s="4"/>
    </row>
    <row r="522" spans="90:92">
      <c r="CL522" s="4"/>
      <c r="CM522" s="4"/>
      <c r="CN522" s="4"/>
    </row>
    <row r="523" spans="90:92">
      <c r="CL523" s="4"/>
      <c r="CM523" s="4"/>
      <c r="CN523" s="4"/>
    </row>
    <row r="524" spans="90:92">
      <c r="CL524" s="4"/>
      <c r="CM524" s="4"/>
      <c r="CN524" s="4"/>
    </row>
    <row r="525" spans="90:92">
      <c r="CL525" s="4"/>
      <c r="CM525" s="4"/>
      <c r="CN525" s="4"/>
    </row>
    <row r="526" spans="90:92">
      <c r="CL526" s="4"/>
      <c r="CM526" s="4"/>
      <c r="CN526" s="4"/>
    </row>
    <row r="527" spans="90:92">
      <c r="CL527" s="4"/>
      <c r="CM527" s="4"/>
      <c r="CN527" s="4"/>
    </row>
    <row r="528" spans="90:92">
      <c r="CL528" s="4"/>
      <c r="CM528" s="4"/>
      <c r="CN528" s="4"/>
    </row>
    <row r="529" spans="90:92">
      <c r="CL529" s="4"/>
      <c r="CM529" s="4"/>
      <c r="CN529" s="4"/>
    </row>
    <row r="530" spans="90:92">
      <c r="CL530" s="4"/>
      <c r="CM530" s="4"/>
      <c r="CN530" s="4"/>
    </row>
    <row r="531" spans="90:92">
      <c r="CL531" s="4"/>
      <c r="CM531" s="4"/>
      <c r="CN531" s="4"/>
    </row>
    <row r="532" spans="90:92">
      <c r="CL532" s="4"/>
      <c r="CM532" s="4"/>
      <c r="CN532" s="4"/>
    </row>
    <row r="533" spans="90:92">
      <c r="CL533" s="4"/>
      <c r="CM533" s="4"/>
      <c r="CN533" s="4"/>
    </row>
    <row r="534" spans="90:92">
      <c r="CL534" s="4"/>
      <c r="CM534" s="4"/>
      <c r="CN534" s="4"/>
    </row>
    <row r="535" spans="90:92">
      <c r="CL535" s="4"/>
      <c r="CM535" s="4"/>
      <c r="CN535" s="4"/>
    </row>
    <row r="536" spans="90:92">
      <c r="CL536" s="4"/>
      <c r="CM536" s="4"/>
      <c r="CN536" s="4"/>
    </row>
    <row r="537" spans="90:92">
      <c r="CL537" s="4"/>
      <c r="CM537" s="4"/>
      <c r="CN537" s="4"/>
    </row>
    <row r="538" spans="90:92">
      <c r="CL538" s="4"/>
      <c r="CM538" s="4"/>
      <c r="CN538" s="4"/>
    </row>
    <row r="539" spans="90:92">
      <c r="CL539" s="4"/>
      <c r="CM539" s="4"/>
      <c r="CN539" s="4"/>
    </row>
    <row r="540" spans="90:92">
      <c r="CL540" s="4"/>
      <c r="CM540" s="4"/>
      <c r="CN540" s="4"/>
    </row>
    <row r="541" spans="90:92">
      <c r="CL541" s="4"/>
      <c r="CM541" s="4"/>
      <c r="CN541" s="4"/>
    </row>
    <row r="542" spans="90:92">
      <c r="CL542" s="4"/>
      <c r="CM542" s="4"/>
      <c r="CN542" s="4"/>
    </row>
    <row r="543" spans="90:92">
      <c r="CL543" s="4"/>
      <c r="CM543" s="4"/>
      <c r="CN543" s="4"/>
    </row>
    <row r="544" spans="90:92">
      <c r="CL544" s="4"/>
      <c r="CM544" s="4"/>
      <c r="CN544" s="4"/>
    </row>
    <row r="545" spans="90:92">
      <c r="CL545" s="4"/>
      <c r="CM545" s="4"/>
      <c r="CN545" s="4"/>
    </row>
    <row r="546" spans="90:92">
      <c r="CL546" s="4"/>
      <c r="CM546" s="4"/>
      <c r="CN546" s="4"/>
    </row>
    <row r="547" spans="90:92">
      <c r="CL547" s="4"/>
      <c r="CM547" s="4"/>
      <c r="CN547" s="4"/>
    </row>
    <row r="548" spans="90:92">
      <c r="CL548" s="4"/>
      <c r="CM548" s="4"/>
      <c r="CN548" s="4"/>
    </row>
    <row r="549" spans="90:92">
      <c r="CL549" s="4"/>
      <c r="CM549" s="4"/>
      <c r="CN549" s="4"/>
    </row>
    <row r="550" spans="90:92">
      <c r="CL550" s="4"/>
      <c r="CM550" s="4"/>
      <c r="CN550" s="4"/>
    </row>
    <row r="551" spans="90:92">
      <c r="CL551" s="4"/>
      <c r="CM551" s="4"/>
      <c r="CN551" s="4"/>
    </row>
    <row r="552" spans="90:92">
      <c r="CL552" s="4"/>
      <c r="CM552" s="4"/>
      <c r="CN552" s="4"/>
    </row>
    <row r="553" spans="90:92">
      <c r="CL553" s="4"/>
      <c r="CM553" s="4"/>
      <c r="CN553" s="4"/>
    </row>
    <row r="554" spans="90:92">
      <c r="CL554" s="4"/>
      <c r="CM554" s="4"/>
      <c r="CN554" s="4"/>
    </row>
    <row r="555" spans="90:92">
      <c r="CL555" s="4"/>
      <c r="CM555" s="4"/>
      <c r="CN555" s="4"/>
    </row>
    <row r="556" spans="90:92">
      <c r="CL556" s="4"/>
      <c r="CM556" s="4"/>
      <c r="CN556" s="4"/>
    </row>
    <row r="557" spans="90:92">
      <c r="CL557" s="4"/>
      <c r="CM557" s="4"/>
      <c r="CN557" s="4"/>
    </row>
    <row r="558" spans="90:92">
      <c r="CL558" s="4"/>
      <c r="CM558" s="4"/>
      <c r="CN558" s="4"/>
    </row>
    <row r="559" spans="90:92">
      <c r="CL559" s="4"/>
      <c r="CM559" s="4"/>
      <c r="CN559" s="4"/>
    </row>
    <row r="560" spans="90:92">
      <c r="CL560" s="4"/>
      <c r="CM560" s="4"/>
      <c r="CN560" s="4"/>
    </row>
    <row r="561" spans="90:92">
      <c r="CL561" s="4"/>
      <c r="CM561" s="4"/>
      <c r="CN561" s="4"/>
    </row>
    <row r="562" spans="90:92">
      <c r="CL562" s="4"/>
      <c r="CM562" s="4"/>
      <c r="CN562" s="4"/>
    </row>
    <row r="563" spans="90:92">
      <c r="CL563" s="4"/>
      <c r="CM563" s="4"/>
      <c r="CN563" s="4"/>
    </row>
    <row r="564" spans="90:92">
      <c r="CL564" s="4"/>
      <c r="CM564" s="4"/>
      <c r="CN564" s="4"/>
    </row>
    <row r="565" spans="90:92">
      <c r="CL565" s="4"/>
      <c r="CM565" s="4"/>
      <c r="CN565" s="4"/>
    </row>
    <row r="566" spans="90:92">
      <c r="CL566" s="4"/>
      <c r="CM566" s="4"/>
      <c r="CN566" s="4"/>
    </row>
    <row r="567" spans="90:92">
      <c r="CL567" s="4"/>
      <c r="CM567" s="4"/>
      <c r="CN567" s="4"/>
    </row>
    <row r="568" spans="90:92">
      <c r="CL568" s="4"/>
      <c r="CM568" s="4"/>
      <c r="CN568" s="4"/>
    </row>
    <row r="569" spans="90:92">
      <c r="CL569" s="4"/>
      <c r="CM569" s="4"/>
      <c r="CN569" s="4"/>
    </row>
    <row r="570" spans="90:92">
      <c r="CL570" s="4"/>
      <c r="CM570" s="4"/>
      <c r="CN570" s="4"/>
    </row>
    <row r="571" spans="90:92">
      <c r="CL571" s="4"/>
      <c r="CM571" s="4"/>
      <c r="CN571" s="4"/>
    </row>
    <row r="572" spans="90:92">
      <c r="CL572" s="4"/>
      <c r="CM572" s="4"/>
      <c r="CN572" s="4"/>
    </row>
    <row r="573" spans="90:92">
      <c r="CL573" s="4"/>
      <c r="CM573" s="4"/>
      <c r="CN573" s="4"/>
    </row>
    <row r="574" spans="90:92">
      <c r="CL574" s="4"/>
      <c r="CM574" s="4"/>
      <c r="CN574" s="4"/>
    </row>
    <row r="575" spans="90:92">
      <c r="CL575" s="4"/>
      <c r="CM575" s="4"/>
      <c r="CN575" s="4"/>
    </row>
    <row r="576" spans="90:92">
      <c r="CL576" s="4"/>
      <c r="CM576" s="4"/>
      <c r="CN576" s="4"/>
    </row>
    <row r="577" spans="90:92">
      <c r="CL577" s="4"/>
      <c r="CM577" s="4"/>
      <c r="CN577" s="4"/>
    </row>
    <row r="578" spans="90:92">
      <c r="CL578" s="4"/>
      <c r="CM578" s="4"/>
      <c r="CN578" s="4"/>
    </row>
    <row r="579" spans="90:92">
      <c r="CL579" s="4"/>
      <c r="CM579" s="4"/>
      <c r="CN579" s="4"/>
    </row>
    <row r="580" spans="90:92">
      <c r="CL580" s="4"/>
      <c r="CM580" s="4"/>
      <c r="CN580" s="4"/>
    </row>
    <row r="581" spans="90:92">
      <c r="CL581" s="4"/>
      <c r="CM581" s="4"/>
      <c r="CN581" s="4"/>
    </row>
    <row r="582" spans="90:92">
      <c r="CL582" s="4"/>
      <c r="CM582" s="4"/>
      <c r="CN582" s="4"/>
    </row>
    <row r="583" spans="90:92">
      <c r="CL583" s="4"/>
      <c r="CM583" s="4"/>
      <c r="CN583" s="4"/>
    </row>
    <row r="584" spans="90:92">
      <c r="CL584" s="4"/>
      <c r="CM584" s="4"/>
      <c r="CN584" s="4"/>
    </row>
    <row r="585" spans="90:92">
      <c r="CL585" s="4"/>
      <c r="CM585" s="4"/>
      <c r="CN585" s="4"/>
    </row>
    <row r="586" spans="90:92">
      <c r="CL586" s="4"/>
      <c r="CM586" s="4"/>
      <c r="CN586" s="4"/>
    </row>
    <row r="587" spans="90:92">
      <c r="CL587" s="4"/>
      <c r="CM587" s="4"/>
      <c r="CN587" s="4"/>
    </row>
    <row r="588" spans="90:92">
      <c r="CL588" s="4"/>
      <c r="CM588" s="4"/>
      <c r="CN588" s="4"/>
    </row>
    <row r="589" spans="90:92">
      <c r="CL589" s="4"/>
      <c r="CM589" s="4"/>
      <c r="CN589" s="4"/>
    </row>
    <row r="590" spans="90:92">
      <c r="CL590" s="4"/>
      <c r="CM590" s="4"/>
      <c r="CN590" s="4"/>
    </row>
    <row r="591" spans="90:92">
      <c r="CL591" s="4"/>
      <c r="CM591" s="4"/>
      <c r="CN591" s="4"/>
    </row>
    <row r="592" spans="90:92">
      <c r="CL592" s="4"/>
      <c r="CM592" s="4"/>
      <c r="CN592" s="4"/>
    </row>
    <row r="593" spans="90:92">
      <c r="CL593" s="4"/>
      <c r="CM593" s="4"/>
      <c r="CN593" s="4"/>
    </row>
    <row r="594" spans="90:92">
      <c r="CL594" s="4"/>
      <c r="CM594" s="4"/>
      <c r="CN594" s="4"/>
    </row>
    <row r="595" spans="90:92">
      <c r="CL595" s="4"/>
      <c r="CM595" s="4"/>
      <c r="CN595" s="4"/>
    </row>
    <row r="596" spans="90:92">
      <c r="CL596" s="4"/>
      <c r="CM596" s="4"/>
      <c r="CN596" s="4"/>
    </row>
    <row r="597" spans="90:92">
      <c r="CL597" s="4"/>
      <c r="CM597" s="4"/>
      <c r="CN597" s="4"/>
    </row>
    <row r="598" spans="90:92">
      <c r="CL598" s="4"/>
      <c r="CM598" s="4"/>
      <c r="CN598" s="4"/>
    </row>
    <row r="599" spans="90:92">
      <c r="CL599" s="4"/>
      <c r="CM599" s="4"/>
      <c r="CN599" s="4"/>
    </row>
    <row r="600" spans="90:92">
      <c r="CL600" s="4"/>
      <c r="CM600" s="4"/>
      <c r="CN600" s="4"/>
    </row>
    <row r="601" spans="90:92">
      <c r="CL601" s="4"/>
      <c r="CM601" s="4"/>
      <c r="CN601" s="4"/>
    </row>
    <row r="602" spans="90:92">
      <c r="CL602" s="4"/>
      <c r="CM602" s="4"/>
      <c r="CN602" s="4"/>
    </row>
    <row r="603" spans="90:92">
      <c r="CL603" s="4"/>
      <c r="CM603" s="4"/>
      <c r="CN603" s="4"/>
    </row>
    <row r="604" spans="90:92">
      <c r="CL604" s="4"/>
      <c r="CM604" s="4"/>
      <c r="CN604" s="4"/>
    </row>
    <row r="605" spans="90:92">
      <c r="CL605" s="4"/>
      <c r="CM605" s="4"/>
      <c r="CN605" s="4"/>
    </row>
    <row r="606" spans="90:92">
      <c r="CL606" s="4"/>
      <c r="CM606" s="4"/>
      <c r="CN606" s="4"/>
    </row>
    <row r="607" spans="90:92">
      <c r="CL607" s="4"/>
      <c r="CM607" s="4"/>
      <c r="CN607" s="4"/>
    </row>
    <row r="608" spans="90:92">
      <c r="CL608" s="4"/>
      <c r="CM608" s="4"/>
      <c r="CN608" s="4"/>
    </row>
    <row r="609" spans="90:92">
      <c r="CL609" s="4"/>
      <c r="CM609" s="4"/>
      <c r="CN609" s="4"/>
    </row>
    <row r="610" spans="90:92">
      <c r="CL610" s="4"/>
      <c r="CM610" s="4"/>
      <c r="CN610" s="4"/>
    </row>
    <row r="611" spans="90:92">
      <c r="CL611" s="4"/>
      <c r="CM611" s="4"/>
      <c r="CN611" s="4"/>
    </row>
    <row r="612" spans="90:92">
      <c r="CL612" s="4"/>
      <c r="CM612" s="4"/>
      <c r="CN612" s="4"/>
    </row>
    <row r="613" spans="90:92">
      <c r="CL613" s="4"/>
      <c r="CM613" s="4"/>
      <c r="CN613" s="4"/>
    </row>
    <row r="614" spans="90:92">
      <c r="CL614" s="4"/>
      <c r="CM614" s="4"/>
      <c r="CN614" s="4"/>
    </row>
    <row r="615" spans="90:92">
      <c r="CL615" s="4"/>
      <c r="CM615" s="4"/>
      <c r="CN615" s="4"/>
    </row>
    <row r="616" spans="90:92">
      <c r="CL616" s="4"/>
      <c r="CM616" s="4"/>
      <c r="CN616" s="4"/>
    </row>
    <row r="617" spans="90:92">
      <c r="CL617" s="4"/>
      <c r="CM617" s="4"/>
      <c r="CN617" s="4"/>
    </row>
    <row r="618" spans="90:92">
      <c r="CL618" s="4"/>
      <c r="CM618" s="4"/>
      <c r="CN618" s="4"/>
    </row>
    <row r="619" spans="90:92">
      <c r="CL619" s="4"/>
      <c r="CM619" s="4"/>
      <c r="CN619" s="4"/>
    </row>
    <row r="620" spans="90:92">
      <c r="CL620" s="4"/>
      <c r="CM620" s="4"/>
      <c r="CN620" s="4"/>
    </row>
    <row r="621" spans="90:92">
      <c r="CL621" s="4"/>
      <c r="CM621" s="4"/>
      <c r="CN621" s="4"/>
    </row>
    <row r="622" spans="90:92">
      <c r="CL622" s="4"/>
      <c r="CM622" s="4"/>
      <c r="CN622" s="4"/>
    </row>
    <row r="623" spans="90:92">
      <c r="CL623" s="4"/>
      <c r="CM623" s="4"/>
      <c r="CN623" s="4"/>
    </row>
    <row r="624" spans="90:92">
      <c r="CL624" s="4"/>
      <c r="CM624" s="4"/>
      <c r="CN624" s="4"/>
    </row>
    <row r="625" spans="90:92">
      <c r="CL625" s="4"/>
      <c r="CM625" s="4"/>
      <c r="CN625" s="4"/>
    </row>
    <row r="626" spans="90:92">
      <c r="CL626" s="4"/>
      <c r="CM626" s="4"/>
      <c r="CN626" s="4"/>
    </row>
    <row r="627" spans="90:92">
      <c r="CL627" s="4"/>
      <c r="CM627" s="4"/>
      <c r="CN627" s="4"/>
    </row>
    <row r="628" spans="90:92">
      <c r="CL628" s="4"/>
      <c r="CM628" s="4"/>
      <c r="CN628" s="4"/>
    </row>
    <row r="629" spans="90:92">
      <c r="CL629" s="4"/>
      <c r="CM629" s="4"/>
      <c r="CN629" s="4"/>
    </row>
    <row r="630" spans="90:92">
      <c r="CL630" s="4"/>
      <c r="CM630" s="4"/>
      <c r="CN630" s="4"/>
    </row>
    <row r="631" spans="90:92">
      <c r="CL631" s="4"/>
      <c r="CM631" s="4"/>
      <c r="CN631" s="4"/>
    </row>
    <row r="632" spans="90:92">
      <c r="CL632" s="4"/>
      <c r="CM632" s="4"/>
      <c r="CN632" s="4"/>
    </row>
    <row r="633" spans="90:92">
      <c r="CL633" s="4"/>
      <c r="CM633" s="4"/>
      <c r="CN633" s="4"/>
    </row>
    <row r="634" spans="90:92">
      <c r="CL634" s="4"/>
      <c r="CM634" s="4"/>
      <c r="CN634" s="4"/>
    </row>
    <row r="635" spans="90:92">
      <c r="CL635" s="4"/>
      <c r="CM635" s="4"/>
      <c r="CN635" s="4"/>
    </row>
    <row r="636" spans="90:92">
      <c r="CL636" s="4"/>
      <c r="CM636" s="4"/>
      <c r="CN636" s="4"/>
    </row>
    <row r="637" spans="90:92">
      <c r="CL637" s="4"/>
      <c r="CM637" s="4"/>
      <c r="CN637" s="4"/>
    </row>
    <row r="638" spans="90:92">
      <c r="CL638" s="4"/>
      <c r="CM638" s="4"/>
      <c r="CN638" s="4"/>
    </row>
    <row r="639" spans="90:92">
      <c r="CL639" s="4"/>
      <c r="CM639" s="4"/>
      <c r="CN639" s="4"/>
    </row>
    <row r="640" spans="90:92">
      <c r="CL640" s="4"/>
      <c r="CM640" s="4"/>
      <c r="CN640" s="4"/>
    </row>
    <row r="641" spans="90:92">
      <c r="CL641" s="4"/>
      <c r="CM641" s="4"/>
      <c r="CN641" s="4"/>
    </row>
    <row r="642" spans="90:92">
      <c r="CL642" s="4"/>
      <c r="CM642" s="4"/>
      <c r="CN642" s="4"/>
    </row>
    <row r="643" spans="90:92">
      <c r="CL643" s="4"/>
      <c r="CM643" s="4"/>
      <c r="CN643" s="4"/>
    </row>
    <row r="644" spans="90:92">
      <c r="CL644" s="4"/>
      <c r="CM644" s="4"/>
      <c r="CN644" s="4"/>
    </row>
    <row r="645" spans="90:92">
      <c r="CL645" s="4"/>
      <c r="CM645" s="4"/>
      <c r="CN645" s="4"/>
    </row>
    <row r="646" spans="90:92">
      <c r="CL646" s="4"/>
      <c r="CM646" s="4"/>
      <c r="CN646" s="4"/>
    </row>
    <row r="647" spans="90:92">
      <c r="CL647" s="4"/>
      <c r="CM647" s="4"/>
      <c r="CN647" s="4"/>
    </row>
    <row r="648" spans="90:92">
      <c r="CL648" s="4"/>
      <c r="CM648" s="4"/>
      <c r="CN648" s="4"/>
    </row>
    <row r="649" spans="90:92">
      <c r="CL649" s="4"/>
      <c r="CM649" s="4"/>
      <c r="CN649" s="4"/>
    </row>
    <row r="650" spans="90:92">
      <c r="CL650" s="4"/>
      <c r="CM650" s="4"/>
      <c r="CN650" s="4"/>
    </row>
    <row r="651" spans="90:92">
      <c r="CL651" s="4"/>
      <c r="CM651" s="4"/>
      <c r="CN651" s="4"/>
    </row>
    <row r="652" spans="90:92">
      <c r="CL652" s="4"/>
      <c r="CM652" s="4"/>
      <c r="CN652" s="4"/>
    </row>
    <row r="653" spans="90:92">
      <c r="CL653" s="4"/>
      <c r="CM653" s="4"/>
      <c r="CN653" s="4"/>
    </row>
    <row r="654" spans="90:92">
      <c r="CL654" s="4"/>
      <c r="CM654" s="4"/>
      <c r="CN654" s="4"/>
    </row>
    <row r="655" spans="90:92">
      <c r="CL655" s="4"/>
      <c r="CM655" s="4"/>
      <c r="CN655" s="4"/>
    </row>
    <row r="656" spans="90:92">
      <c r="CL656" s="4"/>
      <c r="CM656" s="4"/>
      <c r="CN656" s="4"/>
    </row>
    <row r="657" spans="90:92">
      <c r="CL657" s="4"/>
      <c r="CM657" s="4"/>
      <c r="CN657" s="4"/>
    </row>
    <row r="658" spans="90:92">
      <c r="CL658" s="4"/>
      <c r="CM658" s="4"/>
      <c r="CN658" s="4"/>
    </row>
    <row r="659" spans="90:92">
      <c r="CL659" s="4"/>
      <c r="CM659" s="4"/>
      <c r="CN659" s="4"/>
    </row>
    <row r="660" spans="90:92">
      <c r="CL660" s="4"/>
      <c r="CM660" s="4"/>
      <c r="CN660" s="4"/>
    </row>
    <row r="661" spans="90:92">
      <c r="CL661" s="4"/>
      <c r="CM661" s="4"/>
      <c r="CN661" s="4"/>
    </row>
    <row r="662" spans="90:92">
      <c r="CL662" s="4"/>
      <c r="CM662" s="4"/>
      <c r="CN662" s="4"/>
    </row>
    <row r="663" spans="90:92">
      <c r="CL663" s="4"/>
      <c r="CM663" s="4"/>
      <c r="CN663" s="4"/>
    </row>
    <row r="664" spans="90:92">
      <c r="CL664" s="4"/>
      <c r="CM664" s="4"/>
      <c r="CN664" s="4"/>
    </row>
    <row r="665" spans="90:92">
      <c r="CL665" s="4"/>
      <c r="CM665" s="4"/>
      <c r="CN665" s="4"/>
    </row>
    <row r="666" spans="90:92">
      <c r="CL666" s="4"/>
      <c r="CM666" s="4"/>
      <c r="CN666" s="4"/>
    </row>
    <row r="667" spans="90:92">
      <c r="CL667" s="4"/>
      <c r="CM667" s="4"/>
      <c r="CN667" s="4"/>
    </row>
    <row r="668" spans="90:92">
      <c r="CL668" s="4"/>
      <c r="CM668" s="4"/>
      <c r="CN668" s="4"/>
    </row>
    <row r="669" spans="90:92">
      <c r="CL669" s="4"/>
      <c r="CM669" s="4"/>
      <c r="CN669" s="4"/>
    </row>
    <row r="670" spans="90:92">
      <c r="CL670" s="4"/>
      <c r="CM670" s="4"/>
      <c r="CN670" s="4"/>
    </row>
    <row r="671" spans="90:92">
      <c r="CL671" s="4"/>
      <c r="CM671" s="4"/>
      <c r="CN671" s="4"/>
    </row>
    <row r="672" spans="90:92">
      <c r="CL672" s="4"/>
      <c r="CM672" s="4"/>
      <c r="CN672" s="4"/>
    </row>
    <row r="673" spans="90:92">
      <c r="CL673" s="4"/>
      <c r="CM673" s="4"/>
      <c r="CN673" s="4"/>
    </row>
    <row r="674" spans="90:92">
      <c r="CL674" s="4"/>
      <c r="CM674" s="4"/>
      <c r="CN674" s="4"/>
    </row>
    <row r="675" spans="90:92">
      <c r="CL675" s="4"/>
      <c r="CM675" s="4"/>
      <c r="CN675" s="4"/>
    </row>
    <row r="676" spans="90:92">
      <c r="CL676" s="4"/>
      <c r="CM676" s="4"/>
      <c r="CN676" s="4"/>
    </row>
    <row r="677" spans="90:92">
      <c r="CL677" s="4"/>
      <c r="CM677" s="4"/>
      <c r="CN677" s="4"/>
    </row>
    <row r="678" spans="90:92">
      <c r="CL678" s="4"/>
      <c r="CM678" s="4"/>
      <c r="CN678" s="4"/>
    </row>
    <row r="679" spans="90:92">
      <c r="CL679" s="4"/>
      <c r="CM679" s="4"/>
      <c r="CN679" s="4"/>
    </row>
    <row r="680" spans="90:92">
      <c r="CL680" s="4"/>
      <c r="CM680" s="4"/>
      <c r="CN680" s="4"/>
    </row>
    <row r="681" spans="90:92">
      <c r="CL681" s="4"/>
      <c r="CM681" s="4"/>
      <c r="CN681" s="4"/>
    </row>
    <row r="682" spans="90:92">
      <c r="CL682" s="4"/>
      <c r="CM682" s="4"/>
      <c r="CN682" s="4"/>
    </row>
    <row r="683" spans="90:92">
      <c r="CL683" s="4"/>
      <c r="CM683" s="4"/>
      <c r="CN683" s="4"/>
    </row>
    <row r="684" spans="90:92">
      <c r="CL684" s="4"/>
      <c r="CM684" s="4"/>
      <c r="CN684" s="4"/>
    </row>
    <row r="685" spans="90:92">
      <c r="CL685" s="4"/>
      <c r="CM685" s="4"/>
      <c r="CN685" s="4"/>
    </row>
    <row r="686" spans="90:92">
      <c r="CL686" s="4"/>
      <c r="CM686" s="4"/>
      <c r="CN686" s="4"/>
    </row>
    <row r="687" spans="90:92">
      <c r="CL687" s="4"/>
      <c r="CM687" s="4"/>
      <c r="CN687" s="4"/>
    </row>
    <row r="688" spans="90:92">
      <c r="CL688" s="4"/>
      <c r="CM688" s="4"/>
      <c r="CN688" s="4"/>
    </row>
    <row r="689" spans="90:92">
      <c r="CL689" s="4"/>
      <c r="CM689" s="4"/>
      <c r="CN689" s="4"/>
    </row>
    <row r="690" spans="90:92">
      <c r="CL690" s="4"/>
      <c r="CM690" s="4"/>
      <c r="CN690" s="4"/>
    </row>
    <row r="691" spans="90:92">
      <c r="CL691" s="4"/>
      <c r="CM691" s="4"/>
      <c r="CN691" s="4"/>
    </row>
    <row r="692" spans="90:92">
      <c r="CL692" s="4"/>
      <c r="CM692" s="4"/>
      <c r="CN692" s="4"/>
    </row>
    <row r="693" spans="90:92">
      <c r="CL693" s="4"/>
      <c r="CM693" s="4"/>
      <c r="CN693" s="4"/>
    </row>
    <row r="694" spans="90:92">
      <c r="CL694" s="4"/>
      <c r="CM694" s="4"/>
      <c r="CN694" s="4"/>
    </row>
    <row r="695" spans="90:92">
      <c r="CL695" s="4"/>
      <c r="CM695" s="4"/>
      <c r="CN695" s="4"/>
    </row>
    <row r="696" spans="90:92">
      <c r="CL696" s="4"/>
      <c r="CM696" s="4"/>
      <c r="CN696" s="4"/>
    </row>
    <row r="697" spans="90:92">
      <c r="CL697" s="4"/>
      <c r="CM697" s="4"/>
      <c r="CN697" s="4"/>
    </row>
    <row r="698" spans="90:92">
      <c r="CL698" s="4"/>
      <c r="CM698" s="4"/>
      <c r="CN698" s="4"/>
    </row>
    <row r="699" spans="90:92">
      <c r="CL699" s="4"/>
      <c r="CM699" s="4"/>
      <c r="CN699" s="4"/>
    </row>
    <row r="700" spans="90:92">
      <c r="CL700" s="4"/>
      <c r="CM700" s="4"/>
      <c r="CN700" s="4"/>
    </row>
    <row r="701" spans="90:92">
      <c r="CL701" s="4"/>
      <c r="CM701" s="4"/>
      <c r="CN701" s="4"/>
    </row>
    <row r="702" spans="90:92">
      <c r="CL702" s="4"/>
      <c r="CM702" s="4"/>
      <c r="CN702" s="4"/>
    </row>
    <row r="703" spans="90:92">
      <c r="CL703" s="4"/>
      <c r="CM703" s="4"/>
      <c r="CN703" s="4"/>
    </row>
    <row r="704" spans="90:92">
      <c r="CL704" s="4"/>
      <c r="CM704" s="4"/>
      <c r="CN704" s="4"/>
    </row>
    <row r="705" spans="90:92">
      <c r="CL705" s="4"/>
      <c r="CM705" s="4"/>
      <c r="CN705" s="4"/>
    </row>
    <row r="706" spans="90:92">
      <c r="CL706" s="4"/>
      <c r="CM706" s="4"/>
      <c r="CN706" s="4"/>
    </row>
    <row r="707" spans="90:92">
      <c r="CL707" s="4"/>
      <c r="CM707" s="4"/>
      <c r="CN707" s="4"/>
    </row>
    <row r="708" spans="90:92">
      <c r="CL708" s="4"/>
      <c r="CM708" s="4"/>
      <c r="CN708" s="4"/>
    </row>
    <row r="709" spans="90:92">
      <c r="CL709" s="4"/>
      <c r="CM709" s="4"/>
      <c r="CN709" s="4"/>
    </row>
    <row r="710" spans="90:92">
      <c r="CL710" s="4"/>
      <c r="CM710" s="4"/>
      <c r="CN710" s="4"/>
    </row>
    <row r="711" spans="90:92">
      <c r="CL711" s="4"/>
      <c r="CM711" s="4"/>
      <c r="CN711" s="4"/>
    </row>
    <row r="712" spans="90:92">
      <c r="CL712" s="4"/>
      <c r="CM712" s="4"/>
      <c r="CN712" s="4"/>
    </row>
    <row r="713" spans="90:92">
      <c r="CL713" s="4"/>
      <c r="CM713" s="4"/>
      <c r="CN713" s="4"/>
    </row>
    <row r="714" spans="90:92">
      <c r="CL714" s="4"/>
      <c r="CM714" s="4"/>
      <c r="CN714" s="4"/>
    </row>
    <row r="715" spans="90:92">
      <c r="CL715" s="4"/>
      <c r="CM715" s="4"/>
      <c r="CN715" s="4"/>
    </row>
    <row r="716" spans="90:92">
      <c r="CL716" s="4"/>
      <c r="CM716" s="4"/>
      <c r="CN716" s="4"/>
    </row>
    <row r="717" spans="90:92">
      <c r="CL717" s="4"/>
      <c r="CM717" s="4"/>
      <c r="CN717" s="4"/>
    </row>
    <row r="718" spans="90:92">
      <c r="CL718" s="4"/>
      <c r="CM718" s="4"/>
      <c r="CN718" s="4"/>
    </row>
    <row r="719" spans="90:92">
      <c r="CL719" s="4"/>
      <c r="CM719" s="4"/>
      <c r="CN719" s="4"/>
    </row>
    <row r="720" spans="90:92">
      <c r="CL720" s="4"/>
      <c r="CM720" s="4"/>
      <c r="CN720" s="4"/>
    </row>
    <row r="721" spans="90:92">
      <c r="CL721" s="4"/>
      <c r="CM721" s="4"/>
      <c r="CN721" s="4"/>
    </row>
    <row r="722" spans="90:92">
      <c r="CL722" s="4"/>
      <c r="CM722" s="4"/>
      <c r="CN722" s="4"/>
    </row>
    <row r="723" spans="90:92">
      <c r="CL723" s="4"/>
      <c r="CM723" s="4"/>
      <c r="CN723" s="4"/>
    </row>
    <row r="724" spans="90:92">
      <c r="CL724" s="4"/>
      <c r="CM724" s="4"/>
      <c r="CN724" s="4"/>
    </row>
    <row r="725" spans="90:92">
      <c r="CL725" s="4"/>
      <c r="CM725" s="4"/>
      <c r="CN725" s="4"/>
    </row>
    <row r="726" spans="90:92">
      <c r="CL726" s="4"/>
      <c r="CM726" s="4"/>
      <c r="CN726" s="4"/>
    </row>
    <row r="727" spans="90:92">
      <c r="CL727" s="4"/>
      <c r="CM727" s="4"/>
      <c r="CN727" s="4"/>
    </row>
    <row r="728" spans="90:92">
      <c r="CL728" s="4"/>
      <c r="CM728" s="4"/>
      <c r="CN728" s="4"/>
    </row>
    <row r="729" spans="90:92">
      <c r="CL729" s="4"/>
      <c r="CM729" s="4"/>
      <c r="CN729" s="4"/>
    </row>
    <row r="730" spans="90:92">
      <c r="CL730" s="4"/>
      <c r="CM730" s="4"/>
      <c r="CN730" s="4"/>
    </row>
    <row r="731" spans="90:92">
      <c r="CL731" s="4"/>
      <c r="CM731" s="4"/>
      <c r="CN731" s="4"/>
    </row>
    <row r="732" spans="90:92">
      <c r="CL732" s="4"/>
      <c r="CM732" s="4"/>
      <c r="CN732" s="4"/>
    </row>
    <row r="733" spans="90:92">
      <c r="CL733" s="4"/>
      <c r="CM733" s="4"/>
      <c r="CN733" s="4"/>
    </row>
    <row r="734" spans="90:92">
      <c r="CL734" s="4"/>
      <c r="CM734" s="4"/>
      <c r="CN734" s="4"/>
    </row>
    <row r="735" spans="90:92">
      <c r="CL735" s="4"/>
      <c r="CM735" s="4"/>
      <c r="CN735" s="4"/>
    </row>
    <row r="736" spans="90:92">
      <c r="CL736" s="4"/>
      <c r="CM736" s="4"/>
      <c r="CN736" s="4"/>
    </row>
    <row r="737" spans="90:92">
      <c r="CL737" s="4"/>
      <c r="CM737" s="4"/>
      <c r="CN737" s="4"/>
    </row>
    <row r="738" spans="90:92">
      <c r="CL738" s="4"/>
      <c r="CM738" s="4"/>
      <c r="CN738" s="4"/>
    </row>
    <row r="739" spans="90:92">
      <c r="CL739" s="4"/>
      <c r="CM739" s="4"/>
      <c r="CN739" s="4"/>
    </row>
    <row r="740" spans="90:92">
      <c r="CL740" s="4"/>
      <c r="CM740" s="4"/>
      <c r="CN740" s="4"/>
    </row>
    <row r="741" spans="90:92">
      <c r="CL741" s="4"/>
      <c r="CM741" s="4"/>
      <c r="CN741" s="4"/>
    </row>
    <row r="742" spans="90:92">
      <c r="CL742" s="4"/>
      <c r="CM742" s="4"/>
      <c r="CN742" s="4"/>
    </row>
    <row r="743" spans="90:92">
      <c r="CL743" s="4"/>
      <c r="CM743" s="4"/>
      <c r="CN743" s="4"/>
    </row>
    <row r="744" spans="90:92">
      <c r="CL744" s="4"/>
      <c r="CM744" s="4"/>
      <c r="CN744" s="4"/>
    </row>
    <row r="745" spans="90:92">
      <c r="CL745" s="4"/>
      <c r="CM745" s="4"/>
      <c r="CN745" s="4"/>
    </row>
    <row r="746" spans="90:92">
      <c r="CL746" s="4"/>
      <c r="CM746" s="4"/>
      <c r="CN746" s="4"/>
    </row>
    <row r="747" spans="90:92">
      <c r="CL747" s="4"/>
      <c r="CM747" s="4"/>
      <c r="CN747" s="4"/>
    </row>
    <row r="748" spans="90:92">
      <c r="CL748" s="4"/>
      <c r="CM748" s="4"/>
      <c r="CN748" s="4"/>
    </row>
    <row r="749" spans="90:92">
      <c r="CL749" s="4"/>
      <c r="CM749" s="4"/>
      <c r="CN749" s="4"/>
    </row>
    <row r="750" spans="90:92">
      <c r="CL750" s="4"/>
      <c r="CM750" s="4"/>
      <c r="CN750" s="4"/>
    </row>
    <row r="751" spans="90:92">
      <c r="CL751" s="4"/>
      <c r="CM751" s="4"/>
      <c r="CN751" s="4"/>
    </row>
    <row r="752" spans="90:92">
      <c r="CL752" s="4"/>
      <c r="CM752" s="4"/>
      <c r="CN752" s="4"/>
    </row>
    <row r="753" spans="90:92">
      <c r="CL753" s="4"/>
      <c r="CM753" s="4"/>
      <c r="CN753" s="4"/>
    </row>
    <row r="754" spans="90:92">
      <c r="CL754" s="4"/>
      <c r="CM754" s="4"/>
      <c r="CN754" s="4"/>
    </row>
    <row r="755" spans="90:92">
      <c r="CL755" s="4"/>
      <c r="CM755" s="4"/>
      <c r="CN755" s="4"/>
    </row>
    <row r="756" spans="90:92">
      <c r="CL756" s="4"/>
      <c r="CM756" s="4"/>
      <c r="CN756" s="4"/>
    </row>
    <row r="757" spans="90:92">
      <c r="CL757" s="4"/>
      <c r="CM757" s="4"/>
      <c r="CN757" s="4"/>
    </row>
    <row r="758" spans="90:92">
      <c r="CL758" s="4"/>
      <c r="CM758" s="4"/>
      <c r="CN758" s="4"/>
    </row>
    <row r="759" spans="90:92">
      <c r="CL759" s="4"/>
      <c r="CM759" s="4"/>
      <c r="CN759" s="4"/>
    </row>
    <row r="760" spans="90:92">
      <c r="CL760" s="4"/>
      <c r="CM760" s="4"/>
      <c r="CN760" s="4"/>
    </row>
    <row r="761" spans="90:92">
      <c r="CL761" s="4"/>
      <c r="CM761" s="4"/>
      <c r="CN761" s="4"/>
    </row>
    <row r="762" spans="90:92">
      <c r="CL762" s="4"/>
      <c r="CM762" s="4"/>
      <c r="CN762" s="4"/>
    </row>
    <row r="763" spans="90:92">
      <c r="CL763" s="4"/>
      <c r="CM763" s="4"/>
      <c r="CN763" s="4"/>
    </row>
    <row r="764" spans="90:92">
      <c r="CL764" s="4"/>
      <c r="CM764" s="4"/>
      <c r="CN764" s="4"/>
    </row>
    <row r="765" spans="90:92">
      <c r="CL765" s="4"/>
      <c r="CM765" s="4"/>
      <c r="CN765" s="4"/>
    </row>
    <row r="766" spans="90:92">
      <c r="CL766" s="4"/>
      <c r="CM766" s="4"/>
      <c r="CN766" s="4"/>
    </row>
    <row r="767" spans="90:92">
      <c r="CL767" s="4"/>
      <c r="CM767" s="4"/>
      <c r="CN767" s="4"/>
    </row>
    <row r="768" spans="90:92">
      <c r="CL768" s="4"/>
      <c r="CM768" s="4"/>
      <c r="CN768" s="4"/>
    </row>
    <row r="769" spans="90:92">
      <c r="CL769" s="4"/>
      <c r="CM769" s="4"/>
      <c r="CN769" s="4"/>
    </row>
    <row r="770" spans="90:92">
      <c r="CL770" s="4"/>
      <c r="CM770" s="4"/>
      <c r="CN770" s="4"/>
    </row>
    <row r="771" spans="90:92">
      <c r="CL771" s="4"/>
      <c r="CM771" s="4"/>
      <c r="CN771" s="4"/>
    </row>
    <row r="772" spans="90:92">
      <c r="CL772" s="4"/>
      <c r="CM772" s="4"/>
      <c r="CN772" s="4"/>
    </row>
    <row r="773" spans="90:92">
      <c r="CL773" s="4"/>
      <c r="CM773" s="4"/>
      <c r="CN773" s="4"/>
    </row>
    <row r="774" spans="90:92">
      <c r="CL774" s="4"/>
      <c r="CM774" s="4"/>
      <c r="CN774" s="4"/>
    </row>
    <row r="775" spans="90:92">
      <c r="CL775" s="4"/>
      <c r="CM775" s="4"/>
      <c r="CN775" s="4"/>
    </row>
    <row r="776" spans="90:92">
      <c r="CL776" s="4"/>
      <c r="CM776" s="4"/>
      <c r="CN776" s="4"/>
    </row>
    <row r="777" spans="90:92">
      <c r="CL777" s="4"/>
      <c r="CM777" s="4"/>
      <c r="CN777" s="4"/>
    </row>
    <row r="778" spans="90:92">
      <c r="CL778" s="4"/>
      <c r="CM778" s="4"/>
      <c r="CN778" s="4"/>
    </row>
    <row r="779" spans="90:92">
      <c r="CL779" s="4"/>
      <c r="CM779" s="4"/>
      <c r="CN779" s="4"/>
    </row>
    <row r="780" spans="90:92">
      <c r="CL780" s="4"/>
      <c r="CM780" s="4"/>
      <c r="CN780" s="4"/>
    </row>
    <row r="781" spans="90:92">
      <c r="CL781" s="4"/>
      <c r="CM781" s="4"/>
      <c r="CN781" s="4"/>
    </row>
    <row r="782" spans="90:92">
      <c r="CL782" s="4"/>
      <c r="CM782" s="4"/>
      <c r="CN782" s="4"/>
    </row>
    <row r="783" spans="90:92">
      <c r="CL783" s="4"/>
      <c r="CM783" s="4"/>
      <c r="CN783" s="4"/>
    </row>
    <row r="784" spans="90:92">
      <c r="CL784" s="4"/>
      <c r="CM784" s="4"/>
      <c r="CN784" s="4"/>
    </row>
    <row r="785" spans="90:92">
      <c r="CL785" s="4"/>
      <c r="CM785" s="4"/>
      <c r="CN785" s="4"/>
    </row>
    <row r="786" spans="90:92">
      <c r="CL786" s="4"/>
      <c r="CM786" s="4"/>
      <c r="CN786" s="4"/>
    </row>
    <row r="787" spans="90:92">
      <c r="CL787" s="4"/>
      <c r="CM787" s="4"/>
      <c r="CN787" s="4"/>
    </row>
    <row r="788" spans="90:92">
      <c r="CL788" s="4"/>
      <c r="CM788" s="4"/>
      <c r="CN788" s="4"/>
    </row>
    <row r="789" spans="90:92">
      <c r="CL789" s="4"/>
      <c r="CM789" s="4"/>
      <c r="CN789" s="4"/>
    </row>
    <row r="790" spans="90:92">
      <c r="CL790" s="4"/>
      <c r="CM790" s="4"/>
      <c r="CN790" s="4"/>
    </row>
    <row r="791" spans="90:92">
      <c r="CL791" s="4"/>
      <c r="CM791" s="4"/>
      <c r="CN791" s="4"/>
    </row>
    <row r="792" spans="90:92">
      <c r="CL792" s="4"/>
      <c r="CM792" s="4"/>
      <c r="CN792" s="4"/>
    </row>
    <row r="793" spans="90:92">
      <c r="CL793" s="4"/>
      <c r="CM793" s="4"/>
      <c r="CN793" s="4"/>
    </row>
    <row r="794" spans="90:92">
      <c r="CL794" s="4"/>
      <c r="CM794" s="4"/>
      <c r="CN794" s="4"/>
    </row>
    <row r="795" spans="90:92">
      <c r="CL795" s="4"/>
      <c r="CM795" s="4"/>
      <c r="CN795" s="4"/>
    </row>
    <row r="796" spans="90:92">
      <c r="CL796" s="4"/>
      <c r="CM796" s="4"/>
      <c r="CN796" s="4"/>
    </row>
    <row r="797" spans="90:92">
      <c r="CL797" s="4"/>
      <c r="CM797" s="4"/>
      <c r="CN797" s="4"/>
    </row>
    <row r="798" spans="90:92">
      <c r="CL798" s="4"/>
      <c r="CM798" s="4"/>
      <c r="CN798" s="4"/>
    </row>
    <row r="799" spans="90:92">
      <c r="CL799" s="4"/>
      <c r="CM799" s="4"/>
      <c r="CN799" s="4"/>
    </row>
    <row r="800" spans="90:92">
      <c r="CL800" s="4"/>
      <c r="CM800" s="4"/>
      <c r="CN800" s="4"/>
    </row>
    <row r="801" spans="90:92">
      <c r="CL801" s="4"/>
      <c r="CM801" s="4"/>
      <c r="CN801" s="4"/>
    </row>
    <row r="802" spans="90:92">
      <c r="CL802" s="4"/>
      <c r="CM802" s="4"/>
      <c r="CN802" s="4"/>
    </row>
    <row r="803" spans="90:92">
      <c r="CL803" s="4"/>
      <c r="CM803" s="4"/>
      <c r="CN803" s="4"/>
    </row>
    <row r="804" spans="90:92">
      <c r="CL804" s="4"/>
      <c r="CM804" s="4"/>
      <c r="CN804" s="4"/>
    </row>
    <row r="805" spans="90:92">
      <c r="CL805" s="4"/>
      <c r="CM805" s="4"/>
      <c r="CN805" s="4"/>
    </row>
    <row r="806" spans="90:92">
      <c r="CL806" s="4"/>
      <c r="CM806" s="4"/>
      <c r="CN806" s="4"/>
    </row>
    <row r="807" spans="90:92">
      <c r="CL807" s="4"/>
      <c r="CM807" s="4"/>
      <c r="CN807" s="4"/>
    </row>
    <row r="808" spans="90:92">
      <c r="CL808" s="4"/>
      <c r="CM808" s="4"/>
      <c r="CN808" s="4"/>
    </row>
    <row r="809" spans="90:92">
      <c r="CL809" s="4"/>
      <c r="CM809" s="4"/>
      <c r="CN809" s="4"/>
    </row>
    <row r="810" spans="90:92">
      <c r="CL810" s="4"/>
      <c r="CM810" s="4"/>
      <c r="CN810" s="4"/>
    </row>
    <row r="811" spans="90:92">
      <c r="CL811" s="4"/>
      <c r="CM811" s="4"/>
      <c r="CN811" s="4"/>
    </row>
    <row r="812" spans="90:92">
      <c r="CL812" s="4"/>
      <c r="CM812" s="4"/>
      <c r="CN812" s="4"/>
    </row>
    <row r="813" spans="90:92">
      <c r="CL813" s="4"/>
      <c r="CM813" s="4"/>
      <c r="CN813" s="4"/>
    </row>
    <row r="814" spans="90:92">
      <c r="CL814" s="4"/>
      <c r="CM814" s="4"/>
      <c r="CN814" s="4"/>
    </row>
    <row r="815" spans="90:92">
      <c r="CL815" s="4"/>
      <c r="CM815" s="4"/>
      <c r="CN815" s="4"/>
    </row>
    <row r="816" spans="90:92">
      <c r="CL816" s="4"/>
      <c r="CM816" s="4"/>
      <c r="CN816" s="4"/>
    </row>
    <row r="817" spans="90:92">
      <c r="CL817" s="4"/>
      <c r="CM817" s="4"/>
      <c r="CN817" s="4"/>
    </row>
    <row r="818" spans="90:92">
      <c r="CL818" s="4"/>
      <c r="CM818" s="4"/>
      <c r="CN818" s="4"/>
    </row>
    <row r="819" spans="90:92">
      <c r="CL819" s="4"/>
      <c r="CM819" s="4"/>
      <c r="CN819" s="4"/>
    </row>
    <row r="820" spans="90:92">
      <c r="CL820" s="4"/>
      <c r="CM820" s="4"/>
      <c r="CN820" s="4"/>
    </row>
    <row r="821" spans="90:92">
      <c r="CL821" s="4"/>
      <c r="CM821" s="4"/>
      <c r="CN821" s="4"/>
    </row>
    <row r="822" spans="90:92">
      <c r="CL822" s="4"/>
      <c r="CM822" s="4"/>
      <c r="CN822" s="4"/>
    </row>
    <row r="823" spans="90:92">
      <c r="CL823" s="4"/>
      <c r="CM823" s="4"/>
      <c r="CN823" s="4"/>
    </row>
    <row r="824" spans="90:92">
      <c r="CL824" s="4"/>
      <c r="CM824" s="4"/>
      <c r="CN824" s="4"/>
    </row>
    <row r="825" spans="90:92">
      <c r="CL825" s="4"/>
      <c r="CM825" s="4"/>
      <c r="CN825" s="4"/>
    </row>
    <row r="826" spans="90:92">
      <c r="CL826" s="4"/>
      <c r="CM826" s="4"/>
      <c r="CN826" s="4"/>
    </row>
    <row r="827" spans="90:92">
      <c r="CL827" s="4"/>
      <c r="CM827" s="4"/>
      <c r="CN827" s="4"/>
    </row>
    <row r="828" spans="90:92">
      <c r="CL828" s="4"/>
      <c r="CM828" s="4"/>
      <c r="CN828" s="4"/>
    </row>
    <row r="829" spans="90:92">
      <c r="CL829" s="4"/>
      <c r="CM829" s="4"/>
      <c r="CN829" s="4"/>
    </row>
    <row r="830" spans="90:92">
      <c r="CL830" s="4"/>
      <c r="CM830" s="4"/>
      <c r="CN830" s="4"/>
    </row>
    <row r="831" spans="90:92">
      <c r="CL831" s="4"/>
      <c r="CM831" s="4"/>
      <c r="CN831" s="4"/>
    </row>
    <row r="832" spans="90:92">
      <c r="CL832" s="4"/>
      <c r="CM832" s="4"/>
      <c r="CN832" s="4"/>
    </row>
    <row r="833" spans="90:92">
      <c r="CL833" s="4"/>
      <c r="CM833" s="4"/>
      <c r="CN833" s="4"/>
    </row>
    <row r="834" spans="90:92">
      <c r="CL834" s="4"/>
      <c r="CM834" s="4"/>
      <c r="CN834" s="4"/>
    </row>
    <row r="835" spans="90:92">
      <c r="CL835" s="4"/>
      <c r="CM835" s="4"/>
      <c r="CN835" s="4"/>
    </row>
    <row r="836" spans="90:92">
      <c r="CL836" s="4"/>
      <c r="CM836" s="4"/>
      <c r="CN836" s="4"/>
    </row>
    <row r="837" spans="90:92">
      <c r="CL837" s="4"/>
      <c r="CM837" s="4"/>
      <c r="CN837" s="4"/>
    </row>
    <row r="838" spans="90:92">
      <c r="CL838" s="4"/>
      <c r="CM838" s="4"/>
      <c r="CN838" s="4"/>
    </row>
    <row r="839" spans="90:92">
      <c r="CL839" s="4"/>
      <c r="CM839" s="4"/>
      <c r="CN839" s="4"/>
    </row>
    <row r="840" spans="90:92">
      <c r="CL840" s="4"/>
      <c r="CM840" s="4"/>
      <c r="CN840" s="4"/>
    </row>
    <row r="841" spans="90:92">
      <c r="CL841" s="4"/>
      <c r="CM841" s="4"/>
      <c r="CN841" s="4"/>
    </row>
    <row r="842" spans="90:92">
      <c r="CL842" s="4"/>
      <c r="CM842" s="4"/>
      <c r="CN842" s="4"/>
    </row>
    <row r="843" spans="90:92">
      <c r="CL843" s="4"/>
      <c r="CM843" s="4"/>
      <c r="CN843" s="4"/>
    </row>
    <row r="844" spans="90:92">
      <c r="CL844" s="4"/>
      <c r="CM844" s="4"/>
      <c r="CN844" s="4"/>
    </row>
    <row r="845" spans="90:92">
      <c r="CL845" s="4"/>
      <c r="CM845" s="4"/>
      <c r="CN845" s="4"/>
    </row>
    <row r="846" spans="90:92">
      <c r="CL846" s="4"/>
      <c r="CM846" s="4"/>
      <c r="CN846" s="4"/>
    </row>
    <row r="847" spans="90:92">
      <c r="CL847" s="4"/>
      <c r="CM847" s="4"/>
      <c r="CN847" s="4"/>
    </row>
    <row r="848" spans="90:92">
      <c r="CL848" s="4"/>
      <c r="CM848" s="4"/>
      <c r="CN848" s="4"/>
    </row>
    <row r="849" spans="90:92">
      <c r="CL849" s="4"/>
      <c r="CM849" s="4"/>
      <c r="CN849" s="4"/>
    </row>
    <row r="850" spans="90:92">
      <c r="CL850" s="4"/>
      <c r="CM850" s="4"/>
      <c r="CN850" s="4"/>
    </row>
    <row r="851" spans="90:92">
      <c r="CL851" s="4"/>
      <c r="CM851" s="4"/>
      <c r="CN851" s="4"/>
    </row>
    <row r="852" spans="90:92">
      <c r="CL852" s="4"/>
      <c r="CM852" s="4"/>
      <c r="CN852" s="4"/>
    </row>
    <row r="853" spans="90:92">
      <c r="CL853" s="4"/>
      <c r="CM853" s="4"/>
      <c r="CN853" s="4"/>
    </row>
    <row r="854" spans="90:92">
      <c r="CL854" s="4"/>
      <c r="CM854" s="4"/>
      <c r="CN854" s="4"/>
    </row>
    <row r="855" spans="90:92">
      <c r="CL855" s="4"/>
      <c r="CM855" s="4"/>
      <c r="CN855" s="4"/>
    </row>
    <row r="856" spans="90:92">
      <c r="CL856" s="4"/>
      <c r="CM856" s="4"/>
      <c r="CN856" s="4"/>
    </row>
    <row r="857" spans="90:92">
      <c r="CL857" s="4"/>
      <c r="CM857" s="4"/>
      <c r="CN857" s="4"/>
    </row>
    <row r="858" spans="90:92">
      <c r="CL858" s="4"/>
      <c r="CM858" s="4"/>
      <c r="CN858" s="4"/>
    </row>
    <row r="859" spans="90:92">
      <c r="CL859" s="4"/>
      <c r="CM859" s="4"/>
      <c r="CN859" s="4"/>
    </row>
    <row r="860" spans="90:92">
      <c r="CL860" s="4"/>
      <c r="CM860" s="4"/>
      <c r="CN860" s="4"/>
    </row>
    <row r="861" spans="90:92">
      <c r="CL861" s="4"/>
      <c r="CM861" s="4"/>
      <c r="CN861" s="4"/>
    </row>
    <row r="862" spans="90:92">
      <c r="CL862" s="4"/>
      <c r="CM862" s="4"/>
      <c r="CN862" s="4"/>
    </row>
    <row r="863" spans="90:92">
      <c r="CL863" s="4"/>
      <c r="CM863" s="4"/>
      <c r="CN863" s="4"/>
    </row>
    <row r="864" spans="90:92">
      <c r="CL864" s="4"/>
      <c r="CM864" s="4"/>
      <c r="CN864" s="4"/>
    </row>
    <row r="865" spans="90:92">
      <c r="CL865" s="4"/>
      <c r="CM865" s="4"/>
      <c r="CN865" s="4"/>
    </row>
    <row r="866" spans="90:92">
      <c r="CL866" s="4"/>
      <c r="CM866" s="4"/>
      <c r="CN866" s="4"/>
    </row>
    <row r="867" spans="90:92">
      <c r="CL867" s="4"/>
      <c r="CM867" s="4"/>
      <c r="CN867" s="4"/>
    </row>
    <row r="868" spans="90:92">
      <c r="CL868" s="4"/>
      <c r="CM868" s="4"/>
      <c r="CN868" s="4"/>
    </row>
    <row r="869" spans="90:92">
      <c r="CL869" s="4"/>
      <c r="CM869" s="4"/>
      <c r="CN869" s="4"/>
    </row>
    <row r="870" spans="90:92">
      <c r="CL870" s="4"/>
      <c r="CM870" s="4"/>
      <c r="CN870" s="4"/>
    </row>
    <row r="871" spans="90:92">
      <c r="CL871" s="4"/>
      <c r="CM871" s="4"/>
      <c r="CN871" s="4"/>
    </row>
    <row r="872" spans="90:92">
      <c r="CL872" s="4"/>
      <c r="CM872" s="4"/>
      <c r="CN872" s="4"/>
    </row>
    <row r="873" spans="90:92">
      <c r="CL873" s="4"/>
      <c r="CM873" s="4"/>
      <c r="CN873" s="4"/>
    </row>
    <row r="874" spans="90:92">
      <c r="CL874" s="4"/>
      <c r="CM874" s="4"/>
      <c r="CN874" s="4"/>
    </row>
    <row r="875" spans="90:92">
      <c r="CL875" s="4"/>
      <c r="CM875" s="4"/>
      <c r="CN875" s="4"/>
    </row>
    <row r="876" spans="90:92">
      <c r="CL876" s="4"/>
      <c r="CM876" s="4"/>
      <c r="CN876" s="4"/>
    </row>
    <row r="877" spans="90:92">
      <c r="CL877" s="4"/>
      <c r="CM877" s="4"/>
      <c r="CN877" s="4"/>
    </row>
    <row r="878" spans="90:92">
      <c r="CL878" s="4"/>
      <c r="CM878" s="4"/>
      <c r="CN878" s="4"/>
    </row>
    <row r="879" spans="90:92">
      <c r="CL879" s="4"/>
      <c r="CM879" s="4"/>
      <c r="CN879" s="4"/>
    </row>
    <row r="880" spans="90:92">
      <c r="CL880" s="4"/>
      <c r="CM880" s="4"/>
      <c r="CN880" s="4"/>
    </row>
    <row r="881" spans="90:92">
      <c r="CL881" s="4"/>
      <c r="CM881" s="4"/>
      <c r="CN881" s="4"/>
    </row>
    <row r="882" spans="90:92">
      <c r="CL882" s="4"/>
      <c r="CM882" s="4"/>
      <c r="CN882" s="4"/>
    </row>
    <row r="883" spans="90:92">
      <c r="CL883" s="4"/>
      <c r="CM883" s="4"/>
      <c r="CN883" s="4"/>
    </row>
    <row r="884" spans="90:92">
      <c r="CL884" s="4"/>
      <c r="CM884" s="4"/>
      <c r="CN884" s="4"/>
    </row>
    <row r="885" spans="90:92">
      <c r="CL885" s="4"/>
      <c r="CM885" s="4"/>
      <c r="CN885" s="4"/>
    </row>
    <row r="886" spans="90:92">
      <c r="CL886" s="4"/>
      <c r="CM886" s="4"/>
      <c r="CN886" s="4"/>
    </row>
    <row r="887" spans="90:92">
      <c r="CL887" s="4"/>
      <c r="CM887" s="4"/>
      <c r="CN887" s="4"/>
    </row>
    <row r="888" spans="90:92">
      <c r="CL888" s="4"/>
      <c r="CM888" s="4"/>
      <c r="CN888" s="4"/>
    </row>
    <row r="889" spans="90:92">
      <c r="CL889" s="4"/>
      <c r="CM889" s="4"/>
      <c r="CN889" s="4"/>
    </row>
    <row r="890" spans="90:92">
      <c r="CL890" s="4"/>
      <c r="CM890" s="4"/>
      <c r="CN890" s="4"/>
    </row>
    <row r="891" spans="90:92">
      <c r="CL891" s="4"/>
      <c r="CM891" s="4"/>
      <c r="CN891" s="4"/>
    </row>
    <row r="892" spans="90:92">
      <c r="CL892" s="4"/>
      <c r="CM892" s="4"/>
      <c r="CN892" s="4"/>
    </row>
    <row r="893" spans="90:92">
      <c r="CL893" s="4"/>
      <c r="CM893" s="4"/>
      <c r="CN893" s="4"/>
    </row>
    <row r="894" spans="90:92">
      <c r="CL894" s="4"/>
      <c r="CM894" s="4"/>
      <c r="CN894" s="4"/>
    </row>
    <row r="895" spans="90:92">
      <c r="CL895" s="4"/>
      <c r="CM895" s="4"/>
      <c r="CN895" s="4"/>
    </row>
    <row r="896" spans="90:92">
      <c r="CL896" s="4"/>
      <c r="CM896" s="4"/>
      <c r="CN896" s="4"/>
    </row>
    <row r="897" spans="90:92">
      <c r="CL897" s="4"/>
      <c r="CM897" s="4"/>
      <c r="CN897" s="4"/>
    </row>
    <row r="898" spans="90:92">
      <c r="CL898" s="4"/>
      <c r="CM898" s="4"/>
      <c r="CN898" s="4"/>
    </row>
    <row r="899" spans="90:92">
      <c r="CL899" s="4"/>
      <c r="CM899" s="4"/>
      <c r="CN899" s="4"/>
    </row>
    <row r="900" spans="90:92">
      <c r="CL900" s="4"/>
      <c r="CM900" s="4"/>
      <c r="CN900" s="4"/>
    </row>
    <row r="901" spans="90:92">
      <c r="CL901" s="4"/>
      <c r="CM901" s="4"/>
      <c r="CN901" s="4"/>
    </row>
    <row r="902" spans="90:92">
      <c r="CL902" s="4"/>
      <c r="CM902" s="4"/>
      <c r="CN902" s="4"/>
    </row>
    <row r="903" spans="90:92">
      <c r="CL903" s="4"/>
      <c r="CM903" s="4"/>
      <c r="CN903" s="4"/>
    </row>
    <row r="904" spans="90:92">
      <c r="CL904" s="4"/>
      <c r="CM904" s="4"/>
      <c r="CN904" s="4"/>
    </row>
    <row r="905" spans="90:92">
      <c r="CL905" s="4"/>
      <c r="CM905" s="4"/>
      <c r="CN905" s="4"/>
    </row>
    <row r="906" spans="90:92">
      <c r="CL906" s="4"/>
      <c r="CM906" s="4"/>
      <c r="CN906" s="4"/>
    </row>
    <row r="907" spans="90:92">
      <c r="CL907" s="4"/>
      <c r="CM907" s="4"/>
      <c r="CN907" s="4"/>
    </row>
    <row r="908" spans="90:92">
      <c r="CL908" s="4"/>
      <c r="CM908" s="4"/>
      <c r="CN908" s="4"/>
    </row>
    <row r="909" spans="90:92">
      <c r="CL909" s="4"/>
      <c r="CM909" s="4"/>
      <c r="CN909" s="4"/>
    </row>
    <row r="910" spans="90:92">
      <c r="CL910" s="4"/>
      <c r="CM910" s="4"/>
      <c r="CN910" s="4"/>
    </row>
    <row r="911" spans="90:92">
      <c r="CL911" s="4"/>
      <c r="CM911" s="4"/>
      <c r="CN911" s="4"/>
    </row>
    <row r="912" spans="90:92">
      <c r="CL912" s="4"/>
      <c r="CM912" s="4"/>
      <c r="CN912" s="4"/>
    </row>
    <row r="913" spans="90:92">
      <c r="CL913" s="4"/>
      <c r="CM913" s="4"/>
      <c r="CN913" s="4"/>
    </row>
    <row r="914" spans="90:92">
      <c r="CL914" s="4"/>
      <c r="CM914" s="4"/>
      <c r="CN914" s="4"/>
    </row>
    <row r="915" spans="90:92">
      <c r="CL915" s="4"/>
      <c r="CM915" s="4"/>
      <c r="CN915" s="4"/>
    </row>
    <row r="916" spans="90:92">
      <c r="CL916" s="4"/>
      <c r="CM916" s="4"/>
      <c r="CN916" s="4"/>
    </row>
    <row r="917" spans="90:92">
      <c r="CL917" s="4"/>
      <c r="CM917" s="4"/>
      <c r="CN917" s="4"/>
    </row>
    <row r="918" spans="90:92">
      <c r="CL918" s="4"/>
      <c r="CM918" s="4"/>
      <c r="CN918" s="4"/>
    </row>
    <row r="919" spans="90:92">
      <c r="CL919" s="4"/>
      <c r="CM919" s="4"/>
      <c r="CN919" s="4"/>
    </row>
    <row r="920" spans="90:92">
      <c r="CL920" s="4"/>
      <c r="CM920" s="4"/>
      <c r="CN920" s="4"/>
    </row>
    <row r="921" spans="90:92">
      <c r="CL921" s="4"/>
      <c r="CM921" s="4"/>
      <c r="CN921" s="4"/>
    </row>
    <row r="922" spans="90:92">
      <c r="CL922" s="4"/>
      <c r="CM922" s="4"/>
      <c r="CN922" s="4"/>
    </row>
    <row r="923" spans="90:92">
      <c r="CL923" s="4"/>
      <c r="CM923" s="4"/>
      <c r="CN923" s="4"/>
    </row>
    <row r="924" spans="90:92">
      <c r="CL924" s="4"/>
      <c r="CM924" s="4"/>
      <c r="CN924" s="4"/>
    </row>
    <row r="925" spans="90:92">
      <c r="CL925" s="4"/>
      <c r="CM925" s="4"/>
      <c r="CN925" s="4"/>
    </row>
    <row r="926" spans="90:92">
      <c r="CL926" s="4"/>
      <c r="CM926" s="4"/>
      <c r="CN926" s="4"/>
    </row>
    <row r="927" spans="90:92">
      <c r="CL927" s="4"/>
      <c r="CM927" s="4"/>
      <c r="CN927" s="4"/>
    </row>
    <row r="928" spans="90:92">
      <c r="CL928" s="4"/>
      <c r="CM928" s="4"/>
      <c r="CN928" s="4"/>
    </row>
    <row r="929" spans="90:92">
      <c r="CL929" s="4"/>
      <c r="CM929" s="4"/>
      <c r="CN929" s="4"/>
    </row>
    <row r="930" spans="90:92">
      <c r="CL930" s="4"/>
      <c r="CM930" s="4"/>
      <c r="CN930" s="4"/>
    </row>
    <row r="931" spans="90:92">
      <c r="CL931" s="4"/>
      <c r="CM931" s="4"/>
      <c r="CN931" s="4"/>
    </row>
    <row r="932" spans="90:92">
      <c r="CL932" s="4"/>
      <c r="CM932" s="4"/>
      <c r="CN932" s="4"/>
    </row>
    <row r="933" spans="90:92">
      <c r="CL933" s="4"/>
      <c r="CM933" s="4"/>
      <c r="CN933" s="4"/>
    </row>
    <row r="934" spans="90:92">
      <c r="CL934" s="4"/>
      <c r="CM934" s="4"/>
      <c r="CN934" s="4"/>
    </row>
    <row r="935" spans="90:92">
      <c r="CL935" s="4"/>
      <c r="CM935" s="4"/>
      <c r="CN935" s="4"/>
    </row>
    <row r="936" spans="90:92">
      <c r="CL936" s="4"/>
      <c r="CM936" s="4"/>
      <c r="CN936" s="4"/>
    </row>
    <row r="937" spans="90:92">
      <c r="CL937" s="4"/>
      <c r="CM937" s="4"/>
      <c r="CN937" s="4"/>
    </row>
    <row r="938" spans="90:92">
      <c r="CL938" s="4"/>
      <c r="CM938" s="4"/>
      <c r="CN938" s="4"/>
    </row>
    <row r="939" spans="90:92">
      <c r="CL939" s="4"/>
      <c r="CM939" s="4"/>
      <c r="CN939" s="4"/>
    </row>
    <row r="940" spans="90:92">
      <c r="CL940" s="4"/>
      <c r="CM940" s="4"/>
      <c r="CN940" s="4"/>
    </row>
    <row r="941" spans="90:92">
      <c r="CL941" s="4"/>
      <c r="CM941" s="4"/>
      <c r="CN941" s="4"/>
    </row>
    <row r="942" spans="90:92">
      <c r="CL942" s="4"/>
      <c r="CM942" s="4"/>
      <c r="CN942" s="4"/>
    </row>
    <row r="943" spans="90:92">
      <c r="CL943" s="4"/>
      <c r="CM943" s="4"/>
      <c r="CN943" s="4"/>
    </row>
    <row r="944" spans="90:92">
      <c r="CL944" s="4"/>
      <c r="CM944" s="4"/>
      <c r="CN944" s="4"/>
    </row>
    <row r="945" spans="90:92">
      <c r="CL945" s="4"/>
      <c r="CM945" s="4"/>
      <c r="CN945" s="4"/>
    </row>
    <row r="946" spans="90:92">
      <c r="CL946" s="4"/>
      <c r="CM946" s="4"/>
      <c r="CN946" s="4"/>
    </row>
    <row r="947" spans="90:92">
      <c r="CL947" s="4"/>
      <c r="CM947" s="4"/>
      <c r="CN947" s="4"/>
    </row>
    <row r="948" spans="90:92">
      <c r="CL948" s="4"/>
      <c r="CM948" s="4"/>
      <c r="CN948" s="4"/>
    </row>
    <row r="949" spans="90:92">
      <c r="CL949" s="4"/>
      <c r="CM949" s="4"/>
      <c r="CN949" s="4"/>
    </row>
    <row r="950" spans="90:92">
      <c r="CL950" s="4"/>
      <c r="CM950" s="4"/>
      <c r="CN950" s="4"/>
    </row>
    <row r="951" spans="90:92">
      <c r="CL951" s="4"/>
      <c r="CM951" s="4"/>
      <c r="CN951" s="4"/>
    </row>
    <row r="952" spans="90:92">
      <c r="CL952" s="4"/>
      <c r="CM952" s="4"/>
      <c r="CN952" s="4"/>
    </row>
    <row r="953" spans="90:92">
      <c r="CL953" s="4"/>
      <c r="CM953" s="4"/>
      <c r="CN953" s="4"/>
    </row>
    <row r="954" spans="90:92">
      <c r="CL954" s="4"/>
      <c r="CM954" s="4"/>
      <c r="CN954" s="4"/>
    </row>
    <row r="955" spans="90:92">
      <c r="CL955" s="4"/>
      <c r="CM955" s="4"/>
      <c r="CN955" s="4"/>
    </row>
    <row r="956" spans="90:92">
      <c r="CL956" s="4"/>
      <c r="CM956" s="4"/>
      <c r="CN956" s="4"/>
    </row>
    <row r="957" spans="90:92">
      <c r="CL957" s="4"/>
      <c r="CM957" s="4"/>
      <c r="CN957" s="4"/>
    </row>
    <row r="958" spans="90:92">
      <c r="CL958" s="4"/>
      <c r="CM958" s="4"/>
      <c r="CN958" s="4"/>
    </row>
    <row r="959" spans="90:92">
      <c r="CL959" s="4"/>
      <c r="CM959" s="4"/>
      <c r="CN959" s="4"/>
    </row>
    <row r="960" spans="90:92">
      <c r="CL960" s="4"/>
      <c r="CM960" s="4"/>
      <c r="CN960" s="4"/>
    </row>
    <row r="961" spans="90:92">
      <c r="CL961" s="4"/>
      <c r="CM961" s="4"/>
      <c r="CN961" s="4"/>
    </row>
    <row r="962" spans="90:92">
      <c r="CL962" s="4"/>
      <c r="CM962" s="4"/>
      <c r="CN962" s="4"/>
    </row>
    <row r="963" spans="90:92">
      <c r="CL963" s="4"/>
      <c r="CM963" s="4"/>
      <c r="CN963" s="4"/>
    </row>
    <row r="964" spans="90:92">
      <c r="CL964" s="4"/>
      <c r="CM964" s="4"/>
      <c r="CN964" s="4"/>
    </row>
    <row r="965" spans="90:92">
      <c r="CL965" s="4"/>
      <c r="CM965" s="4"/>
      <c r="CN965" s="4"/>
    </row>
    <row r="966" spans="90:92">
      <c r="CL966" s="4"/>
      <c r="CM966" s="4"/>
      <c r="CN966" s="4"/>
    </row>
    <row r="967" spans="90:92">
      <c r="CL967" s="4"/>
      <c r="CM967" s="4"/>
      <c r="CN967" s="4"/>
    </row>
    <row r="968" spans="90:92">
      <c r="CL968" s="4"/>
      <c r="CM968" s="4"/>
      <c r="CN968" s="4"/>
    </row>
    <row r="969" spans="90:92">
      <c r="CL969" s="4"/>
      <c r="CM969" s="4"/>
      <c r="CN969" s="4"/>
    </row>
    <row r="970" spans="90:92">
      <c r="CL970" s="4"/>
      <c r="CM970" s="4"/>
      <c r="CN970" s="4"/>
    </row>
    <row r="971" spans="90:92">
      <c r="CL971" s="4"/>
      <c r="CM971" s="4"/>
      <c r="CN971" s="4"/>
    </row>
    <row r="972" spans="90:92">
      <c r="CL972" s="4"/>
      <c r="CM972" s="4"/>
      <c r="CN972" s="4"/>
    </row>
    <row r="973" spans="90:92">
      <c r="CL973" s="4"/>
      <c r="CM973" s="4"/>
      <c r="CN973" s="4"/>
    </row>
    <row r="974" spans="90:92">
      <c r="CL974" s="4"/>
      <c r="CM974" s="4"/>
      <c r="CN974" s="4"/>
    </row>
    <row r="975" spans="90:92">
      <c r="CL975" s="4"/>
      <c r="CM975" s="4"/>
      <c r="CN975" s="4"/>
    </row>
    <row r="976" spans="90:92">
      <c r="CL976" s="4"/>
      <c r="CM976" s="4"/>
      <c r="CN976" s="4"/>
    </row>
    <row r="977" spans="90:92">
      <c r="CL977" s="4"/>
      <c r="CM977" s="4"/>
      <c r="CN977" s="4"/>
    </row>
    <row r="978" spans="90:92">
      <c r="CL978" s="4"/>
      <c r="CM978" s="4"/>
      <c r="CN978" s="4"/>
    </row>
    <row r="979" spans="90:92">
      <c r="CL979" s="4"/>
      <c r="CM979" s="4"/>
      <c r="CN979" s="4"/>
    </row>
    <row r="980" spans="90:92">
      <c r="CL980" s="4"/>
      <c r="CM980" s="4"/>
      <c r="CN980" s="4"/>
    </row>
    <row r="981" spans="90:92">
      <c r="CL981" s="4"/>
      <c r="CM981" s="4"/>
      <c r="CN981" s="4"/>
    </row>
    <row r="982" spans="90:92">
      <c r="CL982" s="4"/>
      <c r="CM982" s="4"/>
      <c r="CN982" s="4"/>
    </row>
    <row r="983" spans="90:92">
      <c r="CL983" s="4"/>
      <c r="CM983" s="4"/>
      <c r="CN983" s="4"/>
    </row>
    <row r="984" spans="90:92">
      <c r="CL984" s="4"/>
      <c r="CM984" s="4"/>
      <c r="CN984" s="4"/>
    </row>
    <row r="985" spans="90:92">
      <c r="CL985" s="4"/>
      <c r="CM985" s="4"/>
      <c r="CN985" s="4"/>
    </row>
    <row r="986" spans="90:92">
      <c r="CL986" s="4"/>
      <c r="CM986" s="4"/>
      <c r="CN986" s="4"/>
    </row>
    <row r="987" spans="90:92">
      <c r="CL987" s="4"/>
      <c r="CM987" s="4"/>
      <c r="CN987" s="4"/>
    </row>
    <row r="988" spans="90:92">
      <c r="CL988" s="4"/>
      <c r="CM988" s="4"/>
      <c r="CN988" s="4"/>
    </row>
    <row r="989" spans="90:92">
      <c r="CL989" s="4"/>
      <c r="CM989" s="4"/>
      <c r="CN989" s="4"/>
    </row>
    <row r="990" spans="90:92">
      <c r="CL990" s="4"/>
      <c r="CM990" s="4"/>
      <c r="CN990" s="4"/>
    </row>
    <row r="991" spans="90:92">
      <c r="CL991" s="4"/>
      <c r="CM991" s="4"/>
      <c r="CN991" s="4"/>
    </row>
    <row r="992" spans="90:92">
      <c r="CL992" s="4"/>
      <c r="CM992" s="4"/>
      <c r="CN992" s="4"/>
    </row>
    <row r="993" spans="90:92">
      <c r="CL993" s="4"/>
      <c r="CM993" s="4"/>
      <c r="CN993" s="4"/>
    </row>
    <row r="994" spans="90:92">
      <c r="CL994" s="4"/>
      <c r="CM994" s="4"/>
      <c r="CN994" s="4"/>
    </row>
    <row r="995" spans="90:92">
      <c r="CL995" s="4"/>
      <c r="CM995" s="4"/>
      <c r="CN995" s="4"/>
    </row>
    <row r="996" spans="90:92">
      <c r="CL996" s="4"/>
      <c r="CM996" s="4"/>
      <c r="CN996" s="4"/>
    </row>
    <row r="997" spans="90:92">
      <c r="CL997" s="4"/>
      <c r="CM997" s="4"/>
      <c r="CN997" s="4"/>
    </row>
    <row r="998" spans="90:92">
      <c r="CL998" s="4"/>
      <c r="CM998" s="4"/>
      <c r="CN998" s="4"/>
    </row>
    <row r="999" spans="90:92">
      <c r="CL999" s="4"/>
      <c r="CM999" s="4"/>
      <c r="CN999" s="4"/>
    </row>
    <row r="1000" spans="90:92">
      <c r="CL1000" s="4"/>
      <c r="CM1000" s="4"/>
      <c r="CN1000" s="4"/>
    </row>
    <row r="1001" spans="90:92">
      <c r="CL1001" s="4"/>
      <c r="CM1001" s="4"/>
      <c r="CN1001" s="4"/>
    </row>
    <row r="1002" spans="90:92">
      <c r="CL1002" s="4"/>
      <c r="CM1002" s="4"/>
      <c r="CN1002" s="4"/>
    </row>
    <row r="1003" spans="90:92">
      <c r="CL1003" s="4"/>
      <c r="CM1003" s="4"/>
      <c r="CN1003" s="4"/>
    </row>
  </sheetData>
  <mergeCells count="63">
    <mergeCell ref="BF37:BG37"/>
    <mergeCell ref="BH37:BI37"/>
    <mergeCell ref="N37:O37"/>
    <mergeCell ref="P37:Q37"/>
    <mergeCell ref="R37:S37"/>
    <mergeCell ref="T37:U37"/>
    <mergeCell ref="V37:W37"/>
    <mergeCell ref="X37:Y37"/>
    <mergeCell ref="Z37:AA37"/>
    <mergeCell ref="AV37:AW37"/>
    <mergeCell ref="AX37:AY37"/>
    <mergeCell ref="AZ37:BA37"/>
    <mergeCell ref="BB37:BC37"/>
    <mergeCell ref="BD37:BE37"/>
    <mergeCell ref="H26:J26"/>
    <mergeCell ref="U26:Z26"/>
    <mergeCell ref="B26:G26"/>
    <mergeCell ref="B37:C37"/>
    <mergeCell ref="D37:E37"/>
    <mergeCell ref="F37:G37"/>
    <mergeCell ref="H37:I37"/>
    <mergeCell ref="J37:K37"/>
    <mergeCell ref="L37:M37"/>
    <mergeCell ref="K26:N26"/>
    <mergeCell ref="O26:T26"/>
    <mergeCell ref="B1:F1"/>
    <mergeCell ref="G1:M1"/>
    <mergeCell ref="N1:R1"/>
    <mergeCell ref="S1:Y1"/>
    <mergeCell ref="Z1:AE1"/>
    <mergeCell ref="EJ26:EO26"/>
    <mergeCell ref="EP26:EU26"/>
    <mergeCell ref="EV26:FA26"/>
    <mergeCell ref="CP26:CU26"/>
    <mergeCell ref="CV26:DA26"/>
    <mergeCell ref="DB26:DE26"/>
    <mergeCell ref="DF26:DK26"/>
    <mergeCell ref="DL26:DQ26"/>
    <mergeCell ref="DR26:DT26"/>
    <mergeCell ref="DU26:DY26"/>
    <mergeCell ref="CA26:CF26"/>
    <mergeCell ref="CG26:CL26"/>
    <mergeCell ref="CM26:CO26"/>
    <mergeCell ref="DZ26:EC26"/>
    <mergeCell ref="ED26:EI26"/>
    <mergeCell ref="AW26:BB26"/>
    <mergeCell ref="BC26:BH26"/>
    <mergeCell ref="BI26:BN26"/>
    <mergeCell ref="BO26:BT26"/>
    <mergeCell ref="BU26:BZ26"/>
    <mergeCell ref="AA26:AF26"/>
    <mergeCell ref="AG26:AJ26"/>
    <mergeCell ref="AK26:AP26"/>
    <mergeCell ref="AR37:AS37"/>
    <mergeCell ref="AT37:AU37"/>
    <mergeCell ref="AD37:AE37"/>
    <mergeCell ref="AF37:AG37"/>
    <mergeCell ref="AH37:AI37"/>
    <mergeCell ref="AJ37:AK37"/>
    <mergeCell ref="AL37:AM37"/>
    <mergeCell ref="AN37:AO37"/>
    <mergeCell ref="AP37:AQ37"/>
    <mergeCell ref="AQ26:A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gG_2019_01_14_15-27</vt:lpstr>
      <vt:lpstr>vQ_2019_01_21_15-54</vt:lpstr>
      <vt:lpstr>qT_2019_01_23_14-30</vt:lpstr>
      <vt:lpstr>aa_2019_01_23_15-41</vt:lpstr>
      <vt:lpstr>rr_2019_01_24_14-33</vt:lpstr>
      <vt:lpstr>HT_2019_01_30_13-5</vt:lpstr>
      <vt:lpstr>UO_2019_01_30_15-27</vt:lpstr>
      <vt:lpstr>dk_2019_01_30_16-50</vt:lpstr>
      <vt:lpstr>Mr_2019_01_31_12-13</vt:lpstr>
      <vt:lpstr>Hi_2019_01_31_13-24</vt:lpstr>
      <vt:lpstr>vY_2019_01_31_14-57</vt:lpstr>
      <vt:lpstr>ot_2019_03_04_12-50</vt:lpstr>
      <vt:lpstr>WZ_2019_03_04_14-23</vt:lpstr>
      <vt:lpstr>VM_2019_03_05_15-18</vt:lpstr>
      <vt:lpstr>yd_2019_03_06_12-21</vt:lpstr>
      <vt:lpstr>Mo_2019_03_06_13-30</vt:lpstr>
      <vt:lpstr>Ib_2019_03_11_12-45</vt:lpstr>
      <vt:lpstr>ok_2019_03_11_14-16</vt:lpstr>
      <vt:lpstr>Rd_2019_03_12_13-35</vt:lpstr>
      <vt:lpstr>GS_2019_03_12_14-41</vt:lpstr>
      <vt:lpstr>Sf_2019_03_13_12-2</vt:lpstr>
      <vt:lpstr>sr_2019_03_13_13-36</vt:lpstr>
      <vt:lpstr>DW_2022_01_13_10-30</vt:lpstr>
      <vt:lpstr>hn_2022_04_21_09_58</vt:lpstr>
      <vt:lpstr>rZ_2022_04_28_9-23</vt:lpstr>
      <vt:lpstr>Ke_2022_04_28_10-11</vt:lpstr>
      <vt:lpstr>kc_2022_05_05_11-11</vt:lpstr>
      <vt:lpstr>el_2022_05_05_12-12</vt:lpstr>
      <vt:lpstr>HG_2022_05_12_11-12</vt:lpstr>
      <vt:lpstr>eH_2022_06_02_12-18</vt:lpstr>
      <vt:lpstr>og_2022_07_07_08-53</vt:lpstr>
      <vt:lpstr>sU_2023_11_10_16-13</vt:lpstr>
      <vt:lpstr>Hr_2023_11_22_09-21</vt:lpstr>
      <vt:lpstr>ns_2023_11_22_14-11</vt:lpstr>
      <vt:lpstr>ph_2023_11_22_16-6</vt:lpstr>
      <vt:lpstr>Ad_2023_11_22_16-53</vt:lpstr>
      <vt:lpstr>sb_2023_11_23_09-16</vt:lpstr>
      <vt:lpstr>kB_2023_11_29_14-7</vt:lpstr>
      <vt:lpstr>Ja_2023_11_29_15-6</vt:lpstr>
      <vt:lpstr>yw_2023_12_05_12-56</vt:lpstr>
      <vt:lpstr>BB_2023_12_07_18-19</vt:lpstr>
      <vt:lpstr>Zy_2023_12_09_09-16</vt:lpstr>
      <vt:lpstr>BC_2023_12_09_13-13</vt:lpstr>
      <vt:lpstr>kR_2023_12_13_10-9</vt:lpstr>
      <vt:lpstr>Kr_2023_12_13_12-49</vt:lpstr>
      <vt:lpstr>gA_2023_12_13_16-4</vt:lpstr>
      <vt:lpstr>mN_2023_12_13_17-1</vt:lpstr>
      <vt:lpstr>hf_2023_12_14_09-5</vt:lpstr>
      <vt:lpstr>Ed_2023_12_14_13-54</vt:lpstr>
      <vt:lpstr>zx_2023_12_14_15-4</vt:lpstr>
      <vt:lpstr>Vj_2023_12_14_18-12</vt:lpstr>
      <vt:lpstr>HV_2019_03_05_14-10</vt:lpstr>
      <vt:lpstr>Total</vt:lpstr>
      <vt:lpstr>MS_2022_05_26_11-39</vt:lpstr>
      <vt:lpstr>ALL_DATA</vt:lpstr>
      <vt:lpstr>bloques copletos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Rojas Líbano</cp:lastModifiedBy>
  <dcterms:modified xsi:type="dcterms:W3CDTF">2025-12-18T13:36:27Z</dcterms:modified>
</cp:coreProperties>
</file>